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mc:Choice>
  </mc:AlternateContent>
  <bookViews>
    <workbookView xWindow="480" yWindow="612" windowWidth="14916" windowHeight="11256" tabRatio="851" firstSheet="4" activeTab="8"/>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Timeplans!$B$1:$B$274</definedName>
    <definedName name="_xlnm._FilterDatabase" localSheetId="11" hidden="1">UTDF_control!$A$1:$A$4</definedName>
    <definedName name="_xlnm._FilterDatabase" localSheetId="10" hidden="1">UTDF8!$A$1:$A$4020</definedName>
  </definedNames>
  <calcPr calcId="162913"/>
</workbook>
</file>

<file path=xl/calcChain.xml><?xml version="1.0" encoding="utf-8"?>
<calcChain xmlns="http://schemas.openxmlformats.org/spreadsheetml/2006/main">
  <c r="O35" i="7" l="1"/>
  <c r="N35" i="7"/>
  <c r="R31" i="7"/>
  <c r="R29" i="7"/>
  <c r="L29" i="7"/>
  <c r="L27" i="7"/>
  <c r="P22" i="7"/>
  <c r="O22" i="7"/>
  <c r="M36" i="4"/>
  <c r="J36" i="4"/>
  <c r="G36" i="4"/>
  <c r="D36" i="4"/>
  <c r="M35" i="4"/>
  <c r="J35" i="4"/>
  <c r="G35" i="4"/>
  <c r="D35" i="4"/>
  <c r="M34" i="4"/>
  <c r="J34" i="4"/>
  <c r="G34" i="4"/>
  <c r="D34" i="4"/>
  <c r="V22" i="9" l="1"/>
  <c r="T22" i="9"/>
  <c r="R22" i="9"/>
  <c r="P21" i="9"/>
  <c r="E10" i="9"/>
  <c r="F10" i="9"/>
  <c r="G10" i="9"/>
  <c r="H10" i="9"/>
  <c r="I10" i="9"/>
  <c r="J10" i="9"/>
  <c r="K10" i="9"/>
  <c r="D10" i="9"/>
  <c r="I27" i="2" l="1"/>
  <c r="G27" i="2"/>
  <c r="C27" i="2"/>
  <c r="E27" i="2"/>
  <c r="E18" i="8" l="1"/>
  <c r="E17" i="8"/>
  <c r="N6" i="8"/>
  <c r="M6" i="8"/>
  <c r="Q18" i="8"/>
  <c r="Q17" i="8"/>
  <c r="P21" i="8"/>
  <c r="O21" i="8"/>
  <c r="F13" i="22" l="1"/>
  <c r="F12" i="22"/>
  <c r="F11" i="22"/>
  <c r="F10" i="22"/>
  <c r="F9" i="22"/>
  <c r="F8" i="22"/>
  <c r="F7" i="22"/>
  <c r="F6" i="22"/>
  <c r="E6" i="22"/>
  <c r="I6" i="22" s="1"/>
  <c r="F5" i="22"/>
  <c r="E5" i="22"/>
  <c r="I5" i="22" s="1"/>
  <c r="F4" i="22"/>
  <c r="F3" i="22"/>
  <c r="E3" i="22"/>
  <c r="I3" i="22" s="1"/>
  <c r="F2" i="22"/>
  <c r="E2" i="22"/>
  <c r="I2" i="22" s="1"/>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J6" i="22" l="1"/>
  <c r="J5" i="22"/>
  <c r="J3" i="22"/>
  <c r="J2" i="22"/>
  <c r="N160" i="4"/>
  <c r="M160" i="4"/>
  <c r="L160" i="4"/>
  <c r="K160" i="4"/>
  <c r="J160" i="4"/>
  <c r="I160" i="4"/>
  <c r="H160" i="4"/>
  <c r="G160" i="4"/>
  <c r="F160" i="4"/>
  <c r="E160" i="4"/>
  <c r="D160" i="4"/>
  <c r="C160" i="4"/>
  <c r="L8" i="15" l="1"/>
  <c r="L9" i="15"/>
  <c r="K5" i="15"/>
  <c r="L5" i="15" s="1"/>
  <c r="K6" i="15"/>
  <c r="L6" i="15" s="1"/>
  <c r="K7" i="15"/>
  <c r="L7" i="15" s="1"/>
  <c r="K8" i="15"/>
  <c r="K9" i="15"/>
  <c r="K10" i="15"/>
  <c r="L10" i="15" s="1"/>
  <c r="K11" i="15"/>
  <c r="L11" i="15" s="1"/>
  <c r="K12" i="15"/>
  <c r="L12" i="15" s="1"/>
  <c r="K13" i="15"/>
  <c r="L13" i="15" s="1"/>
  <c r="K14" i="15"/>
  <c r="L14" i="15" s="1"/>
  <c r="K15" i="15"/>
  <c r="L15" i="15" s="1"/>
  <c r="K16" i="15"/>
  <c r="L16" i="15" s="1"/>
  <c r="K17" i="15"/>
  <c r="L17" i="15" s="1"/>
  <c r="K18" i="15"/>
  <c r="L18" i="15" s="1"/>
  <c r="K19" i="15"/>
  <c r="L19" i="15" s="1"/>
  <c r="K20" i="15"/>
  <c r="L20" i="15" s="1"/>
  <c r="K21" i="15"/>
  <c r="L21" i="15" s="1"/>
  <c r="K22" i="15"/>
  <c r="L22" i="15" s="1"/>
  <c r="K23" i="15"/>
  <c r="L23" i="15" s="1"/>
  <c r="K24" i="15"/>
  <c r="L24" i="15" s="1"/>
  <c r="K25" i="15"/>
  <c r="L25" i="15" s="1"/>
  <c r="K26" i="15"/>
  <c r="L26" i="15" s="1"/>
  <c r="K27" i="15"/>
  <c r="L27" i="15" s="1"/>
  <c r="K28" i="15"/>
  <c r="L28" i="15" s="1"/>
  <c r="K29" i="15"/>
  <c r="L29" i="15" s="1"/>
  <c r="K30" i="15"/>
  <c r="L30" i="15" s="1"/>
  <c r="K4" i="15"/>
  <c r="L4" i="15" s="1"/>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4" i="15"/>
  <c r="E5" i="15"/>
  <c r="F5" i="15" s="1"/>
  <c r="E6" i="15"/>
  <c r="F6" i="15" s="1"/>
  <c r="E7" i="15"/>
  <c r="F7" i="15" s="1"/>
  <c r="E8" i="15"/>
  <c r="F8" i="15" s="1"/>
  <c r="E9" i="15"/>
  <c r="F9" i="15" s="1"/>
  <c r="E10" i="15"/>
  <c r="F10" i="15" s="1"/>
  <c r="E11" i="15"/>
  <c r="F11" i="15" s="1"/>
  <c r="E12" i="15"/>
  <c r="F12" i="15" s="1"/>
  <c r="E13" i="15"/>
  <c r="F13" i="15" s="1"/>
  <c r="E14" i="15"/>
  <c r="F14" i="15" s="1"/>
  <c r="E15" i="15"/>
  <c r="F15" i="15" s="1"/>
  <c r="E16" i="15"/>
  <c r="F16" i="15" s="1"/>
  <c r="E17" i="15"/>
  <c r="F17" i="15" s="1"/>
  <c r="E18" i="15"/>
  <c r="F18" i="15" s="1"/>
  <c r="E19" i="15"/>
  <c r="F19" i="15" s="1"/>
  <c r="E20" i="15"/>
  <c r="F20" i="15" s="1"/>
  <c r="E21" i="15"/>
  <c r="F21" i="15" s="1"/>
  <c r="E22" i="15"/>
  <c r="F22" i="15" s="1"/>
  <c r="E23" i="15"/>
  <c r="F23" i="15" s="1"/>
  <c r="E24" i="15"/>
  <c r="F24" i="15" s="1"/>
  <c r="E25" i="15"/>
  <c r="F25" i="15" s="1"/>
  <c r="E26" i="15"/>
  <c r="F26" i="15" s="1"/>
  <c r="E27" i="15"/>
  <c r="F27" i="15" s="1"/>
  <c r="E28" i="15"/>
  <c r="F28" i="15" s="1"/>
  <c r="E29" i="15"/>
  <c r="F29" i="15" s="1"/>
  <c r="E30" i="15"/>
  <c r="F30" i="15" s="1"/>
  <c r="E4" i="15"/>
  <c r="F4" i="15" s="1"/>
  <c r="D30" i="9" l="1"/>
  <c r="E30" i="9"/>
  <c r="F30" i="9"/>
  <c r="G30" i="9"/>
  <c r="H30" i="9"/>
  <c r="I30" i="9"/>
  <c r="J30" i="9"/>
  <c r="K30" i="9"/>
  <c r="D31" i="9"/>
  <c r="D11" i="9" s="1"/>
  <c r="E31" i="9"/>
  <c r="E11" i="9" s="1"/>
  <c r="F31" i="9"/>
  <c r="F11" i="9" s="1"/>
  <c r="G31" i="9"/>
  <c r="G11" i="9" s="1"/>
  <c r="H31" i="9"/>
  <c r="H11" i="9" s="1"/>
  <c r="I31" i="9"/>
  <c r="I11" i="9" s="1"/>
  <c r="J31" i="9"/>
  <c r="J11" i="9" s="1"/>
  <c r="K31" i="9"/>
  <c r="K11" i="9" s="1"/>
  <c r="D32" i="9"/>
  <c r="D12" i="9" s="1"/>
  <c r="E32" i="9"/>
  <c r="E12" i="9" s="1"/>
  <c r="F32" i="9"/>
  <c r="F12" i="9" s="1"/>
  <c r="G32" i="9"/>
  <c r="G12" i="9" s="1"/>
  <c r="H32" i="9"/>
  <c r="H12" i="9" s="1"/>
  <c r="I32" i="9"/>
  <c r="I12" i="9" s="1"/>
  <c r="J32" i="9"/>
  <c r="J12" i="9" s="1"/>
  <c r="K32" i="9"/>
  <c r="K12" i="9" s="1"/>
  <c r="D33" i="9"/>
  <c r="D17" i="9" s="1"/>
  <c r="E33" i="9"/>
  <c r="E17" i="9" s="1"/>
  <c r="F33" i="9"/>
  <c r="F17" i="9" s="1"/>
  <c r="G33" i="9"/>
  <c r="G17" i="9" s="1"/>
  <c r="H33" i="9"/>
  <c r="H17" i="9" s="1"/>
  <c r="I33" i="9"/>
  <c r="I17" i="9" s="1"/>
  <c r="J33" i="9"/>
  <c r="J17" i="9" s="1"/>
  <c r="K33" i="9"/>
  <c r="K17" i="9" s="1"/>
  <c r="D34" i="9"/>
  <c r="D14" i="9" s="1"/>
  <c r="E34" i="9"/>
  <c r="E14" i="9" s="1"/>
  <c r="F34" i="9"/>
  <c r="F14" i="9" s="1"/>
  <c r="G34" i="9"/>
  <c r="G14" i="9" s="1"/>
  <c r="H34" i="9"/>
  <c r="H14" i="9" s="1"/>
  <c r="I34" i="9"/>
  <c r="I14" i="9" s="1"/>
  <c r="J34" i="9"/>
  <c r="J14" i="9" s="1"/>
  <c r="K34" i="9"/>
  <c r="K14" i="9" s="1"/>
  <c r="D35" i="9"/>
  <c r="D15" i="9" s="1"/>
  <c r="E35" i="9"/>
  <c r="E15" i="9" s="1"/>
  <c r="F35" i="9"/>
  <c r="F15" i="9" s="1"/>
  <c r="G35" i="9"/>
  <c r="G15" i="9" s="1"/>
  <c r="H35" i="9"/>
  <c r="H15" i="9" s="1"/>
  <c r="I35" i="9"/>
  <c r="I15" i="9" s="1"/>
  <c r="J35" i="9"/>
  <c r="J15" i="9" s="1"/>
  <c r="K35" i="9"/>
  <c r="K15" i="9" s="1"/>
  <c r="D36" i="9"/>
  <c r="D16" i="9" s="1"/>
  <c r="E36" i="9"/>
  <c r="E16" i="9" s="1"/>
  <c r="F36" i="9"/>
  <c r="F16" i="9" s="1"/>
  <c r="G36" i="9"/>
  <c r="G16" i="9" s="1"/>
  <c r="H36" i="9"/>
  <c r="H16" i="9" s="1"/>
  <c r="I36" i="9"/>
  <c r="I16" i="9" s="1"/>
  <c r="J36" i="9"/>
  <c r="J16" i="9" s="1"/>
  <c r="K36" i="9"/>
  <c r="K16" i="9" s="1"/>
  <c r="D37" i="9"/>
  <c r="D7" i="9" s="1"/>
  <c r="D56" i="9" s="1"/>
  <c r="E37" i="9"/>
  <c r="E7" i="9" s="1"/>
  <c r="F37" i="9"/>
  <c r="F7" i="9" s="1"/>
  <c r="G37" i="9"/>
  <c r="G7" i="9" s="1"/>
  <c r="H37" i="9"/>
  <c r="H7" i="9" s="1"/>
  <c r="I37" i="9"/>
  <c r="I7" i="9" s="1"/>
  <c r="J37" i="9"/>
  <c r="J7" i="9" s="1"/>
  <c r="K37" i="9"/>
  <c r="K7" i="9" s="1"/>
  <c r="D38" i="9"/>
  <c r="D8" i="9" s="1"/>
  <c r="E38" i="9"/>
  <c r="E8" i="9" s="1"/>
  <c r="F38" i="9"/>
  <c r="F8" i="9" s="1"/>
  <c r="G38" i="9"/>
  <c r="G8" i="9" s="1"/>
  <c r="H38" i="9"/>
  <c r="H8" i="9" s="1"/>
  <c r="I38" i="9"/>
  <c r="I8" i="9" s="1"/>
  <c r="J38" i="9"/>
  <c r="J8" i="9" s="1"/>
  <c r="K38" i="9"/>
  <c r="K8" i="9" s="1"/>
  <c r="D39" i="9"/>
  <c r="E39" i="9"/>
  <c r="F39" i="9"/>
  <c r="G39" i="9"/>
  <c r="H39" i="9"/>
  <c r="I39" i="9"/>
  <c r="J39" i="9"/>
  <c r="K39" i="9"/>
  <c r="D40" i="9"/>
  <c r="D9" i="9" s="1"/>
  <c r="E40" i="9"/>
  <c r="E9" i="9" s="1"/>
  <c r="H27" i="21" s="1"/>
  <c r="F40" i="9"/>
  <c r="F9" i="9" s="1"/>
  <c r="G40" i="9"/>
  <c r="G9" i="9" s="1"/>
  <c r="H29" i="21" s="1"/>
  <c r="H40" i="9"/>
  <c r="H9" i="9" s="1"/>
  <c r="I40" i="9"/>
  <c r="I9" i="9" s="1"/>
  <c r="H31" i="21" s="1"/>
  <c r="J40" i="9"/>
  <c r="J9" i="9" s="1"/>
  <c r="K40" i="9"/>
  <c r="K9" i="9" s="1"/>
  <c r="H33" i="21" s="1"/>
  <c r="D41" i="9"/>
  <c r="E41" i="9"/>
  <c r="F41" i="9"/>
  <c r="G41" i="9"/>
  <c r="H41" i="9"/>
  <c r="I41" i="9"/>
  <c r="J41" i="9"/>
  <c r="K41" i="9"/>
  <c r="D42" i="9"/>
  <c r="E42" i="9"/>
  <c r="F42" i="9"/>
  <c r="G42" i="9"/>
  <c r="H42" i="9"/>
  <c r="I42" i="9"/>
  <c r="J42" i="9"/>
  <c r="K42" i="9"/>
  <c r="D43" i="9"/>
  <c r="D18" i="9" s="1"/>
  <c r="E43" i="9"/>
  <c r="E18" i="9" s="1"/>
  <c r="F43" i="9"/>
  <c r="F18" i="9" s="1"/>
  <c r="G43" i="9"/>
  <c r="G18" i="9" s="1"/>
  <c r="H43" i="9"/>
  <c r="H18" i="9" s="1"/>
  <c r="I43" i="9"/>
  <c r="I18" i="9" s="1"/>
  <c r="J43" i="9"/>
  <c r="J18" i="9" s="1"/>
  <c r="K43" i="9"/>
  <c r="K18" i="9" s="1"/>
  <c r="D44" i="9"/>
  <c r="E44" i="9"/>
  <c r="F44" i="9"/>
  <c r="G44" i="9"/>
  <c r="H44" i="9"/>
  <c r="I44" i="9"/>
  <c r="J44" i="9"/>
  <c r="K44" i="9"/>
  <c r="D45" i="9"/>
  <c r="E45" i="9"/>
  <c r="F45" i="9"/>
  <c r="G45" i="9"/>
  <c r="H45" i="9"/>
  <c r="I45" i="9"/>
  <c r="J45" i="9"/>
  <c r="K45" i="9"/>
  <c r="D46" i="9"/>
  <c r="D19" i="9" s="1"/>
  <c r="E46" i="9"/>
  <c r="E19" i="9" s="1"/>
  <c r="F46" i="9"/>
  <c r="F19" i="9" s="1"/>
  <c r="G46" i="9"/>
  <c r="G19" i="9" s="1"/>
  <c r="H46" i="9"/>
  <c r="H19" i="9" s="1"/>
  <c r="I46" i="9"/>
  <c r="I19" i="9" s="1"/>
  <c r="J46" i="9"/>
  <c r="J19" i="9" s="1"/>
  <c r="K46" i="9"/>
  <c r="K19" i="9" s="1"/>
  <c r="D47" i="9"/>
  <c r="D20" i="9" s="1"/>
  <c r="E47" i="9"/>
  <c r="E20" i="9" s="1"/>
  <c r="F47" i="9"/>
  <c r="F20" i="9" s="1"/>
  <c r="G47" i="9"/>
  <c r="G20" i="9" s="1"/>
  <c r="H47" i="9"/>
  <c r="H20" i="9" s="1"/>
  <c r="I47" i="9"/>
  <c r="I20" i="9" s="1"/>
  <c r="J47" i="9"/>
  <c r="J20" i="9" s="1"/>
  <c r="K47" i="9"/>
  <c r="K20" i="9" s="1"/>
  <c r="D48" i="9"/>
  <c r="D21" i="9" s="1"/>
  <c r="E48" i="9"/>
  <c r="E21" i="9" s="1"/>
  <c r="F48" i="9"/>
  <c r="F21" i="9" s="1"/>
  <c r="G48" i="9"/>
  <c r="G21" i="9" s="1"/>
  <c r="H48" i="9"/>
  <c r="H21" i="9" s="1"/>
  <c r="I48" i="9"/>
  <c r="I21" i="9" s="1"/>
  <c r="J48" i="9"/>
  <c r="J21" i="9" s="1"/>
  <c r="K48" i="9"/>
  <c r="K21" i="9" s="1"/>
  <c r="D49" i="9"/>
  <c r="D22" i="9" s="1"/>
  <c r="E49" i="9"/>
  <c r="E22" i="9" s="1"/>
  <c r="F49" i="9"/>
  <c r="F22" i="9" s="1"/>
  <c r="G49" i="9"/>
  <c r="G22" i="9" s="1"/>
  <c r="H49" i="9"/>
  <c r="H22" i="9" s="1"/>
  <c r="I49" i="9"/>
  <c r="I22" i="9" s="1"/>
  <c r="J49" i="9"/>
  <c r="J22" i="9" s="1"/>
  <c r="K49" i="9"/>
  <c r="K22" i="9" s="1"/>
  <c r="D50" i="9"/>
  <c r="D23" i="9" s="1"/>
  <c r="E50" i="9"/>
  <c r="E23" i="9" s="1"/>
  <c r="F50" i="9"/>
  <c r="F23" i="9" s="1"/>
  <c r="G50" i="9"/>
  <c r="G23" i="9" s="1"/>
  <c r="H50" i="9"/>
  <c r="H23" i="9" s="1"/>
  <c r="I50" i="9"/>
  <c r="I23" i="9" s="1"/>
  <c r="J50" i="9"/>
  <c r="J23" i="9" s="1"/>
  <c r="K50" i="9"/>
  <c r="K23" i="9" s="1"/>
  <c r="D51" i="9"/>
  <c r="D24" i="9" s="1"/>
  <c r="E51" i="9"/>
  <c r="E24" i="9" s="1"/>
  <c r="F51" i="9"/>
  <c r="F24" i="9" s="1"/>
  <c r="G51" i="9"/>
  <c r="G24" i="9" s="1"/>
  <c r="H51" i="9"/>
  <c r="H24" i="9" s="1"/>
  <c r="I51" i="9"/>
  <c r="I24" i="9" s="1"/>
  <c r="J51" i="9"/>
  <c r="J24" i="9" s="1"/>
  <c r="K51" i="9"/>
  <c r="K24" i="9" s="1"/>
  <c r="D52" i="9"/>
  <c r="D25" i="9" s="1"/>
  <c r="E52" i="9"/>
  <c r="E25" i="9" s="1"/>
  <c r="F52" i="9"/>
  <c r="F25" i="9" s="1"/>
  <c r="G52" i="9"/>
  <c r="G25" i="9" s="1"/>
  <c r="H52" i="9"/>
  <c r="H25" i="9" s="1"/>
  <c r="I52" i="9"/>
  <c r="I25" i="9" s="1"/>
  <c r="J52" i="9"/>
  <c r="J25" i="9" s="1"/>
  <c r="K52" i="9"/>
  <c r="K25" i="9" s="1"/>
  <c r="D53" i="9"/>
  <c r="E53" i="9"/>
  <c r="F53" i="9"/>
  <c r="G53" i="9"/>
  <c r="H53" i="9"/>
  <c r="I53" i="9"/>
  <c r="J53" i="9"/>
  <c r="K53" i="9"/>
  <c r="C31" i="9"/>
  <c r="C32" i="9"/>
  <c r="C33" i="9"/>
  <c r="C34" i="9"/>
  <c r="C35" i="9"/>
  <c r="C36" i="9"/>
  <c r="C37" i="9"/>
  <c r="C38" i="9"/>
  <c r="C39" i="9"/>
  <c r="C40" i="9"/>
  <c r="C41" i="9"/>
  <c r="C42" i="9"/>
  <c r="C43" i="9"/>
  <c r="C44" i="9"/>
  <c r="C45" i="9"/>
  <c r="C46" i="9"/>
  <c r="C47" i="9"/>
  <c r="C48" i="9"/>
  <c r="C49" i="9"/>
  <c r="C50" i="9"/>
  <c r="C51" i="9"/>
  <c r="C52" i="9"/>
  <c r="C53" i="9"/>
  <c r="C30" i="9"/>
  <c r="H28" i="2"/>
  <c r="H27" i="2"/>
  <c r="F28" i="2"/>
  <c r="F27" i="2"/>
  <c r="D28" i="2"/>
  <c r="D27" i="2"/>
  <c r="B28" i="2"/>
  <c r="B27" i="2"/>
  <c r="G25" i="4"/>
  <c r="E36" i="21" s="1"/>
  <c r="E25" i="4"/>
  <c r="G36" i="21" s="1"/>
  <c r="C25" i="4"/>
  <c r="V7" i="8"/>
  <c r="M20" i="4"/>
  <c r="N20" i="4"/>
  <c r="L20" i="4"/>
  <c r="J20" i="4"/>
  <c r="K20" i="4"/>
  <c r="I20" i="4"/>
  <c r="H20" i="4"/>
  <c r="G20" i="4"/>
  <c r="F20" i="4"/>
  <c r="E20" i="4"/>
  <c r="D20" i="4"/>
  <c r="C20" i="4"/>
  <c r="V4" i="8"/>
  <c r="V3" i="8"/>
  <c r="B4" i="8"/>
  <c r="M14" i="4"/>
  <c r="N14" i="4"/>
  <c r="L14" i="4"/>
  <c r="J14" i="4"/>
  <c r="K14" i="4"/>
  <c r="I14" i="4"/>
  <c r="G14" i="4"/>
  <c r="H14" i="4"/>
  <c r="F14" i="4"/>
  <c r="D14" i="4"/>
  <c r="E14" i="4"/>
  <c r="C14" i="4"/>
  <c r="M11" i="4"/>
  <c r="N11" i="4"/>
  <c r="L11" i="4"/>
  <c r="J11" i="4"/>
  <c r="K11" i="4"/>
  <c r="I11" i="4"/>
  <c r="G11" i="4"/>
  <c r="H11" i="4"/>
  <c r="F11" i="4"/>
  <c r="E11" i="4"/>
  <c r="D11" i="4"/>
  <c r="C11" i="4"/>
  <c r="M4" i="4"/>
  <c r="L4" i="4"/>
  <c r="J4" i="4"/>
  <c r="I4" i="4"/>
  <c r="G4" i="4"/>
  <c r="F4" i="4"/>
  <c r="D4" i="4"/>
  <c r="C4" i="4"/>
  <c r="N16" i="8"/>
  <c r="N14" i="8"/>
  <c r="N12" i="8"/>
  <c r="F16" i="8"/>
  <c r="F14" i="8"/>
  <c r="F12" i="8"/>
  <c r="I6" i="8"/>
  <c r="J6" i="8"/>
  <c r="K6" i="8"/>
  <c r="J22" i="8"/>
  <c r="K22" i="8"/>
  <c r="I22" i="8"/>
  <c r="M12" i="8"/>
  <c r="M14" i="8"/>
  <c r="M16" i="8"/>
  <c r="G16" i="8"/>
  <c r="G14" i="8"/>
  <c r="G12" i="8"/>
  <c r="I7" i="8"/>
  <c r="J7" i="8"/>
  <c r="K7" i="8"/>
  <c r="J21" i="8"/>
  <c r="K21" i="8"/>
  <c r="I21" i="8"/>
  <c r="A13" i="8"/>
  <c r="P13" i="8"/>
  <c r="J24" i="8"/>
  <c r="D13" i="8"/>
  <c r="J4" i="8"/>
  <c r="R13" i="8"/>
  <c r="I2" i="8"/>
  <c r="I26" i="8"/>
  <c r="B8" i="15"/>
  <c r="V6" i="8" l="1"/>
  <c r="J14" i="8"/>
  <c r="I1" i="21" s="1"/>
  <c r="H13" i="22"/>
  <c r="H9" i="22"/>
  <c r="H5" i="22"/>
  <c r="H2" i="22"/>
  <c r="H10" i="22"/>
  <c r="D36" i="21"/>
  <c r="H12" i="22"/>
  <c r="H8" i="22"/>
  <c r="H11" i="22"/>
  <c r="H7" i="22"/>
  <c r="H4" i="22"/>
  <c r="H3" i="22"/>
  <c r="H6" i="22"/>
  <c r="K37" i="2"/>
  <c r="M36" i="2"/>
  <c r="M37" i="2"/>
  <c r="K36" i="2"/>
  <c r="N37" i="2"/>
  <c r="L36" i="2"/>
  <c r="L37" i="2"/>
  <c r="N36" i="2"/>
  <c r="B6" i="15"/>
  <c r="C50" i="2" l="1"/>
  <c r="K42" i="2"/>
  <c r="K41" i="2"/>
  <c r="C49" i="2"/>
  <c r="D50" i="2"/>
  <c r="L42" i="2"/>
  <c r="L41" i="2"/>
  <c r="D49" i="2"/>
  <c r="M42" i="2"/>
  <c r="E50" i="2"/>
  <c r="N41" i="2"/>
  <c r="F49" i="2"/>
  <c r="N42" i="2"/>
  <c r="F50" i="2"/>
  <c r="M41" i="2"/>
  <c r="E49" i="2"/>
  <c r="B2" i="15"/>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H4" i="4" s="1"/>
  <c r="S31" i="1"/>
  <c r="P31" i="1"/>
  <c r="O31" i="1"/>
  <c r="E4" i="4" s="1"/>
  <c r="N31" i="1"/>
  <c r="K31" i="1"/>
  <c r="J31" i="1"/>
  <c r="I31" i="1"/>
  <c r="F31" i="1"/>
  <c r="E31" i="1"/>
  <c r="K4" i="4" s="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AL26" i="6"/>
  <c r="AN26" i="6" s="1"/>
  <c r="M14" i="2"/>
  <c r="U26" i="6"/>
  <c r="V26" i="6" s="1"/>
  <c r="E11" i="7"/>
  <c r="C5" i="6"/>
  <c r="D5" i="6" s="1"/>
  <c r="M13" i="2"/>
  <c r="C26" i="6"/>
  <c r="D26" i="6" s="1"/>
  <c r="B43" i="1"/>
  <c r="BC57" i="6"/>
  <c r="BC6" i="6"/>
  <c r="BC7" i="6" s="1"/>
  <c r="BC8" i="6" s="1"/>
  <c r="C11" i="6"/>
  <c r="W4" i="7"/>
  <c r="AB14" i="4"/>
  <c r="F3" i="2"/>
  <c r="F14" i="2" s="1"/>
  <c r="AL57" i="6"/>
  <c r="AL56" i="6"/>
  <c r="X17" i="7"/>
  <c r="AC14" i="4"/>
  <c r="B6" i="2"/>
  <c r="B11" i="2" s="1"/>
  <c r="T6" i="1"/>
  <c r="V36" i="6" s="1"/>
  <c r="V37" i="6" s="1"/>
  <c r="V38" i="6" s="1"/>
  <c r="E8" i="2"/>
  <c r="B13" i="2" s="1"/>
  <c r="U13" i="6"/>
  <c r="V56" i="6" s="1"/>
  <c r="G3" i="2"/>
  <c r="J3" i="4" s="1"/>
  <c r="J5" i="4" s="1"/>
  <c r="O6" i="1"/>
  <c r="J46" i="6" s="1"/>
  <c r="U12" i="6"/>
  <c r="T9" i="7"/>
  <c r="T15" i="7" s="1"/>
  <c r="D3" i="2"/>
  <c r="D14" i="2" s="1"/>
  <c r="C56" i="6"/>
  <c r="BD49" i="6"/>
  <c r="A29" i="7"/>
  <c r="D6" i="2"/>
  <c r="D11" i="2" s="1"/>
  <c r="Z13" i="7"/>
  <c r="Z15" i="7" s="1"/>
  <c r="H3" i="2"/>
  <c r="X4" i="7"/>
  <c r="BC11" i="6"/>
  <c r="E3" i="2"/>
  <c r="G3" i="4" s="1"/>
  <c r="G5" i="4" s="1"/>
  <c r="BC13" i="6"/>
  <c r="BC20" i="6" s="1"/>
  <c r="U5" i="6"/>
  <c r="V5" i="6" s="1"/>
  <c r="E6" i="1"/>
  <c r="AS45" i="6" s="1"/>
  <c r="AV45" i="6" s="1"/>
  <c r="H6" i="2"/>
  <c r="H11" i="2" s="1"/>
  <c r="C6" i="2"/>
  <c r="S7" i="2" s="1"/>
  <c r="BC56" i="6"/>
  <c r="V17" i="7"/>
  <c r="C6" i="6"/>
  <c r="C7" i="6" s="1"/>
  <c r="BC26" i="6"/>
  <c r="BD26" i="6" s="1"/>
  <c r="AA14" i="4"/>
  <c r="BC12" i="6"/>
  <c r="BC44" i="6" s="1"/>
  <c r="AL12" i="6"/>
  <c r="I12" i="4" s="1"/>
  <c r="F6" i="2"/>
  <c r="F11" i="2" s="1"/>
  <c r="R24" i="9"/>
  <c r="R25" i="9" s="1"/>
  <c r="U57" i="6"/>
  <c r="C19" i="6"/>
  <c r="M6" i="4"/>
  <c r="M10" i="4" s="1"/>
  <c r="AM8" i="6"/>
  <c r="U7" i="2"/>
  <c r="AA7" i="2" s="1"/>
  <c r="AL19" i="6"/>
  <c r="Z14" i="4"/>
  <c r="U6" i="6"/>
  <c r="U56" i="6"/>
  <c r="C12" i="6"/>
  <c r="C12" i="4" s="1"/>
  <c r="C57" i="6"/>
  <c r="C3" i="2"/>
  <c r="D3" i="4" s="1"/>
  <c r="AL21" i="6"/>
  <c r="D56" i="6"/>
  <c r="C21" i="6"/>
  <c r="I29" i="7"/>
  <c r="T49" i="7"/>
  <c r="I4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D57" i="6"/>
  <c r="C18" i="6"/>
  <c r="C20" i="6"/>
  <c r="T23" i="9"/>
  <c r="T26" i="9"/>
  <c r="B14" i="2"/>
  <c r="K49" i="7"/>
  <c r="K29" i="7"/>
  <c r="A49" i="7"/>
  <c r="E68" i="7"/>
  <c r="R7" i="9"/>
  <c r="R9" i="9" s="1"/>
  <c r="R23" i="9"/>
  <c r="P24" i="9"/>
  <c r="P25" i="9" s="1"/>
  <c r="V23" i="9"/>
  <c r="P7" i="9"/>
  <c r="P9" i="9" s="1"/>
  <c r="V50" i="6" l="1"/>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F3" i="4" s="1"/>
  <c r="BC36" i="6"/>
  <c r="BC37" i="6" s="1"/>
  <c r="BC38" i="6" s="1"/>
  <c r="E26" i="6"/>
  <c r="D50" i="6"/>
  <c r="D5" i="4"/>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M7" i="4" s="1"/>
  <c r="AT45" i="6"/>
  <c r="AT44" i="6" s="1"/>
  <c r="AZ45" i="6"/>
  <c r="AZ44" i="6" s="1"/>
  <c r="AS46" i="6"/>
  <c r="AT46" i="6"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D12" i="2"/>
  <c r="D16" i="2" s="1"/>
  <c r="AL14" i="6"/>
  <c r="AN16" i="6" s="1"/>
  <c r="L12" i="4"/>
  <c r="J7" i="4"/>
  <c r="U7" i="6"/>
  <c r="U8" i="6" s="1"/>
  <c r="V8" i="6"/>
  <c r="AL34" i="6"/>
  <c r="AM52" i="6" s="1"/>
  <c r="BD36" i="6"/>
  <c r="BD37" i="6" s="1"/>
  <c r="BD38" i="6" s="1"/>
  <c r="BJ45" i="6"/>
  <c r="L46" i="6"/>
  <c r="M46" i="6"/>
  <c r="Q46" i="6"/>
  <c r="N46" i="6"/>
  <c r="K46" i="6"/>
  <c r="P46" i="6"/>
  <c r="O46" i="6"/>
  <c r="H11" i="7"/>
  <c r="H13" i="7"/>
  <c r="R3" i="9"/>
  <c r="H9" i="7"/>
  <c r="C14" i="6"/>
  <c r="D17" i="6" s="1"/>
  <c r="E16" i="6"/>
  <c r="E24" i="6"/>
  <c r="E27" i="6" s="1"/>
  <c r="B9" i="7"/>
  <c r="B11" i="7"/>
  <c r="P3" i="9"/>
  <c r="B13" i="7"/>
  <c r="C10" i="4" l="1"/>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D113" i="4"/>
  <c r="C132" i="4"/>
  <c r="E16" i="4"/>
  <c r="C3" i="4"/>
  <c r="C5" i="4" s="1"/>
  <c r="C7" i="4" s="1"/>
  <c r="G113" i="4"/>
  <c r="D132" i="4"/>
  <c r="Z8" i="2"/>
  <c r="Z10" i="2" s="1"/>
  <c r="AV46" i="6"/>
  <c r="AV42" i="6" s="1"/>
  <c r="F10" i="4"/>
  <c r="AH45" i="6"/>
  <c r="AH44" i="6" s="1"/>
  <c r="AF45" i="6"/>
  <c r="AF44" i="6" s="1"/>
  <c r="E30" i="6"/>
  <c r="E31" i="6" s="1"/>
  <c r="F13" i="4"/>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AM49" i="6"/>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P10" i="9"/>
  <c r="R10" i="9"/>
  <c r="F5" i="4"/>
  <c r="C13" i="4" l="1"/>
  <c r="BD53" i="6"/>
  <c r="M113" i="4"/>
  <c r="D114" i="4" s="1"/>
  <c r="X11" i="2"/>
  <c r="X9" i="2"/>
  <c r="Z30" i="4"/>
  <c r="Y30" i="4"/>
  <c r="F132" i="4"/>
  <c r="F138" i="4" s="1"/>
  <c r="V10" i="9"/>
  <c r="E139" i="4"/>
  <c r="AV43" i="6"/>
  <c r="AG43" i="6"/>
  <c r="BQ42" i="6"/>
  <c r="AD43" i="6"/>
  <c r="AC42" i="6"/>
  <c r="D60" i="4"/>
  <c r="Z9" i="2"/>
  <c r="Z11" i="2"/>
  <c r="AH42" i="6"/>
  <c r="AF43" i="6"/>
  <c r="BN42" i="6"/>
  <c r="AF42" i="6"/>
  <c r="D138" i="4"/>
  <c r="D139" i="4"/>
  <c r="AI43" i="6"/>
  <c r="C138" i="4"/>
  <c r="C139" i="4"/>
  <c r="W16" i="6"/>
  <c r="W27" i="6" s="1"/>
  <c r="W30" i="6" s="1"/>
  <c r="W31" i="6" s="1"/>
  <c r="AG42" i="6"/>
  <c r="AH43" i="6"/>
  <c r="Y12" i="2"/>
  <c r="D15" i="2" s="1"/>
  <c r="BP43" i="6"/>
  <c r="T12" i="2"/>
  <c r="F17" i="2" s="1"/>
  <c r="F21" i="2" s="1"/>
  <c r="AD42" i="6"/>
  <c r="Q42" i="6"/>
  <c r="B46" i="1"/>
  <c r="AE43" i="6"/>
  <c r="U35" i="6" s="1"/>
  <c r="V48" i="6" s="1"/>
  <c r="C9" i="4"/>
  <c r="L42" i="6"/>
  <c r="AI42" i="6"/>
  <c r="AE42" i="6"/>
  <c r="U12" i="2"/>
  <c r="H17" i="2" s="1"/>
  <c r="H21" i="2" s="1"/>
  <c r="AY43" i="6"/>
  <c r="AX42" i="6"/>
  <c r="AA10" i="2"/>
  <c r="AA11" i="2"/>
  <c r="AA9" i="2"/>
  <c r="AZ42" i="6"/>
  <c r="AU42" i="6"/>
  <c r="AW43" i="6"/>
  <c r="AL35" i="6" s="1"/>
  <c r="AM48"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F9" i="4"/>
  <c r="F7" i="4"/>
  <c r="C15" i="4" s="1"/>
  <c r="X12" i="2" l="1"/>
  <c r="B15" i="2" s="1"/>
  <c r="F139" i="4"/>
  <c r="C35" i="6"/>
  <c r="Z31" i="4"/>
  <c r="Y31" i="4"/>
  <c r="BC35" i="6"/>
  <c r="BD48" i="6" s="1"/>
  <c r="Z12" i="2"/>
  <c r="F15" i="2" s="1"/>
  <c r="G138" i="4"/>
  <c r="G139" i="4"/>
  <c r="M22" i="2"/>
  <c r="B47" i="1"/>
  <c r="K22" i="2"/>
  <c r="K23" i="2" s="1"/>
  <c r="N22" i="2"/>
  <c r="AA12" i="2"/>
  <c r="H15" i="2" s="1"/>
  <c r="I9" i="2"/>
  <c r="H3" i="4"/>
  <c r="H6" i="4"/>
  <c r="N6" i="4"/>
  <c r="L3" i="4" s="1"/>
  <c r="N3" i="4"/>
  <c r="E3" i="4"/>
  <c r="L22" i="2"/>
  <c r="L23" i="2" s="1"/>
  <c r="K3" i="4"/>
  <c r="K6" i="4"/>
  <c r="I3" i="4" s="1"/>
  <c r="E6" i="4"/>
  <c r="F26" i="4"/>
  <c r="F15" i="4"/>
  <c r="D15" i="4"/>
  <c r="G15" i="4"/>
  <c r="H22" i="2" l="1"/>
  <c r="M59" i="4" s="1"/>
  <c r="M64" i="4" s="1"/>
  <c r="M68" i="4" s="1"/>
  <c r="N23" i="2"/>
  <c r="F22" i="2"/>
  <c r="J57" i="4" s="1"/>
  <c r="J62" i="4" s="1"/>
  <c r="J66" i="4" s="1"/>
  <c r="M23" i="2"/>
  <c r="D49" i="6"/>
  <c r="D48" i="6"/>
  <c r="AJ2" i="7"/>
  <c r="AJ5" i="7" s="1"/>
  <c r="O4" i="7" s="1"/>
  <c r="AA41" i="2"/>
  <c r="Y32" i="4"/>
  <c r="Z32" i="4"/>
  <c r="N5" i="4"/>
  <c r="N8" i="4" s="1"/>
  <c r="F100" i="4"/>
  <c r="H5" i="4"/>
  <c r="H8" i="4" s="1"/>
  <c r="K5" i="4"/>
  <c r="K8" i="4" s="1"/>
  <c r="B48" i="1"/>
  <c r="B22" i="2"/>
  <c r="B23" i="2" s="1"/>
  <c r="C100" i="4"/>
  <c r="D30" i="2"/>
  <c r="F102" i="4"/>
  <c r="AE42" i="2"/>
  <c r="J14" i="1"/>
  <c r="J16" i="1" s="1"/>
  <c r="K16" i="1" s="1"/>
  <c r="W49" i="2"/>
  <c r="W50" i="2" s="1"/>
  <c r="M18" i="4"/>
  <c r="E5" i="4"/>
  <c r="E8" i="4" s="1"/>
  <c r="C102" i="4"/>
  <c r="D22" i="2"/>
  <c r="I5" i="4"/>
  <c r="L100" i="4"/>
  <c r="I102" i="4"/>
  <c r="J60" i="4"/>
  <c r="I13" i="4"/>
  <c r="I100" i="4"/>
  <c r="L5" i="4"/>
  <c r="L102" i="4"/>
  <c r="L13" i="4"/>
  <c r="M60" i="4"/>
  <c r="O3" i="4"/>
  <c r="Z13" i="4" l="1"/>
  <c r="Z15" i="4" s="1"/>
  <c r="C151" i="4"/>
  <c r="Z42" i="2"/>
  <c r="AI3" i="7"/>
  <c r="AD42" i="2"/>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D18" i="4"/>
  <c r="E19" i="4" s="1"/>
  <c r="O14" i="1"/>
  <c r="P15" i="1" s="1"/>
  <c r="AE3" i="7"/>
  <c r="AC3" i="7"/>
  <c r="AD2" i="7"/>
  <c r="AD5" i="7" s="1"/>
  <c r="L11" i="7" s="1"/>
  <c r="AG41" i="2"/>
  <c r="E14" i="1"/>
  <c r="F15" i="1" s="1"/>
  <c r="U49" i="2"/>
  <c r="U50" i="2" s="1"/>
  <c r="J18" i="4"/>
  <c r="J33" i="4" s="1"/>
  <c r="AH2" i="7"/>
  <c r="AH5" i="7" s="1"/>
  <c r="O17" i="7" s="1"/>
  <c r="G18" i="4"/>
  <c r="G33" i="4" s="1"/>
  <c r="G35" i="2"/>
  <c r="AG42" i="2"/>
  <c r="M33" i="4"/>
  <c r="N19" i="4"/>
  <c r="T14" i="1"/>
  <c r="U15" i="1" s="1"/>
  <c r="E9" i="4"/>
  <c r="L9" i="4"/>
  <c r="L7" i="4"/>
  <c r="L26" i="4" s="1"/>
  <c r="Z17" i="4"/>
  <c r="I9" i="4"/>
  <c r="I7" i="4"/>
  <c r="Q9" i="22" l="1"/>
  <c r="J150" i="4"/>
  <c r="J149" i="4"/>
  <c r="Q12" i="22"/>
  <c r="M149" i="4"/>
  <c r="M150" i="4"/>
  <c r="H33" i="4"/>
  <c r="Q6" i="22"/>
  <c r="G149" i="4"/>
  <c r="G150" i="4"/>
  <c r="AC13" i="4"/>
  <c r="AC15" i="4" s="1"/>
  <c r="L151" i="4"/>
  <c r="AB13" i="4"/>
  <c r="AB15" i="4" s="1"/>
  <c r="AB17" i="4" s="1"/>
  <c r="I151" i="4"/>
  <c r="AA13" i="4"/>
  <c r="AA15" i="4" s="1"/>
  <c r="AA17" i="4" s="1"/>
  <c r="F151" i="4"/>
  <c r="L19" i="4"/>
  <c r="D14" i="1"/>
  <c r="D42" i="2"/>
  <c r="I15" i="1"/>
  <c r="L18" i="4"/>
  <c r="I14" i="1"/>
  <c r="V49" i="2"/>
  <c r="V50" i="2" s="1"/>
  <c r="AD41" i="2"/>
  <c r="T49" i="2"/>
  <c r="T50" i="2" s="1"/>
  <c r="AI2" i="7"/>
  <c r="AI5" i="7" s="1"/>
  <c r="P4" i="7" s="1"/>
  <c r="Z41" i="2"/>
  <c r="AG2" i="7"/>
  <c r="E30" i="2"/>
  <c r="I18" i="4"/>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F18" i="4"/>
  <c r="AF41" i="2"/>
  <c r="R49" i="2"/>
  <c r="R50" i="2" s="1"/>
  <c r="AU10" i="4"/>
  <c r="V36" i="2"/>
  <c r="U41" i="2" s="1"/>
  <c r="B50" i="1"/>
  <c r="AC2" i="7"/>
  <c r="AC5" i="7" s="1"/>
  <c r="L9" i="7" s="1"/>
  <c r="N14" i="1"/>
  <c r="C18" i="4"/>
  <c r="P49" i="2"/>
  <c r="P50" i="2" s="1"/>
  <c r="N25" i="1"/>
  <c r="AT10" i="4"/>
  <c r="AF42" i="2"/>
  <c r="S42" i="2" s="1"/>
  <c r="D62" i="4"/>
  <c r="D66" i="4" s="1"/>
  <c r="AT8" i="4"/>
  <c r="AU9" i="4"/>
  <c r="AG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R9" i="7" l="1"/>
  <c r="H149" i="4"/>
  <c r="H150" i="4"/>
  <c r="S12" i="22"/>
  <c r="U12" i="22" s="1"/>
  <c r="N12" i="22" s="1"/>
  <c r="R12" i="22"/>
  <c r="T12" i="22" s="1"/>
  <c r="K12" i="22"/>
  <c r="Q13" i="22"/>
  <c r="N4" i="7"/>
  <c r="N149" i="4"/>
  <c r="N150" i="4"/>
  <c r="M156" i="4"/>
  <c r="B12" i="21" s="1"/>
  <c r="M158" i="4"/>
  <c r="D12" i="21" s="1"/>
  <c r="M152" i="4"/>
  <c r="M159" i="4" s="1"/>
  <c r="E12" i="21" s="1"/>
  <c r="M155" i="4"/>
  <c r="G156" i="4"/>
  <c r="B6" i="21" s="1"/>
  <c r="G158" i="4"/>
  <c r="D6" i="21" s="1"/>
  <c r="G152" i="4"/>
  <c r="G159" i="4" s="1"/>
  <c r="E6" i="21" s="1"/>
  <c r="G155" i="4"/>
  <c r="I33" i="4"/>
  <c r="D16" i="1"/>
  <c r="D26" i="4"/>
  <c r="D27" i="4" s="1"/>
  <c r="C33" i="4"/>
  <c r="F33" i="4"/>
  <c r="L33" i="4"/>
  <c r="J156" i="4"/>
  <c r="B9" i="21" s="1"/>
  <c r="J152" i="4"/>
  <c r="J159" i="4" s="1"/>
  <c r="E9" i="21" s="1"/>
  <c r="J158" i="4"/>
  <c r="D9" i="21" s="1"/>
  <c r="J155" i="4"/>
  <c r="P17" i="7"/>
  <c r="K150" i="4"/>
  <c r="K149" i="4"/>
  <c r="E33" i="4"/>
  <c r="Q3" i="22"/>
  <c r="D150" i="4"/>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G83" i="7"/>
  <c r="R35" i="4"/>
  <c r="R65" i="4"/>
  <c r="H83" i="7"/>
  <c r="J26" i="4"/>
  <c r="J27" i="4" s="1"/>
  <c r="I27" i="4"/>
  <c r="S65" i="4"/>
  <c r="S35" i="4"/>
  <c r="O15" i="4"/>
  <c r="M35" i="2"/>
  <c r="M53" i="2"/>
  <c r="M48" i="2"/>
  <c r="K48" i="2"/>
  <c r="L48" i="2"/>
  <c r="K35" i="2"/>
  <c r="L53" i="2"/>
  <c r="L35" i="2"/>
  <c r="K53" i="2"/>
  <c r="M83" i="7"/>
  <c r="AC18" i="4" l="1"/>
  <c r="AB19" i="4" s="1"/>
  <c r="AB20" i="4" s="1"/>
  <c r="AB21" i="4" s="1"/>
  <c r="AI30" i="4" s="1"/>
  <c r="Q5" i="22"/>
  <c r="F149" i="4"/>
  <c r="F150" i="4"/>
  <c r="B9" i="22"/>
  <c r="M9" i="22"/>
  <c r="S3" i="22"/>
  <c r="U3" i="22" s="1"/>
  <c r="N3" i="22" s="1"/>
  <c r="R3" i="22"/>
  <c r="T3" i="22" s="1"/>
  <c r="K3" i="22"/>
  <c r="Q4" i="22"/>
  <c r="K13" i="22"/>
  <c r="S13" i="22"/>
  <c r="U13" i="22" s="1"/>
  <c r="N13" i="22" s="1"/>
  <c r="R13" i="22"/>
  <c r="T13" i="22" s="1"/>
  <c r="D158" i="4"/>
  <c r="D3" i="21" s="1"/>
  <c r="D152" i="4"/>
  <c r="D159" i="4" s="1"/>
  <c r="E3" i="21" s="1"/>
  <c r="D156" i="4"/>
  <c r="B3" i="21" s="1"/>
  <c r="D155" i="4"/>
  <c r="Z19" i="4"/>
  <c r="Z20" i="4" s="1"/>
  <c r="Z21" i="4" s="1"/>
  <c r="AI14" i="4" s="1"/>
  <c r="AL15" i="4" s="1"/>
  <c r="I83" i="7"/>
  <c r="R7" i="22"/>
  <c r="T7" i="22" s="1"/>
  <c r="S7" i="22"/>
  <c r="U7" i="22" s="1"/>
  <c r="N7" i="22" s="1"/>
  <c r="K7" i="22"/>
  <c r="L13" i="7"/>
  <c r="E149" i="4"/>
  <c r="E150" i="4"/>
  <c r="Q2" i="22"/>
  <c r="C150" i="4"/>
  <c r="C149" i="4"/>
  <c r="M12" i="22"/>
  <c r="B12" i="22"/>
  <c r="Q11" i="22"/>
  <c r="L150" i="4"/>
  <c r="L149" i="4"/>
  <c r="W35" i="4"/>
  <c r="M6" i="22"/>
  <c r="B6" i="22"/>
  <c r="H156" i="4"/>
  <c r="B7" i="21" s="1"/>
  <c r="H158" i="4"/>
  <c r="D7" i="21" s="1"/>
  <c r="H152" i="4"/>
  <c r="H159" i="4" s="1"/>
  <c r="E7" i="21" s="1"/>
  <c r="H155" i="4"/>
  <c r="K158" i="4"/>
  <c r="D10" i="21" s="1"/>
  <c r="K156" i="4"/>
  <c r="B10" i="21" s="1"/>
  <c r="K152" i="4"/>
  <c r="K159" i="4" s="1"/>
  <c r="E10" i="21" s="1"/>
  <c r="K155" i="4"/>
  <c r="Q8" i="22"/>
  <c r="I150" i="4"/>
  <c r="I149" i="4"/>
  <c r="W65" i="4"/>
  <c r="U65" i="4"/>
  <c r="U35" i="4"/>
  <c r="K10" i="22"/>
  <c r="R10" i="22"/>
  <c r="T10" i="22" s="1"/>
  <c r="S10" i="22"/>
  <c r="U10" i="22" s="1"/>
  <c r="N10" i="22" s="1"/>
  <c r="N156" i="4"/>
  <c r="B13" i="21" s="1"/>
  <c r="N158" i="4"/>
  <c r="D13" i="21" s="1"/>
  <c r="N152" i="4"/>
  <c r="N159" i="4" s="1"/>
  <c r="E13" i="21" s="1"/>
  <c r="N155" i="4"/>
  <c r="K83" i="7"/>
  <c r="H91" i="7" s="1"/>
  <c r="I91" i="7"/>
  <c r="N91" i="7"/>
  <c r="J91" i="7"/>
  <c r="K91" i="7"/>
  <c r="M91"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AJ32" i="4" l="1"/>
  <c r="AQ35" i="4" s="1"/>
  <c r="AL32" i="4"/>
  <c r="AS35" i="4" s="1"/>
  <c r="AK31" i="4"/>
  <c r="AJ31" i="4"/>
  <c r="AL33" i="4"/>
  <c r="AK16" i="4"/>
  <c r="AR33" i="4" s="1"/>
  <c r="AK17" i="4"/>
  <c r="AL17" i="4"/>
  <c r="AJ17" i="4"/>
  <c r="AJ15" i="4"/>
  <c r="G91" i="7"/>
  <c r="AK15" i="4"/>
  <c r="AK33" i="4"/>
  <c r="AJ16" i="4"/>
  <c r="AQ33" i="4" s="1"/>
  <c r="AK32" i="4"/>
  <c r="AR35" i="4" s="1"/>
  <c r="AL31" i="4"/>
  <c r="AL16" i="4"/>
  <c r="AS33" i="4" s="1"/>
  <c r="AJ33" i="4"/>
  <c r="B7" i="22"/>
  <c r="M7" i="22"/>
  <c r="L91" i="7"/>
  <c r="L92" i="7" s="1"/>
  <c r="H67" i="1" s="1"/>
  <c r="E156" i="4"/>
  <c r="B4" i="21" s="1"/>
  <c r="E158" i="4"/>
  <c r="D4" i="21" s="1"/>
  <c r="E152" i="4"/>
  <c r="E159" i="4" s="1"/>
  <c r="E4" i="21" s="1"/>
  <c r="E155" i="4"/>
  <c r="L158" i="4"/>
  <c r="D11" i="21" s="1"/>
  <c r="L156" i="4"/>
  <c r="B11" i="21" s="1"/>
  <c r="L155" i="4"/>
  <c r="L152" i="4"/>
  <c r="L159" i="4" s="1"/>
  <c r="E11" i="21" s="1"/>
  <c r="M3" i="22"/>
  <c r="B3" i="22"/>
  <c r="P22" i="9"/>
  <c r="D16" i="8" s="1"/>
  <c r="O29" i="1" s="1"/>
  <c r="T2" i="8" s="1"/>
  <c r="L5" i="8"/>
  <c r="J29" i="1" s="1"/>
  <c r="W2" i="8" s="1"/>
  <c r="M22" i="8"/>
  <c r="E29" i="1" s="1"/>
  <c r="U2" i="8" s="1"/>
  <c r="P16" i="8"/>
  <c r="T29" i="1" s="1"/>
  <c r="V2" i="8" s="1"/>
  <c r="S11" i="22"/>
  <c r="U11" i="22" s="1"/>
  <c r="N11" i="22" s="1"/>
  <c r="R11" i="22"/>
  <c r="T11" i="22" s="1"/>
  <c r="K11" i="22"/>
  <c r="B10" i="22"/>
  <c r="M10" i="22"/>
  <c r="I158" i="4"/>
  <c r="D8" i="21" s="1"/>
  <c r="I156" i="4"/>
  <c r="B8" i="21" s="1"/>
  <c r="I155" i="4"/>
  <c r="I152" i="4"/>
  <c r="I159" i="4" s="1"/>
  <c r="E8" i="21" s="1"/>
  <c r="B13" i="22"/>
  <c r="M13" i="22"/>
  <c r="F156" i="4"/>
  <c r="B5" i="21" s="1"/>
  <c r="F158" i="4"/>
  <c r="D5" i="21" s="1"/>
  <c r="F155" i="4"/>
  <c r="F152" i="4"/>
  <c r="F159" i="4" s="1"/>
  <c r="E5" i="21" s="1"/>
  <c r="R8" i="22"/>
  <c r="T8" i="22" s="1"/>
  <c r="S8" i="22"/>
  <c r="U8" i="22" s="1"/>
  <c r="N8" i="22" s="1"/>
  <c r="K8" i="22"/>
  <c r="C156" i="4"/>
  <c r="B2" i="21" s="1"/>
  <c r="C158" i="4"/>
  <c r="D2" i="21" s="1"/>
  <c r="C155" i="4"/>
  <c r="C152" i="4"/>
  <c r="C159" i="4" s="1"/>
  <c r="E2" i="21" s="1"/>
  <c r="S2" i="22"/>
  <c r="U2" i="22" s="1"/>
  <c r="N2" i="22" s="1"/>
  <c r="R2" i="22"/>
  <c r="T2" i="22" s="1"/>
  <c r="K2" i="22"/>
  <c r="S4" i="22"/>
  <c r="U4" i="22" s="1"/>
  <c r="N4" i="22" s="1"/>
  <c r="R4" i="22"/>
  <c r="T4" i="22" s="1"/>
  <c r="K4" i="22"/>
  <c r="S5" i="22"/>
  <c r="U5" i="22" s="1"/>
  <c r="N5" i="22" s="1"/>
  <c r="R5" i="22"/>
  <c r="T5" i="22" s="1"/>
  <c r="K5" i="22"/>
  <c r="P29" i="9"/>
  <c r="P28" i="9"/>
  <c r="O27" i="9"/>
  <c r="C75" i="4" s="1"/>
  <c r="V11" i="9"/>
  <c r="N36" i="4" s="1"/>
  <c r="V8" i="9"/>
  <c r="N35" i="4" s="1"/>
  <c r="V13" i="9"/>
  <c r="M29" i="4" s="1"/>
  <c r="R29" i="9"/>
  <c r="P8" i="9"/>
  <c r="Q29" i="9"/>
  <c r="Q28" i="9"/>
  <c r="P27" i="9"/>
  <c r="O11" i="9"/>
  <c r="C36" i="4" s="1"/>
  <c r="O8" i="9"/>
  <c r="C35" i="4" s="1"/>
  <c r="O13" i="9"/>
  <c r="C29" i="4" s="1"/>
  <c r="P11" i="9"/>
  <c r="T11" i="9"/>
  <c r="K36" i="4" s="1"/>
  <c r="S29" i="9"/>
  <c r="S28" i="9"/>
  <c r="R27" i="9"/>
  <c r="Q11" i="9"/>
  <c r="F36" i="4" s="1"/>
  <c r="Q8" i="9"/>
  <c r="F35" i="4" s="1"/>
  <c r="Q13" i="9"/>
  <c r="F29" i="4" s="1"/>
  <c r="T29" i="9"/>
  <c r="T28" i="9"/>
  <c r="S27" i="9"/>
  <c r="I75" i="4" s="1"/>
  <c r="R11" i="9"/>
  <c r="H36" i="4" s="1"/>
  <c r="R8" i="9"/>
  <c r="H35" i="4" s="1"/>
  <c r="R13" i="9"/>
  <c r="G29" i="4" s="1"/>
  <c r="O12" i="9"/>
  <c r="V28" i="9"/>
  <c r="U29" i="9"/>
  <c r="U28" i="9"/>
  <c r="T27" i="9"/>
  <c r="S11" i="9"/>
  <c r="I36" i="4" s="1"/>
  <c r="S8" i="9"/>
  <c r="I35" i="4" s="1"/>
  <c r="S13" i="9"/>
  <c r="I29" i="4" s="1"/>
  <c r="V29" i="9"/>
  <c r="U27" i="9"/>
  <c r="L75" i="4" s="1"/>
  <c r="T13" i="9"/>
  <c r="J29" i="4" s="1"/>
  <c r="O29" i="9"/>
  <c r="O28" i="9"/>
  <c r="V27" i="9"/>
  <c r="U11" i="9"/>
  <c r="L36" i="4" s="1"/>
  <c r="U8" i="9"/>
  <c r="L35" i="4" s="1"/>
  <c r="U13" i="9"/>
  <c r="L29" i="4" s="1"/>
  <c r="R28" i="9"/>
  <c r="Q27" i="9"/>
  <c r="F75" i="4" s="1"/>
  <c r="P13" i="9"/>
  <c r="D29" i="4" s="1"/>
  <c r="T8" i="9"/>
  <c r="K35" i="4" s="1"/>
  <c r="B53" i="1"/>
  <c r="N92" i="7"/>
  <c r="J67" i="1" s="1"/>
  <c r="N93" i="7"/>
  <c r="J93" i="7"/>
  <c r="J92" i="7"/>
  <c r="F67" i="1" s="1"/>
  <c r="M93" i="7"/>
  <c r="M92" i="7"/>
  <c r="I67" i="1" s="1"/>
  <c r="I6" i="9"/>
  <c r="H46" i="1" s="1"/>
  <c r="S31" i="4"/>
  <c r="R63" i="4"/>
  <c r="S41" i="4"/>
  <c r="L93" i="7"/>
  <c r="K93" i="7"/>
  <c r="K92" i="7"/>
  <c r="G67" i="1" s="1"/>
  <c r="W63" i="4"/>
  <c r="T32" i="4"/>
  <c r="T42" i="4"/>
  <c r="H92" i="7"/>
  <c r="D67" i="1" s="1"/>
  <c r="H93" i="7"/>
  <c r="G93" i="7"/>
  <c r="G92" i="7"/>
  <c r="C67" i="1" s="1"/>
  <c r="K6" i="9"/>
  <c r="J49" i="1" s="1"/>
  <c r="S32" i="4"/>
  <c r="V63" i="4"/>
  <c r="S42" i="4"/>
  <c r="T41" i="4"/>
  <c r="S63" i="4"/>
  <c r="T31" i="4"/>
  <c r="J6" i="9"/>
  <c r="I46" i="1" s="1"/>
  <c r="E6" i="9"/>
  <c r="D49" i="1" s="1"/>
  <c r="G6" i="9"/>
  <c r="F49" i="1" s="1"/>
  <c r="R31" i="4"/>
  <c r="Q63" i="4"/>
  <c r="R41" i="4"/>
  <c r="G63" i="1"/>
  <c r="H6" i="9"/>
  <c r="G49" i="1" s="1"/>
  <c r="U42" i="4"/>
  <c r="X63" i="4"/>
  <c r="U32" i="4"/>
  <c r="F6" i="9"/>
  <c r="E46" i="1" s="1"/>
  <c r="I93" i="7"/>
  <c r="I92" i="7"/>
  <c r="E67" i="1" s="1"/>
  <c r="U31" i="4"/>
  <c r="U41" i="4"/>
  <c r="T63" i="4"/>
  <c r="C63" i="1"/>
  <c r="D6" i="9"/>
  <c r="C46" i="1" s="1"/>
  <c r="R42" i="4"/>
  <c r="R32" i="4"/>
  <c r="U63" i="4"/>
  <c r="E35" i="4" l="1"/>
  <c r="E36" i="4"/>
  <c r="C23" i="4"/>
  <c r="O17" i="4"/>
  <c r="V30" i="9"/>
  <c r="D84" i="4" s="1"/>
  <c r="B5" i="22"/>
  <c r="M5" i="22"/>
  <c r="B4" i="22"/>
  <c r="M4" i="22"/>
  <c r="B11" i="22"/>
  <c r="M11" i="22"/>
  <c r="B2" i="22"/>
  <c r="M2" i="22"/>
  <c r="B8" i="22"/>
  <c r="M8" i="22"/>
  <c r="Q93" i="7"/>
  <c r="R30" i="9"/>
  <c r="G37" i="4" s="1"/>
  <c r="O30" i="9"/>
  <c r="U30" i="9"/>
  <c r="T30" i="9"/>
  <c r="S30" i="9"/>
  <c r="I34" i="4" s="1"/>
  <c r="Q30" i="9"/>
  <c r="F34" i="4" s="1"/>
  <c r="P30" i="9"/>
  <c r="Q92" i="7"/>
  <c r="Q95" i="7"/>
  <c r="Q90" i="7"/>
  <c r="Q94" i="7"/>
  <c r="Q98" i="7"/>
  <c r="Q96" i="7"/>
  <c r="Q97" i="7"/>
  <c r="S12" i="9"/>
  <c r="U12" i="9"/>
  <c r="Q12" i="9"/>
  <c r="C24" i="4"/>
  <c r="V23" i="4"/>
  <c r="AB24" i="4" s="1"/>
  <c r="AC24" i="4" s="1"/>
  <c r="B54" i="1"/>
  <c r="E49" i="1"/>
  <c r="J46" i="1"/>
  <c r="K5" i="9"/>
  <c r="J69" i="1"/>
  <c r="J77" i="1" s="1"/>
  <c r="J71" i="1" s="1"/>
  <c r="X69" i="4"/>
  <c r="W69" i="4"/>
  <c r="I49" i="1"/>
  <c r="E5" i="9"/>
  <c r="C49" i="1"/>
  <c r="G56" i="1"/>
  <c r="Y45" i="4"/>
  <c r="C59" i="1"/>
  <c r="C73" i="1" s="1"/>
  <c r="K49" i="2"/>
  <c r="J60" i="2" s="1"/>
  <c r="E69" i="1"/>
  <c r="C69" i="1"/>
  <c r="D69" i="1"/>
  <c r="F69" i="1"/>
  <c r="G46" i="1"/>
  <c r="G5" i="9"/>
  <c r="F46" i="1"/>
  <c r="Y44" i="4"/>
  <c r="C56" i="1"/>
  <c r="G59" i="1"/>
  <c r="G73" i="1" s="1"/>
  <c r="K50" i="2"/>
  <c r="J61" i="2" s="1"/>
  <c r="I69" i="1"/>
  <c r="V69" i="4"/>
  <c r="R69" i="4"/>
  <c r="T69" i="4"/>
  <c r="U69" i="4"/>
  <c r="S69" i="4"/>
  <c r="Q69" i="4"/>
  <c r="I56" i="1"/>
  <c r="AA45" i="4"/>
  <c r="G69" i="1"/>
  <c r="H49" i="1"/>
  <c r="AA44" i="4"/>
  <c r="E56" i="1"/>
  <c r="H69" i="1"/>
  <c r="D46" i="1"/>
  <c r="I5" i="9"/>
  <c r="M37" i="4" l="1"/>
  <c r="L34" i="4"/>
  <c r="C83" i="4" s="1"/>
  <c r="C34" i="4"/>
  <c r="F84" i="4"/>
  <c r="D83" i="4"/>
  <c r="J37" i="4"/>
  <c r="C84" i="4"/>
  <c r="E83" i="4"/>
  <c r="P12" i="9"/>
  <c r="R12" i="9"/>
  <c r="V12" i="9"/>
  <c r="T12" i="9"/>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G70" i="1"/>
  <c r="G76" i="1"/>
  <c r="G77" i="1" s="1"/>
  <c r="G71" i="1" s="1"/>
  <c r="I33" i="21"/>
  <c r="J52" i="1"/>
  <c r="E57" i="9"/>
  <c r="AA39" i="9" s="1"/>
  <c r="D51" i="1"/>
  <c r="I29" i="21"/>
  <c r="F52" i="1"/>
  <c r="D70" i="1"/>
  <c r="D77" i="1"/>
  <c r="D71" i="1" s="1"/>
  <c r="E76" i="1"/>
  <c r="E77" i="1" s="1"/>
  <c r="E71" i="1" s="1"/>
  <c r="E70" i="1"/>
  <c r="I76" i="1"/>
  <c r="I77" i="1" s="1"/>
  <c r="I71" i="1" s="1"/>
  <c r="I70" i="1"/>
  <c r="F51" i="1"/>
  <c r="G57" i="9"/>
  <c r="AA37" i="9" s="1"/>
  <c r="K56" i="9"/>
  <c r="Y33" i="9" s="1"/>
  <c r="AE33" i="9" s="1"/>
  <c r="J50" i="1"/>
  <c r="D50" i="1"/>
  <c r="E56" i="9"/>
  <c r="Y39" i="9" s="1"/>
  <c r="AE39" i="9" s="1"/>
  <c r="F70" i="1"/>
  <c r="F77" i="1"/>
  <c r="F71" i="1" s="1"/>
  <c r="C76" i="1"/>
  <c r="C77" i="1" s="1"/>
  <c r="C71" i="1" s="1"/>
  <c r="C70" i="1"/>
  <c r="E84" i="4" l="1"/>
  <c r="H54" i="1"/>
  <c r="V19" i="9"/>
  <c r="D54" i="1"/>
  <c r="T19" i="9"/>
  <c r="J54" i="1"/>
  <c r="R19" i="9"/>
  <c r="F54" i="1"/>
  <c r="P19" i="9"/>
  <c r="B56" i="1"/>
  <c r="AB44" i="4"/>
  <c r="D53" i="1"/>
  <c r="D55" i="1"/>
  <c r="E68" i="1"/>
  <c r="F55" i="1"/>
  <c r="F53" i="1"/>
  <c r="H55" i="1"/>
  <c r="H53" i="1"/>
  <c r="J53" i="1"/>
  <c r="J55" i="1"/>
  <c r="C68" i="1"/>
  <c r="I68" i="1"/>
  <c r="G68" i="1"/>
  <c r="F83" i="4" l="1"/>
  <c r="D37" i="4"/>
  <c r="AB125" i="4"/>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BM10" i="4" l="1"/>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5" i="4"/>
  <c r="R44" i="4" l="1"/>
  <c r="R125" i="4" s="1"/>
  <c r="S44" i="4"/>
  <c r="S125" i="4" s="1"/>
  <c r="S45" i="4"/>
  <c r="T45" i="4"/>
  <c r="U44" i="4"/>
  <c r="U125" i="4" s="1"/>
  <c r="U45" i="4"/>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F3" i="9" l="1"/>
  <c r="E58" i="1" s="1"/>
  <c r="R64" i="4"/>
  <c r="V64" i="4"/>
  <c r="H3" i="9"/>
  <c r="G58" i="1" s="1"/>
  <c r="W64" i="4"/>
  <c r="C86" i="4"/>
  <c r="K3" i="9"/>
  <c r="J57" i="1" s="1"/>
  <c r="G86" i="4"/>
  <c r="V21" i="9" l="1"/>
  <c r="G41" i="1"/>
  <c r="E3" i="9"/>
  <c r="D57" i="1" s="1"/>
  <c r="H41" i="1"/>
  <c r="J3" i="9"/>
  <c r="J55" i="9" s="1"/>
  <c r="E43" i="1"/>
  <c r="F87" i="4"/>
  <c r="S64" i="4"/>
  <c r="D41" i="1"/>
  <c r="F86" i="4"/>
  <c r="J58" i="1"/>
  <c r="E47" i="1"/>
  <c r="H83" i="4"/>
  <c r="D86" i="4"/>
  <c r="F55" i="9"/>
  <c r="H55" i="9"/>
  <c r="I83" i="4"/>
  <c r="I84" i="4"/>
  <c r="J43" i="1"/>
  <c r="C41" i="1"/>
  <c r="B41" i="1"/>
  <c r="G87" i="4"/>
  <c r="D3" i="9"/>
  <c r="C43" i="1" s="1"/>
  <c r="G83" i="4"/>
  <c r="F41" i="1"/>
  <c r="G84" i="4"/>
  <c r="J47" i="1"/>
  <c r="I41" i="1"/>
  <c r="H84" i="4"/>
  <c r="I3" i="9"/>
  <c r="H57" i="1" s="1"/>
  <c r="Q64" i="4"/>
  <c r="K55" i="9"/>
  <c r="K58" i="9" s="1"/>
  <c r="U64" i="4"/>
  <c r="G3" i="9"/>
  <c r="F57" i="1" s="1"/>
  <c r="G47" i="1"/>
  <c r="T64" i="4"/>
  <c r="N34" i="4" s="1"/>
  <c r="N37" i="4" s="1"/>
  <c r="E41" i="1"/>
  <c r="C87" i="4"/>
  <c r="G43" i="1"/>
  <c r="D87" i="4"/>
  <c r="X64" i="4"/>
  <c r="K34" i="4" s="1"/>
  <c r="K37" i="4" s="1"/>
  <c r="X33" i="9" l="1"/>
  <c r="AD33" i="9" s="1"/>
  <c r="B23" i="21"/>
  <c r="R21" i="9"/>
  <c r="T21" i="9"/>
  <c r="L39" i="4"/>
  <c r="D43" i="1"/>
  <c r="D47" i="1"/>
  <c r="D58" i="1"/>
  <c r="E55" i="9"/>
  <c r="E58" i="9" s="1"/>
  <c r="I58" i="1"/>
  <c r="I43" i="1"/>
  <c r="E34" i="4"/>
  <c r="E37" i="4" s="1"/>
  <c r="I47" i="1"/>
  <c r="C58" i="1"/>
  <c r="G60" i="1"/>
  <c r="C47" i="1"/>
  <c r="F47" i="1"/>
  <c r="F43" i="1"/>
  <c r="D55" i="9"/>
  <c r="F58" i="1"/>
  <c r="G55" i="9"/>
  <c r="G59" i="9" s="1"/>
  <c r="Z37" i="9" s="1"/>
  <c r="J41" i="1"/>
  <c r="H58" i="1"/>
  <c r="H47" i="1"/>
  <c r="K59" i="9"/>
  <c r="Z33" i="9" s="1"/>
  <c r="I55" i="9"/>
  <c r="I58" i="9" s="1"/>
  <c r="H43" i="1"/>
  <c r="J45" i="1"/>
  <c r="J44" i="1" s="1"/>
  <c r="N84" i="7"/>
  <c r="E22" i="7"/>
  <c r="I24" i="1"/>
  <c r="N39" i="4"/>
  <c r="M84" i="7"/>
  <c r="E25" i="1"/>
  <c r="M39" i="4"/>
  <c r="E35" i="7"/>
  <c r="L84" i="7"/>
  <c r="J39" i="4"/>
  <c r="V16" i="9"/>
  <c r="F22" i="7"/>
  <c r="J25" i="1"/>
  <c r="H63" i="1"/>
  <c r="H45" i="1" l="1"/>
  <c r="H44" i="1" s="1"/>
  <c r="B21" i="21"/>
  <c r="D45" i="1"/>
  <c r="D44" i="1" s="1"/>
  <c r="B17" i="21"/>
  <c r="C23" i="21"/>
  <c r="D23" i="21" s="1"/>
  <c r="C33" i="21"/>
  <c r="I39" i="4"/>
  <c r="H34" i="4"/>
  <c r="B31" i="7"/>
  <c r="L72" i="4"/>
  <c r="K84" i="7"/>
  <c r="D35" i="7"/>
  <c r="I72" i="4"/>
  <c r="C60" i="1"/>
  <c r="E59" i="9"/>
  <c r="Z39" i="9" s="1"/>
  <c r="K55" i="2"/>
  <c r="K61" i="2" s="1"/>
  <c r="X39" i="9"/>
  <c r="AD39" i="9" s="1"/>
  <c r="R16" i="9"/>
  <c r="F48" i="1" s="1"/>
  <c r="O25" i="1"/>
  <c r="D39" i="4"/>
  <c r="T24" i="1"/>
  <c r="E38" i="4"/>
  <c r="E55" i="4" s="1"/>
  <c r="P66" i="1" s="1"/>
  <c r="H29" i="7"/>
  <c r="B29" i="7"/>
  <c r="G39" i="4"/>
  <c r="P16" i="9"/>
  <c r="D48" i="1" s="1"/>
  <c r="J84" i="7"/>
  <c r="L94" i="7" s="1"/>
  <c r="E39" i="4"/>
  <c r="G58" i="9"/>
  <c r="G107" i="4"/>
  <c r="G108" i="4" s="1"/>
  <c r="G109" i="4" s="1"/>
  <c r="G111" i="4" s="1"/>
  <c r="G126" i="4" s="1"/>
  <c r="P25" i="1"/>
  <c r="H84" i="7"/>
  <c r="J94" i="7" s="1"/>
  <c r="F39" i="4"/>
  <c r="X35" i="9"/>
  <c r="AD35" i="9" s="1"/>
  <c r="I84" i="7"/>
  <c r="I94" i="7" s="1"/>
  <c r="H31" i="7"/>
  <c r="C39" i="4"/>
  <c r="N24" i="1"/>
  <c r="B27" i="7"/>
  <c r="D63" i="1"/>
  <c r="C72" i="4"/>
  <c r="F72" i="4"/>
  <c r="I59" i="9"/>
  <c r="Z35" i="9" s="1"/>
  <c r="G84" i="7"/>
  <c r="F67" i="4"/>
  <c r="N38" i="4"/>
  <c r="N55" i="4" s="1"/>
  <c r="K66" i="1" s="1"/>
  <c r="M107" i="4"/>
  <c r="M108" i="4" s="1"/>
  <c r="M109" i="4" s="1"/>
  <c r="M111" i="4" s="1"/>
  <c r="M126" i="4" s="1"/>
  <c r="L71" i="4"/>
  <c r="J107" i="4"/>
  <c r="J108" i="4" s="1"/>
  <c r="J109" i="4" s="1"/>
  <c r="J111" i="4" s="1"/>
  <c r="J126" i="4" s="1"/>
  <c r="E24" i="1"/>
  <c r="D22" i="7"/>
  <c r="I71" i="4"/>
  <c r="L67" i="4"/>
  <c r="J24" i="1"/>
  <c r="J38" i="4"/>
  <c r="I62" i="4"/>
  <c r="K38" i="4"/>
  <c r="F35" i="7"/>
  <c r="K39" i="4"/>
  <c r="T16" i="9"/>
  <c r="K29" i="4"/>
  <c r="N29" i="4"/>
  <c r="J48" i="1"/>
  <c r="L62" i="4"/>
  <c r="M38" i="4"/>
  <c r="M41" i="4" s="1"/>
  <c r="L50" i="2"/>
  <c r="L61" i="2" s="1"/>
  <c r="L65" i="2" s="1"/>
  <c r="H59" i="1"/>
  <c r="D35" i="1" s="1"/>
  <c r="C17" i="21" l="1"/>
  <c r="D17" i="21" s="1"/>
  <c r="C27" i="21"/>
  <c r="F45" i="1"/>
  <c r="F44" i="1" s="1"/>
  <c r="B19" i="21"/>
  <c r="C21" i="21"/>
  <c r="D21" i="21" s="1"/>
  <c r="C31" i="21"/>
  <c r="F33" i="21"/>
  <c r="E33" i="21"/>
  <c r="A33" i="21"/>
  <c r="J33" i="21"/>
  <c r="D33" i="21"/>
  <c r="G33" i="21"/>
  <c r="H39" i="4"/>
  <c r="H37" i="4"/>
  <c r="H38" i="4" s="1"/>
  <c r="H90" i="4" s="1"/>
  <c r="J144" i="4"/>
  <c r="J41" i="4"/>
  <c r="K94" i="7"/>
  <c r="N94" i="7"/>
  <c r="F57" i="9"/>
  <c r="I51" i="1"/>
  <c r="M94" i="7"/>
  <c r="U25" i="1"/>
  <c r="H27" i="7"/>
  <c r="E28" i="7" s="1"/>
  <c r="C51" i="1"/>
  <c r="U16" i="9"/>
  <c r="K54" i="2"/>
  <c r="K60" i="2" s="1"/>
  <c r="C37" i="4"/>
  <c r="G94" i="7"/>
  <c r="H94" i="7"/>
  <c r="I67" i="4"/>
  <c r="D24" i="1"/>
  <c r="C71" i="4"/>
  <c r="H29" i="4"/>
  <c r="X37" i="9"/>
  <c r="AD37" i="9" s="1"/>
  <c r="O24" i="1"/>
  <c r="E41" i="4"/>
  <c r="L31" i="7" s="1"/>
  <c r="E4" i="22" s="1"/>
  <c r="T25" i="1"/>
  <c r="C62" i="4"/>
  <c r="G38" i="4"/>
  <c r="E90" i="4"/>
  <c r="F71" i="4"/>
  <c r="D107" i="4"/>
  <c r="D108" i="4" s="1"/>
  <c r="D109" i="4" s="1"/>
  <c r="D111" i="4" s="1"/>
  <c r="D126" i="4" s="1"/>
  <c r="BF126" i="4" s="1"/>
  <c r="D38" i="4"/>
  <c r="P17" i="1"/>
  <c r="F62" i="4"/>
  <c r="P24" i="1"/>
  <c r="E29" i="4"/>
  <c r="M49" i="2"/>
  <c r="N60" i="2" s="1"/>
  <c r="M64" i="2" s="1"/>
  <c r="L49" i="2"/>
  <c r="L60" i="2" s="1"/>
  <c r="L64" i="2" s="1"/>
  <c r="C67" i="4"/>
  <c r="S24" i="1"/>
  <c r="N90" i="4"/>
  <c r="K17" i="1"/>
  <c r="M119" i="4"/>
  <c r="M144" i="4"/>
  <c r="J117" i="4"/>
  <c r="J119" i="4"/>
  <c r="M40" i="4"/>
  <c r="M43" i="4" s="1"/>
  <c r="M117" i="4"/>
  <c r="N41" i="4"/>
  <c r="N22" i="7" s="1"/>
  <c r="E13" i="22" s="1"/>
  <c r="K24" i="1"/>
  <c r="K25" i="1"/>
  <c r="J17" i="1"/>
  <c r="J55" i="4"/>
  <c r="E66" i="1" s="1"/>
  <c r="J90" i="4"/>
  <c r="E17" i="1"/>
  <c r="H48" i="1"/>
  <c r="F25" i="1"/>
  <c r="K41" i="4"/>
  <c r="F24" i="1"/>
  <c r="K90" i="4"/>
  <c r="F17" i="1"/>
  <c r="K55" i="4"/>
  <c r="F66" i="1" s="1"/>
  <c r="M90" i="4"/>
  <c r="M55" i="4"/>
  <c r="J66" i="1" s="1"/>
  <c r="M50" i="2"/>
  <c r="N61" i="2" s="1"/>
  <c r="M65" i="2" s="1"/>
  <c r="I59" i="1"/>
  <c r="I73" i="1" s="1"/>
  <c r="H60" i="1"/>
  <c r="L55" i="2"/>
  <c r="M61" i="2" s="1"/>
  <c r="O35" i="1"/>
  <c r="P35" i="1" s="1"/>
  <c r="H73" i="1"/>
  <c r="I63" i="1"/>
  <c r="H61" i="1"/>
  <c r="H62" i="1"/>
  <c r="I13" i="22" l="1"/>
  <c r="J13" i="22" s="1"/>
  <c r="I4" i="22"/>
  <c r="J4" i="22" s="1"/>
  <c r="C29" i="21"/>
  <c r="C19" i="21"/>
  <c r="D19" i="21" s="1"/>
  <c r="G31" i="21"/>
  <c r="F31" i="21"/>
  <c r="E31" i="21"/>
  <c r="D31" i="21"/>
  <c r="J31" i="21"/>
  <c r="A31" i="21"/>
  <c r="F27" i="21"/>
  <c r="E27" i="21"/>
  <c r="D27" i="21"/>
  <c r="J27" i="21"/>
  <c r="A27" i="21"/>
  <c r="G27" i="21"/>
  <c r="L37" i="4"/>
  <c r="G117" i="4"/>
  <c r="G41" i="4"/>
  <c r="J85" i="7" s="1"/>
  <c r="D144" i="4"/>
  <c r="D41" i="4"/>
  <c r="I37" i="4"/>
  <c r="F37" i="4"/>
  <c r="E51" i="1"/>
  <c r="I61" i="1"/>
  <c r="J57" i="9"/>
  <c r="J59" i="9" s="1"/>
  <c r="Z34" i="9" s="1"/>
  <c r="I50" i="1"/>
  <c r="J56" i="9"/>
  <c r="Y34" i="9" s="1"/>
  <c r="AE34" i="9" s="1"/>
  <c r="I63" i="4"/>
  <c r="I64" i="4" s="1"/>
  <c r="F56" i="9"/>
  <c r="E50" i="1"/>
  <c r="AA38" i="9"/>
  <c r="F59" i="9"/>
  <c r="Z38" i="9" s="1"/>
  <c r="I73" i="4"/>
  <c r="I77" i="4" s="1"/>
  <c r="I103" i="4" s="1"/>
  <c r="I60" i="4" s="1"/>
  <c r="S16" i="9"/>
  <c r="C63" i="4"/>
  <c r="I48" i="1"/>
  <c r="U24" i="1"/>
  <c r="D57" i="9"/>
  <c r="AA40" i="9" s="1"/>
  <c r="L73" i="4"/>
  <c r="L77" i="4" s="1"/>
  <c r="L103" i="4" s="1"/>
  <c r="L60" i="4" s="1"/>
  <c r="L63" i="4"/>
  <c r="L96" i="4" s="1"/>
  <c r="L58" i="4" s="1"/>
  <c r="C50" i="1"/>
  <c r="Q16" i="9"/>
  <c r="F63" i="4"/>
  <c r="F96" i="4" s="1"/>
  <c r="F58" i="4" s="1"/>
  <c r="F73" i="4"/>
  <c r="F77" i="4" s="1"/>
  <c r="F103" i="4" s="1"/>
  <c r="F60" i="4" s="1"/>
  <c r="G51" i="1"/>
  <c r="H57" i="9"/>
  <c r="H56" i="9"/>
  <c r="G50" i="1"/>
  <c r="D112" i="4"/>
  <c r="U17" i="1"/>
  <c r="G55" i="4"/>
  <c r="T66" i="1" s="1"/>
  <c r="O17" i="1"/>
  <c r="D72" i="1" s="1"/>
  <c r="D119" i="4"/>
  <c r="E40" i="4"/>
  <c r="E43" i="4" s="1"/>
  <c r="G119" i="4"/>
  <c r="G144" i="4"/>
  <c r="P18" i="1"/>
  <c r="D117" i="4"/>
  <c r="G90" i="4"/>
  <c r="T17" i="1"/>
  <c r="D90" i="4"/>
  <c r="D55" i="4"/>
  <c r="O66" i="1" s="1"/>
  <c r="H55" i="4"/>
  <c r="U66" i="1" s="1"/>
  <c r="H41" i="4"/>
  <c r="E59" i="1"/>
  <c r="E73" i="1" s="1"/>
  <c r="D60" i="1"/>
  <c r="E36" i="1" s="1"/>
  <c r="F36" i="1" s="1"/>
  <c r="D59" i="1"/>
  <c r="N35" i="1" s="1"/>
  <c r="E63" i="1"/>
  <c r="D64" i="1"/>
  <c r="M120" i="4"/>
  <c r="M127" i="4" s="1"/>
  <c r="H54" i="4"/>
  <c r="U39" i="1" s="1"/>
  <c r="J120" i="4"/>
  <c r="E42" i="7"/>
  <c r="N85" i="7"/>
  <c r="E12" i="22"/>
  <c r="M54" i="4"/>
  <c r="N86" i="7"/>
  <c r="J18" i="1"/>
  <c r="M42" i="4"/>
  <c r="M44" i="4" s="1"/>
  <c r="M145" i="4" s="1"/>
  <c r="J19" i="1"/>
  <c r="N40" i="4"/>
  <c r="N42" i="4" s="1"/>
  <c r="K18" i="1"/>
  <c r="K40" i="4"/>
  <c r="P35" i="7"/>
  <c r="E10" i="22" s="1"/>
  <c r="F18" i="1"/>
  <c r="E9" i="22"/>
  <c r="E18" i="1"/>
  <c r="L85" i="7"/>
  <c r="J40" i="4"/>
  <c r="E55" i="7" s="1"/>
  <c r="J54" i="4"/>
  <c r="N36" i="1"/>
  <c r="O36" i="1"/>
  <c r="P36" i="1" s="1"/>
  <c r="D36" i="1"/>
  <c r="H65" i="1"/>
  <c r="H64" i="1"/>
  <c r="G120" i="4" l="1"/>
  <c r="G127" i="4" s="1"/>
  <c r="I9" i="22"/>
  <c r="J9" i="22" s="1"/>
  <c r="I10" i="22"/>
  <c r="J10" i="22" s="1"/>
  <c r="I12" i="22"/>
  <c r="J12" i="22" s="1"/>
  <c r="J29" i="21"/>
  <c r="F29" i="21"/>
  <c r="E29" i="21"/>
  <c r="G29" i="21"/>
  <c r="D29" i="21"/>
  <c r="A29" i="21"/>
  <c r="I38" i="4"/>
  <c r="I55" i="4" s="1"/>
  <c r="D66" i="1" s="1"/>
  <c r="I62" i="1"/>
  <c r="J58" i="9"/>
  <c r="F72" i="1"/>
  <c r="AA34" i="9"/>
  <c r="I96" i="4"/>
  <c r="I58" i="4" s="1"/>
  <c r="I76" i="4"/>
  <c r="G48" i="1"/>
  <c r="Y38" i="9"/>
  <c r="AE38" i="9" s="1"/>
  <c r="F58" i="9"/>
  <c r="B18" i="21" s="1"/>
  <c r="L64" i="4"/>
  <c r="L38" i="4" s="1"/>
  <c r="L41" i="4" s="1"/>
  <c r="D59" i="9"/>
  <c r="Z40" i="9" s="1"/>
  <c r="I68" i="4"/>
  <c r="I54" i="4" s="1"/>
  <c r="D39" i="1" s="1"/>
  <c r="L76" i="4"/>
  <c r="E48" i="1"/>
  <c r="C61" i="1"/>
  <c r="C62" i="1"/>
  <c r="F76" i="4"/>
  <c r="Y40" i="9"/>
  <c r="AE40" i="9" s="1"/>
  <c r="D58" i="9"/>
  <c r="B16" i="21" s="1"/>
  <c r="F64" i="4"/>
  <c r="AA36" i="9"/>
  <c r="H59" i="9"/>
  <c r="Z36" i="9" s="1"/>
  <c r="G61" i="1"/>
  <c r="G62" i="1"/>
  <c r="Y36" i="9"/>
  <c r="AE36" i="9" s="1"/>
  <c r="H58" i="9"/>
  <c r="B20" i="21" s="1"/>
  <c r="D120" i="4"/>
  <c r="D127" i="4" s="1"/>
  <c r="E61" i="1"/>
  <c r="M54" i="2"/>
  <c r="O60" i="2" s="1"/>
  <c r="D40" i="4"/>
  <c r="O19" i="1" s="1"/>
  <c r="T18" i="1"/>
  <c r="P19" i="1"/>
  <c r="E42" i="4"/>
  <c r="E44" i="4" s="1"/>
  <c r="E124" i="4" s="1"/>
  <c r="G54" i="4"/>
  <c r="T39" i="1" s="1"/>
  <c r="D73" i="1"/>
  <c r="D74" i="1" s="1"/>
  <c r="H85" i="7"/>
  <c r="O18" i="1"/>
  <c r="J72" i="1"/>
  <c r="D54" i="4"/>
  <c r="G40" i="4"/>
  <c r="G42" i="4" s="1"/>
  <c r="B51" i="7"/>
  <c r="D61" i="1"/>
  <c r="H40" i="4"/>
  <c r="H43" i="4" s="1"/>
  <c r="U18" i="1"/>
  <c r="R27" i="7"/>
  <c r="E7" i="22" s="1"/>
  <c r="L54" i="2"/>
  <c r="M60" i="2" s="1"/>
  <c r="D62" i="1"/>
  <c r="E35" i="1"/>
  <c r="F35" i="1" s="1"/>
  <c r="D65" i="1"/>
  <c r="E39" i="1"/>
  <c r="K54" i="4"/>
  <c r="F39" i="1" s="1"/>
  <c r="J39" i="1"/>
  <c r="N54" i="4"/>
  <c r="K39" i="1" s="1"/>
  <c r="H72" i="1"/>
  <c r="H74" i="1" s="1"/>
  <c r="J127" i="4"/>
  <c r="N87" i="7"/>
  <c r="M124" i="4"/>
  <c r="M125" i="4"/>
  <c r="P42" i="7"/>
  <c r="J20" i="1"/>
  <c r="M45" i="4"/>
  <c r="J21" i="1" s="1"/>
  <c r="D42" i="7"/>
  <c r="N43" i="4"/>
  <c r="N44" i="4" s="1"/>
  <c r="K19" i="1"/>
  <c r="J43" i="4"/>
  <c r="K43" i="4"/>
  <c r="F55" i="7"/>
  <c r="F19" i="1"/>
  <c r="K42" i="4"/>
  <c r="L86" i="7"/>
  <c r="E19" i="1"/>
  <c r="J42" i="4"/>
  <c r="F63" i="1"/>
  <c r="J63" i="1"/>
  <c r="I64" i="1"/>
  <c r="I65" i="1"/>
  <c r="M55" i="2"/>
  <c r="O61" i="2" s="1"/>
  <c r="I60" i="1"/>
  <c r="F59" i="1"/>
  <c r="N49" i="2"/>
  <c r="P60" i="2" s="1"/>
  <c r="N64" i="2" s="1"/>
  <c r="D17" i="1" l="1"/>
  <c r="I90" i="4"/>
  <c r="I92" i="4" s="1"/>
  <c r="I7" i="22"/>
  <c r="J7" i="22" s="1"/>
  <c r="C26" i="21"/>
  <c r="C16" i="21"/>
  <c r="D16" i="21" s="1"/>
  <c r="X34" i="9"/>
  <c r="AD34" i="9" s="1"/>
  <c r="B22" i="21"/>
  <c r="C28" i="21"/>
  <c r="C18" i="21"/>
  <c r="D18" i="21" s="1"/>
  <c r="C30" i="21"/>
  <c r="C20" i="21"/>
  <c r="D20" i="21" s="1"/>
  <c r="I41" i="4"/>
  <c r="I45" i="1"/>
  <c r="I44" i="1" s="1"/>
  <c r="O39" i="1"/>
  <c r="E54" i="4"/>
  <c r="P39" i="1" s="1"/>
  <c r="L68" i="4"/>
  <c r="L54" i="4" s="1"/>
  <c r="I39" i="1" s="1"/>
  <c r="X38" i="9"/>
  <c r="AD38" i="9" s="1"/>
  <c r="E45" i="1"/>
  <c r="E44" i="1" s="1"/>
  <c r="L55" i="4"/>
  <c r="I66" i="1" s="1"/>
  <c r="L90" i="4"/>
  <c r="I17" i="1"/>
  <c r="C45" i="1"/>
  <c r="C44" i="1" s="1"/>
  <c r="D63" i="9"/>
  <c r="D64" i="9" s="1"/>
  <c r="D65" i="9" s="1"/>
  <c r="E62" i="9" s="1"/>
  <c r="X40" i="9"/>
  <c r="AD40" i="9" s="1"/>
  <c r="AF40" i="9" s="1"/>
  <c r="D121" i="4"/>
  <c r="C64" i="1"/>
  <c r="C65" i="1"/>
  <c r="F38" i="4"/>
  <c r="F41" i="4" s="1"/>
  <c r="F68" i="4"/>
  <c r="F54" i="4" s="1"/>
  <c r="S39" i="1" s="1"/>
  <c r="H63" i="9"/>
  <c r="H64" i="9" s="1"/>
  <c r="H65" i="9" s="1"/>
  <c r="I62" i="9" s="1"/>
  <c r="X36" i="9"/>
  <c r="AD36" i="9" s="1"/>
  <c r="AF36" i="9" s="1"/>
  <c r="G45" i="1"/>
  <c r="G44" i="1" s="1"/>
  <c r="BF127" i="4"/>
  <c r="G65" i="1"/>
  <c r="G64" i="1"/>
  <c r="E60" i="1"/>
  <c r="E62" i="1"/>
  <c r="E65" i="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F62" i="1"/>
  <c r="J60" i="1"/>
  <c r="T36" i="1" s="1"/>
  <c r="U36" i="1" s="1"/>
  <c r="N55" i="2"/>
  <c r="Q61" i="2" s="1"/>
  <c r="O65" i="2" s="1"/>
  <c r="J62" i="1"/>
  <c r="J61" i="1"/>
  <c r="J59" i="1"/>
  <c r="I35" i="1" s="1"/>
  <c r="N50" i="2"/>
  <c r="P61" i="2" s="1"/>
  <c r="N65" i="2" s="1"/>
  <c r="N54" i="2"/>
  <c r="Q60" i="2" s="1"/>
  <c r="O64" i="2" s="1"/>
  <c r="F60" i="1"/>
  <c r="S35" i="1"/>
  <c r="F73" i="1"/>
  <c r="F74" i="1" s="1"/>
  <c r="J35" i="1"/>
  <c r="K35" i="1" s="1"/>
  <c r="I93" i="4" l="1"/>
  <c r="I94" i="4" s="1"/>
  <c r="I99" i="4" s="1"/>
  <c r="I101" i="4" s="1"/>
  <c r="D30" i="21"/>
  <c r="G30" i="21"/>
  <c r="F30" i="21"/>
  <c r="E30" i="21"/>
  <c r="A30" i="21"/>
  <c r="J30" i="21"/>
  <c r="G28" i="21"/>
  <c r="J28" i="21"/>
  <c r="A28" i="21"/>
  <c r="F28" i="21"/>
  <c r="D28" i="21"/>
  <c r="E28" i="21"/>
  <c r="C32" i="21"/>
  <c r="C22" i="21"/>
  <c r="D22" i="21" s="1"/>
  <c r="D26" i="21"/>
  <c r="F26" i="21"/>
  <c r="E26" i="21"/>
  <c r="G26" i="21"/>
  <c r="J26" i="21"/>
  <c r="A26" i="21"/>
  <c r="E64" i="1"/>
  <c r="L93" i="4"/>
  <c r="L92" i="4"/>
  <c r="F90" i="4"/>
  <c r="S17" i="1"/>
  <c r="F55" i="4"/>
  <c r="S66" i="1" s="1"/>
  <c r="AC39" i="9"/>
  <c r="AF39" i="9" s="1"/>
  <c r="E63" i="9"/>
  <c r="E64" i="9" s="1"/>
  <c r="E65" i="9" s="1"/>
  <c r="F62" i="9" s="1"/>
  <c r="AC35" i="9"/>
  <c r="AF35" i="9" s="1"/>
  <c r="I63" i="9"/>
  <c r="I64" i="9" s="1"/>
  <c r="I65" i="9" s="1"/>
  <c r="J62" i="9" s="1"/>
  <c r="D44" i="4"/>
  <c r="D145" i="4" s="1"/>
  <c r="P21" i="1"/>
  <c r="T20" i="1"/>
  <c r="T21" i="1"/>
  <c r="J88" i="7"/>
  <c r="M68" i="7"/>
  <c r="G145" i="4"/>
  <c r="G125" i="4"/>
  <c r="J87" i="7"/>
  <c r="G124" i="4"/>
  <c r="H124" i="4"/>
  <c r="U20" i="1"/>
  <c r="H45" i="4"/>
  <c r="H125" i="4"/>
  <c r="F20" i="1"/>
  <c r="K124" i="4"/>
  <c r="K125" i="4"/>
  <c r="J125" i="4"/>
  <c r="J124" i="4"/>
  <c r="I61" i="7"/>
  <c r="Q55" i="7"/>
  <c r="K45" i="4"/>
  <c r="K74" i="7" s="1"/>
  <c r="P55" i="7"/>
  <c r="E20" i="1"/>
  <c r="J45" i="4"/>
  <c r="L87" i="7"/>
  <c r="F65" i="1"/>
  <c r="F61" i="1"/>
  <c r="I36" i="1"/>
  <c r="J96" i="7"/>
  <c r="H95" i="7"/>
  <c r="J73" i="1"/>
  <c r="J74" i="1" s="1"/>
  <c r="T35" i="1"/>
  <c r="U35" i="1" s="1"/>
  <c r="J65" i="1"/>
  <c r="J64" i="1"/>
  <c r="S36" i="1"/>
  <c r="J36" i="1"/>
  <c r="K36" i="1" s="1"/>
  <c r="I97" i="4" l="1"/>
  <c r="I57" i="4" s="1"/>
  <c r="I104" i="4"/>
  <c r="I59" i="4" s="1"/>
  <c r="G32" i="21"/>
  <c r="D32" i="21"/>
  <c r="E32" i="21"/>
  <c r="A32" i="21"/>
  <c r="J32" i="21"/>
  <c r="F32" i="21"/>
  <c r="C72" i="1"/>
  <c r="C74" i="1" s="1"/>
  <c r="E72" i="1"/>
  <c r="E74" i="1" s="1"/>
  <c r="E8" i="22"/>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F64" i="1"/>
  <c r="L95" i="7"/>
  <c r="N95" i="7"/>
  <c r="H96" i="7"/>
  <c r="I8" i="22" l="1"/>
  <c r="J8" i="22" s="1"/>
  <c r="K85" i="7"/>
  <c r="I40" i="4"/>
  <c r="K86" i="7" s="1"/>
  <c r="D18" i="1"/>
  <c r="L104" i="4"/>
  <c r="L59" i="4" s="1"/>
  <c r="L97" i="4"/>
  <c r="L57" i="4" s="1"/>
  <c r="F94" i="4"/>
  <c r="F97" i="4" s="1"/>
  <c r="F57" i="4" s="1"/>
  <c r="G63" i="9"/>
  <c r="G64" i="9" s="1"/>
  <c r="G65" i="9" s="1"/>
  <c r="AC37" i="9"/>
  <c r="AF37" i="9" s="1"/>
  <c r="K63" i="9"/>
  <c r="K64" i="9" s="1"/>
  <c r="K65" i="9" s="1"/>
  <c r="AC33" i="9"/>
  <c r="AF33" i="9" s="1"/>
  <c r="H88" i="7"/>
  <c r="O21" i="1"/>
  <c r="L96" i="7"/>
  <c r="N96" i="7"/>
  <c r="J95" i="7" l="1"/>
  <c r="D55" i="7"/>
  <c r="D19" i="1"/>
  <c r="I43" i="4"/>
  <c r="E11" i="22"/>
  <c r="I42" i="4"/>
  <c r="F99" i="4"/>
  <c r="F101" i="4" s="1"/>
  <c r="F104" i="4"/>
  <c r="F59" i="4" s="1"/>
  <c r="I11" i="22" l="1"/>
  <c r="J11" i="22" s="1"/>
  <c r="I44" i="4"/>
  <c r="I18" i="1"/>
  <c r="L40" i="4"/>
  <c r="I19" i="1" s="1"/>
  <c r="M85" i="7"/>
  <c r="S18" i="1"/>
  <c r="I85" i="7"/>
  <c r="F40" i="4"/>
  <c r="F43" i="4" s="1"/>
  <c r="H97" i="7"/>
  <c r="H98" i="7"/>
  <c r="L97" i="7"/>
  <c r="J97" i="7"/>
  <c r="N97" i="7"/>
  <c r="G95" i="7" l="1"/>
  <c r="I95" i="7"/>
  <c r="F42" i="7"/>
  <c r="L42" i="4"/>
  <c r="M86" i="7"/>
  <c r="I45" i="4"/>
  <c r="D20" i="1"/>
  <c r="I124" i="4"/>
  <c r="I125" i="4"/>
  <c r="O55" i="7"/>
  <c r="K87" i="7"/>
  <c r="I46" i="4"/>
  <c r="L43" i="4"/>
  <c r="I86" i="7"/>
  <c r="S19" i="1"/>
  <c r="H51" i="7"/>
  <c r="F42" i="4"/>
  <c r="F44" i="4" s="1"/>
  <c r="F46" i="4" s="1"/>
  <c r="L98" i="7"/>
  <c r="N98" i="7"/>
  <c r="G96" i="7" l="1"/>
  <c r="I96" i="7"/>
  <c r="L44" i="4"/>
  <c r="L46" i="4" s="1"/>
  <c r="L47" i="4" s="1"/>
  <c r="J60" i="7" s="1"/>
  <c r="I74" i="7"/>
  <c r="D21" i="1"/>
  <c r="K88" i="7"/>
  <c r="I47" i="4"/>
  <c r="J75" i="7" s="1"/>
  <c r="O56" i="7"/>
  <c r="F124" i="4"/>
  <c r="F45" i="4"/>
  <c r="M70" i="7" s="1"/>
  <c r="I87" i="7"/>
  <c r="F125" i="4"/>
  <c r="S20" i="1"/>
  <c r="S49" i="7"/>
  <c r="F47" i="4"/>
  <c r="N68" i="7" s="1"/>
  <c r="I97" i="7" l="1"/>
  <c r="L45" i="4"/>
  <c r="I21" i="1" s="1"/>
  <c r="L124" i="4"/>
  <c r="L125" i="4"/>
  <c r="Q42" i="7"/>
  <c r="M87" i="7"/>
  <c r="O41" i="7"/>
  <c r="I20" i="1"/>
  <c r="J98" i="7"/>
  <c r="I88" i="7"/>
  <c r="S21" i="1"/>
  <c r="I98" i="7" l="1"/>
  <c r="G97" i="7"/>
  <c r="K61" i="7"/>
  <c r="M88" i="7"/>
  <c r="C64" i="4"/>
  <c r="C96" i="4"/>
  <c r="C58" i="4" s="1"/>
  <c r="C73" i="4"/>
  <c r="C77" i="4" s="1"/>
  <c r="O16" i="9"/>
  <c r="G98" i="7" l="1"/>
  <c r="C68" i="4"/>
  <c r="C54" i="4" s="1"/>
  <c r="N39" i="1" s="1"/>
  <c r="C48" i="1"/>
  <c r="C76" i="4"/>
  <c r="C103" i="4"/>
  <c r="C60" i="4" s="1"/>
  <c r="C38" i="4" l="1"/>
  <c r="N17" i="1" l="1"/>
  <c r="I72" i="1" s="1"/>
  <c r="I74" i="1" s="1"/>
  <c r="C41" i="4"/>
  <c r="G72" i="1"/>
  <c r="G74" i="1" s="1"/>
  <c r="C90" i="4"/>
  <c r="C93" i="4" s="1"/>
  <c r="C94" i="4" s="1"/>
  <c r="C104" i="4" s="1"/>
  <c r="C59" i="4" s="1"/>
  <c r="C55" i="4"/>
  <c r="N66" i="1" s="1"/>
  <c r="C99" i="4" l="1"/>
  <c r="C101" i="4" s="1"/>
  <c r="C97" i="4"/>
  <c r="C57" i="4" s="1"/>
  <c r="N18" i="1" s="1"/>
  <c r="C92" i="4"/>
  <c r="G85" i="7" l="1"/>
  <c r="C40" i="4"/>
  <c r="C42" i="4" s="1"/>
  <c r="K95" i="7" l="1"/>
  <c r="M95" i="7"/>
  <c r="C43" i="4"/>
  <c r="C44" i="4" s="1"/>
  <c r="N19" i="1"/>
  <c r="B47" i="7"/>
  <c r="G86" i="7"/>
  <c r="K96" i="7" l="1"/>
  <c r="M96" i="7"/>
  <c r="G87" i="7"/>
  <c r="C125" i="4"/>
  <c r="BF125" i="4" s="1"/>
  <c r="C49" i="4"/>
  <c r="C50" i="4" s="1"/>
  <c r="M47" i="7"/>
  <c r="C124" i="4"/>
  <c r="BF124" i="4" s="1"/>
  <c r="C45" i="4"/>
  <c r="G88" i="7" s="1"/>
  <c r="C46" i="4"/>
  <c r="L49" i="7" s="1"/>
  <c r="N20" i="1"/>
  <c r="T84" i="4"/>
  <c r="O48" i="7" s="1"/>
  <c r="K98" i="7" l="1"/>
  <c r="M98" i="7"/>
  <c r="K97" i="7"/>
  <c r="M97" i="7"/>
  <c r="C128" i="4"/>
  <c r="N21" i="1"/>
  <c r="G66" i="7"/>
  <c r="C47" i="4"/>
  <c r="F68" i="7" s="1"/>
  <c r="U84" i="4"/>
  <c r="I67" i="7" s="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<sst xmlns="http://schemas.openxmlformats.org/spreadsheetml/2006/main" count="10108" uniqueCount="754">
  <si>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</si>
  <si>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</si>
  <si>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</si>
  <si>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</si>
  <si>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</si>
  <si>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</si>
  <si>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</si>
  <si>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</si>
  <si>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</si>
  <si>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</si>
  <si>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</si>
  <si>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</si>
  <si>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</si>
  <si>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</si>
  <si>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</si>
  <si>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</si>
  <si>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</si>
  <si>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</si>
  <si>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</si>
  <si>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</si>
  <si>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</si>
  <si>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</si>
  <si>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</si>
  <si>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</si>
  <si>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</si>
  <si>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</si>
  <si>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</si>
  <si>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</si>
  <si>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</si>
  <si>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</si>
  <si>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</si>
  <si>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</si>
  <si>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</si>
  <si>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</si>
  <si>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</si>
  <si>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</si>
  <si>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</si>
  <si>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</si>
  <si>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</si>
  <si>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</si>
  <si>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</si>
  <si>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</si>
  <si>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</si>
  <si>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</si>
  <si>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</si>
  <si>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</si>
  <si>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</si>
  <si>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</si>
  <si>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</si>
  <si>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</si>
  <si>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</si>
  <si>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</si>
  <si>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</si>
  <si>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</si>
  <si>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</si>
  <si>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</si>
  <si>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</si>
  <si>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</si>
  <si>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</si>
  <si>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</si>
  <si>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</si>
  <si>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</si>
  <si>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</si>
  <si>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</si>
  <si>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</si>
  <si>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</si>
  <si>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</si>
  <si>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</si>
  <si>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</si>
  <si>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</si>
  <si>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</si>
  <si>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</si>
  <si>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</si>
  <si>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</si>
  <si>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</si>
  <si>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</si>
  <si>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</si>
  <si>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</si>
  <si>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</si>
  <si>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</si>
  <si>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</si>
  <si>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</si>
  <si>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</si>
  <si>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</si>
  <si>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</si>
  <si>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</si>
  <si>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</si>
  <si>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</si>
  <si>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</si>
  <si>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</si>
  <si>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</si>
  <si>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</si>
  <si>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</si>
  <si>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</si>
  <si>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</si>
  <si>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</si>
  <si>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</si>
  <si>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</si>
  <si>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</si>
  <si>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</si>
  <si>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</si>
  <si>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</si>
  <si>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</si>
  <si>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</si>
  <si>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</si>
  <si>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</si>
  <si>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</si>
  <si>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</si>
  <si>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</si>
  <si>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</si>
  <si>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</si>
  <si>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</si>
  <si>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</si>
  <si>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</si>
  <si>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</si>
  <si>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</si>
  <si>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</si>
  <si>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</si>
  <si>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</si>
  <si>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</si>
  <si>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</si>
  <si>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</si>
  <si>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</si>
  <si>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</si>
  <si>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</si>
  <si>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</si>
  <si>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</si>
  <si>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</si>
  <si>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</si>
  <si>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</si>
  <si>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</si>
  <si>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</si>
  <si>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</si>
  <si>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</si>
  <si>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</si>
  <si>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</si>
  <si>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</si>
  <si>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</si>
  <si>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</si>
  <si>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</si>
  <si>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</si>
  <si>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</si>
  <si>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</si>
  <si>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</si>
  <si>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</si>
  <si>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</si>
  <si>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</si>
  <si>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</si>
  <si>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</si>
  <si>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</si>
  <si>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</si>
  <si>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</si>
  <si>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</si>
  <si>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</si>
  <si>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</si>
  <si>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</si>
  <si>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</si>
  <si>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</si>
  <si>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</si>
  <si>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</si>
  <si>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</si>
  <si>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</si>
  <si>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</si>
  <si>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</si>
  <si>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</si>
  <si>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</si>
  <si>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</si>
  <si>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</si>
  <si>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</si>
  <si>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</si>
  <si>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</si>
  <si>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</si>
  <si>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</si>
  <si>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</si>
  <si>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</si>
  <si>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</si>
  <si>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</si>
  <si>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</si>
  <si>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</si>
  <si>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</si>
  <si>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</si>
  <si>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</si>
  <si>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</si>
  <si>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</si>
  <si>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</si>
  <si>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</si>
  <si>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</si>
  <si>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</si>
  <si>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</si>
  <si>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</si>
  <si>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</si>
  <si>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</si>
  <si>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</si>
  <si>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</si>
  <si>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</si>
  <si>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</si>
  <si>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</si>
  <si>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</si>
  <si>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</si>
  <si>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</si>
  <si>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</si>
  <si>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</si>
  <si>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</si>
  <si>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</si>
  <si>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</si>
  <si>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</si>
  <si>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</si>
  <si>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</si>
  <si>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</si>
  <si>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</si>
  <si>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</si>
  <si>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</si>
  <si>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</si>
  <si>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</si>
  <si>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</si>
  <si>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</si>
  <si>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</si>
  <si>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</si>
  <si>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</si>
  <si>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</si>
  <si>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</si>
  <si>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</si>
  <si>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</si>
  <si>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</si>
  <si>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</si>
  <si>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</si>
  <si>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</si>
  <si>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</si>
  <si>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</si>
  <si>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</si>
  <si>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</si>
  <si>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</si>
  <si>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</si>
  <si>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</si>
  <si>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</si>
  <si>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</si>
  <si>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</si>
  <si>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</si>
  <si>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</si>
  <si>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</si>
  <si>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</si>
  <si>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</si>
  <si>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</si>
  <si>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</si>
  <si>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</si>
  <si>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</si>
  <si>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</si>
  <si>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</si>
  <si>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</si>
  <si>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</si>
  <si>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</si>
  <si>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</si>
  <si>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</si>
  <si>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</si>
  <si>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</si>
  <si>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</si>
  <si>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</si>
  <si>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</si>
  <si>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</si>
  <si>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</si>
  <si>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</si>
  <si>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</si>
  <si>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</si>
  <si>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</si>
  <si>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</si>
  <si>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</si>
  <si>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</si>
  <si>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</si>
  <si>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</si>
  <si>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</si>
  <si>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</si>
  <si>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</si>
  <si>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</si>
  <si>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</si>
  <si>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</si>
  <si>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</si>
  <si>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</si>
  <si>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</si>
  <si>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</si>
  <si>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</si>
  <si>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</si>
  <si>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</si>
  <si>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</si>
  <si>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</si>
  <si>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</si>
  <si>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</si>
  <si>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</si>
  <si>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</si>
  <si>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</si>
  <si>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Min Gap</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</si>
  <si>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</si>
  <si>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</si>
  <si>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</si>
  <si>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</si>
  <si>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</si>
  <si>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</si>
  <si>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</si>
  <si>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</si>
  <si>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</si>
  <si>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</si>
  <si>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</si>
  <si>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</si>
  <si>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</si>
  <si>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</si>
  <si>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</si>
  <si>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</si>
  <si>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</si>
  <si>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</si>
  <si>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</si>
  <si>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</si>
  <si>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</si>
  <si>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</si>
  <si>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</si>
  <si>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</si>
  <si>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</si>
  <si>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</si>
  <si>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</si>
  <si>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</si>
  <si>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</si>
  <si>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</si>
  <si>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</si>
  <si>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</si>
  <si>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</si>
  <si>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</si>
  <si>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</si>
  <si>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</si>
  <si>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</si>
  <si>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</si>
  <si>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</si>
  <si>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</si>
  <si>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</si>
  <si>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</si>
  <si>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</si>
  <si>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</si>
  <si>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</si>
  <si>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</si>
  <si>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</si>
  <si>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</si>
  <si>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</si>
  <si>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</si>
  <si>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</si>
  <si>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</si>
  <si>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</si>
  <si>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</si>
  <si>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</si>
  <si>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</si>
  <si>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</si>
  <si>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</si>
  <si>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</si>
  <si>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</si>
  <si>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</si>
  <si>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</si>
  <si>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</si>
  <si>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</si>
  <si>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</si>
  <si>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</si>
  <si>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</si>
  <si>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</si>
  <si>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</si>
  <si>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</si>
  <si>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</si>
  <si>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</si>
  <si>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</si>
  <si>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</si>
  <si>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</si>
  <si>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</si>
  <si>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</si>
  <si>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</si>
  <si>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</si>
  <si>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</si>
  <si>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</si>
  <si>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</si>
  <si>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</si>
  <si>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</si>
  <si>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</si>
  <si>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</si>
  <si>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</si>
  <si>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</si>
  <si>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</si>
  <si>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</si>
  <si>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</si>
  <si>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</si>
  <si>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</si>
  <si>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</si>
  <si>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</si>
  <si>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</si>
  <si>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</si>
  <si>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</si>
  <si>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</si>
  <si>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</si>
  <si>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</si>
  <si>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</si>
  <si>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</si>
  <si>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</si>
  <si>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</si>
  <si>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</si>
  <si>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</si>
  <si>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</si>
  <si>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</si>
  <si>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</si>
  <si>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</si>
  <si>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</si>
  <si>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</si>
  <si>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</si>
  <si>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</si>
  <si>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</si>
  <si>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</si>
  <si>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</si>
  <si>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</si>
  <si>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</si>
  <si>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</si>
  <si>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</si>
  <si>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</si>
  <si>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</si>
  <si>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</si>
  <si>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</si>
  <si>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</si>
  <si>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</si>
  <si>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</si>
  <si>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</si>
  <si>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</si>
  <si>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</si>
  <si>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</si>
  <si>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</si>
  <si>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</si>
  <si>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</si>
  <si>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</si>
  <si>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</si>
  <si>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</si>
  <si>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</si>
  <si>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</si>
  <si>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</si>
  <si>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</si>
  <si>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</si>
  <si>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</si>
  <si>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</si>
  <si>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</si>
  <si>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</si>
  <si>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</si>
  <si>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</si>
  <si>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</si>
  <si>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</si>
  <si>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</si>
  <si>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</si>
  <si>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</si>
  <si>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</si>
  <si>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</si>
  <si>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</si>
  <si>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</si>
  <si>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</si>
  <si>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</si>
  <si>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</si>
  <si>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</si>
  <si>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</si>
  <si>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</si>
  <si>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</si>
  <si>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</si>
  <si>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</si>
  <si>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</si>
  <si>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</si>
  <si>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</si>
  <si>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</si>
  <si>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</si>
  <si>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</si>
  <si>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</si>
  <si>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</si>
  <si>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</si>
  <si>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</si>
  <si>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</si>
  <si>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</si>
  <si>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</si>
  <si>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</si>
  <si>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</si>
  <si>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</si>
  <si>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</si>
  <si>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</si>
  <si>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</si>
  <si>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</si>
  <si>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</si>
  <si>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</si>
  <si>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</si>
  <si>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</si>
  <si>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</si>
  <si>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</si>
  <si>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</si>
  <si>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</si>
  <si>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</si>
  <si>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</si>
  <si>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</si>
  <si>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</si>
  <si>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</si>
  <si>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</si>
  <si>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</si>
  <si>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</si>
  <si>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</si>
  <si>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</si>
  <si>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</si>
  <si>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</si>
  <si>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</si>
  <si>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</si>
  <si>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</si>
  <si>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</si>
  <si>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</si>
  <si>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</si>
  <si>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</si>
  <si>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</si>
  <si>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</si>
  <si>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</si>
  <si>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</si>
  <si>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</si>
  <si>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</si>
  <si>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</si>
  <si>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</si>
  <si>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</si>
  <si>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</si>
  <si>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</si>
  <si>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</si>
  <si>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</si>
  <si>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</si>
  <si>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</si>
  <si>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</si>
  <si>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</si>
  <si>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</si>
  <si>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</si>
  <si>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</si>
  <si>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</si>
  <si>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</si>
  <si>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</si>
  <si>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</si>
  <si>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</si>
  <si>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</si>
  <si>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</si>
  <si>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</si>
  <si>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</si>
  <si>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</si>
  <si>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</si>
  <si>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</si>
  <si>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</si>
  <si>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</si>
  <si>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</si>
  <si>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</si>
  <si>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</si>
  <si>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</si>
  <si>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</si>
  <si>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</si>
  <si>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</si>
  <si>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</si>
  <si>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</si>
  <si>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</si>
  <si>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</si>
  <si>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</si>
  <si>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</si>
  <si>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</si>
  <si>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</si>
  <si>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</si>
  <si>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</si>
  <si>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</si>
  <si>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COPYRIGHT © 2012-2020 MILAN ZLATKOVIC</t>
  </si>
  <si>
    <t>Manually input cycle?</t>
  </si>
  <si>
    <t>!</t>
  </si>
  <si>
    <t>"</t>
  </si>
  <si>
    <t>#</t>
  </si>
  <si>
    <t>$</t>
  </si>
  <si>
    <t>:</t>
  </si>
  <si>
    <t>=</t>
  </si>
  <si>
    <t>&gt;</t>
  </si>
  <si>
    <t>[Links]</t>
  </si>
  <si>
    <t>Link Data</t>
  </si>
  <si>
    <t>NW</t>
  </si>
  <si>
    <t>SE</t>
  </si>
  <si>
    <t>Up ID</t>
  </si>
  <si>
    <t>SR 85</t>
  </si>
  <si>
    <t>Ramah Road</t>
  </si>
  <si>
    <t>SR 92</t>
  </si>
  <si>
    <t>Distance</t>
  </si>
  <si>
    <t>Time</t>
  </si>
  <si>
    <t>Median</t>
  </si>
  <si>
    <t>Offset</t>
  </si>
  <si>
    <t>TWLTL</t>
  </si>
  <si>
    <t>Crosswalk Width</t>
  </si>
  <si>
    <t>Mandatory Distance</t>
  </si>
  <si>
    <t>Mandatory Distance2</t>
  </si>
  <si>
    <t>Positioning Distance</t>
  </si>
  <si>
    <t>Positioning Distance2</t>
  </si>
  <si>
    <t>Curve Pt X</t>
  </si>
  <si>
    <t>Curve Pt Y</t>
  </si>
  <si>
    <t>Curve Pt Z</t>
  </si>
  <si>
    <t>Link Is Hidden</t>
  </si>
  <si>
    <t>Street Name Is Hidden</t>
  </si>
  <si>
    <t>Summit Point</t>
  </si>
  <si>
    <t>Bradlley Drive</t>
  </si>
  <si>
    <t>Grady Avenue</t>
  </si>
  <si>
    <t>Stonewall Avenue</t>
  </si>
  <si>
    <t>Lanier Avenue</t>
  </si>
  <si>
    <t>Jeff Davis Drive</t>
  </si>
  <si>
    <t>*3</t>
  </si>
  <si>
    <t>Forest Avenue</t>
  </si>
  <si>
    <t>D/W</t>
  </si>
  <si>
    <t>SR 314</t>
  </si>
  <si>
    <t>Creekwood Trl</t>
  </si>
  <si>
    <t>Banks Road</t>
  </si>
  <si>
    <t>Lowe's D/W</t>
  </si>
  <si>
    <t>Ellis Road</t>
  </si>
  <si>
    <t>Fayette Pavillion</t>
  </si>
  <si>
    <t>Pine Trail Road</t>
  </si>
  <si>
    <t>Home Depot D/W</t>
  </si>
  <si>
    <t>Promenade Parkway</t>
  </si>
  <si>
    <t>*2</t>
  </si>
  <si>
    <t>*1</t>
  </si>
  <si>
    <t>Corinth Road</t>
  </si>
  <si>
    <t>SR 279</t>
  </si>
  <si>
    <t>Carnegie Place</t>
  </si>
  <si>
    <t>Grove Park Entry</t>
  </si>
  <si>
    <t>Sr 314</t>
  </si>
  <si>
    <t>New Hope Road</t>
  </si>
  <si>
    <t>Backette Lane</t>
  </si>
  <si>
    <t>Lake View Way</t>
  </si>
  <si>
    <t>Pointe S Parkway</t>
  </si>
  <si>
    <t>Helmer Road</t>
  </si>
  <si>
    <t>Thomas Road</t>
  </si>
  <si>
    <t>*3000</t>
  </si>
  <si>
    <t>Warren Road</t>
  </si>
  <si>
    <t>Webb Road</t>
  </si>
  <si>
    <t>*3150</t>
  </si>
  <si>
    <t>Lake Ridge Pkwy</t>
  </si>
  <si>
    <t>[Lanes]</t>
  </si>
  <si>
    <t>Lane Group Data</t>
  </si>
  <si>
    <t>NBU</t>
  </si>
  <si>
    <t>SBU</t>
  </si>
  <si>
    <t>PED</t>
  </si>
  <si>
    <t>HOLD</t>
  </si>
  <si>
    <t>Taper</t>
  </si>
  <si>
    <t>Lost Time Adjust</t>
  </si>
  <si>
    <t>SatFlow</t>
  </si>
  <si>
    <t>Allow RTOR</t>
  </si>
  <si>
    <t>Midblock</t>
  </si>
  <si>
    <t>Right Channeled</t>
  </si>
  <si>
    <t>Right Radius</t>
  </si>
  <si>
    <t>Add Lanes</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</si>
  <si>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</si>
  <si>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</si>
  <si>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</si>
  <si>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</si>
  <si>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</si>
  <si>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</si>
  <si>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</si>
  <si>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</si>
  <si>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</si>
  <si>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</si>
  <si>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</si>
  <si>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</si>
  <si>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</si>
  <si>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</si>
  <si>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</si>
  <si>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</si>
  <si>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</si>
  <si>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</si>
  <si>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</si>
  <si>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</si>
  <si>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Traffic in shared lane</t>
  </si>
  <si>
    <t>[Timeplans]</t>
  </si>
  <si>
    <t>Timing Plan Settings</t>
  </si>
  <si>
    <t>DATA</t>
  </si>
  <si>
    <t>Control Type</t>
  </si>
  <si>
    <t>Cycle Length</t>
  </si>
  <si>
    <t>Lock Timings</t>
  </si>
  <si>
    <t>Referenced To</t>
  </si>
  <si>
    <t>Reference Phase</t>
  </si>
  <si>
    <t>Master</t>
  </si>
  <si>
    <t>Node 0</t>
  </si>
  <si>
    <t>Node 1</t>
  </si>
  <si>
    <t>[Phases]</t>
  </si>
  <si>
    <t>Phasing Data</t>
  </si>
  <si>
    <t>D9</t>
  </si>
  <si>
    <t>D10</t>
  </si>
  <si>
    <t>D11</t>
  </si>
  <si>
    <t>D12</t>
  </si>
  <si>
    <t>D13</t>
  </si>
  <si>
    <t>D14</t>
  </si>
  <si>
    <t>D15</t>
  </si>
  <si>
    <t>D16</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</si>
  <si>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</si>
  <si>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</si>
  <si>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</si>
  <si>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</si>
  <si>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</si>
  <si>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</si>
  <si>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</si>
  <si>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</si>
  <si>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</si>
  <si>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</si>
  <si>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</si>
  <si>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</si>
  <si>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</si>
  <si>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</si>
  <si>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</si>
  <si>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</si>
  <si>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</si>
  <si>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</si>
  <si>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</si>
  <si>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</si>
  <si>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</si>
  <si>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</si>
  <si>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</si>
  <si>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</si>
  <si>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</si>
  <si>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</si>
  <si>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</si>
  <si>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</si>
  <si>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</si>
  <si>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</si>
  <si>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</si>
  <si>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</si>
  <si>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</si>
  <si>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</si>
  <si>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</si>
  <si>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</si>
  <si>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</si>
  <si>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</si>
  <si>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</si>
  <si>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</si>
  <si>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</si>
  <si>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</si>
  <si>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</si>
  <si>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</si>
  <si>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</si>
  <si>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</si>
  <si>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</si>
  <si>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</si>
  <si>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</si>
  <si>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Lowe's D_W</t>
  </si>
  <si>
    <t>D_W</t>
  </si>
  <si>
    <t>Home Depot D_W</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</si>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</sst>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73">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0" fillId="0" borderId="0" xfId="0"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3" borderId="0" xfId="0" applyFill="1" applyAlignment="1">
      <alignment horizontal="center"/>
    </xf>
    <xf numFmtId="0" fontId="10" fillId="2" borderId="0" xfId="0" applyFont="1" applyFill="1" applyAlignment="1">
      <alignment horizontal="center"/>
    </xf>
    <xf numFmtId="0" fontId="0" fillId="2" borderId="0" xfId="0" applyFill="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13"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0" fontId="0" fillId="0" borderId="0" xfId="0" applyFill="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Phasing!$AC$33:$AC$40</c:f>
              <c:numCache>
                <c:formatCode>General</c:formatCode>
                <c:ptCount val="8"/>
                <c:pt idx="0">
                  <c:v>91.600000000000009</c:v>
                </c:pt>
                <c:pt idx="1">
                  <c:v>72.900000000000006</c:v>
                </c:pt>
                <c:pt idx="2">
                  <c:v>15.7</c:v>
                </c:pt>
                <c:pt idx="3">
                  <c:v>0</c:v>
                </c:pt>
                <c:pt idx="4">
                  <c:v>87.4</c:v>
                </c:pt>
                <c:pt idx="5">
                  <c:v>72.900000000000006</c:v>
                </c:pt>
                <c:pt idx="6">
                  <c:v>15.4</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Phasing!$AD$33:$AD$40</c:f>
              <c:numCache>
                <c:formatCode>General</c:formatCode>
                <c:ptCount val="8"/>
                <c:pt idx="0">
                  <c:v>21.4</c:v>
                </c:pt>
                <c:pt idx="1">
                  <c:v>12.7</c:v>
                </c:pt>
                <c:pt idx="2">
                  <c:v>50.2</c:v>
                </c:pt>
                <c:pt idx="3">
                  <c:v>9.6999999999999993</c:v>
                </c:pt>
                <c:pt idx="4">
                  <c:v>25.6</c:v>
                </c:pt>
                <c:pt idx="5">
                  <c:v>8.5</c:v>
                </c:pt>
                <c:pt idx="6">
                  <c:v>50.5</c:v>
                </c:pt>
                <c:pt idx="7">
                  <c:v>9.4</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Phasing!$AE$33:$AE$40</c:f>
              <c:numCache>
                <c:formatCode>General</c:formatCode>
                <c:ptCount val="8"/>
                <c:pt idx="0">
                  <c:v>5</c:v>
                </c:pt>
                <c:pt idx="1">
                  <c:v>4</c:v>
                </c:pt>
                <c:pt idx="2">
                  <c:v>5</c:v>
                </c:pt>
                <c:pt idx="3">
                  <c:v>4</c:v>
                </c:pt>
                <c:pt idx="4">
                  <c:v>5</c:v>
                </c:pt>
                <c:pt idx="5">
                  <c:v>4</c:v>
                </c:pt>
                <c:pt idx="6">
                  <c:v>5</c:v>
                </c:pt>
                <c:pt idx="7">
                  <c:v>4</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Phasing!$AF$33:$AF$40</c:f>
              <c:numCache>
                <c:formatCode>0.0</c:formatCode>
                <c:ptCount val="8"/>
                <c:pt idx="0">
                  <c:v>1.9999999999999858</c:v>
                </c:pt>
                <c:pt idx="1">
                  <c:v>30.399999999999991</c:v>
                </c:pt>
                <c:pt idx="2">
                  <c:v>49.099999999999994</c:v>
                </c:pt>
                <c:pt idx="3">
                  <c:v>106.3</c:v>
                </c:pt>
                <c:pt idx="4">
                  <c:v>2</c:v>
                </c:pt>
                <c:pt idx="5">
                  <c:v>34.599999999999994</c:v>
                </c:pt>
                <c:pt idx="6">
                  <c:v>49.1</c:v>
                </c:pt>
                <c:pt idx="7">
                  <c:v>106.6</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Phasing!$AC$33:$AC$40</c:f>
              <c:numCache>
                <c:formatCode>General</c:formatCode>
                <c:ptCount val="8"/>
                <c:pt idx="0">
                  <c:v>91.600000000000009</c:v>
                </c:pt>
                <c:pt idx="1">
                  <c:v>72.900000000000006</c:v>
                </c:pt>
                <c:pt idx="2">
                  <c:v>15.7</c:v>
                </c:pt>
                <c:pt idx="3">
                  <c:v>0</c:v>
                </c:pt>
                <c:pt idx="4">
                  <c:v>87.4</c:v>
                </c:pt>
                <c:pt idx="5">
                  <c:v>72.900000000000006</c:v>
                </c:pt>
                <c:pt idx="6">
                  <c:v>15.4</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Phasing!$AD$33:$AD$40</c:f>
              <c:numCache>
                <c:formatCode>General</c:formatCode>
                <c:ptCount val="8"/>
                <c:pt idx="0">
                  <c:v>21.4</c:v>
                </c:pt>
                <c:pt idx="1">
                  <c:v>12.7</c:v>
                </c:pt>
                <c:pt idx="2">
                  <c:v>50.2</c:v>
                </c:pt>
                <c:pt idx="3">
                  <c:v>9.6999999999999993</c:v>
                </c:pt>
                <c:pt idx="4">
                  <c:v>25.6</c:v>
                </c:pt>
                <c:pt idx="5">
                  <c:v>8.5</c:v>
                </c:pt>
                <c:pt idx="6">
                  <c:v>50.5</c:v>
                </c:pt>
                <c:pt idx="7">
                  <c:v>9.4</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1">
                  <c:v>=</c:v>
                </c:pt>
                <c:pt idx="2">
                  <c:v>$</c:v>
                </c:pt>
                <c:pt idx="3">
                  <c:v>:</c:v>
                </c:pt>
                <c:pt idx="4">
                  <c:v>"</c:v>
                </c:pt>
                <c:pt idx="5">
                  <c:v>&gt;</c:v>
                </c:pt>
                <c:pt idx="6">
                  <c:v>#</c:v>
                </c:pt>
                <c:pt idx="7">
                  <c:v>9</c:v>
                </c:pt>
              </c:strCache>
            </c:strRef>
          </c:cat>
          <c:val>
            <c:numRef>
              <c:f>Phasing!$AE$33:$AE$40</c:f>
              <c:numCache>
                <c:formatCode>General</c:formatCode>
                <c:ptCount val="8"/>
                <c:pt idx="0">
                  <c:v>5</c:v>
                </c:pt>
                <c:pt idx="1">
                  <c:v>4</c:v>
                </c:pt>
                <c:pt idx="2">
                  <c:v>5</c:v>
                </c:pt>
                <c:pt idx="3">
                  <c:v>4</c:v>
                </c:pt>
                <c:pt idx="4">
                  <c:v>5</c:v>
                </c:pt>
                <c:pt idx="5">
                  <c:v>4</c:v>
                </c:pt>
                <c:pt idx="6">
                  <c:v>5</c:v>
                </c:pt>
                <c:pt idx="7">
                  <c:v>4</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1">
                  <c:v>=</c:v>
                </c:pt>
                <c:pt idx="2">
                  <c:v>$</c:v>
                </c:pt>
                <c:pt idx="3">
                  <c:v>:</c:v>
                </c:pt>
                <c:pt idx="4">
                  <c:v>"</c:v>
                </c:pt>
                <c:pt idx="5">
                  <c:v>&gt;</c:v>
                </c:pt>
                <c:pt idx="6">
                  <c:v>#</c:v>
                </c:pt>
                <c:pt idx="7">
                  <c:v>9</c:v>
                </c:pt>
              </c:strCache>
            </c:strRef>
          </c:cat>
          <c:val>
            <c:numRef>
              <c:f>Phasing!$AF$33:$AF$40</c:f>
              <c:numCache>
                <c:formatCode>0.0</c:formatCode>
                <c:ptCount val="8"/>
                <c:pt idx="0">
                  <c:v>1.9999999999999858</c:v>
                </c:pt>
                <c:pt idx="1">
                  <c:v>30.399999999999991</c:v>
                </c:pt>
                <c:pt idx="2">
                  <c:v>49.099999999999994</c:v>
                </c:pt>
                <c:pt idx="3">
                  <c:v>106.3</c:v>
                </c:pt>
                <c:pt idx="4">
                  <c:v>2</c:v>
                </c:pt>
                <c:pt idx="5">
                  <c:v>34.599999999999994</c:v>
                </c:pt>
                <c:pt idx="6">
                  <c:v>49.1</c:v>
                </c:pt>
                <c:pt idx="7">
                  <c:v>106.6</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1363980</xdr:colOff>
          <xdr:row>13</xdr:row>
          <xdr:rowOff>83820</xdr:rowOff>
        </xdr:from>
        <xdr:to>
          <xdr:col>65</xdr:col>
          <xdr:colOff>571500</xdr:colOff>
          <xdr:row>18</xdr:row>
          <xdr:rowOff>83820</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137160</xdr:rowOff>
        </xdr:from>
        <xdr:to>
          <xdr:col>65</xdr:col>
          <xdr:colOff>594360</xdr:colOff>
          <xdr:row>22</xdr:row>
          <xdr:rowOff>137160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82511" y="864054"/>
          <a:ext cx="3555546" cy="2045153"/>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721568" y="864054"/>
          <a:ext cx="2891518" cy="2045153"/>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63461" y="4176032"/>
          <a:ext cx="3555546" cy="2045154"/>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066439" y="825954"/>
          <a:ext cx="3526972" cy="2045153"/>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47389" y="4176032"/>
          <a:ext cx="3536497" cy="2045154"/>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39661" y="7839075"/>
          <a:ext cx="3555546" cy="2045154"/>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48157" y="7858125"/>
          <a:ext cx="3536497" cy="2045154"/>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00675" y="11383736"/>
          <a:ext cx="3536496" cy="2088696"/>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4.4" x14ac:dyDescent="0.3"/>
  <cols>
    <col min="1" max="1" width="14.109375" bestFit="1" customWidth="1"/>
    <col min="5" max="5" width="10" bestFit="1" customWidth="1"/>
  </cols>
  <sheetData>
    <row r="1" spans="1:3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3">
      <c r="A2" t="s">
        <v>34</v>
      </c>
      <c r="B2" t="str">
        <f>'Input sheet'!J28</f>
        <v>SR 85 &amp; Ramah Road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3">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3">
      <c r="A4" s="59" t="s">
        <v>72</v>
      </c>
      <c r="B4" s="59">
        <v>4431</v>
      </c>
      <c r="C4" s="59">
        <v>0</v>
      </c>
      <c r="D4" s="59">
        <f>'Input sheet'!I21</f>
        <v>100</v>
      </c>
      <c r="E4" s="59">
        <f>'Input sheet'!J21</f>
        <v>750</v>
      </c>
      <c r="F4" s="59">
        <f>'Input sheet'!K21</f>
        <v>130</v>
      </c>
      <c r="G4" s="59">
        <v>0</v>
      </c>
      <c r="H4" s="59">
        <v>0</v>
      </c>
      <c r="I4" s="59">
        <f>'Input sheet'!K7</f>
        <v>150</v>
      </c>
      <c r="J4" s="59">
        <f>'Input sheet'!J7</f>
        <v>350</v>
      </c>
      <c r="K4" s="59">
        <f>'Input sheet'!I7</f>
        <v>100</v>
      </c>
      <c r="L4" s="59">
        <v>0</v>
      </c>
      <c r="M4" s="59">
        <v>0</v>
      </c>
      <c r="N4" s="59">
        <f>'Input sheet'!G12</f>
        <v>150</v>
      </c>
      <c r="O4" s="59">
        <f>'Input sheet'!G14</f>
        <v>100</v>
      </c>
      <c r="P4" s="59">
        <f>'Input sheet'!G16</f>
        <v>75</v>
      </c>
      <c r="Q4" s="59">
        <v>0</v>
      </c>
      <c r="R4" s="59">
        <v>0</v>
      </c>
      <c r="S4" s="59">
        <f>'Input sheet'!M16</f>
        <v>75</v>
      </c>
      <c r="T4" s="59">
        <f>'Input sheet'!M14</f>
        <v>200</v>
      </c>
      <c r="U4" s="59">
        <f>'Input sheet'!M12</f>
        <v>150</v>
      </c>
      <c r="V4" s="59">
        <v>0</v>
      </c>
      <c r="W4" s="59">
        <v>0</v>
      </c>
      <c r="X4" s="59">
        <v>0</v>
      </c>
      <c r="Y4" s="59">
        <v>0</v>
      </c>
      <c r="Z4" s="59">
        <v>0</v>
      </c>
      <c r="AA4" s="59">
        <v>0</v>
      </c>
      <c r="AB4" s="59">
        <v>0</v>
      </c>
      <c r="AC4" s="59">
        <v>0</v>
      </c>
      <c r="AD4" s="59">
        <v>0</v>
      </c>
      <c r="AE4" s="59">
        <v>0</v>
      </c>
      <c r="AF4" s="59">
        <v>0</v>
      </c>
      <c r="AG4" s="59">
        <v>0</v>
      </c>
      <c r="AH4" s="59">
        <v>0</v>
      </c>
    </row>
    <row r="5" spans="1:34" x14ac:dyDescent="0.3">
      <c r="A5" t="s">
        <v>36</v>
      </c>
      <c r="B5">
        <v>4431</v>
      </c>
      <c r="C5">
        <v>0</v>
      </c>
      <c r="D5">
        <f>'Input sheet'!I22</f>
        <v>1</v>
      </c>
      <c r="E5">
        <f>'Input sheet'!J22</f>
        <v>1</v>
      </c>
      <c r="F5">
        <f>'Input sheet'!K22</f>
        <v>1</v>
      </c>
      <c r="G5">
        <v>0</v>
      </c>
      <c r="H5">
        <v>0</v>
      </c>
      <c r="I5">
        <f>'Input sheet'!K6</f>
        <v>1</v>
      </c>
      <c r="J5">
        <f>'Input sheet'!J6</f>
        <v>1</v>
      </c>
      <c r="K5">
        <f>'Input sheet'!I6</f>
        <v>1</v>
      </c>
      <c r="L5">
        <v>0</v>
      </c>
      <c r="M5">
        <v>0</v>
      </c>
      <c r="N5">
        <f>'Input sheet'!F12</f>
        <v>1</v>
      </c>
      <c r="O5">
        <f>'Input sheet'!F14</f>
        <v>1</v>
      </c>
      <c r="P5">
        <f>'Input sheet'!F16</f>
        <v>0</v>
      </c>
      <c r="Q5">
        <v>0</v>
      </c>
      <c r="R5">
        <v>0</v>
      </c>
      <c r="S5">
        <f>'Input sheet'!N16</f>
        <v>1</v>
      </c>
      <c r="T5">
        <f>'Input sheet'!N14</f>
        <v>1</v>
      </c>
      <c r="U5">
        <f>'Input sheet'!N12</f>
        <v>1</v>
      </c>
      <c r="V5">
        <v>0</v>
      </c>
      <c r="W5">
        <v>0</v>
      </c>
      <c r="X5">
        <v>0</v>
      </c>
      <c r="Y5">
        <v>0</v>
      </c>
      <c r="Z5">
        <v>0</v>
      </c>
      <c r="AA5">
        <v>0</v>
      </c>
      <c r="AB5">
        <v>0</v>
      </c>
      <c r="AC5">
        <v>0</v>
      </c>
      <c r="AD5">
        <v>0</v>
      </c>
      <c r="AE5">
        <v>0</v>
      </c>
      <c r="AF5">
        <v>0</v>
      </c>
      <c r="AG5">
        <v>0</v>
      </c>
      <c r="AH5">
        <v>0</v>
      </c>
    </row>
    <row r="6" spans="1:34" x14ac:dyDescent="0.3">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3">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3">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t="s">
        <v>42</v>
      </c>
      <c r="B11">
        <v>4431</v>
      </c>
      <c r="C11">
        <v>0</v>
      </c>
      <c r="D11">
        <v>0</v>
      </c>
      <c r="E11">
        <f>'Input sheet'!J24</f>
        <v>45</v>
      </c>
      <c r="F11">
        <v>0</v>
      </c>
      <c r="G11">
        <v>0</v>
      </c>
      <c r="H11">
        <v>0</v>
      </c>
      <c r="I11">
        <v>0</v>
      </c>
      <c r="J11">
        <f>'Input sheet'!J4</f>
        <v>45</v>
      </c>
      <c r="K11">
        <v>0</v>
      </c>
      <c r="L11">
        <v>0</v>
      </c>
      <c r="M11">
        <v>0</v>
      </c>
      <c r="N11">
        <v>0</v>
      </c>
      <c r="O11">
        <f>'Input sheet'!D13</f>
        <v>30</v>
      </c>
      <c r="P11">
        <v>0</v>
      </c>
      <c r="Q11">
        <v>0</v>
      </c>
      <c r="R11">
        <v>0</v>
      </c>
      <c r="S11">
        <v>0</v>
      </c>
      <c r="T11">
        <f>'Input sheet'!P13</f>
        <v>30</v>
      </c>
      <c r="U11">
        <v>0</v>
      </c>
      <c r="V11">
        <v>0</v>
      </c>
      <c r="W11">
        <v>0</v>
      </c>
      <c r="X11">
        <v>0</v>
      </c>
      <c r="Y11">
        <v>0</v>
      </c>
      <c r="Z11">
        <v>0</v>
      </c>
      <c r="AA11">
        <v>0</v>
      </c>
      <c r="AB11">
        <v>0</v>
      </c>
      <c r="AC11">
        <v>0</v>
      </c>
      <c r="AD11">
        <v>0</v>
      </c>
      <c r="AE11">
        <v>0</v>
      </c>
      <c r="AF11">
        <v>0</v>
      </c>
      <c r="AG11">
        <v>0</v>
      </c>
      <c r="AH11">
        <v>0</v>
      </c>
    </row>
    <row r="12" spans="1:34" x14ac:dyDescent="0.3">
      <c r="A12" t="s">
        <v>43</v>
      </c>
      <c r="B12">
        <v>1</v>
      </c>
      <c r="D12">
        <v>50</v>
      </c>
      <c r="E12">
        <v>50</v>
      </c>
      <c r="F12">
        <v>50</v>
      </c>
      <c r="I12">
        <v>50</v>
      </c>
      <c r="J12">
        <v>50</v>
      </c>
      <c r="K12">
        <v>50</v>
      </c>
      <c r="N12">
        <v>50</v>
      </c>
      <c r="O12">
        <v>50</v>
      </c>
      <c r="P12">
        <v>50</v>
      </c>
      <c r="S12">
        <v>50</v>
      </c>
      <c r="T12">
        <v>50</v>
      </c>
      <c r="U12">
        <v>50</v>
      </c>
    </row>
    <row r="13" spans="1:34" x14ac:dyDescent="0.3">
      <c r="A13" t="s">
        <v>44</v>
      </c>
      <c r="B13">
        <v>1</v>
      </c>
      <c r="D13">
        <v>0</v>
      </c>
      <c r="E13">
        <v>0</v>
      </c>
      <c r="F13">
        <v>0</v>
      </c>
      <c r="I13">
        <v>0</v>
      </c>
      <c r="J13">
        <v>0</v>
      </c>
      <c r="K13">
        <v>0</v>
      </c>
      <c r="N13">
        <v>0</v>
      </c>
      <c r="O13">
        <v>0</v>
      </c>
      <c r="P13">
        <v>0</v>
      </c>
      <c r="S13">
        <v>0</v>
      </c>
      <c r="T13">
        <v>0</v>
      </c>
      <c r="U13">
        <v>0</v>
      </c>
    </row>
    <row r="14" spans="1:34" s="1" customFormat="1" x14ac:dyDescent="0.3">
      <c r="A14" s="1" t="s">
        <v>45</v>
      </c>
      <c r="B14" s="1">
        <v>1</v>
      </c>
      <c r="D14" s="1">
        <f>'Phase designation'!F27</f>
        <v>5</v>
      </c>
      <c r="E14" s="1">
        <f>'Phase designation'!G27</f>
        <v>2</v>
      </c>
      <c r="F14" s="1">
        <v>0</v>
      </c>
      <c r="I14" s="1">
        <f>'Phase designation'!H27</f>
        <v>1</v>
      </c>
      <c r="J14" s="1">
        <f>'Phase designation'!I27</f>
        <v>6</v>
      </c>
      <c r="K14" s="1">
        <v>0</v>
      </c>
      <c r="N14" s="1">
        <f>'Phase designation'!B27</f>
        <v>7</v>
      </c>
      <c r="O14" s="1">
        <f>'Phase designation'!C27</f>
        <v>4</v>
      </c>
      <c r="P14" s="1">
        <v>0</v>
      </c>
      <c r="S14" s="1">
        <f>'Phase designation'!D27</f>
        <v>3</v>
      </c>
      <c r="T14" s="1">
        <f>'Phase designation'!E27</f>
        <v>8</v>
      </c>
      <c r="U14" s="1">
        <v>0</v>
      </c>
    </row>
    <row r="15" spans="1:34" s="1" customFormat="1" x14ac:dyDescent="0.3">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3">
      <c r="A16" s="1" t="s">
        <v>47</v>
      </c>
      <c r="B16" s="1">
        <v>1</v>
      </c>
      <c r="D16" s="1">
        <f>IF(D14&gt;0,D14,D15)</f>
        <v>5</v>
      </c>
      <c r="E16" s="1">
        <f>E14</f>
        <v>2</v>
      </c>
      <c r="F16" s="1">
        <f>E16</f>
        <v>2</v>
      </c>
      <c r="I16" s="1">
        <f>IF(I14&gt;0,I14,I15)</f>
        <v>1</v>
      </c>
      <c r="J16" s="1">
        <f>J14</f>
        <v>6</v>
      </c>
      <c r="K16" s="1">
        <f>J16</f>
        <v>6</v>
      </c>
      <c r="N16" s="1">
        <f>IF(N14&gt;0,N14,N15)</f>
        <v>7</v>
      </c>
      <c r="O16" s="1">
        <f>O14</f>
        <v>4</v>
      </c>
      <c r="P16" s="1">
        <f>O16</f>
        <v>4</v>
      </c>
      <c r="S16" s="1">
        <f>IF(S14&gt;0,S14,S15)</f>
        <v>3</v>
      </c>
      <c r="T16" s="1">
        <f>T14</f>
        <v>8</v>
      </c>
      <c r="U16" s="1">
        <f>T16</f>
        <v>8</v>
      </c>
    </row>
    <row r="17" spans="1:21" s="156" customFormat="1" x14ac:dyDescent="0.3">
      <c r="A17" s="156" t="s">
        <v>148</v>
      </c>
      <c r="B17" s="156">
        <v>1</v>
      </c>
      <c r="D17" s="156">
        <f>'Phase calculation'!I38</f>
        <v>9.6999999999999993</v>
      </c>
      <c r="E17" s="156">
        <f>'Phase calculation'!J38</f>
        <v>50.5</v>
      </c>
      <c r="F17" s="156">
        <f>'Phase calculation'!K38</f>
        <v>50.5</v>
      </c>
      <c r="I17" s="156">
        <f>'Phase calculation'!L38</f>
        <v>9.4</v>
      </c>
      <c r="J17" s="156">
        <f>'Phase calculation'!M38</f>
        <v>50.2</v>
      </c>
      <c r="K17" s="156">
        <f>'Phase calculation'!N38</f>
        <v>50.2</v>
      </c>
      <c r="N17" s="156">
        <f>'Phase calculation'!C38</f>
        <v>12.7</v>
      </c>
      <c r="O17" s="156">
        <f>'Phase calculation'!D38</f>
        <v>25.6</v>
      </c>
      <c r="P17" s="156">
        <f>'Phase calculation'!E38</f>
        <v>28.6</v>
      </c>
      <c r="S17" s="156">
        <f>'Phase calculation'!F38</f>
        <v>8.5</v>
      </c>
      <c r="T17" s="156">
        <f>'Phase calculation'!G38</f>
        <v>21.4</v>
      </c>
      <c r="U17" s="156">
        <f>'Phase calculation'!H38</f>
        <v>21.4</v>
      </c>
    </row>
    <row r="18" spans="1:21" s="1" customFormat="1" x14ac:dyDescent="0.3">
      <c r="A18" s="1" t="s">
        <v>149</v>
      </c>
      <c r="B18" s="1">
        <v>1</v>
      </c>
      <c r="D18" s="1">
        <f>'Phase calculation'!I41</f>
        <v>417.5</v>
      </c>
      <c r="E18" s="1">
        <f>'Phase calculation'!J41</f>
        <v>705.3</v>
      </c>
      <c r="F18" s="1">
        <f>'Phase calculation'!K41</f>
        <v>600</v>
      </c>
      <c r="I18" s="1">
        <f>'Phase calculation'!L41</f>
        <v>180.8</v>
      </c>
      <c r="J18" s="1">
        <f>'Phase calculation'!M41</f>
        <v>701.1</v>
      </c>
      <c r="K18" s="1">
        <f>'Phase calculation'!N41</f>
        <v>596</v>
      </c>
      <c r="N18" s="1">
        <f>'Phase calculation'!C41</f>
        <v>298.10000000000002</v>
      </c>
      <c r="O18" s="1">
        <f>'Phase calculation'!D41</f>
        <v>334.7</v>
      </c>
      <c r="P18" s="1">
        <f>'Phase calculation'!E41</f>
        <v>0</v>
      </c>
      <c r="S18" s="1">
        <f>'Phase calculation'!F41</f>
        <v>303.3</v>
      </c>
      <c r="T18" s="1">
        <f>'Phase calculation'!G41</f>
        <v>298.89999999999998</v>
      </c>
      <c r="U18" s="1">
        <f>'Phase calculation'!H41</f>
        <v>254</v>
      </c>
    </row>
    <row r="19" spans="1:21" s="242" customFormat="1" x14ac:dyDescent="0.3">
      <c r="A19" s="242" t="s">
        <v>135</v>
      </c>
      <c r="B19" s="242">
        <v>1</v>
      </c>
      <c r="D19" s="242">
        <f>'Phase calculation'!I40</f>
        <v>0.26</v>
      </c>
      <c r="E19" s="242">
        <f>'Phase calculation'!J40</f>
        <v>1.1599999999999999</v>
      </c>
      <c r="F19" s="242">
        <f>'Phase calculation'!K40</f>
        <v>0.11666666666666667</v>
      </c>
      <c r="I19" s="242">
        <f>'Phase calculation'!L40</f>
        <v>0.9</v>
      </c>
      <c r="J19" s="242">
        <f>'Phase calculation'!M40</f>
        <v>0.54</v>
      </c>
      <c r="K19" s="242">
        <f>'Phase calculation'!N40</f>
        <v>9.0604026845637578E-2</v>
      </c>
      <c r="N19" s="242">
        <f>'Phase calculation'!C40</f>
        <v>0.55000000000000004</v>
      </c>
      <c r="O19" s="242">
        <f>'Phase calculation'!D40</f>
        <v>0.56999999999999995</v>
      </c>
      <c r="P19" s="242">
        <f>'Phase calculation'!E40</f>
        <v>0</v>
      </c>
      <c r="S19" s="242">
        <f>'Phase calculation'!F40</f>
        <v>0.27</v>
      </c>
      <c r="T19" s="242">
        <f>'Phase calculation'!G40</f>
        <v>0.73</v>
      </c>
      <c r="U19" s="242">
        <f>'Phase calculation'!H40</f>
        <v>0.31889763779527558</v>
      </c>
    </row>
    <row r="20" spans="1:21" s="243" customFormat="1" x14ac:dyDescent="0.3">
      <c r="A20" s="243" t="s">
        <v>150</v>
      </c>
      <c r="B20" s="243">
        <v>1</v>
      </c>
      <c r="D20" s="243">
        <f>'Phase calculation'!I44</f>
        <v>53.29</v>
      </c>
      <c r="E20" s="243">
        <f>'Phase calculation'!J44</f>
        <v>122.02</v>
      </c>
      <c r="F20" s="243">
        <f>'Phase calculation'!K44</f>
        <v>21.57</v>
      </c>
      <c r="I20" s="243">
        <f>'Phase calculation'!L44</f>
        <v>99.699999999999989</v>
      </c>
      <c r="J20" s="243">
        <f>'Phase calculation'!M44</f>
        <v>29.189999999999998</v>
      </c>
      <c r="K20" s="243">
        <f>'Phase calculation'!N44</f>
        <v>21.400000000000002</v>
      </c>
      <c r="N20" s="243">
        <f>'Phase calculation'!C44</f>
        <v>58.07</v>
      </c>
      <c r="O20" s="243">
        <f>'Phase calculation'!D44</f>
        <v>49.150000000000006</v>
      </c>
      <c r="P20" s="243">
        <f>'Phase calculation'!E44</f>
        <v>0</v>
      </c>
      <c r="S20" s="243">
        <f>'Phase calculation'!F44</f>
        <v>54.99</v>
      </c>
      <c r="T20" s="243">
        <f>'Phase calculation'!G44</f>
        <v>61.11</v>
      </c>
      <c r="U20" s="243">
        <f>'Phase calculation'!H44</f>
        <v>46.230000000000004</v>
      </c>
    </row>
    <row r="21" spans="1:21" s="1" customFormat="1" x14ac:dyDescent="0.3">
      <c r="A21" s="1" t="s">
        <v>139</v>
      </c>
      <c r="B21" s="1">
        <v>1</v>
      </c>
      <c r="D21" s="73" t="str">
        <f>'Phase calculation'!I45</f>
        <v>D</v>
      </c>
      <c r="E21" s="238" t="str">
        <f>'Phase calculation'!J45</f>
        <v>F</v>
      </c>
      <c r="F21" s="238" t="str">
        <f>'Phase calculation'!K45</f>
        <v>C</v>
      </c>
      <c r="G21" s="73"/>
      <c r="H21" s="73"/>
      <c r="I21" s="73" t="str">
        <f>'Phase calculation'!L45</f>
        <v>F</v>
      </c>
      <c r="J21" s="238" t="str">
        <f>'Phase calculation'!M45</f>
        <v>C</v>
      </c>
      <c r="K21" s="238" t="str">
        <f>'Phase calculation'!N45</f>
        <v>C</v>
      </c>
      <c r="L21" s="73"/>
      <c r="M21" s="73"/>
      <c r="N21" s="73" t="str">
        <f>'Phase calculation'!C45</f>
        <v>E</v>
      </c>
      <c r="O21" s="238" t="str">
        <f>'Phase calculation'!D45</f>
        <v>D</v>
      </c>
      <c r="P21" s="238" t="str">
        <f>'Phase calculation'!E45</f>
        <v>N/A</v>
      </c>
      <c r="Q21" s="73"/>
      <c r="R21" s="73"/>
      <c r="S21" s="73" t="str">
        <f>'Phase calculation'!F45</f>
        <v>D</v>
      </c>
      <c r="T21" s="238" t="str">
        <f>'Phase calculation'!G45</f>
        <v>E</v>
      </c>
      <c r="U21" s="238" t="str">
        <f>'Phase calculation'!H45</f>
        <v>D</v>
      </c>
    </row>
    <row r="22" spans="1:21" x14ac:dyDescent="0.3">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3">
      <c r="A23" t="s">
        <v>49</v>
      </c>
      <c r="B23">
        <v>1</v>
      </c>
      <c r="D23">
        <v>4</v>
      </c>
      <c r="E23">
        <v>4</v>
      </c>
      <c r="F23">
        <v>4</v>
      </c>
      <c r="I23">
        <v>4</v>
      </c>
      <c r="J23">
        <v>4</v>
      </c>
      <c r="K23">
        <v>4</v>
      </c>
      <c r="N23">
        <v>4</v>
      </c>
      <c r="O23">
        <v>4</v>
      </c>
      <c r="P23">
        <v>4</v>
      </c>
      <c r="S23">
        <v>4</v>
      </c>
      <c r="T23">
        <v>4</v>
      </c>
      <c r="U23">
        <v>4</v>
      </c>
    </row>
    <row r="24" spans="1:21" s="1" customFormat="1" x14ac:dyDescent="0.3">
      <c r="A24" s="1" t="s">
        <v>463</v>
      </c>
      <c r="B24" s="1">
        <v>1</v>
      </c>
      <c r="D24" s="1">
        <f>'Phase calculation'!I11</f>
        <v>1593</v>
      </c>
      <c r="E24" s="1">
        <f>'Phase calculation'!J11</f>
        <v>1676</v>
      </c>
      <c r="F24" s="1">
        <f>'Phase calculation'!K11</f>
        <v>1425</v>
      </c>
      <c r="I24" s="1">
        <f>'Phase calculation'!L11</f>
        <v>1593</v>
      </c>
      <c r="J24" s="1">
        <f>'Phase calculation'!M11</f>
        <v>1676</v>
      </c>
      <c r="K24" s="1">
        <f>'Phase calculation'!N11</f>
        <v>1425</v>
      </c>
      <c r="N24" s="1">
        <f>'Phase calculation'!C11</f>
        <v>1593</v>
      </c>
      <c r="O24" s="1">
        <f>'Phase calculation'!D11</f>
        <v>1569</v>
      </c>
      <c r="P24" s="1">
        <f>'Phase calculation'!E11</f>
        <v>0</v>
      </c>
      <c r="S24" s="1">
        <f>'Phase calculation'!F11</f>
        <v>1593</v>
      </c>
      <c r="T24" s="1">
        <f>'Phase calculation'!G11</f>
        <v>1676</v>
      </c>
      <c r="U24" s="1">
        <f>'Phase calculation'!H11</f>
        <v>1425</v>
      </c>
    </row>
    <row r="25" spans="1:21" s="1" customFormat="1" x14ac:dyDescent="0.3">
      <c r="A25" s="1" t="s">
        <v>50</v>
      </c>
      <c r="B25" s="1">
        <v>1</v>
      </c>
      <c r="D25" s="1">
        <f>'Phase calculation'!I14</f>
        <v>686</v>
      </c>
      <c r="E25" s="1">
        <f>'Phase calculation'!J14</f>
        <v>1676</v>
      </c>
      <c r="F25" s="1">
        <f>'Phase calculation'!K14</f>
        <v>1425</v>
      </c>
      <c r="I25" s="1">
        <f>'Phase calculation'!L14</f>
        <v>134</v>
      </c>
      <c r="J25" s="1">
        <f>'Phase calculation'!M14</f>
        <v>1676</v>
      </c>
      <c r="K25" s="1">
        <f>'Phase calculation'!N14</f>
        <v>1425</v>
      </c>
      <c r="N25" s="1">
        <f>'Phase calculation'!C14</f>
        <v>607</v>
      </c>
      <c r="O25" s="1">
        <f>'Phase calculation'!D14</f>
        <v>1569</v>
      </c>
      <c r="P25" s="1">
        <f>'Phase calculation'!E14</f>
        <v>0</v>
      </c>
      <c r="S25" s="1">
        <f>'Phase calculation'!F14</f>
        <v>1068</v>
      </c>
      <c r="T25" s="1">
        <f>'Phase calculation'!G14</f>
        <v>1676</v>
      </c>
      <c r="U25" s="1">
        <f>'Phase calculation'!H14</f>
        <v>1425</v>
      </c>
    </row>
    <row r="26" spans="1:21" x14ac:dyDescent="0.3">
      <c r="A26" t="s">
        <v>51</v>
      </c>
      <c r="B26">
        <v>1</v>
      </c>
      <c r="D26">
        <v>0</v>
      </c>
      <c r="E26">
        <v>0</v>
      </c>
      <c r="F26">
        <v>0</v>
      </c>
      <c r="I26">
        <v>0</v>
      </c>
      <c r="J26">
        <v>0</v>
      </c>
      <c r="K26">
        <v>0</v>
      </c>
      <c r="N26">
        <v>0</v>
      </c>
      <c r="O26">
        <v>0</v>
      </c>
      <c r="P26">
        <v>0</v>
      </c>
      <c r="S26">
        <v>0</v>
      </c>
      <c r="T26">
        <v>0</v>
      </c>
      <c r="U26">
        <v>0</v>
      </c>
    </row>
    <row r="27" spans="1:21" x14ac:dyDescent="0.3">
      <c r="A27" t="s">
        <v>52</v>
      </c>
      <c r="B27">
        <v>1</v>
      </c>
      <c r="D27">
        <v>1</v>
      </c>
      <c r="E27">
        <v>1</v>
      </c>
      <c r="F27">
        <v>1</v>
      </c>
      <c r="I27">
        <v>1</v>
      </c>
      <c r="J27">
        <v>1</v>
      </c>
      <c r="K27">
        <v>1</v>
      </c>
      <c r="N27">
        <v>1</v>
      </c>
      <c r="O27">
        <v>1</v>
      </c>
      <c r="P27">
        <v>1</v>
      </c>
      <c r="S27">
        <v>1</v>
      </c>
      <c r="T27">
        <v>1</v>
      </c>
      <c r="U27">
        <v>1</v>
      </c>
    </row>
    <row r="28" spans="1:21" x14ac:dyDescent="0.3">
      <c r="A28" t="s">
        <v>53</v>
      </c>
      <c r="B28">
        <v>1</v>
      </c>
      <c r="D28">
        <v>0</v>
      </c>
      <c r="E28">
        <v>0</v>
      </c>
      <c r="F28">
        <v>0</v>
      </c>
      <c r="I28">
        <v>0</v>
      </c>
      <c r="J28">
        <v>0</v>
      </c>
      <c r="K28">
        <v>0</v>
      </c>
      <c r="N28">
        <v>0</v>
      </c>
      <c r="O28">
        <v>0</v>
      </c>
      <c r="P28">
        <v>0</v>
      </c>
      <c r="S28">
        <v>0</v>
      </c>
      <c r="T28">
        <v>0</v>
      </c>
      <c r="U28">
        <v>0</v>
      </c>
    </row>
    <row r="29" spans="1:21" s="62" customFormat="1" x14ac:dyDescent="0.3">
      <c r="A29" s="62" t="s">
        <v>54</v>
      </c>
      <c r="B29" s="62">
        <v>1</v>
      </c>
      <c r="E29" s="62">
        <f>IF('Input sheet'!M22="Yes",10,0)</f>
        <v>0</v>
      </c>
      <c r="J29" s="62">
        <f>IF('Input sheet'!L5="Yes",10,0)</f>
        <v>0</v>
      </c>
      <c r="O29" s="62">
        <f>IF('Input sheet'!D16="Yes",10,0)</f>
        <v>0</v>
      </c>
      <c r="T29" s="62">
        <f>IF('Input sheet'!P16="Yes",10,0)</f>
        <v>0</v>
      </c>
    </row>
    <row r="30" spans="1:21" x14ac:dyDescent="0.3">
      <c r="A30" t="s">
        <v>55</v>
      </c>
      <c r="B30">
        <v>1</v>
      </c>
      <c r="D30">
        <v>0</v>
      </c>
      <c r="E30">
        <v>0</v>
      </c>
      <c r="F30">
        <v>0</v>
      </c>
      <c r="I30">
        <v>0</v>
      </c>
      <c r="J30">
        <v>0</v>
      </c>
      <c r="K30">
        <v>0</v>
      </c>
      <c r="N30">
        <v>0</v>
      </c>
      <c r="O30">
        <v>0</v>
      </c>
      <c r="P30">
        <v>0</v>
      </c>
      <c r="S30">
        <v>0</v>
      </c>
      <c r="T30">
        <v>0</v>
      </c>
      <c r="U30">
        <v>0</v>
      </c>
    </row>
    <row r="31" spans="1:21" x14ac:dyDescent="0.3">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3">
      <c r="A32" t="s">
        <v>57</v>
      </c>
      <c r="B32">
        <v>1</v>
      </c>
      <c r="D32">
        <v>100</v>
      </c>
      <c r="E32">
        <v>100</v>
      </c>
      <c r="F32">
        <v>100</v>
      </c>
      <c r="I32">
        <v>100</v>
      </c>
      <c r="J32">
        <v>100</v>
      </c>
      <c r="K32">
        <v>100</v>
      </c>
      <c r="N32">
        <v>100</v>
      </c>
      <c r="O32">
        <v>100</v>
      </c>
      <c r="P32">
        <v>100</v>
      </c>
      <c r="S32">
        <v>100</v>
      </c>
      <c r="T32">
        <v>100</v>
      </c>
      <c r="U32">
        <v>100</v>
      </c>
    </row>
    <row r="33" spans="1:31" x14ac:dyDescent="0.3">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3">
      <c r="A34" t="s">
        <v>59</v>
      </c>
      <c r="B34">
        <v>1</v>
      </c>
      <c r="D34">
        <v>0</v>
      </c>
      <c r="E34">
        <v>0</v>
      </c>
      <c r="F34">
        <v>0</v>
      </c>
      <c r="I34">
        <v>0</v>
      </c>
      <c r="J34">
        <v>0</v>
      </c>
      <c r="K34">
        <v>0</v>
      </c>
      <c r="N34">
        <v>0</v>
      </c>
      <c r="O34">
        <v>0</v>
      </c>
      <c r="P34">
        <v>0</v>
      </c>
      <c r="S34">
        <v>0</v>
      </c>
      <c r="T34">
        <v>0</v>
      </c>
      <c r="U34">
        <v>0</v>
      </c>
    </row>
    <row r="35" spans="1:31" x14ac:dyDescent="0.3">
      <c r="A35" s="67" t="s">
        <v>460</v>
      </c>
      <c r="B35" s="67">
        <v>1</v>
      </c>
      <c r="C35" s="67"/>
      <c r="D35" s="67">
        <f>IF(C70=0,0,INDEX($C$59:$J$59,C70))</f>
        <v>25</v>
      </c>
      <c r="E35" s="67">
        <f>IF(D70=0,0,INDEX($C$59:$J$59,D70))</f>
        <v>40</v>
      </c>
      <c r="F35" s="67">
        <f>E35</f>
        <v>40</v>
      </c>
      <c r="G35" s="67"/>
      <c r="H35" s="67"/>
      <c r="I35" s="67">
        <f>IF(E70=0,0,INDEX($C$59:$J$59,E70))</f>
        <v>98</v>
      </c>
      <c r="J35" s="67">
        <f>IF(F70=0,0,INDEX($C$59:$J$59,F70))</f>
        <v>9</v>
      </c>
      <c r="K35" s="67">
        <f>J35</f>
        <v>9</v>
      </c>
      <c r="L35" s="67"/>
      <c r="M35" s="67"/>
      <c r="N35" s="67">
        <f>IF(G70=0,0,INDEX($C$59:$J$59,G70))</f>
        <v>25</v>
      </c>
      <c r="O35" s="67">
        <f>IF(H70=0,0,INDEX($C$59:$J$59,H70))</f>
        <v>45</v>
      </c>
      <c r="P35" s="67">
        <f>O35</f>
        <v>45</v>
      </c>
      <c r="Q35" s="67"/>
      <c r="R35" s="67"/>
      <c r="S35" s="67">
        <f>IF(I70=0,0,INDEX($C$59:$J$59,I70))</f>
        <v>98</v>
      </c>
      <c r="T35" s="67">
        <f>IF(J70=0,0,INDEX($C$59:$J$59,J70))</f>
        <v>118</v>
      </c>
      <c r="U35" s="67">
        <f>T35</f>
        <v>118</v>
      </c>
      <c r="V35" s="67"/>
    </row>
    <row r="36" spans="1:31" x14ac:dyDescent="0.3">
      <c r="A36" s="59" t="s">
        <v>461</v>
      </c>
      <c r="B36" s="59">
        <v>1</v>
      </c>
      <c r="C36" s="59"/>
      <c r="D36" s="59">
        <f>IF(C70=0,0,INDEX($C$60:$J$60,C70))</f>
        <v>40</v>
      </c>
      <c r="E36" s="59">
        <f>IF(D70=0,0,INDEX($C$60:$J$60,D70))</f>
        <v>98</v>
      </c>
      <c r="F36" s="59">
        <f>E36</f>
        <v>98</v>
      </c>
      <c r="G36" s="59"/>
      <c r="H36" s="59"/>
      <c r="I36" s="59">
        <f>IF(E70=0,0,INDEX($C$60:$J$60,E70))</f>
        <v>9</v>
      </c>
      <c r="J36" s="59">
        <f>IF(F70=0,0,INDEX($C$60:$J$60,F70))</f>
        <v>25</v>
      </c>
      <c r="K36" s="59">
        <f>J36</f>
        <v>25</v>
      </c>
      <c r="L36" s="59"/>
      <c r="M36" s="59"/>
      <c r="N36" s="59">
        <f>IF(G70=0,0,INDEX($C$60:$J$60,G70))</f>
        <v>45</v>
      </c>
      <c r="O36" s="59">
        <f>IF(H70=0,0,INDEX($C$60:$J$60,H70))</f>
        <v>98</v>
      </c>
      <c r="P36" s="59">
        <f>O36</f>
        <v>98</v>
      </c>
      <c r="Q36" s="59"/>
      <c r="R36" s="59"/>
      <c r="S36" s="59">
        <f>IF(I70=0,0,INDEX($C$60:$J$60,I70))</f>
        <v>118</v>
      </c>
      <c r="T36" s="59">
        <f>IF(J70=0,0,INDEX($C$60:$J$60,J70))</f>
        <v>25</v>
      </c>
      <c r="U36" s="59">
        <f>T36</f>
        <v>25</v>
      </c>
      <c r="V36" s="59"/>
    </row>
    <row r="37" spans="1:31" x14ac:dyDescent="0.3">
      <c r="A37" t="s">
        <v>78</v>
      </c>
      <c r="B37">
        <v>1</v>
      </c>
      <c r="D37">
        <v>0</v>
      </c>
      <c r="E37">
        <v>0</v>
      </c>
      <c r="F37">
        <v>0</v>
      </c>
      <c r="I37">
        <v>0</v>
      </c>
      <c r="J37">
        <v>0</v>
      </c>
      <c r="K37">
        <v>0</v>
      </c>
      <c r="N37">
        <v>0</v>
      </c>
      <c r="O37">
        <v>0</v>
      </c>
      <c r="P37">
        <v>0</v>
      </c>
      <c r="S37">
        <v>0</v>
      </c>
      <c r="T37">
        <v>0</v>
      </c>
      <c r="U37">
        <v>0</v>
      </c>
    </row>
    <row r="38" spans="1:31" x14ac:dyDescent="0.3">
      <c r="A38" t="s">
        <v>243</v>
      </c>
      <c r="E38" s="155" t="str">
        <f>'Input sheet'!I26</f>
        <v>SR 85</v>
      </c>
      <c r="J38" s="155" t="str">
        <f>'Input sheet'!I2</f>
        <v>SR 85</v>
      </c>
      <c r="O38" s="155" t="str">
        <f>'Input sheet'!A13</f>
        <v>Ramah Road</v>
      </c>
      <c r="T38" s="155" t="str">
        <f>'Input sheet'!R13</f>
        <v>SR 92</v>
      </c>
    </row>
    <row r="39" spans="1:31" s="156" customFormat="1" x14ac:dyDescent="0.3">
      <c r="A39" s="156" t="s">
        <v>357</v>
      </c>
      <c r="D39" s="156">
        <f>'Phase calculation'!I54</f>
        <v>924</v>
      </c>
      <c r="E39" s="156">
        <f>'Phase calculation'!J54</f>
        <v>1676</v>
      </c>
      <c r="F39" s="156">
        <f>'Phase calculation'!K54</f>
        <v>1425</v>
      </c>
      <c r="I39" s="156">
        <f>'Phase calculation'!L54</f>
        <v>405</v>
      </c>
      <c r="J39" s="156">
        <f>'Phase calculation'!M54</f>
        <v>1676</v>
      </c>
      <c r="K39" s="156">
        <f>'Phase calculation'!N54</f>
        <v>1425</v>
      </c>
      <c r="N39" s="156">
        <f>'Phase calculation'!C54</f>
        <v>607</v>
      </c>
      <c r="O39" s="156">
        <f>'Phase calculation'!D54</f>
        <v>1569</v>
      </c>
      <c r="P39" s="156">
        <f>'Phase calculation'!E54</f>
        <v>392</v>
      </c>
      <c r="S39" s="156">
        <f>'Phase calculation'!F54</f>
        <v>1068</v>
      </c>
      <c r="T39" s="156">
        <f>'Phase calculation'!G54</f>
        <v>1676</v>
      </c>
      <c r="U39" s="156">
        <f>'Phase calculation'!H54</f>
        <v>1425</v>
      </c>
    </row>
    <row r="40" spans="1:31" x14ac:dyDescent="0.3">
      <c r="A40" t="s">
        <v>1</v>
      </c>
      <c r="B40" t="s">
        <v>60</v>
      </c>
      <c r="C40" t="s">
        <v>61</v>
      </c>
      <c r="D40" t="s">
        <v>62</v>
      </c>
      <c r="E40" t="s">
        <v>63</v>
      </c>
      <c r="F40" t="s">
        <v>64</v>
      </c>
      <c r="G40" t="s">
        <v>65</v>
      </c>
      <c r="H40" t="s">
        <v>66</v>
      </c>
      <c r="I40" t="s">
        <v>67</v>
      </c>
      <c r="J40" t="s">
        <v>68</v>
      </c>
      <c r="K40" t="s">
        <v>69</v>
      </c>
      <c r="L40" t="s">
        <v>70</v>
      </c>
      <c r="M40" t="s">
        <v>71</v>
      </c>
    </row>
    <row r="41" spans="1:31" x14ac:dyDescent="0.3">
      <c r="A41">
        <v>1</v>
      </c>
      <c r="B41" s="67">
        <f>'Phase calculation'!C83</f>
        <v>15.4</v>
      </c>
      <c r="C41" s="67">
        <f>'Phase calculation'!D83</f>
        <v>57.5</v>
      </c>
      <c r="D41" s="67">
        <f>'Phase calculation'!E83</f>
        <v>14.5</v>
      </c>
      <c r="E41" s="67">
        <f>'Phase calculation'!F83</f>
        <v>32.6</v>
      </c>
      <c r="F41" s="67">
        <f>'Phase calculation'!C84</f>
        <v>15.7</v>
      </c>
      <c r="G41" s="67">
        <f>'Phase calculation'!D84</f>
        <v>57.2</v>
      </c>
      <c r="H41" s="67">
        <f>'Phase calculation'!E84</f>
        <v>18.7</v>
      </c>
      <c r="I41" s="67">
        <f>'Phase calculation'!F84</f>
        <v>28.4</v>
      </c>
      <c r="J41" s="67">
        <f>IF(SUM(B41:I41)=0,0,'Phase calculation'!C25)</f>
        <v>120</v>
      </c>
      <c r="K41" s="62">
        <v>0</v>
      </c>
      <c r="L41" s="62">
        <v>1357</v>
      </c>
      <c r="M41" s="62">
        <v>0</v>
      </c>
    </row>
    <row r="42" spans="1:31" s="62" customFormat="1" x14ac:dyDescent="0.3">
      <c r="A42" s="200" t="s">
        <v>0</v>
      </c>
      <c r="B42" s="62" t="str">
        <f>Phasing!C29</f>
        <v>INTID</v>
      </c>
      <c r="C42" s="379" t="str">
        <f>Phasing!D29</f>
        <v>D1</v>
      </c>
      <c r="D42" s="379" t="str">
        <f>Phasing!E29</f>
        <v>D2</v>
      </c>
      <c r="E42" s="379" t="str">
        <f>Phasing!F29</f>
        <v>D3</v>
      </c>
      <c r="F42" s="379" t="str">
        <f>Phasing!G29</f>
        <v>D4</v>
      </c>
      <c r="G42" s="379" t="str">
        <f>Phasing!H29</f>
        <v>D5</v>
      </c>
      <c r="H42" s="379" t="str">
        <f>Phasing!I29</f>
        <v>D6</v>
      </c>
      <c r="I42" s="379" t="str">
        <f>Phasing!J29</f>
        <v>D7</v>
      </c>
      <c r="J42" s="379" t="str">
        <f>Phasing!K29</f>
        <v>D8</v>
      </c>
    </row>
    <row r="43" spans="1:31" x14ac:dyDescent="0.3">
      <c r="A43" s="200" t="s">
        <v>254</v>
      </c>
      <c r="B43" s="62">
        <f>Phasing!C30</f>
        <v>1</v>
      </c>
      <c r="C43" s="379">
        <f>Phasing!D30</f>
        <v>111</v>
      </c>
      <c r="D43" s="379">
        <f>Phasing!E30</f>
        <v>112</v>
      </c>
      <c r="E43" s="379">
        <f>Phasing!F30</f>
        <v>211</v>
      </c>
      <c r="F43" s="379">
        <f>Phasing!G30</f>
        <v>212</v>
      </c>
      <c r="G43" s="379">
        <f>Phasing!H30</f>
        <v>121</v>
      </c>
      <c r="H43" s="379">
        <f>Phasing!I30</f>
        <v>122</v>
      </c>
      <c r="I43" s="379">
        <f>Phasing!J30</f>
        <v>221</v>
      </c>
      <c r="J43" s="379">
        <f>Phasing!K30</f>
        <v>222</v>
      </c>
      <c r="O43" s="521" t="s">
        <v>203</v>
      </c>
      <c r="P43" s="521"/>
      <c r="Q43" s="521"/>
      <c r="R43" s="521"/>
      <c r="S43" s="521"/>
      <c r="T43" s="521"/>
      <c r="U43" s="521"/>
      <c r="V43" s="521"/>
    </row>
    <row r="44" spans="1:31" x14ac:dyDescent="0.3">
      <c r="A44" s="200" t="s">
        <v>255</v>
      </c>
      <c r="B44" s="62">
        <f>Phasing!C31</f>
        <v>1</v>
      </c>
      <c r="C44" s="379">
        <f>C45</f>
        <v>9.4</v>
      </c>
      <c r="D44" s="379">
        <f t="shared" ref="D44:J44" si="0">D45</f>
        <v>50.5</v>
      </c>
      <c r="E44" s="379">
        <f t="shared" si="0"/>
        <v>8.5</v>
      </c>
      <c r="F44" s="379">
        <f t="shared" si="0"/>
        <v>25.6</v>
      </c>
      <c r="G44" s="379">
        <f t="shared" si="0"/>
        <v>9.6999999999999993</v>
      </c>
      <c r="H44" s="379">
        <f t="shared" si="0"/>
        <v>50.2</v>
      </c>
      <c r="I44" s="379">
        <f t="shared" si="0"/>
        <v>12.7</v>
      </c>
      <c r="J44" s="379">
        <f t="shared" si="0"/>
        <v>21.4</v>
      </c>
      <c r="O44" s="518" t="s">
        <v>201</v>
      </c>
      <c r="P44" s="518"/>
      <c r="Q44" s="518"/>
      <c r="R44" s="518"/>
      <c r="S44" s="518"/>
      <c r="T44" s="518"/>
      <c r="U44" s="518"/>
      <c r="V44" s="518"/>
      <c r="X44" s="519" t="s">
        <v>239</v>
      </c>
      <c r="Y44" s="519"/>
      <c r="Z44" s="519"/>
      <c r="AA44" s="519"/>
      <c r="AB44" s="519"/>
      <c r="AC44" s="519"/>
      <c r="AD44" s="519"/>
      <c r="AE44" s="519"/>
    </row>
    <row r="45" spans="1:31" ht="15" customHeight="1" x14ac:dyDescent="0.3">
      <c r="A45" s="200" t="s">
        <v>256</v>
      </c>
      <c r="B45" s="62">
        <f>Phasing!C32</f>
        <v>1</v>
      </c>
      <c r="C45" s="379">
        <f>Phasing!D58</f>
        <v>9.4</v>
      </c>
      <c r="D45" s="379">
        <f>Phasing!E58</f>
        <v>50.5</v>
      </c>
      <c r="E45" s="379">
        <f>Phasing!F58</f>
        <v>8.5</v>
      </c>
      <c r="F45" s="379">
        <f>Phasing!G58</f>
        <v>25.6</v>
      </c>
      <c r="G45" s="379">
        <f>Phasing!H58</f>
        <v>9.6999999999999993</v>
      </c>
      <c r="H45" s="379">
        <f>Phasing!I58</f>
        <v>50.2</v>
      </c>
      <c r="I45" s="379">
        <f>Phasing!J58</f>
        <v>12.7</v>
      </c>
      <c r="J45" s="379">
        <f>Phasing!K58</f>
        <v>21.4</v>
      </c>
      <c r="O45" s="98" t="s">
        <v>202</v>
      </c>
      <c r="P45" s="98"/>
      <c r="Q45" s="98"/>
      <c r="R45" s="98"/>
      <c r="S45" s="98"/>
      <c r="T45" s="98"/>
      <c r="U45" s="98"/>
      <c r="V45" s="99"/>
      <c r="X45" s="519"/>
      <c r="Y45" s="519"/>
      <c r="Z45" s="519"/>
      <c r="AA45" s="519"/>
      <c r="AB45" s="519"/>
      <c r="AC45" s="519"/>
      <c r="AD45" s="519"/>
      <c r="AE45" s="519"/>
    </row>
    <row r="46" spans="1:31" x14ac:dyDescent="0.3">
      <c r="A46" s="200" t="s">
        <v>257</v>
      </c>
      <c r="B46" s="62">
        <f>Phasing!C33</f>
        <v>1</v>
      </c>
      <c r="C46" s="379">
        <f>Phasing!D33</f>
        <v>3</v>
      </c>
      <c r="D46" s="379">
        <f>Phasing!E33</f>
        <v>6</v>
      </c>
      <c r="E46" s="379">
        <f>Phasing!F33</f>
        <v>3</v>
      </c>
      <c r="F46" s="379">
        <f>Phasing!G33</f>
        <v>3</v>
      </c>
      <c r="G46" s="379">
        <f>Phasing!H33</f>
        <v>3</v>
      </c>
      <c r="H46" s="379">
        <f>Phasing!I33</f>
        <v>6</v>
      </c>
      <c r="I46" s="379">
        <f>Phasing!J33</f>
        <v>3</v>
      </c>
      <c r="J46" s="379">
        <f>Phasing!K33</f>
        <v>3</v>
      </c>
      <c r="P46" s="97"/>
      <c r="Q46" s="97"/>
      <c r="R46" s="97"/>
      <c r="S46" s="97"/>
      <c r="T46" s="97"/>
      <c r="U46" s="97"/>
      <c r="X46" s="519"/>
      <c r="Y46" s="519"/>
      <c r="Z46" s="519"/>
      <c r="AA46" s="519"/>
      <c r="AB46" s="519"/>
      <c r="AC46" s="519"/>
      <c r="AD46" s="519"/>
      <c r="AE46" s="519"/>
    </row>
    <row r="47" spans="1:31" ht="15" customHeight="1" x14ac:dyDescent="0.3">
      <c r="A47" s="200" t="s">
        <v>258</v>
      </c>
      <c r="B47" s="62">
        <f>Phasing!C34</f>
        <v>1</v>
      </c>
      <c r="C47" s="379">
        <f>Phasing!D34</f>
        <v>0</v>
      </c>
      <c r="D47" s="379">
        <f>Phasing!E34</f>
        <v>0</v>
      </c>
      <c r="E47" s="379">
        <f>Phasing!F34</f>
        <v>0</v>
      </c>
      <c r="F47" s="379">
        <f>Phasing!G34</f>
        <v>0</v>
      </c>
      <c r="G47" s="379">
        <f>Phasing!H34</f>
        <v>0</v>
      </c>
      <c r="H47" s="379">
        <f>Phasing!I34</f>
        <v>0</v>
      </c>
      <c r="I47" s="379">
        <f>Phasing!J34</f>
        <v>0</v>
      </c>
      <c r="J47" s="379">
        <f>Phasing!K34</f>
        <v>0</v>
      </c>
      <c r="O47" s="520" t="s">
        <v>222</v>
      </c>
      <c r="P47" s="520"/>
      <c r="Q47" s="520"/>
      <c r="R47" s="520"/>
      <c r="S47" s="520"/>
      <c r="T47" s="520"/>
      <c r="U47" s="520"/>
      <c r="V47" s="520"/>
      <c r="X47" s="519"/>
      <c r="Y47" s="519"/>
      <c r="Z47" s="519"/>
      <c r="AA47" s="519"/>
      <c r="AB47" s="519"/>
      <c r="AC47" s="519"/>
      <c r="AD47" s="519"/>
      <c r="AE47" s="519"/>
    </row>
    <row r="48" spans="1:31" x14ac:dyDescent="0.3">
      <c r="A48" s="200" t="s">
        <v>259</v>
      </c>
      <c r="B48" s="62">
        <f>Phasing!C35</f>
        <v>1</v>
      </c>
      <c r="C48" s="379">
        <f>Phasing!D35</f>
        <v>0</v>
      </c>
      <c r="D48" s="379">
        <f>Phasing!E35</f>
        <v>0</v>
      </c>
      <c r="E48" s="379">
        <f>Phasing!F35</f>
        <v>0</v>
      </c>
      <c r="F48" s="379">
        <f>Phasing!G35</f>
        <v>0</v>
      </c>
      <c r="G48" s="379">
        <f>Phasing!H35</f>
        <v>0</v>
      </c>
      <c r="H48" s="379">
        <f>Phasing!I35</f>
        <v>0</v>
      </c>
      <c r="I48" s="379">
        <f>Phasing!J35</f>
        <v>0</v>
      </c>
      <c r="J48" s="379">
        <f>Phasing!K35</f>
        <v>0</v>
      </c>
      <c r="O48" s="520"/>
      <c r="P48" s="520"/>
      <c r="Q48" s="520"/>
      <c r="R48" s="520"/>
      <c r="S48" s="520"/>
      <c r="T48" s="520"/>
      <c r="U48" s="520"/>
      <c r="V48" s="520"/>
      <c r="X48" s="519"/>
      <c r="Y48" s="519"/>
      <c r="Z48" s="519"/>
      <c r="AA48" s="519"/>
      <c r="AB48" s="519"/>
      <c r="AC48" s="519"/>
      <c r="AD48" s="519"/>
      <c r="AE48" s="519"/>
    </row>
    <row r="49" spans="1:22" x14ac:dyDescent="0.3">
      <c r="A49" s="200" t="s">
        <v>260</v>
      </c>
      <c r="B49" s="62">
        <f>Phasing!C36</f>
        <v>1</v>
      </c>
      <c r="C49" s="379">
        <f>Phasing!D36</f>
        <v>3</v>
      </c>
      <c r="D49" s="379">
        <f>Phasing!E36</f>
        <v>3</v>
      </c>
      <c r="E49" s="379">
        <f>Phasing!F36</f>
        <v>3</v>
      </c>
      <c r="F49" s="379">
        <f>Phasing!G36</f>
        <v>3</v>
      </c>
      <c r="G49" s="379">
        <f>Phasing!H36</f>
        <v>3</v>
      </c>
      <c r="H49" s="379">
        <f>Phasing!I36</f>
        <v>3</v>
      </c>
      <c r="I49" s="379">
        <f>Phasing!J36</f>
        <v>3</v>
      </c>
      <c r="J49" s="379">
        <f>Phasing!K36</f>
        <v>3</v>
      </c>
      <c r="O49" s="520"/>
      <c r="P49" s="520"/>
      <c r="Q49" s="520"/>
      <c r="R49" s="520"/>
      <c r="S49" s="520"/>
      <c r="T49" s="520"/>
      <c r="U49" s="520"/>
      <c r="V49" s="520"/>
    </row>
    <row r="50" spans="1:22" x14ac:dyDescent="0.3">
      <c r="A50" s="200" t="s">
        <v>261</v>
      </c>
      <c r="B50" s="62">
        <f>Phasing!C37</f>
        <v>1</v>
      </c>
      <c r="C50" s="379">
        <f>Phasing!D37</f>
        <v>4</v>
      </c>
      <c r="D50" s="379">
        <f>Phasing!E37</f>
        <v>5</v>
      </c>
      <c r="E50" s="379">
        <f>Phasing!F37</f>
        <v>4</v>
      </c>
      <c r="F50" s="379">
        <f>Phasing!G37</f>
        <v>5</v>
      </c>
      <c r="G50" s="379">
        <f>Phasing!H37</f>
        <v>4</v>
      </c>
      <c r="H50" s="379">
        <f>Phasing!I37</f>
        <v>5</v>
      </c>
      <c r="I50" s="379">
        <f>Phasing!J37</f>
        <v>4</v>
      </c>
      <c r="J50" s="379">
        <f>Phasing!K37</f>
        <v>5</v>
      </c>
      <c r="O50" s="520"/>
      <c r="P50" s="520"/>
      <c r="Q50" s="520"/>
      <c r="R50" s="520"/>
      <c r="S50" s="520"/>
      <c r="T50" s="520"/>
      <c r="U50" s="520"/>
      <c r="V50" s="520"/>
    </row>
    <row r="51" spans="1:22" x14ac:dyDescent="0.3">
      <c r="A51" s="200" t="s">
        <v>262</v>
      </c>
      <c r="B51" s="62">
        <f>Phasing!C38</f>
        <v>1</v>
      </c>
      <c r="C51" s="379">
        <f>Phasing!D38</f>
        <v>2</v>
      </c>
      <c r="D51" s="379">
        <f>Phasing!E38</f>
        <v>2</v>
      </c>
      <c r="E51" s="379">
        <f>Phasing!F38</f>
        <v>2</v>
      </c>
      <c r="F51" s="379">
        <f>Phasing!G38</f>
        <v>2</v>
      </c>
      <c r="G51" s="379">
        <f>Phasing!H38</f>
        <v>2</v>
      </c>
      <c r="H51" s="379">
        <f>Phasing!I38</f>
        <v>2</v>
      </c>
      <c r="I51" s="379">
        <f>Phasing!J38</f>
        <v>2</v>
      </c>
      <c r="J51" s="379">
        <f>Phasing!K38</f>
        <v>2</v>
      </c>
      <c r="O51" s="520"/>
      <c r="P51" s="520"/>
      <c r="Q51" s="520"/>
      <c r="R51" s="520"/>
      <c r="S51" s="520"/>
      <c r="T51" s="520"/>
      <c r="U51" s="520"/>
      <c r="V51" s="520"/>
    </row>
    <row r="52" spans="1:22" x14ac:dyDescent="0.3">
      <c r="A52" s="200" t="s">
        <v>263</v>
      </c>
      <c r="B52" s="62">
        <f>Phasing!C39</f>
        <v>1</v>
      </c>
      <c r="C52" s="379">
        <f>Phasing!D39</f>
        <v>0</v>
      </c>
      <c r="D52" s="379">
        <f>Phasing!E39</f>
        <v>3</v>
      </c>
      <c r="E52" s="379">
        <f>Phasing!F39</f>
        <v>0</v>
      </c>
      <c r="F52" s="379">
        <f>Phasing!G39</f>
        <v>0</v>
      </c>
      <c r="G52" s="379">
        <f>Phasing!H39</f>
        <v>0</v>
      </c>
      <c r="H52" s="379">
        <f>Phasing!I39</f>
        <v>3</v>
      </c>
      <c r="I52" s="379">
        <f>Phasing!J39</f>
        <v>0</v>
      </c>
      <c r="J52" s="379">
        <f>Phasing!K39</f>
        <v>0</v>
      </c>
      <c r="O52" s="520"/>
      <c r="P52" s="520"/>
      <c r="Q52" s="520"/>
      <c r="R52" s="520"/>
      <c r="S52" s="520"/>
      <c r="T52" s="520"/>
      <c r="U52" s="520"/>
      <c r="V52" s="520"/>
    </row>
    <row r="53" spans="1:22" x14ac:dyDescent="0.3">
      <c r="A53" s="200" t="s">
        <v>264</v>
      </c>
      <c r="B53" s="62">
        <f>Phasing!C40</f>
        <v>1</v>
      </c>
      <c r="C53" s="379">
        <f>Phasing!D40</f>
        <v>0</v>
      </c>
      <c r="D53" s="379">
        <f>Phasing!E40</f>
        <v>0</v>
      </c>
      <c r="E53" s="379">
        <f>Phasing!F40</f>
        <v>0</v>
      </c>
      <c r="F53" s="379">
        <f>Phasing!G40</f>
        <v>0</v>
      </c>
      <c r="G53" s="379">
        <f>Phasing!H40</f>
        <v>0</v>
      </c>
      <c r="H53" s="379">
        <f>Phasing!I40</f>
        <v>0</v>
      </c>
      <c r="I53" s="379">
        <f>Phasing!J40</f>
        <v>0</v>
      </c>
      <c r="J53" s="379">
        <f>Phasing!K40</f>
        <v>0</v>
      </c>
      <c r="O53" s="520"/>
      <c r="P53" s="520"/>
      <c r="Q53" s="520"/>
      <c r="R53" s="520"/>
      <c r="S53" s="520"/>
      <c r="T53" s="520"/>
      <c r="U53" s="520"/>
      <c r="V53" s="520"/>
    </row>
    <row r="54" spans="1:22" x14ac:dyDescent="0.3">
      <c r="A54" s="200" t="s">
        <v>265</v>
      </c>
      <c r="B54" s="62">
        <f>Phasing!C41</f>
        <v>1</v>
      </c>
      <c r="C54" s="379">
        <f>Phasing!D41</f>
        <v>0</v>
      </c>
      <c r="D54" s="379">
        <f>Phasing!E41</f>
        <v>0</v>
      </c>
      <c r="E54" s="379">
        <f>Phasing!F41</f>
        <v>0</v>
      </c>
      <c r="F54" s="379">
        <f>Phasing!G41</f>
        <v>0</v>
      </c>
      <c r="G54" s="379">
        <f>Phasing!H41</f>
        <v>0</v>
      </c>
      <c r="H54" s="379">
        <f>Phasing!I41</f>
        <v>0</v>
      </c>
      <c r="I54" s="379">
        <f>Phasing!J41</f>
        <v>0</v>
      </c>
      <c r="J54" s="379">
        <f>Phasing!K41</f>
        <v>0</v>
      </c>
      <c r="O54" s="520"/>
      <c r="P54" s="520"/>
      <c r="Q54" s="520"/>
      <c r="R54" s="520"/>
      <c r="S54" s="520"/>
      <c r="T54" s="520"/>
      <c r="U54" s="520"/>
      <c r="V54" s="520"/>
    </row>
    <row r="55" spans="1:22" x14ac:dyDescent="0.3">
      <c r="A55" s="200" t="s">
        <v>266</v>
      </c>
      <c r="B55" s="62">
        <f>Phasing!C42</f>
        <v>1</v>
      </c>
      <c r="C55" s="379">
        <f>Phasing!D42</f>
        <v>0</v>
      </c>
      <c r="D55" s="379">
        <f>Phasing!E42</f>
        <v>0</v>
      </c>
      <c r="E55" s="379">
        <f>Phasing!F42</f>
        <v>0</v>
      </c>
      <c r="F55" s="379">
        <f>Phasing!G42</f>
        <v>0</v>
      </c>
      <c r="G55" s="379">
        <f>Phasing!H42</f>
        <v>0</v>
      </c>
      <c r="H55" s="379">
        <f>Phasing!I42</f>
        <v>0</v>
      </c>
      <c r="I55" s="379">
        <f>Phasing!J42</f>
        <v>0</v>
      </c>
      <c r="J55" s="379">
        <f>Phasing!K42</f>
        <v>0</v>
      </c>
      <c r="O55" s="520"/>
      <c r="P55" s="520"/>
      <c r="Q55" s="520"/>
      <c r="R55" s="520"/>
      <c r="S55" s="520"/>
      <c r="T55" s="520"/>
      <c r="U55" s="520"/>
      <c r="V55" s="520"/>
    </row>
    <row r="56" spans="1:22" x14ac:dyDescent="0.3">
      <c r="A56" s="200" t="s">
        <v>267</v>
      </c>
      <c r="B56" s="62">
        <f>Phasing!C43</f>
        <v>1</v>
      </c>
      <c r="C56" s="379">
        <f>Phasing!D43</f>
        <v>15</v>
      </c>
      <c r="D56" s="379">
        <f>Phasing!E43</f>
        <v>22</v>
      </c>
      <c r="E56" s="379">
        <f>Phasing!F43</f>
        <v>15</v>
      </c>
      <c r="F56" s="379">
        <f>Phasing!G43</f>
        <v>15</v>
      </c>
      <c r="G56" s="379">
        <f>Phasing!H43</f>
        <v>15</v>
      </c>
      <c r="H56" s="379">
        <f>Phasing!I43</f>
        <v>22</v>
      </c>
      <c r="I56" s="379">
        <f>Phasing!J43</f>
        <v>15</v>
      </c>
      <c r="J56" s="379">
        <f>Phasing!K43</f>
        <v>15</v>
      </c>
    </row>
    <row r="57" spans="1:22" x14ac:dyDescent="0.3">
      <c r="A57" s="200" t="s">
        <v>268</v>
      </c>
      <c r="B57" s="62">
        <f>Phasing!C44</f>
        <v>1</v>
      </c>
      <c r="C57" s="379">
        <f>Phasing!D44</f>
        <v>0</v>
      </c>
      <c r="D57" s="379">
        <f>Phasing!E44</f>
        <v>1</v>
      </c>
      <c r="E57" s="379">
        <f>Phasing!F44</f>
        <v>0</v>
      </c>
      <c r="F57" s="379">
        <f>Phasing!G44</f>
        <v>1</v>
      </c>
      <c r="G57" s="379">
        <f>Phasing!H44</f>
        <v>0</v>
      </c>
      <c r="H57" s="379">
        <f>Phasing!I44</f>
        <v>1</v>
      </c>
      <c r="I57" s="379">
        <f>Phasing!J44</f>
        <v>0</v>
      </c>
      <c r="J57" s="379">
        <f>Phasing!K44</f>
        <v>1</v>
      </c>
    </row>
    <row r="58" spans="1:22" x14ac:dyDescent="0.3">
      <c r="A58" s="200" t="s">
        <v>269</v>
      </c>
      <c r="B58" s="62">
        <f>Phasing!C45</f>
        <v>1</v>
      </c>
      <c r="C58" s="379">
        <f>Phasing!D45</f>
        <v>1</v>
      </c>
      <c r="D58" s="379">
        <f>Phasing!E45</f>
        <v>1</v>
      </c>
      <c r="E58" s="379">
        <f>Phasing!F45</f>
        <v>1</v>
      </c>
      <c r="F58" s="379">
        <f>Phasing!G45</f>
        <v>1</v>
      </c>
      <c r="G58" s="379">
        <f>Phasing!H45</f>
        <v>1</v>
      </c>
      <c r="H58" s="379">
        <f>Phasing!I45</f>
        <v>1</v>
      </c>
      <c r="I58" s="379">
        <f>Phasing!J45</f>
        <v>1</v>
      </c>
      <c r="J58" s="379">
        <f>Phasing!K45</f>
        <v>1</v>
      </c>
    </row>
    <row r="59" spans="1:22" x14ac:dyDescent="0.3">
      <c r="A59" s="200" t="s">
        <v>270</v>
      </c>
      <c r="B59" s="62">
        <f>Phasing!C46</f>
        <v>1</v>
      </c>
      <c r="C59" s="379">
        <f>Phasing!D46</f>
        <v>25</v>
      </c>
      <c r="D59" s="379">
        <f>Phasing!E46</f>
        <v>40</v>
      </c>
      <c r="E59" s="379">
        <f>Phasing!F46</f>
        <v>98</v>
      </c>
      <c r="F59" s="379">
        <f>Phasing!G46</f>
        <v>9</v>
      </c>
      <c r="G59" s="379">
        <f>Phasing!H46</f>
        <v>25</v>
      </c>
      <c r="H59" s="379">
        <f>Phasing!I46</f>
        <v>45</v>
      </c>
      <c r="I59" s="379">
        <f>Phasing!J46</f>
        <v>98</v>
      </c>
      <c r="J59" s="379">
        <f>Phasing!K46</f>
        <v>118</v>
      </c>
    </row>
    <row r="60" spans="1:22" x14ac:dyDescent="0.3">
      <c r="A60" s="200" t="s">
        <v>271</v>
      </c>
      <c r="B60" s="62">
        <f>Phasing!C47</f>
        <v>1</v>
      </c>
      <c r="C60" s="379">
        <f>Phasing!D47</f>
        <v>40</v>
      </c>
      <c r="D60" s="379">
        <f>Phasing!E47</f>
        <v>98</v>
      </c>
      <c r="E60" s="379">
        <f>Phasing!F47</f>
        <v>9</v>
      </c>
      <c r="F60" s="379">
        <f>Phasing!G47</f>
        <v>25</v>
      </c>
      <c r="G60" s="379">
        <f>Phasing!H47</f>
        <v>45</v>
      </c>
      <c r="H60" s="379">
        <f>Phasing!I47</f>
        <v>98</v>
      </c>
      <c r="I60" s="379">
        <f>Phasing!J47</f>
        <v>118</v>
      </c>
      <c r="J60" s="379">
        <f>Phasing!K47</f>
        <v>25</v>
      </c>
    </row>
    <row r="61" spans="1:22" x14ac:dyDescent="0.3">
      <c r="A61" s="200" t="s">
        <v>272</v>
      </c>
      <c r="B61" s="62">
        <f>Phasing!C48</f>
        <v>1</v>
      </c>
      <c r="C61" s="379">
        <f>Phasing!D48</f>
        <v>34</v>
      </c>
      <c r="D61" s="379">
        <f>Phasing!E48</f>
        <v>91</v>
      </c>
      <c r="E61" s="379">
        <f>Phasing!F48</f>
        <v>3</v>
      </c>
      <c r="F61" s="379">
        <f>Phasing!G48</f>
        <v>18</v>
      </c>
      <c r="G61" s="379">
        <f>Phasing!H48</f>
        <v>39</v>
      </c>
      <c r="H61" s="379">
        <f>Phasing!I48</f>
        <v>91</v>
      </c>
      <c r="I61" s="379">
        <f>Phasing!J48</f>
        <v>112</v>
      </c>
      <c r="J61" s="379">
        <f>Phasing!K48</f>
        <v>18</v>
      </c>
    </row>
    <row r="62" spans="1:22" x14ac:dyDescent="0.3">
      <c r="A62" s="200" t="s">
        <v>273</v>
      </c>
      <c r="B62" s="62">
        <f>Phasing!C49</f>
        <v>1</v>
      </c>
      <c r="C62" s="379">
        <f>Phasing!D49</f>
        <v>34</v>
      </c>
      <c r="D62" s="379">
        <f>Phasing!E49</f>
        <v>91</v>
      </c>
      <c r="E62" s="379">
        <f>Phasing!F49</f>
        <v>3</v>
      </c>
      <c r="F62" s="379">
        <f>Phasing!G49</f>
        <v>18</v>
      </c>
      <c r="G62" s="379">
        <f>Phasing!H49</f>
        <v>39</v>
      </c>
      <c r="H62" s="379">
        <f>Phasing!I49</f>
        <v>91</v>
      </c>
      <c r="I62" s="379">
        <f>Phasing!J49</f>
        <v>112</v>
      </c>
      <c r="J62" s="379">
        <f>Phasing!K49</f>
        <v>18</v>
      </c>
    </row>
    <row r="63" spans="1:22" x14ac:dyDescent="0.3">
      <c r="A63" s="200" t="s">
        <v>274</v>
      </c>
      <c r="B63" s="62">
        <f>Phasing!C50</f>
        <v>1</v>
      </c>
      <c r="C63" s="379">
        <f>Phasing!D50</f>
        <v>105</v>
      </c>
      <c r="D63" s="379">
        <f>Phasing!E50</f>
        <v>0</v>
      </c>
      <c r="E63" s="379">
        <f>Phasing!F50</f>
        <v>58</v>
      </c>
      <c r="F63" s="379">
        <f>Phasing!G50</f>
        <v>89</v>
      </c>
      <c r="G63" s="379">
        <f>Phasing!H50</f>
        <v>105</v>
      </c>
      <c r="H63" s="379">
        <f>Phasing!I50</f>
        <v>5</v>
      </c>
      <c r="I63" s="379">
        <f>Phasing!J50</f>
        <v>58</v>
      </c>
      <c r="J63" s="379">
        <f>Phasing!K50</f>
        <v>78</v>
      </c>
    </row>
    <row r="64" spans="1:22" x14ac:dyDescent="0.3">
      <c r="A64" s="200" t="s">
        <v>275</v>
      </c>
      <c r="B64" s="62">
        <f>Phasing!C51</f>
        <v>1</v>
      </c>
      <c r="C64" s="379">
        <f>Phasing!D51</f>
        <v>114</v>
      </c>
      <c r="D64" s="379">
        <f>Phasing!E51</f>
        <v>51</v>
      </c>
      <c r="E64" s="379">
        <f>Phasing!F51</f>
        <v>83</v>
      </c>
      <c r="F64" s="379">
        <f>Phasing!G51</f>
        <v>98</v>
      </c>
      <c r="G64" s="379">
        <f>Phasing!H51</f>
        <v>119</v>
      </c>
      <c r="H64" s="379">
        <f>Phasing!I51</f>
        <v>51</v>
      </c>
      <c r="I64" s="379">
        <f>Phasing!J51</f>
        <v>72</v>
      </c>
      <c r="J64" s="379">
        <f>Phasing!K51</f>
        <v>98</v>
      </c>
    </row>
    <row r="65" spans="1:21" x14ac:dyDescent="0.3">
      <c r="A65" s="200" t="s">
        <v>276</v>
      </c>
      <c r="B65" s="62">
        <f>Phasing!C52</f>
        <v>1</v>
      </c>
      <c r="C65" s="379">
        <f>Phasing!D52</f>
        <v>114</v>
      </c>
      <c r="D65" s="379">
        <f>Phasing!E52</f>
        <v>51</v>
      </c>
      <c r="E65" s="379">
        <f>Phasing!F52</f>
        <v>83</v>
      </c>
      <c r="F65" s="379">
        <f>Phasing!G52</f>
        <v>98</v>
      </c>
      <c r="G65" s="379">
        <f>Phasing!H52</f>
        <v>119</v>
      </c>
      <c r="H65" s="379">
        <f>Phasing!I52</f>
        <v>51</v>
      </c>
      <c r="I65" s="379">
        <f>Phasing!J52</f>
        <v>72</v>
      </c>
      <c r="J65" s="379">
        <f>Phasing!K52</f>
        <v>98</v>
      </c>
    </row>
    <row r="66" spans="1:21" s="156" customFormat="1" x14ac:dyDescent="0.3">
      <c r="A66" s="294" t="s">
        <v>358</v>
      </c>
      <c r="D66" s="156">
        <f>'Phase calculation'!I55</f>
        <v>8.0833333333333326E-2</v>
      </c>
      <c r="E66" s="156">
        <f>'Phase calculation'!J55</f>
        <v>0.42083333333333334</v>
      </c>
      <c r="F66" s="156">
        <f>'Phase calculation'!K55</f>
        <v>0.42083333333333334</v>
      </c>
      <c r="I66" s="156">
        <f>'Phase calculation'!L55</f>
        <v>7.8333333333333338E-2</v>
      </c>
      <c r="J66" s="156">
        <f>'Phase calculation'!M55</f>
        <v>0.41833333333333333</v>
      </c>
      <c r="K66" s="156">
        <f>'Phase calculation'!N55</f>
        <v>0.41833333333333333</v>
      </c>
      <c r="N66" s="156">
        <f>'Phase calculation'!C55</f>
        <v>0.10583333333333332</v>
      </c>
      <c r="O66" s="156">
        <f>'Phase calculation'!D55</f>
        <v>0.21333333333333335</v>
      </c>
      <c r="P66" s="156">
        <f>'Phase calculation'!E55</f>
        <v>0.23833333333333334</v>
      </c>
      <c r="S66" s="156">
        <f>'Phase calculation'!F55</f>
        <v>7.0833333333333331E-2</v>
      </c>
      <c r="T66" s="156">
        <f>'Phase calculation'!G55</f>
        <v>0.17833333333333332</v>
      </c>
      <c r="U66" s="156">
        <f>'Phase calculation'!H55</f>
        <v>0.17833333333333332</v>
      </c>
    </row>
    <row r="67" spans="1:21" x14ac:dyDescent="0.3">
      <c r="A67" s="522" t="s">
        <v>73</v>
      </c>
      <c r="B67" s="522"/>
      <c r="C67" s="378" t="str">
        <f>'Summary sheet'!G92</f>
        <v>SBL</v>
      </c>
      <c r="D67" s="378" t="str">
        <f>'Summary sheet'!H92</f>
        <v>NBT</v>
      </c>
      <c r="E67" s="378" t="str">
        <f>'Summary sheet'!I92</f>
        <v>WBL</v>
      </c>
      <c r="F67" s="378" t="str">
        <f>'Summary sheet'!J92</f>
        <v>EBT</v>
      </c>
      <c r="G67" s="378" t="str">
        <f>'Summary sheet'!K92</f>
        <v>NBL</v>
      </c>
      <c r="H67" s="378" t="str">
        <f>'Summary sheet'!L92</f>
        <v>SBT</v>
      </c>
      <c r="I67" s="378" t="str">
        <f>'Summary sheet'!M92</f>
        <v>EBL</v>
      </c>
      <c r="J67" s="378" t="str">
        <f>'Summary sheet'!N92</f>
        <v>WBT</v>
      </c>
    </row>
    <row r="68" spans="1:21" x14ac:dyDescent="0.3">
      <c r="A68" s="522" t="s">
        <v>464</v>
      </c>
      <c r="B68" s="522"/>
      <c r="C68" s="378" t="str">
        <f>IF(AND(C70&gt;0,C70=H70),"X","")</f>
        <v/>
      </c>
      <c r="D68" s="378"/>
      <c r="E68" s="378" t="str">
        <f>IF(AND(E70&gt;0,E70=J70),"X","")</f>
        <v/>
      </c>
      <c r="F68" s="378"/>
      <c r="G68" s="378" t="str">
        <f>IF(AND(G70&gt;0,G70=D70),"X","")</f>
        <v/>
      </c>
      <c r="H68" s="378"/>
      <c r="I68" s="378" t="str">
        <f>IF(AND(I70&gt;0,I70=F70),"X","")</f>
        <v/>
      </c>
      <c r="J68" s="378"/>
    </row>
    <row r="69" spans="1:21" x14ac:dyDescent="0.3">
      <c r="A69" s="522" t="s">
        <v>462</v>
      </c>
      <c r="B69" s="522"/>
      <c r="C69" s="378" t="str">
        <f>IF(C67="Not used",H67,C67)</f>
        <v>SBL</v>
      </c>
      <c r="D69" s="378" t="str">
        <f>D67</f>
        <v>NBT</v>
      </c>
      <c r="E69" s="378" t="str">
        <f>IF(E67="Not used",J67,E67)</f>
        <v>WBL</v>
      </c>
      <c r="F69" s="378" t="str">
        <f>F67</f>
        <v>EBT</v>
      </c>
      <c r="G69" s="378" t="str">
        <f>IF(G67="Not used",D67,G67)</f>
        <v>NBL</v>
      </c>
      <c r="H69" s="378" t="str">
        <f>H67</f>
        <v>SBT</v>
      </c>
      <c r="I69" s="378" t="str">
        <f>IF(I67="Not used",F67,I67)</f>
        <v>EBL</v>
      </c>
      <c r="J69" s="378" t="str">
        <f>J67</f>
        <v>WBT</v>
      </c>
      <c r="O69" t="s">
        <v>4</v>
      </c>
      <c r="P69" t="s">
        <v>3</v>
      </c>
    </row>
    <row r="70" spans="1:21" x14ac:dyDescent="0.3">
      <c r="C70" s="378">
        <f t="shared" ref="C70:J70" si="1">IFERROR(MATCH(C69,$C$67:$J$67,0),0)</f>
        <v>1</v>
      </c>
      <c r="D70" s="378">
        <f t="shared" si="1"/>
        <v>2</v>
      </c>
      <c r="E70" s="378">
        <f t="shared" si="1"/>
        <v>3</v>
      </c>
      <c r="F70" s="378">
        <f t="shared" si="1"/>
        <v>4</v>
      </c>
      <c r="G70" s="378">
        <f t="shared" si="1"/>
        <v>5</v>
      </c>
      <c r="H70" s="378">
        <f t="shared" si="1"/>
        <v>6</v>
      </c>
      <c r="I70" s="378">
        <f t="shared" si="1"/>
        <v>7</v>
      </c>
      <c r="J70" s="378">
        <f t="shared" si="1"/>
        <v>8</v>
      </c>
      <c r="O70" t="s">
        <v>9</v>
      </c>
      <c r="P70" t="s">
        <v>8</v>
      </c>
    </row>
    <row r="71" spans="1:21" x14ac:dyDescent="0.3">
      <c r="A71" t="s">
        <v>465</v>
      </c>
      <c r="C71" s="378">
        <f t="shared" ref="C71:J71" si="2">IF(C67="Not used",0,MATCH(C77,$D$1:$U$1,0))</f>
        <v>6</v>
      </c>
      <c r="D71" s="378">
        <f t="shared" si="2"/>
        <v>2</v>
      </c>
      <c r="E71" s="378">
        <f t="shared" si="2"/>
        <v>16</v>
      </c>
      <c r="F71" s="378">
        <f t="shared" si="2"/>
        <v>12</v>
      </c>
      <c r="G71" s="378">
        <f t="shared" si="2"/>
        <v>1</v>
      </c>
      <c r="H71" s="378">
        <f t="shared" si="2"/>
        <v>7</v>
      </c>
      <c r="I71" s="378">
        <f t="shared" si="2"/>
        <v>11</v>
      </c>
      <c r="J71" s="378">
        <f t="shared" si="2"/>
        <v>17</v>
      </c>
      <c r="O71" t="s">
        <v>14</v>
      </c>
      <c r="P71" t="s">
        <v>13</v>
      </c>
    </row>
    <row r="72" spans="1:21" x14ac:dyDescent="0.3">
      <c r="A72" s="523" t="s">
        <v>466</v>
      </c>
      <c r="B72" s="523"/>
      <c r="C72" s="294">
        <f>IF(C71=0,0,INDEX($D$17:$U$17,1,C71))</f>
        <v>9.4</v>
      </c>
      <c r="D72" s="381">
        <f t="shared" ref="D72:J72" si="3">IF(D71=0,0,INDEX($D$17:$U$17,1,D71))</f>
        <v>50.5</v>
      </c>
      <c r="E72" s="381">
        <f t="shared" si="3"/>
        <v>8.5</v>
      </c>
      <c r="F72" s="381">
        <f t="shared" si="3"/>
        <v>25.6</v>
      </c>
      <c r="G72" s="381">
        <f t="shared" si="3"/>
        <v>9.6999999999999993</v>
      </c>
      <c r="H72" s="381">
        <f t="shared" si="3"/>
        <v>50.2</v>
      </c>
      <c r="I72" s="381">
        <f t="shared" si="3"/>
        <v>12.7</v>
      </c>
      <c r="J72" s="381">
        <f t="shared" si="3"/>
        <v>21.4</v>
      </c>
      <c r="O72" t="s">
        <v>19</v>
      </c>
      <c r="P72" t="s">
        <v>18</v>
      </c>
    </row>
    <row r="73" spans="1:21" x14ac:dyDescent="0.3">
      <c r="A73" s="515" t="s">
        <v>467</v>
      </c>
      <c r="B73" s="515"/>
      <c r="C73" s="296">
        <f>C59</f>
        <v>25</v>
      </c>
      <c r="D73" s="296">
        <f t="shared" ref="D73:J73" si="4">D59</f>
        <v>40</v>
      </c>
      <c r="E73" s="296">
        <f t="shared" si="4"/>
        <v>98</v>
      </c>
      <c r="F73" s="296">
        <f t="shared" si="4"/>
        <v>9</v>
      </c>
      <c r="G73" s="296">
        <f t="shared" si="4"/>
        <v>25</v>
      </c>
      <c r="H73" s="296">
        <f t="shared" si="4"/>
        <v>45</v>
      </c>
      <c r="I73" s="296">
        <f t="shared" si="4"/>
        <v>98</v>
      </c>
      <c r="J73" s="296">
        <f t="shared" si="4"/>
        <v>118</v>
      </c>
      <c r="O73" t="s">
        <v>470</v>
      </c>
      <c r="P73">
        <v>0</v>
      </c>
    </row>
    <row r="74" spans="1:21" x14ac:dyDescent="0.3">
      <c r="A74" s="516" t="s">
        <v>468</v>
      </c>
      <c r="B74" s="516"/>
      <c r="C74" s="380">
        <f>C73+C72</f>
        <v>34.4</v>
      </c>
      <c r="D74" s="380">
        <f t="shared" ref="D74:J74" si="5">D73+D72</f>
        <v>90.5</v>
      </c>
      <c r="E74" s="380">
        <f t="shared" si="5"/>
        <v>106.5</v>
      </c>
      <c r="F74" s="380">
        <f t="shared" si="5"/>
        <v>34.6</v>
      </c>
      <c r="G74" s="380">
        <f t="shared" si="5"/>
        <v>34.700000000000003</v>
      </c>
      <c r="H74" s="380">
        <f t="shared" si="5"/>
        <v>95.2</v>
      </c>
      <c r="I74" s="380">
        <f t="shared" si="5"/>
        <v>110.7</v>
      </c>
      <c r="J74" s="380">
        <f t="shared" si="5"/>
        <v>139.4</v>
      </c>
      <c r="O74" t="s">
        <v>3</v>
      </c>
      <c r="P74" t="s">
        <v>3</v>
      </c>
    </row>
    <row r="75" spans="1:21" x14ac:dyDescent="0.3">
      <c r="C75" s="378">
        <v>1</v>
      </c>
      <c r="D75" s="378">
        <v>2</v>
      </c>
      <c r="E75" s="378">
        <v>3</v>
      </c>
      <c r="F75" s="378">
        <v>4</v>
      </c>
      <c r="G75" s="378">
        <v>5</v>
      </c>
      <c r="H75" s="378">
        <v>6</v>
      </c>
      <c r="I75" s="378">
        <v>7</v>
      </c>
      <c r="J75" s="378">
        <v>8</v>
      </c>
      <c r="O75" t="s">
        <v>8</v>
      </c>
      <c r="P75" t="s">
        <v>8</v>
      </c>
    </row>
    <row r="76" spans="1:21" x14ac:dyDescent="0.3">
      <c r="A76" s="517" t="s">
        <v>469</v>
      </c>
      <c r="B76" s="517"/>
      <c r="C76" s="378">
        <f>IF(C69=H69,MATCH(C69,$O$69:$O$77,0),0)</f>
        <v>0</v>
      </c>
      <c r="D76" s="378"/>
      <c r="E76" s="378">
        <f>IF(E69=J69,MATCH(E69,$O$69:$O$77,0),0)</f>
        <v>0</v>
      </c>
      <c r="F76" s="378"/>
      <c r="G76" s="378">
        <f>IF(G69=D69,MATCH(G69,$O$69:$O$77,0),0)</f>
        <v>0</v>
      </c>
      <c r="H76" s="378"/>
      <c r="I76" s="378">
        <f>IF(I69=F69,MATCH(I69,$O$69:$O$77,0),0)</f>
        <v>0</v>
      </c>
      <c r="J76" s="378"/>
      <c r="K76" s="378"/>
      <c r="L76" s="378"/>
      <c r="M76" s="378"/>
      <c r="N76" s="378"/>
      <c r="O76" t="s">
        <v>13</v>
      </c>
      <c r="P76" t="s">
        <v>13</v>
      </c>
    </row>
    <row r="77" spans="1:21" x14ac:dyDescent="0.3">
      <c r="A77" s="517"/>
      <c r="B77" s="517"/>
      <c r="C77" s="378" t="str">
        <f>IF(C69=H69,INDEX(P69:P77,C76),C69)</f>
        <v>SBL</v>
      </c>
      <c r="D77" s="378" t="str">
        <f>D69</f>
        <v>NBT</v>
      </c>
      <c r="E77" s="378" t="str">
        <f>IF(E69=J69,INDEX(P69:P77,E76),E69)</f>
        <v>WBL</v>
      </c>
      <c r="F77" s="378" t="str">
        <f>F69</f>
        <v>EBT</v>
      </c>
      <c r="G77" s="378" t="str">
        <f>IF(G69=D69,INDEX(P69:P77,G76),G69)</f>
        <v>NBL</v>
      </c>
      <c r="H77" s="378" t="str">
        <f>H69</f>
        <v>SBT</v>
      </c>
      <c r="I77" s="378" t="str">
        <f>IF(I69=F69,INDEX(P69:P77,I76),I69)</f>
        <v>EBL</v>
      </c>
      <c r="J77" s="378" t="str">
        <f>J69</f>
        <v>WBT</v>
      </c>
      <c r="K77" s="378"/>
      <c r="L77" s="378"/>
      <c r="M77" s="378"/>
      <c r="N77" s="37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zoomScaleNormal="100" workbookViewId="0">
      <selection activeCell="P17" sqref="P17"/>
    </sheetView>
  </sheetViews>
  <sheetFormatPr defaultColWidth="9.109375" defaultRowHeight="13.2" x14ac:dyDescent="0.25"/>
  <cols>
    <col min="1" max="1" width="9.109375" style="389"/>
    <col min="2" max="2" width="9.109375" style="389" customWidth="1"/>
    <col min="3" max="3" width="4.6640625" style="389" customWidth="1"/>
    <col min="4" max="4" width="10.5546875" style="389" customWidth="1"/>
    <col min="5" max="5" width="9.109375" style="404"/>
    <col min="6" max="7" width="9.109375" style="389"/>
    <col min="8" max="8" width="11.5546875" style="389" bestFit="1" customWidth="1"/>
    <col min="9" max="9" width="10.5546875" style="389" bestFit="1" customWidth="1"/>
    <col min="10" max="12" width="9.109375" style="389"/>
    <col min="13" max="13" width="11.109375" style="389" customWidth="1"/>
    <col min="14" max="14" width="10.33203125" style="389" customWidth="1"/>
    <col min="15" max="15" width="11.5546875" style="389" customWidth="1"/>
    <col min="16" max="16" width="9.88671875" style="389" bestFit="1" customWidth="1"/>
    <col min="17" max="17" width="4.6640625" style="389" customWidth="1"/>
    <col min="18" max="18" width="9.109375" style="389"/>
    <col min="19" max="20" width="9.109375" style="389" customWidth="1"/>
    <col min="21" max="21" width="13.5546875" style="389" customWidth="1"/>
    <col min="22" max="23" width="9.109375" style="389" customWidth="1"/>
    <col min="24" max="26" width="9.109375" style="470" hidden="1" customWidth="1"/>
    <col min="27" max="16384" width="9.109375" style="389"/>
  </cols>
  <sheetData>
    <row r="1" spans="1:26" ht="15" customHeight="1" thickBot="1" x14ac:dyDescent="0.3">
      <c r="A1" s="448" t="s">
        <v>491</v>
      </c>
      <c r="B1" s="449"/>
      <c r="C1" s="444"/>
      <c r="D1" s="444"/>
      <c r="F1" s="404"/>
      <c r="G1" s="404"/>
      <c r="H1" s="404"/>
      <c r="I1" s="404"/>
      <c r="J1" s="404"/>
      <c r="K1" s="404"/>
      <c r="L1" s="404"/>
      <c r="M1" s="404"/>
      <c r="N1" s="404"/>
      <c r="O1" s="404"/>
      <c r="P1" s="404"/>
      <c r="Q1" s="404"/>
      <c r="R1" s="404"/>
      <c r="S1" s="404"/>
      <c r="T1" s="422"/>
      <c r="U1" s="422"/>
      <c r="V1" s="422"/>
      <c r="W1" s="422"/>
    </row>
    <row r="2" spans="1:26" ht="15" customHeight="1" thickBot="1" x14ac:dyDescent="0.3">
      <c r="A2" s="450" t="s">
        <v>492</v>
      </c>
      <c r="B2" s="451">
        <v>12.5</v>
      </c>
      <c r="C2" s="444"/>
      <c r="D2" s="444"/>
      <c r="E2" s="445"/>
      <c r="F2" s="390"/>
      <c r="G2" s="404"/>
      <c r="H2" s="404" t="s">
        <v>245</v>
      </c>
      <c r="I2" s="416" t="str">
        <f>UTDF_input!D6</f>
        <v>SR 85</v>
      </c>
      <c r="J2" s="417"/>
      <c r="K2" s="418"/>
      <c r="L2" s="404" t="s">
        <v>521</v>
      </c>
      <c r="M2" s="430">
        <v>12</v>
      </c>
      <c r="N2" s="404" t="s">
        <v>522</v>
      </c>
      <c r="O2" s="404"/>
      <c r="P2" s="404"/>
      <c r="Q2" s="404"/>
      <c r="R2" s="404"/>
      <c r="S2" s="404"/>
      <c r="T2" s="422">
        <f>IF(OR(Sheet1!O29&gt;0,D16="Yes"),1,0)</f>
        <v>0</v>
      </c>
      <c r="U2" s="422">
        <f>IF(OR(Sheet1!E29&gt;0,M22="Yes"),1,0)</f>
        <v>0</v>
      </c>
      <c r="V2" s="422">
        <f>IF(OR(Sheet1!T29&gt;0,P16="Yes"),1,0)</f>
        <v>0</v>
      </c>
      <c r="W2" s="422">
        <f>IF(OR(Sheet1!J29&gt;0,L5="Yes"),1,0)</f>
        <v>0</v>
      </c>
    </row>
    <row r="3" spans="1:26" ht="13.8" thickBot="1" x14ac:dyDescent="0.3">
      <c r="A3" s="450" t="s">
        <v>493</v>
      </c>
      <c r="B3" s="451">
        <v>31.5</v>
      </c>
      <c r="C3" s="444"/>
      <c r="D3" s="444"/>
      <c r="E3" s="445"/>
      <c r="F3" s="390"/>
      <c r="G3" s="404"/>
      <c r="H3" s="404"/>
      <c r="I3" s="404"/>
      <c r="J3" s="404"/>
      <c r="K3" s="404"/>
      <c r="L3" s="404"/>
      <c r="M3" s="404"/>
      <c r="N3" s="404"/>
      <c r="O3" s="404"/>
      <c r="P3" s="404"/>
      <c r="Q3" s="404"/>
      <c r="R3" s="404"/>
      <c r="S3" s="404"/>
      <c r="U3" s="391" t="s">
        <v>236</v>
      </c>
      <c r="V3" s="392">
        <f>AVERAGE(UTDF_input!D41:F41,UTDF_input!H41:P41)</f>
        <v>1900</v>
      </c>
    </row>
    <row r="4" spans="1:26" ht="13.8" thickBot="1" x14ac:dyDescent="0.3">
      <c r="A4" s="452" t="s">
        <v>494</v>
      </c>
      <c r="B4" s="453">
        <f>AVERAGE(UTDF_input!D51:F51,UTDF_input!H51:J51,UTDF_input!K51:M51,UTDF_input!N51:P51)</f>
        <v>2</v>
      </c>
      <c r="C4" s="444"/>
      <c r="D4" s="444"/>
      <c r="E4" s="445"/>
      <c r="F4" s="390"/>
      <c r="G4" s="404"/>
      <c r="H4" s="404"/>
      <c r="I4" s="404" t="s">
        <v>231</v>
      </c>
      <c r="J4" s="395">
        <f>UTDF_input!D8</f>
        <v>45</v>
      </c>
      <c r="K4" s="404"/>
      <c r="L4" s="404" t="s">
        <v>516</v>
      </c>
      <c r="M4" s="404"/>
      <c r="N4" s="404"/>
      <c r="O4" s="404"/>
      <c r="P4" s="404"/>
      <c r="Q4" s="404"/>
      <c r="R4" s="404"/>
      <c r="S4" s="404"/>
      <c r="U4" s="393" t="s">
        <v>234</v>
      </c>
      <c r="V4" s="394">
        <f>AVERAGE(UTDF_input!D49:F49,UTDF_input!H49:P49)</f>
        <v>0.92</v>
      </c>
    </row>
    <row r="5" spans="1:26" ht="14.4" thickBot="1" x14ac:dyDescent="0.35">
      <c r="A5" s="444"/>
      <c r="B5" s="444"/>
      <c r="C5" s="444"/>
      <c r="D5" s="444"/>
      <c r="E5" s="445"/>
      <c r="F5" s="390"/>
      <c r="G5" s="404"/>
      <c r="H5" s="404"/>
      <c r="I5" s="404"/>
      <c r="J5" s="404"/>
      <c r="K5" s="404"/>
      <c r="L5" s="396" t="str">
        <f>IF(Phasing!V22=0,"No","Yes")</f>
        <v>No</v>
      </c>
      <c r="M5" s="429" t="s">
        <v>477</v>
      </c>
      <c r="N5" s="429" t="s">
        <v>478</v>
      </c>
      <c r="O5" s="404"/>
      <c r="P5" s="404"/>
      <c r="Q5" s="404"/>
      <c r="R5" s="394"/>
      <c r="S5" s="404"/>
      <c r="U5" s="391" t="s">
        <v>235</v>
      </c>
      <c r="V5" s="392">
        <f>B4</f>
        <v>2</v>
      </c>
      <c r="X5" s="471"/>
      <c r="Y5" s="471"/>
    </row>
    <row r="6" spans="1:26" ht="15" customHeight="1" x14ac:dyDescent="0.25">
      <c r="A6" s="444"/>
      <c r="B6" s="444"/>
      <c r="C6" s="444"/>
      <c r="D6" s="444"/>
      <c r="E6" s="445"/>
      <c r="F6" s="390"/>
      <c r="G6" s="404" t="s">
        <v>228</v>
      </c>
      <c r="H6" s="399" t="s">
        <v>360</v>
      </c>
      <c r="I6" s="400">
        <f>UTDF_input!J29</f>
        <v>1</v>
      </c>
      <c r="J6" s="400">
        <f>UTDF_input!I29</f>
        <v>1</v>
      </c>
      <c r="K6" s="400">
        <f>UTDF_input!H29</f>
        <v>1</v>
      </c>
      <c r="L6" s="404"/>
      <c r="M6" s="430">
        <f>UTDF_input!I47</f>
        <v>0</v>
      </c>
      <c r="N6" s="430">
        <f>UTDF_input!I48</f>
        <v>0</v>
      </c>
      <c r="O6" s="404"/>
      <c r="P6" s="404"/>
      <c r="Q6" s="404"/>
      <c r="R6" s="404"/>
      <c r="S6" s="404"/>
      <c r="U6" s="393" t="s">
        <v>407</v>
      </c>
      <c r="V6" s="397">
        <f>ROUND(AVERAGE('Phase calculation'!C20:N20),1)</f>
        <v>6.4</v>
      </c>
      <c r="W6" s="398"/>
    </row>
    <row r="7" spans="1:26" ht="13.5" customHeight="1" thickBot="1" x14ac:dyDescent="0.3">
      <c r="A7" s="444"/>
      <c r="B7" s="444"/>
      <c r="C7" s="444"/>
      <c r="D7" s="444"/>
      <c r="E7" s="445"/>
      <c r="F7" s="390"/>
      <c r="G7" s="404" t="s">
        <v>53</v>
      </c>
      <c r="H7" s="399">
        <v>50</v>
      </c>
      <c r="I7" s="403">
        <f>UTDF_input!J46</f>
        <v>100</v>
      </c>
      <c r="J7" s="403">
        <f>UTDF_input!I46</f>
        <v>350</v>
      </c>
      <c r="K7" s="403">
        <f>UTDF_input!H46</f>
        <v>150</v>
      </c>
      <c r="L7" s="527" t="str">
        <f>IF($B$21="Yes","SB LT Treatment","")</f>
        <v/>
      </c>
      <c r="M7" s="527"/>
      <c r="N7" s="404"/>
      <c r="O7" s="404"/>
      <c r="P7" s="404"/>
      <c r="Q7" s="404"/>
      <c r="R7" s="404"/>
      <c r="S7" s="404"/>
      <c r="U7" s="401" t="s">
        <v>471</v>
      </c>
      <c r="V7" s="402" t="str">
        <f>IF(UTDF_input!E82=1,"CBD","Other")</f>
        <v>CBD</v>
      </c>
      <c r="W7" s="423">
        <f>IF(V7="CBD",0.9,1)</f>
        <v>0.9</v>
      </c>
      <c r="X7" s="472"/>
      <c r="Y7" s="472"/>
    </row>
    <row r="8" spans="1:26" ht="13.8" thickBot="1" x14ac:dyDescent="0.3">
      <c r="A8" s="444"/>
      <c r="B8" s="444"/>
      <c r="C8" s="444"/>
      <c r="D8" s="444"/>
      <c r="F8" s="527" t="str">
        <f>IF($B$21="Yes","EB LT Treatment","")</f>
        <v/>
      </c>
      <c r="G8" s="527"/>
      <c r="H8" s="404"/>
      <c r="I8" s="404"/>
      <c r="J8" s="404"/>
      <c r="K8" s="404"/>
      <c r="L8" s="528"/>
      <c r="M8" s="529"/>
      <c r="N8" s="404"/>
      <c r="O8" s="404"/>
      <c r="P8" s="404"/>
      <c r="Q8" s="404"/>
      <c r="R8" s="404"/>
      <c r="S8" s="404"/>
      <c r="U8" s="393" t="s">
        <v>410</v>
      </c>
      <c r="V8" s="405">
        <v>40</v>
      </c>
    </row>
    <row r="9" spans="1:26" ht="13.8" thickBot="1" x14ac:dyDescent="0.3">
      <c r="A9" s="444"/>
      <c r="B9" s="444"/>
      <c r="C9" s="444"/>
      <c r="D9" s="444"/>
      <c r="F9" s="528"/>
      <c r="G9" s="529"/>
      <c r="H9" s="404"/>
      <c r="I9" s="404"/>
      <c r="J9" s="404"/>
      <c r="K9" s="404"/>
      <c r="L9" s="422">
        <f>IF(L8="",0,VLOOKUP(L8,$Y$12:$Z$14,2,FALSE))</f>
        <v>0</v>
      </c>
      <c r="M9" s="408"/>
      <c r="N9" s="404"/>
      <c r="O9" s="409"/>
      <c r="P9" s="410"/>
      <c r="Q9" s="404"/>
      <c r="R9" s="404"/>
      <c r="S9" s="404"/>
      <c r="U9" s="406" t="s">
        <v>411</v>
      </c>
      <c r="V9" s="407">
        <v>150</v>
      </c>
    </row>
    <row r="10" spans="1:26" x14ac:dyDescent="0.25">
      <c r="A10" s="404"/>
      <c r="B10" s="404"/>
      <c r="C10" s="404"/>
      <c r="D10" s="404"/>
      <c r="F10" s="422">
        <f>IF(F9="",0,VLOOKUP(F9,$Y$12:$Z$14,2,FALSE))</f>
        <v>0</v>
      </c>
      <c r="G10" s="404"/>
      <c r="H10" s="404"/>
      <c r="I10" s="404"/>
      <c r="J10" s="404"/>
      <c r="K10" s="404"/>
      <c r="L10" s="404"/>
      <c r="M10" s="404" t="s">
        <v>53</v>
      </c>
      <c r="N10" s="404" t="s">
        <v>228</v>
      </c>
      <c r="O10" s="404"/>
      <c r="P10" s="404"/>
      <c r="Q10" s="404"/>
      <c r="R10" s="404"/>
      <c r="S10" s="404"/>
      <c r="U10" s="469" t="s">
        <v>528</v>
      </c>
      <c r="V10" s="389">
        <v>3.5</v>
      </c>
      <c r="X10" s="470" t="s">
        <v>476</v>
      </c>
      <c r="Y10" s="470" t="s">
        <v>298</v>
      </c>
    </row>
    <row r="11" spans="1:26" x14ac:dyDescent="0.25">
      <c r="A11" s="404"/>
      <c r="B11" s="404"/>
      <c r="C11" s="404"/>
      <c r="D11" s="404"/>
      <c r="F11" s="404" t="s">
        <v>228</v>
      </c>
      <c r="G11" s="404" t="s">
        <v>53</v>
      </c>
      <c r="H11" s="404"/>
      <c r="I11" s="404"/>
      <c r="J11" s="404"/>
      <c r="K11" s="404"/>
      <c r="L11" s="404"/>
      <c r="M11" s="399" t="s">
        <v>360</v>
      </c>
      <c r="N11" s="399">
        <v>50</v>
      </c>
      <c r="O11" s="404"/>
      <c r="P11" s="404"/>
      <c r="Q11" s="404"/>
      <c r="R11" s="404"/>
      <c r="S11" s="404"/>
    </row>
    <row r="12" spans="1:26" ht="13.8" thickBot="1" x14ac:dyDescent="0.3">
      <c r="A12" s="419" t="s">
        <v>245</v>
      </c>
      <c r="B12" s="419"/>
      <c r="C12" s="404"/>
      <c r="D12" s="404" t="s">
        <v>229</v>
      </c>
      <c r="F12" s="400">
        <f>UTDF_input!K29</f>
        <v>1</v>
      </c>
      <c r="G12" s="403">
        <f>UTDF_input!K46</f>
        <v>150</v>
      </c>
      <c r="H12" s="404"/>
      <c r="I12" s="404"/>
      <c r="J12" s="404"/>
      <c r="K12" s="404"/>
      <c r="L12" s="404"/>
      <c r="M12" s="403">
        <f>UTDF_input!P46</f>
        <v>150</v>
      </c>
      <c r="N12" s="400">
        <f>UTDF_input!P29</f>
        <v>1</v>
      </c>
      <c r="O12" s="404"/>
      <c r="P12" s="404" t="s">
        <v>230</v>
      </c>
      <c r="Q12" s="404"/>
      <c r="R12" s="419" t="s">
        <v>245</v>
      </c>
      <c r="S12" s="419"/>
      <c r="V12" s="322"/>
      <c r="Y12" s="473" t="s">
        <v>82</v>
      </c>
      <c r="Z12" s="470">
        <v>1</v>
      </c>
    </row>
    <row r="13" spans="1:26" ht="13.8" thickBot="1" x14ac:dyDescent="0.3">
      <c r="A13" s="416" t="str">
        <f>UTDF_input!E6</f>
        <v>Ramah Road</v>
      </c>
      <c r="B13" s="418"/>
      <c r="C13" s="404"/>
      <c r="D13" s="395">
        <f>UTDF_input!E8</f>
        <v>30</v>
      </c>
      <c r="F13" s="408"/>
      <c r="G13" s="408"/>
      <c r="H13" s="404"/>
      <c r="I13" s="404"/>
      <c r="J13" s="404"/>
      <c r="K13" s="404"/>
      <c r="L13" s="404"/>
      <c r="M13" s="408"/>
      <c r="N13" s="408"/>
      <c r="O13" s="404"/>
      <c r="P13" s="395">
        <f>UTDF_input!F8</f>
        <v>30</v>
      </c>
      <c r="Q13" s="404"/>
      <c r="R13" s="416" t="str">
        <f>UTDF_input!F6</f>
        <v>SR 92</v>
      </c>
      <c r="S13" s="418"/>
      <c r="Y13" s="322" t="s">
        <v>83</v>
      </c>
      <c r="Z13" s="470">
        <v>2</v>
      </c>
    </row>
    <row r="14" spans="1:26" x14ac:dyDescent="0.25">
      <c r="A14" s="404" t="s">
        <v>521</v>
      </c>
      <c r="B14" s="404"/>
      <c r="C14" s="404"/>
      <c r="D14" s="404"/>
      <c r="F14" s="400">
        <f>UTDF_input!L29</f>
        <v>1</v>
      </c>
      <c r="G14" s="403">
        <f>UTDF_input!L46</f>
        <v>100</v>
      </c>
      <c r="H14" s="404"/>
      <c r="I14" s="404"/>
      <c r="J14" s="404" t="str">
        <f>I2&amp;"_"&amp;A13</f>
        <v>SR 85_Ramah Road</v>
      </c>
      <c r="K14" s="404"/>
      <c r="L14" s="404"/>
      <c r="M14" s="403">
        <f>UTDF_input!O46</f>
        <v>200</v>
      </c>
      <c r="N14" s="400">
        <f>UTDF_input!O29</f>
        <v>1</v>
      </c>
      <c r="O14" s="404"/>
      <c r="P14" s="404"/>
      <c r="Q14" s="404"/>
      <c r="R14" s="404" t="s">
        <v>521</v>
      </c>
      <c r="S14" s="404"/>
      <c r="V14" s="322"/>
      <c r="Y14" s="322" t="s">
        <v>529</v>
      </c>
      <c r="Z14" s="470">
        <v>3</v>
      </c>
    </row>
    <row r="15" spans="1:26" ht="13.8" thickBot="1" x14ac:dyDescent="0.3">
      <c r="A15" s="430">
        <v>10</v>
      </c>
      <c r="B15" s="404" t="s">
        <v>522</v>
      </c>
      <c r="C15" s="404"/>
      <c r="D15" s="404" t="s">
        <v>517</v>
      </c>
      <c r="F15" s="408"/>
      <c r="G15" s="408"/>
      <c r="H15" s="404"/>
      <c r="I15" s="404"/>
      <c r="J15" s="404"/>
      <c r="K15" s="404"/>
      <c r="L15" s="404"/>
      <c r="M15" s="408"/>
      <c r="N15" s="408"/>
      <c r="O15" s="404"/>
      <c r="P15" s="404" t="s">
        <v>518</v>
      </c>
      <c r="Q15" s="404"/>
      <c r="R15" s="430">
        <v>10</v>
      </c>
      <c r="S15" s="404"/>
    </row>
    <row r="16" spans="1:26" ht="13.8" thickBot="1" x14ac:dyDescent="0.3">
      <c r="A16" s="404"/>
      <c r="B16" s="404"/>
      <c r="C16" s="404"/>
      <c r="D16" s="396" t="str">
        <f>IF(Phasing!P22=0,"No","Yes")</f>
        <v>No</v>
      </c>
      <c r="F16" s="400">
        <f>UTDF_input!M29</f>
        <v>0</v>
      </c>
      <c r="G16" s="403">
        <f>UTDF_input!M46</f>
        <v>75</v>
      </c>
      <c r="H16" s="404"/>
      <c r="I16" s="404"/>
      <c r="J16" s="404"/>
      <c r="K16" s="404"/>
      <c r="L16" s="404"/>
      <c r="M16" s="403">
        <f>UTDF_input!N46</f>
        <v>75</v>
      </c>
      <c r="N16" s="400">
        <f>UTDF_input!N29</f>
        <v>1</v>
      </c>
      <c r="O16" s="404"/>
      <c r="P16" s="396" t="str">
        <f>IF(Phasing!R22=0,"No","Yes")</f>
        <v>No</v>
      </c>
      <c r="Q16" s="404"/>
      <c r="R16" s="404" t="s">
        <v>522</v>
      </c>
      <c r="S16" s="404"/>
    </row>
    <row r="17" spans="1:24" x14ac:dyDescent="0.25">
      <c r="A17" s="404"/>
      <c r="B17" s="404"/>
      <c r="C17" s="404"/>
      <c r="D17" s="429" t="s">
        <v>477</v>
      </c>
      <c r="E17" s="430">
        <f>UTDF_input!L47</f>
        <v>0</v>
      </c>
      <c r="F17" s="399" t="s">
        <v>360</v>
      </c>
      <c r="G17" s="399">
        <v>50</v>
      </c>
      <c r="H17" s="404"/>
      <c r="I17" s="404"/>
      <c r="J17" s="404"/>
      <c r="K17" s="404"/>
      <c r="L17" s="404"/>
      <c r="M17" s="404"/>
      <c r="N17" s="404"/>
      <c r="O17" s="404"/>
      <c r="P17" s="429" t="s">
        <v>477</v>
      </c>
      <c r="Q17" s="430">
        <f>UTDF_input!O47</f>
        <v>0</v>
      </c>
      <c r="R17" s="404"/>
      <c r="S17" s="404"/>
      <c r="U17" s="422" t="s">
        <v>408</v>
      </c>
      <c r="X17" s="470" t="s">
        <v>408</v>
      </c>
    </row>
    <row r="18" spans="1:24" ht="13.8" thickBot="1" x14ac:dyDescent="0.3">
      <c r="A18" s="404"/>
      <c r="B18" s="404"/>
      <c r="C18" s="404"/>
      <c r="D18" s="429" t="s">
        <v>478</v>
      </c>
      <c r="E18" s="430">
        <f>UTDF_input!L48</f>
        <v>0</v>
      </c>
      <c r="F18" s="404"/>
      <c r="G18" s="404"/>
      <c r="H18" s="404"/>
      <c r="I18" s="404"/>
      <c r="J18" s="404"/>
      <c r="K18" s="404"/>
      <c r="L18" s="404"/>
      <c r="M18" s="527" t="str">
        <f>IF($B$21="Yes","WB LT Treatment","")</f>
        <v/>
      </c>
      <c r="N18" s="527"/>
      <c r="O18" s="404"/>
      <c r="P18" s="429" t="s">
        <v>478</v>
      </c>
      <c r="Q18" s="430">
        <f>UTDF_input!O48</f>
        <v>0</v>
      </c>
      <c r="R18" s="404"/>
      <c r="S18" s="404"/>
      <c r="U18" s="422" t="s">
        <v>409</v>
      </c>
      <c r="X18" s="470" t="s">
        <v>409</v>
      </c>
    </row>
    <row r="19" spans="1:24" ht="13.8" thickBot="1" x14ac:dyDescent="0.3">
      <c r="A19" s="404"/>
      <c r="B19" s="404"/>
      <c r="C19" s="404"/>
      <c r="D19" s="404"/>
      <c r="F19" s="404"/>
      <c r="G19" s="404"/>
      <c r="H19" s="404"/>
      <c r="I19" s="404"/>
      <c r="J19" s="404"/>
      <c r="K19" s="404"/>
      <c r="L19" s="404"/>
      <c r="M19" s="528"/>
      <c r="N19" s="529"/>
      <c r="O19" s="404"/>
      <c r="P19" s="404"/>
      <c r="Q19" s="404"/>
      <c r="R19" s="404"/>
      <c r="S19" s="404"/>
    </row>
    <row r="20" spans="1:24" ht="13.8" thickBot="1" x14ac:dyDescent="0.3">
      <c r="A20" s="404"/>
      <c r="B20" s="420" t="s">
        <v>519</v>
      </c>
      <c r="C20" s="421"/>
      <c r="D20" s="421"/>
      <c r="E20" s="446"/>
      <c r="F20" s="404"/>
      <c r="G20" s="404"/>
      <c r="H20" s="404"/>
      <c r="I20" s="404"/>
      <c r="J20" s="404"/>
      <c r="K20" s="404"/>
      <c r="L20" s="404"/>
      <c r="M20" s="422">
        <f>IF(M19="",0,VLOOKUP(M19,$Y$12:$Z$14,2,FALSE))</f>
        <v>0</v>
      </c>
      <c r="N20" s="404"/>
      <c r="O20" s="411"/>
      <c r="P20" s="411"/>
      <c r="Q20" s="404"/>
      <c r="R20" s="404"/>
      <c r="S20" s="404"/>
    </row>
    <row r="21" spans="1:24" ht="13.8" thickBot="1" x14ac:dyDescent="0.3">
      <c r="A21" s="404"/>
      <c r="B21" s="476" t="s">
        <v>298</v>
      </c>
      <c r="C21" s="474"/>
      <c r="D21" s="474"/>
      <c r="E21" s="475"/>
      <c r="F21" s="404"/>
      <c r="G21" s="404"/>
      <c r="H21" s="404" t="s">
        <v>53</v>
      </c>
      <c r="I21" s="403">
        <f>UTDF_input!D46</f>
        <v>100</v>
      </c>
      <c r="J21" s="403">
        <f>UTDF_input!E46</f>
        <v>750</v>
      </c>
      <c r="K21" s="403">
        <f>UTDF_input!F46</f>
        <v>130</v>
      </c>
      <c r="L21" s="399" t="s">
        <v>360</v>
      </c>
      <c r="M21" s="404" t="s">
        <v>520</v>
      </c>
      <c r="O21" s="430">
        <f>UTDF_input!E47</f>
        <v>0</v>
      </c>
      <c r="P21" s="431">
        <f>UTDF_input!E48</f>
        <v>0</v>
      </c>
      <c r="Q21" s="404"/>
      <c r="R21" s="404"/>
      <c r="S21" s="404"/>
    </row>
    <row r="22" spans="1:24" ht="13.8" thickBot="1" x14ac:dyDescent="0.3">
      <c r="A22" s="404"/>
      <c r="B22" s="404"/>
      <c r="C22" s="404"/>
      <c r="D22" s="404"/>
      <c r="F22" s="404"/>
      <c r="G22" s="404"/>
      <c r="H22" s="404" t="s">
        <v>228</v>
      </c>
      <c r="I22" s="400">
        <f>UTDF_input!D29</f>
        <v>1</v>
      </c>
      <c r="J22" s="400">
        <f>UTDF_input!E29</f>
        <v>1</v>
      </c>
      <c r="K22" s="400">
        <f>UTDF_input!F29</f>
        <v>1</v>
      </c>
      <c r="L22" s="399">
        <v>50</v>
      </c>
      <c r="M22" s="396" t="str">
        <f>IF(Phasing!T22=0,"No","Yes")</f>
        <v>No</v>
      </c>
      <c r="O22" s="429" t="s">
        <v>477</v>
      </c>
      <c r="P22" s="429" t="s">
        <v>478</v>
      </c>
      <c r="Q22" s="404"/>
      <c r="R22" s="404"/>
      <c r="S22" s="404"/>
    </row>
    <row r="23" spans="1:24" ht="13.8" thickBot="1" x14ac:dyDescent="0.3">
      <c r="A23" s="404"/>
      <c r="B23" s="420" t="s">
        <v>558</v>
      </c>
      <c r="C23" s="483"/>
      <c r="D23" s="484"/>
      <c r="F23" s="527" t="str">
        <f>IF($B$21="Yes","NB LT Treatment","")</f>
        <v/>
      </c>
      <c r="G23" s="527"/>
      <c r="H23" s="404"/>
      <c r="I23" s="404"/>
      <c r="J23" s="404"/>
      <c r="K23" s="404"/>
      <c r="L23" s="404"/>
      <c r="M23" s="404"/>
      <c r="N23" s="404"/>
      <c r="O23" s="412"/>
      <c r="P23" s="412"/>
      <c r="Q23" s="404"/>
      <c r="R23" s="404"/>
      <c r="S23" s="404"/>
    </row>
    <row r="24" spans="1:24" ht="13.8" thickBot="1" x14ac:dyDescent="0.3">
      <c r="A24" s="404"/>
      <c r="B24" s="476" t="s">
        <v>298</v>
      </c>
      <c r="C24" s="404"/>
      <c r="D24" s="404"/>
      <c r="F24" s="528"/>
      <c r="G24" s="529"/>
      <c r="H24" s="404"/>
      <c r="I24" s="404" t="s">
        <v>232</v>
      </c>
      <c r="J24" s="395">
        <f>UTDF_input!C8</f>
        <v>45</v>
      </c>
      <c r="K24" s="404"/>
      <c r="L24" s="404"/>
      <c r="M24" s="404"/>
      <c r="N24" s="404"/>
      <c r="O24" s="412"/>
      <c r="P24" s="412"/>
      <c r="Q24" s="404"/>
      <c r="R24" s="404"/>
      <c r="S24" s="404"/>
    </row>
    <row r="25" spans="1:24" ht="13.8" thickBot="1" x14ac:dyDescent="0.3">
      <c r="A25" s="404"/>
      <c r="B25" s="404"/>
      <c r="C25" s="404"/>
      <c r="D25" s="404"/>
      <c r="F25" s="422">
        <f>IF(F24="",0,VLOOKUP(F24,$Y$12:$Z$14,2,FALSE))</f>
        <v>0</v>
      </c>
      <c r="G25" s="404"/>
      <c r="H25" s="404"/>
      <c r="I25" s="404"/>
      <c r="J25" s="404"/>
      <c r="K25" s="404"/>
      <c r="L25" s="404"/>
      <c r="M25" s="404"/>
      <c r="N25" s="404"/>
      <c r="O25" s="412"/>
      <c r="P25" s="412"/>
      <c r="Q25" s="404"/>
      <c r="R25" s="404"/>
      <c r="S25" s="404"/>
    </row>
    <row r="26" spans="1:24" ht="13.8" thickBot="1" x14ac:dyDescent="0.3">
      <c r="A26" s="404"/>
      <c r="B26" s="530" t="str">
        <f>IF($B$24="Yes","Cycle (s) =","")</f>
        <v/>
      </c>
      <c r="C26" s="530"/>
      <c r="D26" s="485">
        <v>0</v>
      </c>
      <c r="F26" s="404"/>
      <c r="G26" s="404"/>
      <c r="H26" s="404" t="s">
        <v>245</v>
      </c>
      <c r="I26" s="416" t="str">
        <f>UTDF_input!C6</f>
        <v>SR 85</v>
      </c>
      <c r="J26" s="417"/>
      <c r="K26" s="418"/>
      <c r="L26" s="404" t="s">
        <v>521</v>
      </c>
      <c r="M26" s="430">
        <v>12</v>
      </c>
      <c r="N26" s="404" t="s">
        <v>522</v>
      </c>
      <c r="O26" s="412"/>
      <c r="P26" s="412"/>
      <c r="Q26" s="404"/>
      <c r="R26" s="404"/>
      <c r="S26" s="404"/>
    </row>
    <row r="27" spans="1:24" x14ac:dyDescent="0.25">
      <c r="O27" s="411"/>
      <c r="P27" s="411"/>
    </row>
    <row r="28" spans="1:24" x14ac:dyDescent="0.25">
      <c r="J28" s="389" t="str">
        <f>IF(AND(I2="",A13=""),"",I2&amp;" &amp; "&amp;A13)</f>
        <v>SR 85 &amp; Ramah Road</v>
      </c>
    </row>
    <row r="30" spans="1:24" ht="14.4" x14ac:dyDescent="0.3">
      <c r="A30" s="525" t="s">
        <v>203</v>
      </c>
      <c r="B30" s="525"/>
      <c r="C30" s="525"/>
      <c r="D30" s="525"/>
      <c r="E30" s="525"/>
      <c r="F30" s="525"/>
      <c r="G30" s="525"/>
      <c r="H30" s="525"/>
    </row>
    <row r="31" spans="1:24" ht="14.4" x14ac:dyDescent="0.3">
      <c r="A31" s="526" t="s">
        <v>530</v>
      </c>
      <c r="B31" s="526"/>
      <c r="C31" s="526"/>
      <c r="D31" s="526"/>
      <c r="E31" s="526"/>
      <c r="F31" s="526"/>
      <c r="G31" s="526"/>
      <c r="H31" s="526"/>
    </row>
    <row r="32" spans="1:24" ht="14.4" x14ac:dyDescent="0.3">
      <c r="A32" s="413" t="s">
        <v>557</v>
      </c>
      <c r="B32" s="413"/>
      <c r="C32" s="413"/>
      <c r="D32" s="413"/>
      <c r="E32" s="447"/>
      <c r="F32" s="413"/>
      <c r="G32" s="413"/>
      <c r="H32" s="414"/>
    </row>
    <row r="33" spans="1:8" ht="14.4" x14ac:dyDescent="0.3">
      <c r="A33" s="11"/>
      <c r="B33" s="415"/>
      <c r="C33" s="415"/>
      <c r="D33" s="415"/>
      <c r="E33" s="415"/>
      <c r="F33" s="415"/>
      <c r="G33" s="415"/>
      <c r="H33" s="11"/>
    </row>
    <row r="34" spans="1:8" ht="12.75" customHeight="1" x14ac:dyDescent="0.25">
      <c r="A34" s="524" t="s">
        <v>556</v>
      </c>
      <c r="B34" s="524"/>
      <c r="C34" s="524"/>
      <c r="D34" s="524"/>
      <c r="E34" s="524"/>
      <c r="F34" s="524"/>
      <c r="G34" s="524"/>
      <c r="H34" s="524"/>
    </row>
    <row r="35" spans="1:8" ht="12.75" customHeight="1" x14ac:dyDescent="0.25">
      <c r="A35" s="524"/>
      <c r="B35" s="524"/>
      <c r="C35" s="524"/>
      <c r="D35" s="524"/>
      <c r="E35" s="524"/>
      <c r="F35" s="524"/>
      <c r="G35" s="524"/>
      <c r="H35" s="524"/>
    </row>
    <row r="36" spans="1:8" ht="12.75" customHeight="1" x14ac:dyDescent="0.25">
      <c r="A36" s="524"/>
      <c r="B36" s="524"/>
      <c r="C36" s="524"/>
      <c r="D36" s="524"/>
      <c r="E36" s="524"/>
      <c r="F36" s="524"/>
      <c r="G36" s="524"/>
      <c r="H36" s="524"/>
    </row>
    <row r="37" spans="1:8" ht="12.75" customHeight="1" x14ac:dyDescent="0.25">
      <c r="A37" s="524"/>
      <c r="B37" s="524"/>
      <c r="C37" s="524"/>
      <c r="D37" s="524"/>
      <c r="E37" s="524"/>
      <c r="F37" s="524"/>
      <c r="G37" s="524"/>
      <c r="H37" s="524"/>
    </row>
    <row r="38" spans="1:8" ht="12.75" customHeight="1" x14ac:dyDescent="0.25">
      <c r="A38" s="524"/>
      <c r="B38" s="524"/>
      <c r="C38" s="524"/>
      <c r="D38" s="524"/>
      <c r="E38" s="524"/>
      <c r="F38" s="524"/>
      <c r="G38" s="524"/>
      <c r="H38" s="524"/>
    </row>
    <row r="39" spans="1:8" ht="12.75" customHeight="1" x14ac:dyDescent="0.25">
      <c r="A39" s="524"/>
      <c r="B39" s="524"/>
      <c r="C39" s="524"/>
      <c r="D39" s="524"/>
      <c r="E39" s="524"/>
      <c r="F39" s="524"/>
      <c r="G39" s="524"/>
      <c r="H39" s="524"/>
    </row>
    <row r="40" spans="1:8" ht="12.75" customHeight="1" x14ac:dyDescent="0.25">
      <c r="A40" s="524"/>
      <c r="B40" s="524"/>
      <c r="C40" s="524"/>
      <c r="D40" s="524"/>
      <c r="E40" s="524"/>
      <c r="F40" s="524"/>
      <c r="G40" s="524"/>
      <c r="H40" s="524"/>
    </row>
    <row r="41" spans="1:8" ht="12.75" customHeight="1" x14ac:dyDescent="0.25">
      <c r="A41" s="524"/>
      <c r="B41" s="524"/>
      <c r="C41" s="524"/>
      <c r="D41" s="524"/>
      <c r="E41" s="524"/>
      <c r="F41" s="524"/>
      <c r="G41" s="524"/>
      <c r="H41" s="524"/>
    </row>
    <row r="42" spans="1:8" ht="12.75" customHeight="1" x14ac:dyDescent="0.25">
      <c r="A42" s="524"/>
      <c r="B42" s="524"/>
      <c r="C42" s="524"/>
      <c r="D42" s="524"/>
      <c r="E42" s="524"/>
      <c r="F42" s="524"/>
      <c r="G42" s="524"/>
      <c r="H42" s="524"/>
    </row>
    <row r="43" spans="1:8" x14ac:dyDescent="0.25">
      <c r="A43" s="524"/>
      <c r="B43" s="524"/>
      <c r="C43" s="524"/>
      <c r="D43" s="524"/>
      <c r="E43" s="524"/>
      <c r="F43" s="524"/>
      <c r="G43" s="524"/>
      <c r="H43" s="524"/>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8"/>
  <sheetViews>
    <sheetView zoomScale="80" zoomScaleNormal="80" workbookViewId="0">
      <selection activeCell="B27" sqref="B27:I27"/>
    </sheetView>
  </sheetViews>
  <sheetFormatPr defaultColWidth="9.109375" defaultRowHeight="14.4" x14ac:dyDescent="0.3"/>
  <cols>
    <col min="1" max="1" width="21" style="5" bestFit="1" customWidth="1"/>
    <col min="2" max="9" width="9.109375" style="5"/>
    <col min="10" max="11" width="9.6640625" style="5" customWidth="1"/>
    <col min="12" max="34" width="9.109375" style="5" customWidth="1"/>
    <col min="35" max="16384" width="9.109375" style="5"/>
  </cols>
  <sheetData>
    <row r="1" spans="1:27" x14ac:dyDescent="0.3">
      <c r="A1" s="534" t="s">
        <v>204</v>
      </c>
      <c r="B1" s="534"/>
      <c r="C1" s="534"/>
      <c r="L1" s="531" t="s">
        <v>75</v>
      </c>
      <c r="M1" s="531"/>
      <c r="N1" s="522" t="s">
        <v>115</v>
      </c>
      <c r="O1" s="531"/>
      <c r="Q1" t="s">
        <v>91</v>
      </c>
      <c r="R1" t="s">
        <v>92</v>
      </c>
      <c r="W1" t="s">
        <v>91</v>
      </c>
      <c r="X1" t="s">
        <v>92</v>
      </c>
    </row>
    <row r="2" spans="1:27" x14ac:dyDescent="0.3">
      <c r="A2" s="273" t="s">
        <v>73</v>
      </c>
      <c r="B2" s="248" t="s">
        <v>13</v>
      </c>
      <c r="C2" s="248" t="s">
        <v>14</v>
      </c>
      <c r="D2" s="248" t="s">
        <v>18</v>
      </c>
      <c r="E2" s="248" t="s">
        <v>19</v>
      </c>
      <c r="F2" s="248" t="s">
        <v>3</v>
      </c>
      <c r="G2" s="248" t="s">
        <v>4</v>
      </c>
      <c r="H2" s="248" t="s">
        <v>8</v>
      </c>
      <c r="I2" s="248" t="s">
        <v>9</v>
      </c>
      <c r="J2" s="7" t="str">
        <f>IF(M17+M18&gt;=M15+M16,L1,N1)</f>
        <v>N-S Major</v>
      </c>
      <c r="K2" s="7"/>
      <c r="L2" s="5" t="s">
        <v>13</v>
      </c>
      <c r="M2" s="5">
        <v>7</v>
      </c>
      <c r="N2" s="5" t="s">
        <v>13</v>
      </c>
      <c r="O2" s="5">
        <v>5</v>
      </c>
      <c r="Q2" s="5">
        <v>1</v>
      </c>
      <c r="R2" s="5">
        <v>50000</v>
      </c>
      <c r="W2" s="5">
        <v>1</v>
      </c>
      <c r="X2" s="5">
        <v>150000</v>
      </c>
    </row>
    <row r="3" spans="1:27" x14ac:dyDescent="0.3">
      <c r="A3" s="5" t="s">
        <v>74</v>
      </c>
      <c r="B3" s="6">
        <f>Sheet1!N4</f>
        <v>150</v>
      </c>
      <c r="C3" s="6">
        <f>IF(Sheet1!P5=0,Sheet1!O4+Sheet1!P4,Sheet1!O4)</f>
        <v>175</v>
      </c>
      <c r="D3" s="6">
        <f>IF(Sheet1!N4=Sheet1!S4, Sheet1!S4+1,Sheet1!S4)</f>
        <v>75</v>
      </c>
      <c r="E3" s="6">
        <f>IF(Sheet1!U5=0,Sheet1!T4+Sheet1!U4,Sheet1!T4)</f>
        <v>200</v>
      </c>
      <c r="F3" s="6">
        <f>Sheet1!D4+Sheet1!W4+Sheet1!Z4</f>
        <v>100</v>
      </c>
      <c r="G3" s="6">
        <f>IF(Sheet1!F5=0,Sheet1!E4+Sheet1!F4+Sheet1!X4+Sheet1!AA4,Sheet1!E4+Sheet1!X4+Sheet1!AA4)</f>
        <v>750</v>
      </c>
      <c r="H3" s="6">
        <f>IF(Sheet1!D4+Sheet1!W4+Sheet1!Z4=Sheet1!I4+Sheet1!AC4+Sheet1!AF4,Sheet1!I4+Sheet1!AC4+Sheet1!AF4+1,Sheet1!I4+Sheet1!AC4+Sheet1!AF4)</f>
        <v>150</v>
      </c>
      <c r="I3" s="6">
        <f>IF(Sheet1!K5=0,Sheet1!J4+Sheet1!K4+Sheet1!AD4+Sheet1!AG4,Sheet1!J4+Sheet1!AD4+Sheet1!AG4)</f>
        <v>350</v>
      </c>
      <c r="L3" s="5" t="s">
        <v>14</v>
      </c>
      <c r="M3" s="5">
        <v>4</v>
      </c>
      <c r="N3" s="5" t="s">
        <v>14</v>
      </c>
      <c r="O3" s="5">
        <v>2</v>
      </c>
      <c r="Q3" s="5">
        <v>2</v>
      </c>
      <c r="R3" s="5">
        <v>90000</v>
      </c>
      <c r="W3" s="5">
        <v>2</v>
      </c>
      <c r="X3" s="5">
        <v>300000</v>
      </c>
    </row>
    <row r="4" spans="1:27" x14ac:dyDescent="0.3">
      <c r="A4" s="273" t="s">
        <v>80</v>
      </c>
      <c r="B4" s="248">
        <f>IF($J$2="N-S Major",M2,O2)</f>
        <v>7</v>
      </c>
      <c r="C4" s="248">
        <f>IF($J$2="N-S Major",M3,O3)</f>
        <v>4</v>
      </c>
      <c r="D4" s="248">
        <f>IF($J$2="N-S Major",M4,O4)</f>
        <v>3</v>
      </c>
      <c r="E4" s="248">
        <f>IF($J$2="N-S Major",M5,O5)</f>
        <v>8</v>
      </c>
      <c r="F4" s="248">
        <f>IF($J$2="N-S Major",M6,O6)</f>
        <v>5</v>
      </c>
      <c r="G4" s="248">
        <f>IF($J$2="N-S Major",M7,O7)</f>
        <v>2</v>
      </c>
      <c r="H4" s="248">
        <f>IF($J$2="N-S Major",M8,O8)</f>
        <v>1</v>
      </c>
      <c r="I4" s="248">
        <f>IF($J$2="N-S Major",M9,O9)</f>
        <v>6</v>
      </c>
      <c r="L4" s="5" t="s">
        <v>18</v>
      </c>
      <c r="M4" s="5">
        <v>3</v>
      </c>
      <c r="N4" s="5" t="s">
        <v>18</v>
      </c>
      <c r="O4" s="5">
        <v>1</v>
      </c>
      <c r="Q4" s="5">
        <v>3</v>
      </c>
      <c r="R4" s="5">
        <v>110000</v>
      </c>
      <c r="W4" s="5">
        <v>3</v>
      </c>
      <c r="X4" s="5">
        <v>300000</v>
      </c>
    </row>
    <row r="5" spans="1:27" x14ac:dyDescent="0.3">
      <c r="A5" s="5" t="s">
        <v>97</v>
      </c>
      <c r="B5" s="87">
        <f>IF(B6=0,0,B4)</f>
        <v>7</v>
      </c>
      <c r="C5" s="87">
        <f>IF(AND(B6=0,C6=0),0,C4)</f>
        <v>4</v>
      </c>
      <c r="D5" s="87">
        <f>IF(D6=0,0,D4)</f>
        <v>3</v>
      </c>
      <c r="E5" s="87">
        <f>IF(AND(D6=0,E6=0),0,E4)</f>
        <v>8</v>
      </c>
      <c r="F5" s="87">
        <f>IF(F6=0,0,F4)</f>
        <v>5</v>
      </c>
      <c r="G5" s="87">
        <f>IF(AND(F6=0,G6=0),0,G4)</f>
        <v>2</v>
      </c>
      <c r="H5" s="87">
        <f>IF(H6=0,0,H4)</f>
        <v>1</v>
      </c>
      <c r="I5" s="87">
        <f>IF(AND(H6=0,I6=0),0,I4)</f>
        <v>6</v>
      </c>
      <c r="L5" s="5" t="s">
        <v>19</v>
      </c>
      <c r="M5" s="5">
        <v>8</v>
      </c>
      <c r="N5" s="5" t="s">
        <v>19</v>
      </c>
      <c r="O5" s="5">
        <v>6</v>
      </c>
    </row>
    <row r="6" spans="1:27" x14ac:dyDescent="0.3">
      <c r="A6" s="273" t="s">
        <v>79</v>
      </c>
      <c r="B6" s="248">
        <f>Sheet1!N5</f>
        <v>1</v>
      </c>
      <c r="C6" s="248">
        <f>Sheet1!O5</f>
        <v>1</v>
      </c>
      <c r="D6" s="248">
        <f>Sheet1!S5</f>
        <v>1</v>
      </c>
      <c r="E6" s="248">
        <f>Sheet1!T5</f>
        <v>1</v>
      </c>
      <c r="F6" s="248">
        <f>Sheet1!D5+Sheet1!W5+Sheet1!Z5</f>
        <v>1</v>
      </c>
      <c r="G6" s="248">
        <f>Sheet1!E5+Sheet1!X5+Sheet1!AA5</f>
        <v>1</v>
      </c>
      <c r="H6" s="248">
        <f>Sheet1!I5+Sheet1!AC5+Sheet1!AF5</f>
        <v>1</v>
      </c>
      <c r="I6" s="248">
        <f>Sheet1!J5+Sheet1!AD5+Sheet1!AG5</f>
        <v>1</v>
      </c>
      <c r="L6" s="5" t="s">
        <v>3</v>
      </c>
      <c r="M6" s="5">
        <v>5</v>
      </c>
      <c r="N6" s="5" t="s">
        <v>3</v>
      </c>
      <c r="O6" s="5">
        <v>3</v>
      </c>
      <c r="R6" s="6" t="s">
        <v>13</v>
      </c>
      <c r="S6" s="6" t="s">
        <v>18</v>
      </c>
      <c r="T6" s="6" t="s">
        <v>3</v>
      </c>
      <c r="U6" s="6" t="s">
        <v>8</v>
      </c>
      <c r="X6" s="6" t="s">
        <v>13</v>
      </c>
      <c r="Y6" s="6" t="s">
        <v>18</v>
      </c>
      <c r="Z6" s="6" t="s">
        <v>3</v>
      </c>
      <c r="AA6" s="6" t="s">
        <v>8</v>
      </c>
    </row>
    <row r="7" spans="1:27" x14ac:dyDescent="0.3">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1</v>
      </c>
      <c r="S7" s="6">
        <f>C6</f>
        <v>1</v>
      </c>
      <c r="T7" s="6">
        <f>I6</f>
        <v>1</v>
      </c>
      <c r="U7" s="6">
        <f>G6</f>
        <v>1</v>
      </c>
      <c r="W7" s="5" t="s">
        <v>88</v>
      </c>
      <c r="X7" s="6">
        <f t="shared" ref="X7:AA8" si="0">R7</f>
        <v>1</v>
      </c>
      <c r="Y7" s="6">
        <f t="shared" si="0"/>
        <v>1</v>
      </c>
      <c r="Z7" s="6">
        <f t="shared" si="0"/>
        <v>1</v>
      </c>
      <c r="AA7" s="6">
        <f t="shared" si="0"/>
        <v>1</v>
      </c>
    </row>
    <row r="8" spans="1:27" x14ac:dyDescent="0.3">
      <c r="A8" s="274" t="s">
        <v>294</v>
      </c>
      <c r="B8" s="273"/>
      <c r="C8" s="248">
        <f>Phasing!P6</f>
        <v>30</v>
      </c>
      <c r="D8" s="248"/>
      <c r="E8" s="248">
        <f>Phasing!R6</f>
        <v>30</v>
      </c>
      <c r="F8" s="248"/>
      <c r="G8" s="248">
        <f>Phasing!T6</f>
        <v>45</v>
      </c>
      <c r="H8" s="248"/>
      <c r="I8" s="248">
        <f>Phasing!V6</f>
        <v>45</v>
      </c>
      <c r="L8" s="5" t="s">
        <v>8</v>
      </c>
      <c r="M8" s="5">
        <v>1</v>
      </c>
      <c r="N8" s="5" t="s">
        <v>8</v>
      </c>
      <c r="O8" s="5">
        <v>7</v>
      </c>
      <c r="Q8" s="5" t="s">
        <v>92</v>
      </c>
      <c r="R8" s="6">
        <f>B3*E3</f>
        <v>30000</v>
      </c>
      <c r="S8" s="6">
        <f>D3*C3</f>
        <v>13125</v>
      </c>
      <c r="T8" s="6">
        <f>F3*I3</f>
        <v>35000</v>
      </c>
      <c r="U8" s="6">
        <f>H3*G3</f>
        <v>112500</v>
      </c>
      <c r="W8" s="5" t="s">
        <v>92</v>
      </c>
      <c r="X8" s="6">
        <f t="shared" si="0"/>
        <v>30000</v>
      </c>
      <c r="Y8" s="6">
        <f t="shared" si="0"/>
        <v>13125</v>
      </c>
      <c r="Z8" s="6">
        <f t="shared" si="0"/>
        <v>35000</v>
      </c>
      <c r="AA8" s="6">
        <f t="shared" si="0"/>
        <v>112500</v>
      </c>
    </row>
    <row r="9" spans="1:27" x14ac:dyDescent="0.3">
      <c r="B9" s="81"/>
      <c r="C9" s="81"/>
      <c r="D9" s="81"/>
      <c r="E9" s="81"/>
      <c r="G9" s="533" t="s">
        <v>438</v>
      </c>
      <c r="H9" s="533"/>
      <c r="I9" s="81">
        <f>IF(OR(SUM(B5:E5)=0,SUM(D5:G5)=0,SUM(F5:I5)=0,SUM(B5:C5,F5:G5)=0,SUM(B5:C5,H5:I5)=0,SUM(D5:E5,H5:I5)=0),1,0)</f>
        <v>0</v>
      </c>
      <c r="L9" s="5" t="s">
        <v>9</v>
      </c>
      <c r="M9" s="5">
        <v>6</v>
      </c>
      <c r="N9" s="5" t="s">
        <v>9</v>
      </c>
      <c r="O9" s="5">
        <v>4</v>
      </c>
      <c r="Q9" s="6">
        <v>1</v>
      </c>
      <c r="R9" s="6">
        <f>IF(AND(R7=1,R8&gt;=50000),1,0)</f>
        <v>0</v>
      </c>
      <c r="S9" s="6">
        <f>IF(AND(S7=1,S8&gt;=50000),1,0)</f>
        <v>0</v>
      </c>
      <c r="T9" s="6">
        <f>IF(AND(T7=1,T8&gt;=50000),1,0)</f>
        <v>0</v>
      </c>
      <c r="U9" s="6">
        <f>IF(AND(U7=1,U8&gt;=50000),1,0)</f>
        <v>1</v>
      </c>
      <c r="W9" s="6">
        <v>1</v>
      </c>
      <c r="X9" s="6">
        <f>IF(AND(X7=1,X8&gt;=150000),1,0)</f>
        <v>0</v>
      </c>
      <c r="Y9" s="6">
        <f>IF(AND(Y7=1,Y8&gt;=150000),1,0)</f>
        <v>0</v>
      </c>
      <c r="Z9" s="6">
        <f>IF(AND(Z7=1,Z8&gt;=150000),1,0)</f>
        <v>0</v>
      </c>
      <c r="AA9" s="6">
        <f>IF(AND(AA7=1,AA8&gt;=150000),1,0)</f>
        <v>0</v>
      </c>
    </row>
    <row r="10" spans="1:27" x14ac:dyDescent="0.3">
      <c r="A10" s="273" t="s">
        <v>86</v>
      </c>
      <c r="B10" s="248" t="s">
        <v>13</v>
      </c>
      <c r="C10" s="248"/>
      <c r="D10" s="248" t="s">
        <v>18</v>
      </c>
      <c r="E10" s="248"/>
      <c r="F10" s="248" t="s">
        <v>3</v>
      </c>
      <c r="G10" s="248"/>
      <c r="H10" s="248"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3">
      <c r="A11" s="5" t="s">
        <v>87</v>
      </c>
      <c r="B11" s="87">
        <f>IF(B6&gt;=2,1,0)</f>
        <v>0</v>
      </c>
      <c r="C11" s="87"/>
      <c r="D11" s="87">
        <f>IF(D6&gt;=2,1,0)</f>
        <v>0</v>
      </c>
      <c r="E11" s="87"/>
      <c r="F11" s="87">
        <f>IF(F6&gt;=2,1,0)</f>
        <v>0</v>
      </c>
      <c r="G11" s="87"/>
      <c r="H11" s="87">
        <f>IF(H6&gt;=2,1,0)</f>
        <v>0</v>
      </c>
      <c r="I11" s="539" t="s">
        <v>90</v>
      </c>
      <c r="L11" s="5" t="s">
        <v>15</v>
      </c>
      <c r="M11" s="5">
        <f>Sheet1!P4</f>
        <v>75</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3">
      <c r="A12" s="273" t="s">
        <v>88</v>
      </c>
      <c r="B12" s="248">
        <f>IF(E6&gt;=4,1,0)</f>
        <v>0</v>
      </c>
      <c r="C12" s="248"/>
      <c r="D12" s="248">
        <f>IF(C6&gt;=4,1,0)</f>
        <v>0</v>
      </c>
      <c r="E12" s="248"/>
      <c r="F12" s="248">
        <f>IF(I6&gt;=4,1,0)</f>
        <v>0</v>
      </c>
      <c r="G12" s="248"/>
      <c r="H12" s="248">
        <f>IF(G6&gt;=4,1,0)</f>
        <v>0</v>
      </c>
      <c r="I12" s="539"/>
      <c r="J12" s="10"/>
      <c r="K12" s="10"/>
      <c r="L12" s="11" t="s">
        <v>20</v>
      </c>
      <c r="M12" s="11">
        <f>Sheet1!U4</f>
        <v>150</v>
      </c>
      <c r="N12" s="11">
        <v>2</v>
      </c>
      <c r="O12" s="11" t="s">
        <v>83</v>
      </c>
      <c r="Q12" s="4" t="s">
        <v>93</v>
      </c>
      <c r="R12" s="8">
        <f>MAX(R9:S11)</f>
        <v>0</v>
      </c>
      <c r="S12" s="8">
        <f>MAX(R9:S11)</f>
        <v>0</v>
      </c>
      <c r="T12" s="8">
        <f>MAX(T9:U11)</f>
        <v>1</v>
      </c>
      <c r="U12" s="8">
        <f>MAX(T9:U11)</f>
        <v>1</v>
      </c>
      <c r="W12" s="4" t="s">
        <v>93</v>
      </c>
      <c r="X12" s="8">
        <f>MAX(X9:X11)</f>
        <v>0</v>
      </c>
      <c r="Y12" s="8">
        <f>MAX(Y9:Y11)</f>
        <v>0</v>
      </c>
      <c r="Z12" s="8">
        <f>MAX(Z9:Z11)</f>
        <v>0</v>
      </c>
      <c r="AA12" s="8">
        <f>MAX(AA9:AA11)</f>
        <v>0</v>
      </c>
    </row>
    <row r="13" spans="1:27" x14ac:dyDescent="0.3">
      <c r="A13" s="5" t="s">
        <v>81</v>
      </c>
      <c r="B13" s="87">
        <f>IF(E8&gt;45,1,0)</f>
        <v>0</v>
      </c>
      <c r="C13" s="87"/>
      <c r="D13" s="87">
        <f>IF(C8&gt;45,1,0)</f>
        <v>0</v>
      </c>
      <c r="E13" s="87"/>
      <c r="F13" s="87">
        <f>IF(I8&gt;45,1,0)</f>
        <v>0</v>
      </c>
      <c r="G13" s="87"/>
      <c r="H13" s="87">
        <f>IF(G8&gt;45,1,0)</f>
        <v>0</v>
      </c>
      <c r="I13" s="539"/>
      <c r="J13" s="12"/>
      <c r="K13" s="12"/>
      <c r="L13" s="11" t="s">
        <v>5</v>
      </c>
      <c r="M13" s="11">
        <f>Sheet1!F4+Sheet1!Y4+Sheet1!AB4</f>
        <v>130</v>
      </c>
      <c r="N13" s="11">
        <v>3</v>
      </c>
      <c r="O13" s="11" t="s">
        <v>84</v>
      </c>
      <c r="Q13" s="522" t="s">
        <v>94</v>
      </c>
      <c r="R13" s="522"/>
      <c r="S13" s="522"/>
      <c r="T13" s="522"/>
      <c r="U13" s="522"/>
    </row>
    <row r="14" spans="1:27" x14ac:dyDescent="0.3">
      <c r="A14" s="273" t="s">
        <v>98</v>
      </c>
      <c r="B14" s="248">
        <f>IF(B3&gt;=240,1,0)</f>
        <v>0</v>
      </c>
      <c r="C14" s="248"/>
      <c r="D14" s="248">
        <f>IF(D3&gt;=240,1,0)</f>
        <v>0</v>
      </c>
      <c r="E14" s="248"/>
      <c r="F14" s="248">
        <f>IF(F3&gt;=240,1,0)</f>
        <v>0</v>
      </c>
      <c r="G14" s="248"/>
      <c r="H14" s="248">
        <f>IF(H3&gt;=240,1,0)</f>
        <v>0</v>
      </c>
      <c r="I14" s="539"/>
      <c r="J14" s="93"/>
      <c r="K14" s="93"/>
      <c r="L14" s="11" t="s">
        <v>10</v>
      </c>
      <c r="M14" s="11">
        <f>Sheet1!K4+Sheet1!AE4+Sheet1!AH4</f>
        <v>100</v>
      </c>
      <c r="N14" s="56">
        <v>2</v>
      </c>
      <c r="O14" s="86" t="s">
        <v>85</v>
      </c>
      <c r="Q14" s="2"/>
      <c r="R14" s="2"/>
      <c r="S14" s="2"/>
      <c r="T14" s="2"/>
      <c r="U14" s="2"/>
    </row>
    <row r="15" spans="1:27" x14ac:dyDescent="0.3">
      <c r="A15" s="10" t="s">
        <v>99</v>
      </c>
      <c r="B15" s="87">
        <f>X12</f>
        <v>0</v>
      </c>
      <c r="C15" s="87"/>
      <c r="D15" s="87">
        <f>Y12</f>
        <v>0</v>
      </c>
      <c r="E15" s="87"/>
      <c r="F15" s="87">
        <f>Z12</f>
        <v>0</v>
      </c>
      <c r="G15" s="87"/>
      <c r="H15" s="87">
        <f>AA12</f>
        <v>0</v>
      </c>
      <c r="I15" s="539"/>
      <c r="J15" s="93"/>
      <c r="K15" s="538" t="s">
        <v>434</v>
      </c>
      <c r="L15" s="11" t="s">
        <v>400</v>
      </c>
      <c r="M15" s="11">
        <f>B3+C3+M11</f>
        <v>400</v>
      </c>
      <c r="N15" s="11"/>
      <c r="O15" s="11"/>
      <c r="Q15" s="2"/>
      <c r="R15" s="2"/>
      <c r="S15" s="2"/>
      <c r="T15" s="2"/>
      <c r="U15" s="2"/>
    </row>
    <row r="16" spans="1:27" x14ac:dyDescent="0.3">
      <c r="A16" s="274" t="s">
        <v>100</v>
      </c>
      <c r="B16" s="248">
        <f>IF(D3+E3=0,0,IF(AND(B14=1, SUM(B11:B13)=0),3,MAX(B11:B13)))</f>
        <v>0</v>
      </c>
      <c r="C16" s="248"/>
      <c r="D16" s="248">
        <f>IF(B3+C3=0,0,IF(AND(D14=1, SUM(D11:D13)=0),3,MAX(D11:D13)))</f>
        <v>0</v>
      </c>
      <c r="E16" s="248"/>
      <c r="F16" s="248">
        <f>IF(H3+I3=0,0,IF(AND(F14=1, SUM(F11:F13)=0),3,MAX(F11:F13)))</f>
        <v>0</v>
      </c>
      <c r="G16" s="248"/>
      <c r="H16" s="248">
        <f>IF(F3+G3=0,0,IF(AND(H14=1, SUM(H11:H13)=0),3,MAX(H11:H13)))</f>
        <v>0</v>
      </c>
      <c r="I16" s="270"/>
      <c r="J16" s="12"/>
      <c r="K16" s="538"/>
      <c r="L16" s="11" t="s">
        <v>401</v>
      </c>
      <c r="M16" s="11">
        <f>D3+E3+M12</f>
        <v>425</v>
      </c>
      <c r="N16" s="11"/>
      <c r="O16" s="11"/>
      <c r="P16" s="540" t="s">
        <v>108</v>
      </c>
      <c r="Q16" s="541"/>
      <c r="R16" s="541"/>
      <c r="S16" s="541"/>
      <c r="T16" s="541"/>
      <c r="U16" s="2"/>
    </row>
    <row r="17" spans="1:24" x14ac:dyDescent="0.3">
      <c r="A17" s="39" t="s">
        <v>92</v>
      </c>
      <c r="B17" s="271">
        <f>IF(OR(D16=3,R12=1),3,2)</f>
        <v>2</v>
      </c>
      <c r="C17" s="271"/>
      <c r="D17" s="271">
        <f>IF(OR(B16=3,S12=1),3,2)</f>
        <v>2</v>
      </c>
      <c r="E17" s="271"/>
      <c r="F17" s="271">
        <f>IF(OR(H16=3,T12=1),3,2)</f>
        <v>3</v>
      </c>
      <c r="G17" s="271"/>
      <c r="H17" s="271">
        <f>IF(OR(F16=3,U12=1),3,2)</f>
        <v>3</v>
      </c>
      <c r="I17" s="40" t="s">
        <v>96</v>
      </c>
      <c r="J17" s="16"/>
      <c r="K17" s="538"/>
      <c r="L17" s="15" t="s">
        <v>402</v>
      </c>
      <c r="M17" s="15">
        <f>F3+G3+M13</f>
        <v>980</v>
      </c>
      <c r="N17" s="17"/>
      <c r="O17" s="11"/>
      <c r="P17" s="15"/>
      <c r="Q17" s="535" t="s">
        <v>107</v>
      </c>
      <c r="R17" s="535"/>
      <c r="S17" s="535"/>
      <c r="T17" s="535"/>
      <c r="U17" s="15"/>
      <c r="V17" s="15"/>
    </row>
    <row r="18" spans="1:24" x14ac:dyDescent="0.3">
      <c r="A18" s="275" t="s">
        <v>89</v>
      </c>
      <c r="B18" s="276">
        <f>IF(OR(E7&gt;0,C7&gt;0),2,0)</f>
        <v>0</v>
      </c>
      <c r="C18" s="276"/>
      <c r="D18" s="276">
        <f>IF(OR(C7&gt;0,E7&gt;0),2,0)</f>
        <v>0</v>
      </c>
      <c r="E18" s="276"/>
      <c r="F18" s="276">
        <f>IF(OR(I7&gt;0,G7&gt;0),2,0)</f>
        <v>0</v>
      </c>
      <c r="G18" s="276"/>
      <c r="H18" s="276">
        <f>IF(OR(G7&gt;0,I7&gt;0),2,0)</f>
        <v>0</v>
      </c>
      <c r="I18" s="38" t="s">
        <v>95</v>
      </c>
      <c r="J18" s="14"/>
      <c r="K18" s="538"/>
      <c r="L18" s="15" t="s">
        <v>403</v>
      </c>
      <c r="M18" s="15">
        <f>H3+I3+M14</f>
        <v>600</v>
      </c>
      <c r="N18" s="20"/>
      <c r="O18" s="11"/>
      <c r="P18" t="s">
        <v>105</v>
      </c>
      <c r="Q18" s="49">
        <v>1</v>
      </c>
      <c r="R18" s="50">
        <v>2</v>
      </c>
      <c r="S18" s="6">
        <v>3</v>
      </c>
      <c r="T18" s="6">
        <v>4</v>
      </c>
      <c r="V18" s="15"/>
    </row>
    <row r="19" spans="1:24" s="41" customFormat="1" x14ac:dyDescent="0.3">
      <c r="A19" s="46" t="s">
        <v>97</v>
      </c>
      <c r="B19" s="272">
        <f>IF(E5=0,2,0)</f>
        <v>0</v>
      </c>
      <c r="C19" s="272"/>
      <c r="D19" s="272">
        <f>IF(C5=0,2,0)</f>
        <v>0</v>
      </c>
      <c r="E19" s="272"/>
      <c r="F19" s="272">
        <f>IF(I5=0,2,0)</f>
        <v>0</v>
      </c>
      <c r="G19" s="272"/>
      <c r="H19" s="272">
        <f>IF(G5=0,2,0)</f>
        <v>0</v>
      </c>
      <c r="I19" s="38"/>
      <c r="J19" s="14"/>
      <c r="K19" s="14"/>
      <c r="L19" s="21"/>
      <c r="M19" s="21"/>
      <c r="N19" s="29"/>
      <c r="O19" s="13"/>
      <c r="P19" s="47" t="s">
        <v>106</v>
      </c>
      <c r="Q19" s="45">
        <v>5</v>
      </c>
      <c r="R19" s="51">
        <v>6</v>
      </c>
      <c r="S19" s="45">
        <v>7</v>
      </c>
      <c r="T19" s="45">
        <v>8</v>
      </c>
      <c r="V19" s="21"/>
    </row>
    <row r="20" spans="1:24" x14ac:dyDescent="0.3">
      <c r="A20" s="42"/>
      <c r="B20" s="81"/>
      <c r="C20" s="81"/>
      <c r="D20" s="81"/>
      <c r="E20" s="81"/>
      <c r="F20" s="81"/>
      <c r="G20" s="81"/>
      <c r="H20" s="81"/>
      <c r="I20" s="21"/>
      <c r="J20" s="15"/>
      <c r="K20" s="15"/>
      <c r="L20" s="15"/>
      <c r="M20" s="15"/>
      <c r="N20" s="20"/>
      <c r="O20" s="11"/>
      <c r="V20" s="15"/>
    </row>
    <row r="21" spans="1:24" x14ac:dyDescent="0.3">
      <c r="A21" s="277" t="s">
        <v>104</v>
      </c>
      <c r="B21" s="248">
        <f>IF(AND(B16=1,B18=0),1,MAX(B16:B18))</f>
        <v>2</v>
      </c>
      <c r="C21" s="248"/>
      <c r="D21" s="248">
        <f>IF(AND(D16=1,D18=0),1,MAX(D16:D18))</f>
        <v>2</v>
      </c>
      <c r="E21" s="248"/>
      <c r="F21" s="248">
        <f>IF(AND(F16=1,F18=0),1,MAX(F16:F18))</f>
        <v>3</v>
      </c>
      <c r="G21" s="248"/>
      <c r="H21" s="248">
        <f>IF(AND(H16=1,H18=0),1,MAX(H16:H18))</f>
        <v>3</v>
      </c>
      <c r="I21" s="16"/>
      <c r="J21" s="15"/>
      <c r="K21" s="20" t="s">
        <v>13</v>
      </c>
      <c r="L21" s="20" t="s">
        <v>18</v>
      </c>
      <c r="M21" s="20" t="s">
        <v>3</v>
      </c>
      <c r="N21" s="20" t="s">
        <v>8</v>
      </c>
      <c r="O21" s="11"/>
      <c r="Q21" s="522" t="s">
        <v>109</v>
      </c>
      <c r="R21" s="522"/>
      <c r="S21" s="48"/>
      <c r="T21" s="48"/>
      <c r="V21" s="15"/>
    </row>
    <row r="22" spans="1:24" x14ac:dyDescent="0.3">
      <c r="A22" s="47" t="s">
        <v>101</v>
      </c>
      <c r="B22" s="87">
        <f>IF('Input sheet'!$B$21="Yes",'Phase designation'!K23,'Phase designation'!K22)</f>
        <v>2</v>
      </c>
      <c r="C22" s="87"/>
      <c r="D22" s="87">
        <f>IF('Input sheet'!$B$21="Yes",'Phase designation'!L23,'Phase designation'!L22)</f>
        <v>2</v>
      </c>
      <c r="E22" s="87"/>
      <c r="F22" s="87">
        <f>IF('Input sheet'!$B$21="Yes",'Phase designation'!M23,'Phase designation'!M22)</f>
        <v>3</v>
      </c>
      <c r="G22" s="87"/>
      <c r="H22" s="87">
        <f>IF('Input sheet'!$B$21="Yes",'Phase designation'!N23,'Phase designation'!N22)</f>
        <v>3</v>
      </c>
      <c r="I22" s="16"/>
      <c r="J22" s="15" t="s">
        <v>305</v>
      </c>
      <c r="K22" s="20">
        <f>IF(B19=0,B21,B19)</f>
        <v>2</v>
      </c>
      <c r="L22" s="20">
        <f>IF(D19=0,D21,D19)</f>
        <v>2</v>
      </c>
      <c r="M22" s="20">
        <f>IF(F19=0,F21,F19)</f>
        <v>3</v>
      </c>
      <c r="N22" s="20">
        <f>IF(H19=0,H21,H19)</f>
        <v>3</v>
      </c>
      <c r="O22" s="11"/>
      <c r="P22" t="s">
        <v>105</v>
      </c>
      <c r="Q22" s="50">
        <v>2</v>
      </c>
      <c r="R22" s="49">
        <v>4</v>
      </c>
      <c r="S22" s="6"/>
      <c r="T22" s="6"/>
      <c r="V22" s="15"/>
    </row>
    <row r="23" spans="1:24" s="42" customFormat="1" x14ac:dyDescent="0.3">
      <c r="A23" s="278"/>
      <c r="B23" s="278" t="str">
        <f>LOOKUP(B22,$N$11:$N$14,$O$11:$O$14)</f>
        <v>Permitted</v>
      </c>
      <c r="C23" s="278"/>
      <c r="D23" s="278" t="str">
        <f>LOOKUP(D22,$N$11:$N$14,$O$11:$O$14)</f>
        <v>Permitted</v>
      </c>
      <c r="E23" s="278"/>
      <c r="F23" s="278" t="str">
        <f>LOOKUP(F22,$N$11:$N$14,$O$11:$O$14)</f>
        <v>Prot+perm</v>
      </c>
      <c r="G23" s="278"/>
      <c r="H23" s="278" t="str">
        <f>LOOKUP(H22,$N$11:$N$14,$O$11:$O$14)</f>
        <v>Prot+perm</v>
      </c>
      <c r="I23" s="21"/>
      <c r="J23" s="22" t="s">
        <v>306</v>
      </c>
      <c r="K23" s="19">
        <f>IF('Input sheet'!F10=0,K22,'Input sheet'!F10)</f>
        <v>2</v>
      </c>
      <c r="L23" s="19">
        <f>IF('Input sheet'!M20=0,L22,'Input sheet'!M20)</f>
        <v>2</v>
      </c>
      <c r="M23" s="19">
        <f>IF('Input sheet'!F25=0,M22,'Input sheet'!F25)</f>
        <v>3</v>
      </c>
      <c r="N23" s="19">
        <f>IF('Input sheet'!L9=0,N22,'Input sheet'!L9)</f>
        <v>3</v>
      </c>
      <c r="O23" s="26"/>
      <c r="P23" s="47" t="s">
        <v>106</v>
      </c>
      <c r="Q23" s="51">
        <v>6</v>
      </c>
      <c r="R23" s="45">
        <v>8</v>
      </c>
      <c r="S23" s="45"/>
      <c r="T23" s="45"/>
      <c r="V23" s="15"/>
    </row>
    <row r="24" spans="1:24" s="42" customFormat="1" x14ac:dyDescent="0.3">
      <c r="B24" s="41"/>
      <c r="C24" s="21"/>
      <c r="D24" s="21"/>
      <c r="E24" s="105"/>
      <c r="F24" s="21"/>
      <c r="G24" s="21"/>
      <c r="H24" s="21"/>
      <c r="I24" s="21"/>
      <c r="J24" s="22"/>
      <c r="K24" s="22"/>
      <c r="L24" s="18"/>
      <c r="M24" s="68"/>
      <c r="N24" s="19"/>
      <c r="O24" s="13"/>
      <c r="V24" s="15"/>
    </row>
    <row r="25" spans="1:24" x14ac:dyDescent="0.3">
      <c r="B25" s="81"/>
      <c r="C25" s="81"/>
      <c r="D25" s="81"/>
      <c r="E25" s="81"/>
      <c r="F25" s="81"/>
      <c r="G25" s="81"/>
      <c r="H25" s="81"/>
      <c r="I25" s="81"/>
      <c r="L25" s="18"/>
      <c r="M25" s="68"/>
      <c r="N25" s="20"/>
      <c r="O25" s="14"/>
      <c r="Q25" s="522" t="s">
        <v>111</v>
      </c>
      <c r="R25" s="522"/>
      <c r="S25" s="522"/>
      <c r="V25" s="22"/>
    </row>
    <row r="26" spans="1:24" x14ac:dyDescent="0.3">
      <c r="A26" s="279" t="s">
        <v>73</v>
      </c>
      <c r="B26" s="253" t="s">
        <v>13</v>
      </c>
      <c r="C26" s="253" t="s">
        <v>14</v>
      </c>
      <c r="D26" s="253" t="s">
        <v>18</v>
      </c>
      <c r="E26" s="253" t="s">
        <v>19</v>
      </c>
      <c r="F26" s="253" t="s">
        <v>3</v>
      </c>
      <c r="G26" s="253" t="s">
        <v>4</v>
      </c>
      <c r="H26" s="253" t="s">
        <v>8</v>
      </c>
      <c r="I26" s="253" t="s">
        <v>9</v>
      </c>
      <c r="L26" s="18"/>
      <c r="M26" s="68"/>
      <c r="N26" s="20"/>
      <c r="O26" s="13"/>
      <c r="P26" t="s">
        <v>105</v>
      </c>
      <c r="Q26" s="50">
        <v>2</v>
      </c>
      <c r="R26" s="52">
        <v>4</v>
      </c>
      <c r="U26" t="s">
        <v>105</v>
      </c>
      <c r="V26" s="54" t="str">
        <f>IF(AND(D22&lt;&gt;4,F22=4),Q26,"")</f>
        <v/>
      </c>
      <c r="W26" s="52" t="str">
        <f>IF(AND(D22&lt;&gt;4,F22=4),R26,"")</f>
        <v/>
      </c>
      <c r="X26" s="6"/>
    </row>
    <row r="27" spans="1:24" x14ac:dyDescent="0.3">
      <c r="A27" s="43" t="s">
        <v>102</v>
      </c>
      <c r="B27" s="158">
        <f>UTDF_input!K37</f>
        <v>7</v>
      </c>
      <c r="C27" s="158">
        <f>IF(UTDF_input!L37="",B27,UTDF_input!L37)</f>
        <v>4</v>
      </c>
      <c r="D27" s="158">
        <f>UTDF_input!N37</f>
        <v>3</v>
      </c>
      <c r="E27" s="366">
        <f>IF(UTDF_input!O37="",D27,UTDF_input!O37)</f>
        <v>8</v>
      </c>
      <c r="F27" s="158">
        <f>UTDF_input!D37</f>
        <v>5</v>
      </c>
      <c r="G27" s="366">
        <f>IF(UTDF_input!E37="",F27,UTDF_input!E37)</f>
        <v>2</v>
      </c>
      <c r="H27" s="158">
        <f>UTDF_input!H37</f>
        <v>1</v>
      </c>
      <c r="I27" s="366">
        <f>IF(UTDF_input!I37="",H27,UTDF_input!I37)</f>
        <v>6</v>
      </c>
      <c r="L27" s="18"/>
      <c r="M27" s="68"/>
      <c r="N27" s="20"/>
      <c r="O27" s="13"/>
      <c r="P27" s="47" t="s">
        <v>106</v>
      </c>
      <c r="Q27" s="51">
        <v>6</v>
      </c>
      <c r="R27" s="53"/>
      <c r="S27" s="6">
        <v>8</v>
      </c>
      <c r="U27" s="47" t="s">
        <v>106</v>
      </c>
      <c r="V27" s="54" t="str">
        <f>IF(AND(D22&lt;&gt;4,F22=4),Q27,"")</f>
        <v/>
      </c>
      <c r="W27" s="52"/>
      <c r="X27" s="6" t="str">
        <f>IF(AND(D22&lt;&gt;4,F22=4),S27,"")</f>
        <v/>
      </c>
    </row>
    <row r="28" spans="1:24" x14ac:dyDescent="0.3">
      <c r="A28" s="279" t="s">
        <v>103</v>
      </c>
      <c r="B28" s="253">
        <f>UTDF_input!K38</f>
        <v>4</v>
      </c>
      <c r="C28" s="253"/>
      <c r="D28" s="253">
        <f>UTDF_input!N38</f>
        <v>8</v>
      </c>
      <c r="E28" s="253"/>
      <c r="F28" s="253">
        <f>UTDF_input!D38</f>
        <v>2</v>
      </c>
      <c r="G28" s="253"/>
      <c r="H28" s="253">
        <f>UTDF_input!H38</f>
        <v>6</v>
      </c>
      <c r="I28" s="253"/>
      <c r="L28" s="22"/>
      <c r="M28" s="22"/>
      <c r="N28" s="20"/>
      <c r="O28" s="23"/>
      <c r="V28" s="10"/>
    </row>
    <row r="29" spans="1:24" x14ac:dyDescent="0.3">
      <c r="L29" s="19"/>
      <c r="M29" s="19"/>
      <c r="N29" s="20"/>
      <c r="O29" s="14"/>
      <c r="P29" t="s">
        <v>105</v>
      </c>
      <c r="Q29" s="50">
        <v>2</v>
      </c>
      <c r="R29" s="52"/>
      <c r="S29" s="6">
        <v>4</v>
      </c>
      <c r="U29" t="s">
        <v>105</v>
      </c>
      <c r="V29" s="50" t="str">
        <f>IF(AND(D22=4,F22&lt;&gt;4),Q29,"")</f>
        <v/>
      </c>
      <c r="W29" s="52"/>
      <c r="X29" s="6" t="str">
        <f>IF(AND(D22=4,F22&lt;&gt;4),S29,"")</f>
        <v/>
      </c>
    </row>
    <row r="30" spans="1:24" x14ac:dyDescent="0.3">
      <c r="D30" s="8">
        <f>I27</f>
        <v>6</v>
      </c>
      <c r="E30" s="8" t="str">
        <f>H27&amp;"  "&amp;H28</f>
        <v>1  6</v>
      </c>
      <c r="L30" s="16"/>
      <c r="M30" s="16"/>
      <c r="N30" s="25"/>
      <c r="O30" s="11"/>
      <c r="P30" s="47" t="s">
        <v>106</v>
      </c>
      <c r="Q30" s="51"/>
      <c r="R30" s="53">
        <v>6</v>
      </c>
      <c r="S30" s="6">
        <v>8</v>
      </c>
      <c r="U30" s="47" t="s">
        <v>106</v>
      </c>
      <c r="V30" s="51"/>
      <c r="W30" s="53" t="str">
        <f>IF(AND(D22=4,F22&lt;&gt;4),R30,"")</f>
        <v/>
      </c>
      <c r="X30" s="6" t="str">
        <f>IF(AND(D22=4,F22&lt;&gt;4),S30,"")</f>
        <v/>
      </c>
    </row>
    <row r="31" spans="1:24" x14ac:dyDescent="0.3">
      <c r="L31" s="28"/>
      <c r="M31" s="28"/>
      <c r="N31" s="29"/>
      <c r="O31" s="11"/>
    </row>
    <row r="32" spans="1:24" x14ac:dyDescent="0.3">
      <c r="H32" s="17" t="s">
        <v>76</v>
      </c>
      <c r="L32" s="10"/>
      <c r="M32" s="10"/>
      <c r="N32" s="10"/>
      <c r="O32" s="11"/>
      <c r="P32" t="s">
        <v>105</v>
      </c>
      <c r="Q32" s="50">
        <v>2</v>
      </c>
      <c r="R32" s="52"/>
      <c r="S32" s="52">
        <v>4</v>
      </c>
      <c r="U32" t="s">
        <v>105</v>
      </c>
      <c r="V32" s="50" t="str">
        <f>IF(AND(D22=4,F22=4),Q32,"")</f>
        <v/>
      </c>
      <c r="W32" s="52"/>
      <c r="X32" s="52" t="str">
        <f>IF(AND(D22=4,F22=4),S32,"")</f>
        <v/>
      </c>
    </row>
    <row r="33" spans="2:33" x14ac:dyDescent="0.3">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3">
      <c r="J34" s="55"/>
      <c r="K34" s="532" t="s">
        <v>113</v>
      </c>
      <c r="L34" s="532"/>
      <c r="M34" s="532"/>
      <c r="N34" s="532"/>
      <c r="O34" s="82"/>
    </row>
    <row r="35" spans="2:33" x14ac:dyDescent="0.3">
      <c r="B35" s="44" t="str">
        <f>B27&amp;"  "&amp;B28</f>
        <v>7  4</v>
      </c>
      <c r="G35" s="9">
        <f>E27</f>
        <v>8</v>
      </c>
      <c r="J35" s="56"/>
      <c r="K35" s="57" t="str">
        <f>IF($U$41=0,"b","")</f>
        <v/>
      </c>
      <c r="L35" s="57" t="str">
        <f>IF(OR($U$41=0,$U$41=1),"b","")</f>
        <v>b</v>
      </c>
      <c r="M35" s="57" t="str">
        <f>IF($U$41=0,"b","")</f>
        <v/>
      </c>
      <c r="N35" s="58"/>
      <c r="O35" s="77"/>
      <c r="P35" s="42"/>
      <c r="Q35" s="42"/>
    </row>
    <row r="36" spans="2:33" x14ac:dyDescent="0.3">
      <c r="C36" s="11"/>
      <c r="D36" s="11"/>
      <c r="E36" s="11"/>
      <c r="F36" s="11"/>
      <c r="G36" s="24"/>
      <c r="H36" s="10"/>
      <c r="J36" s="59" t="s">
        <v>105</v>
      </c>
      <c r="K36" s="60">
        <f>IF(OR(B27=1,D27=1,F27=1,H27=1),1,"")</f>
        <v>1</v>
      </c>
      <c r="L36" s="60">
        <f>IF(OR(C27=2,E27=2,G27=2,I27=2),2,"")</f>
        <v>2</v>
      </c>
      <c r="M36" s="60">
        <f>IF(OR(B27=3,D27=3,F27=3,H27=3),3,"")</f>
        <v>3</v>
      </c>
      <c r="N36" s="60">
        <f>IF(OR(C27=4,E27=4,G27=4,I27=4),4,"")</f>
        <v>4</v>
      </c>
      <c r="O36" s="77"/>
      <c r="P36" s="42"/>
      <c r="Q36" s="42"/>
      <c r="U36" t="s">
        <v>105</v>
      </c>
      <c r="V36" s="50">
        <f t="shared" ref="V36:Y37" si="1">MAX(V26,V29,V32)</f>
        <v>0</v>
      </c>
      <c r="W36" s="50">
        <f t="shared" si="1"/>
        <v>0</v>
      </c>
      <c r="X36" s="50">
        <f t="shared" si="1"/>
        <v>0</v>
      </c>
      <c r="Y36" s="50">
        <f t="shared" si="1"/>
        <v>0</v>
      </c>
    </row>
    <row r="37" spans="2:33" x14ac:dyDescent="0.3">
      <c r="B37" s="7">
        <f>C27</f>
        <v>4</v>
      </c>
      <c r="C37" s="26"/>
      <c r="D37" s="11"/>
      <c r="E37" s="11"/>
      <c r="F37" s="11"/>
      <c r="G37" s="27" t="str">
        <f>D27&amp;"  "&amp;D28</f>
        <v>3  8</v>
      </c>
      <c r="H37" s="10"/>
      <c r="J37" s="61" t="s">
        <v>106</v>
      </c>
      <c r="K37" s="60">
        <f>IF(OR(B27=5,D27=5,F27=5,H27=5),5,"")</f>
        <v>5</v>
      </c>
      <c r="L37" s="60">
        <f>IF(OR(C27=6,E27=6,G27=6,I27=6),6,"")</f>
        <v>6</v>
      </c>
      <c r="M37" s="60">
        <f>IF(OR(B27=7,D27=7,F27=7,H27=7),7,"")</f>
        <v>7</v>
      </c>
      <c r="N37" s="60">
        <f>IF(OR(C27=8,E27=8,G27=8,I27=8),8,"")</f>
        <v>8</v>
      </c>
      <c r="O37" s="81"/>
      <c r="P37" s="42"/>
      <c r="Q37" s="42"/>
      <c r="U37" s="47" t="s">
        <v>106</v>
      </c>
      <c r="V37" s="50">
        <f t="shared" si="1"/>
        <v>0</v>
      </c>
      <c r="W37" s="50">
        <f t="shared" si="1"/>
        <v>0</v>
      </c>
      <c r="X37" s="50">
        <f t="shared" si="1"/>
        <v>0</v>
      </c>
      <c r="Y37" s="50">
        <f t="shared" si="1"/>
        <v>0</v>
      </c>
    </row>
    <row r="38" spans="2:33" x14ac:dyDescent="0.3">
      <c r="C38" s="30"/>
      <c r="D38" s="15"/>
      <c r="E38" s="15"/>
      <c r="F38" s="15"/>
      <c r="G38" s="26"/>
      <c r="H38" s="14"/>
      <c r="P38" s="42"/>
      <c r="Q38" s="42"/>
    </row>
    <row r="39" spans="2:33" x14ac:dyDescent="0.3">
      <c r="C39" s="31"/>
      <c r="D39" s="32"/>
      <c r="E39" s="32"/>
      <c r="F39" s="33"/>
      <c r="G39" s="15"/>
      <c r="H39" s="16"/>
      <c r="J39" s="55"/>
      <c r="K39" s="532" t="s">
        <v>114</v>
      </c>
      <c r="L39" s="532"/>
      <c r="M39" s="532"/>
      <c r="N39" s="532"/>
    </row>
    <row r="40" spans="2:33" x14ac:dyDescent="0.3">
      <c r="C40" s="34"/>
      <c r="D40" s="15"/>
      <c r="E40" s="15"/>
      <c r="F40" s="15"/>
      <c r="G40" s="18"/>
      <c r="H40" s="18"/>
      <c r="J40" s="56"/>
      <c r="K40" s="57" t="str">
        <f>K35</f>
        <v/>
      </c>
      <c r="L40" s="57" t="str">
        <f>L35</f>
        <v>b</v>
      </c>
      <c r="M40" s="57" t="str">
        <f>M35</f>
        <v/>
      </c>
      <c r="N40" s="57"/>
      <c r="P40" s="15"/>
      <c r="Q40" s="535" t="s">
        <v>110</v>
      </c>
      <c r="R40" s="535"/>
      <c r="S40" s="535"/>
      <c r="T40" s="535"/>
      <c r="W40" s="15"/>
      <c r="X40" s="535" t="s">
        <v>115</v>
      </c>
      <c r="Y40" s="535"/>
      <c r="Z40" s="535"/>
      <c r="AA40" s="535"/>
      <c r="AC40" s="15"/>
      <c r="AD40" s="535" t="s">
        <v>75</v>
      </c>
      <c r="AE40" s="535"/>
      <c r="AF40" s="535"/>
      <c r="AG40" s="535"/>
    </row>
    <row r="41" spans="2:33" x14ac:dyDescent="0.3">
      <c r="C41" s="35"/>
      <c r="D41" s="15"/>
      <c r="E41" s="15" t="s">
        <v>77</v>
      </c>
      <c r="F41" s="15"/>
      <c r="G41" s="15"/>
      <c r="H41" s="15"/>
      <c r="J41" s="59" t="s">
        <v>105</v>
      </c>
      <c r="K41" s="60" t="str">
        <f>IF(K36="","",INDEX($B$26:$I$26,1,MATCH(K36,$B$27:$I$27,0)))</f>
        <v>SBL</v>
      </c>
      <c r="L41" s="60" t="str">
        <f t="shared" ref="L41:N42" si="2">IF(L36="","",INDEX($B$26:$I$26,1,MATCH(L36,$B$27:$I$27,0)))</f>
        <v>NBT</v>
      </c>
      <c r="M41" s="60" t="str">
        <f t="shared" si="2"/>
        <v>WBL</v>
      </c>
      <c r="N41" s="60" t="str">
        <f t="shared" si="2"/>
        <v>EBT</v>
      </c>
      <c r="P41" t="s">
        <v>105</v>
      </c>
      <c r="Q41" s="49">
        <f>MAX(X41,AD41)</f>
        <v>1</v>
      </c>
      <c r="R41" s="49">
        <f t="shared" ref="R41:T42" si="3">MAX(Y41,AE41)</f>
        <v>2</v>
      </c>
      <c r="S41" s="49">
        <f t="shared" si="3"/>
        <v>3</v>
      </c>
      <c r="T41" s="49">
        <f t="shared" si="3"/>
        <v>4</v>
      </c>
      <c r="U41" s="536">
        <f>IF(V36=0,1,0)</f>
        <v>1</v>
      </c>
      <c r="W41" t="s">
        <v>105</v>
      </c>
      <c r="X41" s="49">
        <f>IF(AND($X$40=$J$2,D27=1),1,0)</f>
        <v>0</v>
      </c>
      <c r="Y41" s="50">
        <f>IF(AND($X$40=$J$2,C27=2),2,0)</f>
        <v>0</v>
      </c>
      <c r="Z41" s="6">
        <f>IF(AND($X$40=$J$2,F27=3),3,0)</f>
        <v>0</v>
      </c>
      <c r="AA41" s="50">
        <f>IF(AND($X$40=$J$2,I27=4),4,0)</f>
        <v>0</v>
      </c>
      <c r="AC41" t="s">
        <v>105</v>
      </c>
      <c r="AD41" s="49">
        <f>IF(AND($AD$40=$J$2,H27=1),1,0)</f>
        <v>1</v>
      </c>
      <c r="AE41" s="50">
        <f>IF(AND($AD$40=$J$2,G27=2),2,0)</f>
        <v>2</v>
      </c>
      <c r="AF41" s="6">
        <f>IF(AND($AD$40=$J$2,D27=3),3,0)</f>
        <v>3</v>
      </c>
      <c r="AG41" s="50">
        <f>IF(AND($AD$40=$J$2,C27=4),4,0)</f>
        <v>4</v>
      </c>
    </row>
    <row r="42" spans="2:33" x14ac:dyDescent="0.3">
      <c r="C42" s="23"/>
      <c r="D42" s="36" t="str">
        <f>F27&amp;"  "&amp;F28</f>
        <v>5  2</v>
      </c>
      <c r="E42" s="37">
        <f>G27</f>
        <v>2</v>
      </c>
      <c r="F42" s="15"/>
      <c r="G42" s="15"/>
      <c r="H42" s="15"/>
      <c r="J42" s="61" t="s">
        <v>106</v>
      </c>
      <c r="K42" s="60" t="str">
        <f>IF(K37="","",INDEX($B$26:$I$26,1,MATCH(K37,$B$27:$I$27,0)))</f>
        <v>NBL</v>
      </c>
      <c r="L42" s="60" t="str">
        <f t="shared" si="2"/>
        <v>SBT</v>
      </c>
      <c r="M42" s="60" t="str">
        <f t="shared" si="2"/>
        <v>EBL</v>
      </c>
      <c r="N42" s="60" t="str">
        <f t="shared" si="2"/>
        <v>WBT</v>
      </c>
      <c r="P42" s="47" t="s">
        <v>106</v>
      </c>
      <c r="Q42" s="49">
        <f>MAX(X42,AD42)</f>
        <v>5</v>
      </c>
      <c r="R42" s="49">
        <f t="shared" si="3"/>
        <v>6</v>
      </c>
      <c r="S42" s="49">
        <f t="shared" si="3"/>
        <v>7</v>
      </c>
      <c r="T42" s="49">
        <f t="shared" si="3"/>
        <v>8</v>
      </c>
      <c r="U42" s="536"/>
      <c r="W42" s="47" t="s">
        <v>106</v>
      </c>
      <c r="X42" s="45">
        <f>IF(AND($X$40=$J$2,B27=5),5,0)</f>
        <v>0</v>
      </c>
      <c r="Y42" s="51">
        <f>IF(AND($X$40=$J$2,E27=6),6,0)</f>
        <v>0</v>
      </c>
      <c r="Z42" s="45">
        <f>IF(AND($X$40=$J$2,H27=7),7,0)</f>
        <v>0</v>
      </c>
      <c r="AA42" s="51">
        <f>IF(AND($X$40=$J$2,G27=8),8,0)</f>
        <v>0</v>
      </c>
      <c r="AC42" s="47" t="s">
        <v>106</v>
      </c>
      <c r="AD42" s="45">
        <f>IF(AND($AD$40=$J$2,F27=5),5,0)</f>
        <v>5</v>
      </c>
      <c r="AE42" s="51">
        <f>IF(AND($AD$40=$J$2,I27=6),6,0)</f>
        <v>6</v>
      </c>
      <c r="AF42" s="45">
        <f>IF(AND($AD$40=$J$2,B27=7),7,0)</f>
        <v>7</v>
      </c>
      <c r="AG42" s="51">
        <f>IF(AND($AD$40=$J$2,E27=8),8,0)</f>
        <v>8</v>
      </c>
    </row>
    <row r="43" spans="2:33" x14ac:dyDescent="0.3">
      <c r="P43"/>
      <c r="Q43" s="42"/>
      <c r="R43" s="42"/>
      <c r="S43" s="42"/>
      <c r="T43" s="42"/>
      <c r="U43" s="6"/>
    </row>
    <row r="44" spans="2:33" hidden="1" x14ac:dyDescent="0.3">
      <c r="P44" s="47"/>
      <c r="Q44" s="535" t="s">
        <v>112</v>
      </c>
      <c r="R44" s="535"/>
      <c r="S44" s="535"/>
      <c r="T44" s="535"/>
      <c r="U44" s="6"/>
    </row>
    <row r="45" spans="2:33" hidden="1" x14ac:dyDescent="0.3">
      <c r="P45" t="s">
        <v>105</v>
      </c>
      <c r="Q45" s="50">
        <f t="shared" ref="Q45:T46" si="4">IF(V36&lt;&gt;0,V36,0)</f>
        <v>0</v>
      </c>
      <c r="R45" s="50">
        <f t="shared" si="4"/>
        <v>0</v>
      </c>
      <c r="S45" s="50">
        <f t="shared" si="4"/>
        <v>0</v>
      </c>
      <c r="T45" s="50">
        <f t="shared" si="4"/>
        <v>0</v>
      </c>
      <c r="U45" s="537">
        <f>IF(V36=0,0,1)</f>
        <v>0</v>
      </c>
    </row>
    <row r="46" spans="2:33" hidden="1" x14ac:dyDescent="0.3">
      <c r="P46" s="47" t="s">
        <v>106</v>
      </c>
      <c r="Q46" s="50">
        <f t="shared" si="4"/>
        <v>0</v>
      </c>
      <c r="R46" s="50">
        <f t="shared" si="4"/>
        <v>0</v>
      </c>
      <c r="S46" s="50">
        <f t="shared" si="4"/>
        <v>0</v>
      </c>
      <c r="T46" s="50">
        <f t="shared" si="4"/>
        <v>0</v>
      </c>
      <c r="U46" s="537"/>
    </row>
    <row r="47" spans="2:33" x14ac:dyDescent="0.3">
      <c r="B47" s="55"/>
      <c r="C47" s="532" t="s">
        <v>113</v>
      </c>
      <c r="D47" s="532"/>
      <c r="E47" s="532"/>
      <c r="F47" s="532"/>
      <c r="J47" s="55"/>
      <c r="K47" s="532" t="s">
        <v>439</v>
      </c>
      <c r="L47" s="532"/>
      <c r="M47" s="532"/>
      <c r="N47" s="532"/>
    </row>
    <row r="48" spans="2:33" x14ac:dyDescent="0.3">
      <c r="B48" s="56"/>
      <c r="C48" s="57" t="str">
        <f t="shared" ref="C48:F49" si="5">K35</f>
        <v/>
      </c>
      <c r="D48" s="57" t="str">
        <f t="shared" si="5"/>
        <v>b</v>
      </c>
      <c r="E48" s="57" t="str">
        <f t="shared" si="5"/>
        <v/>
      </c>
      <c r="F48" s="57">
        <f t="shared" si="5"/>
        <v>0</v>
      </c>
      <c r="J48" s="56"/>
      <c r="K48" s="57" t="str">
        <f>IF($U$41=0,"b","")</f>
        <v/>
      </c>
      <c r="L48" s="57" t="str">
        <f>IF(OR($U$41=0,$U$41=1),"b","")</f>
        <v>b</v>
      </c>
      <c r="M48" s="57" t="str">
        <f>IF($U$41=0,"b","")</f>
        <v/>
      </c>
      <c r="N48" s="58"/>
      <c r="P48" s="25"/>
      <c r="Q48" s="25"/>
      <c r="R48" s="25"/>
      <c r="S48" s="25"/>
      <c r="T48" s="25"/>
      <c r="U48" s="25"/>
      <c r="V48" s="25"/>
      <c r="W48" s="25"/>
    </row>
    <row r="49" spans="2:23" x14ac:dyDescent="0.3">
      <c r="B49" s="95" t="s">
        <v>105</v>
      </c>
      <c r="C49" s="57">
        <f>K36</f>
        <v>1</v>
      </c>
      <c r="D49" s="57">
        <f t="shared" si="5"/>
        <v>2</v>
      </c>
      <c r="E49" s="57">
        <f t="shared" si="5"/>
        <v>3</v>
      </c>
      <c r="F49" s="57">
        <f t="shared" si="5"/>
        <v>4</v>
      </c>
      <c r="J49" s="59" t="s">
        <v>105</v>
      </c>
      <c r="K49" s="60">
        <f>Phasing!D46</f>
        <v>25</v>
      </c>
      <c r="L49" s="60">
        <f>Phasing!E46</f>
        <v>40</v>
      </c>
      <c r="M49" s="60">
        <f>Phasing!F46</f>
        <v>98</v>
      </c>
      <c r="N49" s="60">
        <f>Phasing!G46</f>
        <v>9</v>
      </c>
      <c r="P49" s="6">
        <f>B27</f>
        <v>7</v>
      </c>
      <c r="Q49" s="6">
        <f t="shared" ref="Q49:W49" si="6">C27</f>
        <v>4</v>
      </c>
      <c r="R49" s="6">
        <f t="shared" si="6"/>
        <v>3</v>
      </c>
      <c r="S49" s="6">
        <f t="shared" si="6"/>
        <v>8</v>
      </c>
      <c r="T49" s="6">
        <f t="shared" si="6"/>
        <v>5</v>
      </c>
      <c r="U49" s="6">
        <f t="shared" si="6"/>
        <v>2</v>
      </c>
      <c r="V49" s="6">
        <f t="shared" si="6"/>
        <v>1</v>
      </c>
      <c r="W49" s="6">
        <f t="shared" si="6"/>
        <v>6</v>
      </c>
    </row>
    <row r="50" spans="2:23" x14ac:dyDescent="0.3">
      <c r="B50" s="184" t="s">
        <v>106</v>
      </c>
      <c r="C50" s="57">
        <f>K37</f>
        <v>5</v>
      </c>
      <c r="D50" s="57">
        <f t="shared" ref="D50" si="7">L37</f>
        <v>6</v>
      </c>
      <c r="E50" s="57">
        <f t="shared" ref="E50" si="8">M37</f>
        <v>7</v>
      </c>
      <c r="F50" s="57">
        <f t="shared" ref="F50" si="9">N37</f>
        <v>8</v>
      </c>
      <c r="J50" s="61" t="s">
        <v>106</v>
      </c>
      <c r="K50" s="60">
        <f>Phasing!H46</f>
        <v>25</v>
      </c>
      <c r="L50" s="60">
        <f>Phasing!I46</f>
        <v>45</v>
      </c>
      <c r="M50" s="60">
        <f>Phasing!J46</f>
        <v>98</v>
      </c>
      <c r="N50" s="60">
        <f>Phasing!K46</f>
        <v>118</v>
      </c>
      <c r="P50" s="6" t="str">
        <f t="shared" ref="P50:W50" si="10">IF(P49&gt;0,B26,0)</f>
        <v>EBL</v>
      </c>
      <c r="Q50" s="6" t="str">
        <f t="shared" si="10"/>
        <v>EBT</v>
      </c>
      <c r="R50" s="6" t="str">
        <f t="shared" si="10"/>
        <v>WBL</v>
      </c>
      <c r="S50" s="6" t="str">
        <f t="shared" si="10"/>
        <v>WBT</v>
      </c>
      <c r="T50" s="6" t="str">
        <f t="shared" si="10"/>
        <v>NBL</v>
      </c>
      <c r="U50" s="6" t="str">
        <f t="shared" si="10"/>
        <v>NBT</v>
      </c>
      <c r="V50" s="6" t="str">
        <f t="shared" si="10"/>
        <v>SBL</v>
      </c>
      <c r="W50" s="6" t="str">
        <f t="shared" si="10"/>
        <v>SBT</v>
      </c>
    </row>
    <row r="51" spans="2:23" x14ac:dyDescent="0.3">
      <c r="Q51" s="45"/>
      <c r="R51" s="45"/>
      <c r="S51" s="45"/>
      <c r="T51" s="45"/>
    </row>
    <row r="52" spans="2:23" x14ac:dyDescent="0.3">
      <c r="J52" s="55"/>
      <c r="K52" s="532" t="s">
        <v>440</v>
      </c>
      <c r="L52" s="532"/>
      <c r="M52" s="532"/>
      <c r="N52" s="532"/>
      <c r="P52" s="62" t="s">
        <v>105</v>
      </c>
      <c r="Q52" s="70">
        <f t="shared" ref="Q52:T53" si="11">MATCH(K36,$P$49:$W$49,0)</f>
        <v>7</v>
      </c>
      <c r="R52" s="70">
        <f t="shared" si="11"/>
        <v>6</v>
      </c>
      <c r="S52" s="70">
        <f t="shared" si="11"/>
        <v>3</v>
      </c>
      <c r="T52" s="70">
        <f t="shared" si="11"/>
        <v>2</v>
      </c>
    </row>
    <row r="53" spans="2:23" x14ac:dyDescent="0.3">
      <c r="J53" s="56"/>
      <c r="K53" s="57" t="str">
        <f>IF($U$41=0,"b","")</f>
        <v/>
      </c>
      <c r="L53" s="57" t="str">
        <f>IF(OR($U$41=0,$U$41=1),"b","")</f>
        <v>b</v>
      </c>
      <c r="M53" s="57" t="str">
        <f>IF($U$41=0,"b","")</f>
        <v/>
      </c>
      <c r="N53" s="58"/>
      <c r="P53" s="47" t="s">
        <v>106</v>
      </c>
      <c r="Q53" s="70">
        <f t="shared" si="11"/>
        <v>5</v>
      </c>
      <c r="R53" s="70">
        <f t="shared" si="11"/>
        <v>8</v>
      </c>
      <c r="S53" s="70">
        <f t="shared" si="11"/>
        <v>1</v>
      </c>
      <c r="T53" s="70">
        <f t="shared" si="11"/>
        <v>4</v>
      </c>
    </row>
    <row r="54" spans="2:23" x14ac:dyDescent="0.3">
      <c r="J54" s="59" t="s">
        <v>105</v>
      </c>
      <c r="K54" s="60">
        <f>Phasing!D47</f>
        <v>40</v>
      </c>
      <c r="L54" s="60">
        <f>Phasing!E47</f>
        <v>98</v>
      </c>
      <c r="M54" s="60">
        <f>Phasing!F47</f>
        <v>9</v>
      </c>
      <c r="N54" s="60">
        <f>Phasing!G47</f>
        <v>25</v>
      </c>
      <c r="Q54" s="70"/>
      <c r="R54" s="70"/>
      <c r="S54" s="70"/>
      <c r="T54" s="70"/>
    </row>
    <row r="55" spans="2:23" x14ac:dyDescent="0.3">
      <c r="J55" s="61" t="s">
        <v>106</v>
      </c>
      <c r="K55" s="60">
        <f>Phasing!H47</f>
        <v>45</v>
      </c>
      <c r="L55" s="60">
        <f>Phasing!I47</f>
        <v>98</v>
      </c>
      <c r="M55" s="60">
        <f>Phasing!J47</f>
        <v>118</v>
      </c>
      <c r="N55" s="60">
        <f>Phasing!K47</f>
        <v>25</v>
      </c>
      <c r="P55" s="62" t="s">
        <v>105</v>
      </c>
      <c r="Q55" s="70" t="str">
        <f>IF(Q52&gt;0,INDEX($P$49:$W$50,2,Q52),0)</f>
        <v>SBL</v>
      </c>
      <c r="R55" s="70" t="str">
        <f>IF(R52&gt;0,INDEX($P$49:$W$50,2,R52),0)</f>
        <v>NBT</v>
      </c>
      <c r="S55" s="70" t="str">
        <f>IF(S52&gt;0,INDEX($P$49:$W$50,2,S52),0)</f>
        <v>WBL</v>
      </c>
      <c r="T55" s="70" t="str">
        <f t="shared" ref="R55:T56" si="12">INDEX($P$49:$W$50,2,T52)</f>
        <v>EBT</v>
      </c>
    </row>
    <row r="56" spans="2:23" x14ac:dyDescent="0.3">
      <c r="P56" s="47" t="s">
        <v>106</v>
      </c>
      <c r="Q56" s="70" t="str">
        <f>INDEX($P$49:$W$50,2,Q53)</f>
        <v>NBL</v>
      </c>
      <c r="R56" s="70" t="str">
        <f t="shared" si="12"/>
        <v>SBT</v>
      </c>
      <c r="S56" s="70" t="str">
        <f t="shared" si="12"/>
        <v>EBL</v>
      </c>
      <c r="T56" s="70" t="str">
        <f t="shared" si="12"/>
        <v>WBT</v>
      </c>
    </row>
    <row r="59" spans="2:23" x14ac:dyDescent="0.3">
      <c r="J59" s="522" t="s">
        <v>441</v>
      </c>
      <c r="K59" s="531"/>
      <c r="L59" s="522" t="s">
        <v>442</v>
      </c>
      <c r="M59" s="531"/>
      <c r="N59" s="522" t="s">
        <v>443</v>
      </c>
      <c r="O59" s="531"/>
      <c r="P59" s="522" t="s">
        <v>444</v>
      </c>
      <c r="Q59" s="531"/>
      <c r="R59" s="84"/>
      <c r="S59" s="84"/>
      <c r="T59" s="84"/>
      <c r="U59" s="84"/>
      <c r="V59" s="84"/>
      <c r="W59" s="84"/>
    </row>
    <row r="60" spans="2:23" x14ac:dyDescent="0.3">
      <c r="I60" t="s">
        <v>105</v>
      </c>
      <c r="J60" s="369">
        <f>K49</f>
        <v>25</v>
      </c>
      <c r="K60" s="369">
        <f>K54</f>
        <v>40</v>
      </c>
      <c r="L60" s="369">
        <f>L49</f>
        <v>40</v>
      </c>
      <c r="M60" s="369">
        <f>L54</f>
        <v>98</v>
      </c>
      <c r="N60" s="369">
        <f>M49</f>
        <v>98</v>
      </c>
      <c r="O60" s="369">
        <f>M54</f>
        <v>9</v>
      </c>
      <c r="P60" s="87">
        <f>N49</f>
        <v>9</v>
      </c>
      <c r="Q60" s="87">
        <f>N54</f>
        <v>25</v>
      </c>
      <c r="R60" s="82"/>
      <c r="S60" s="82"/>
      <c r="T60" s="82"/>
      <c r="U60" s="82"/>
      <c r="V60" s="82"/>
      <c r="W60" s="83"/>
    </row>
    <row r="61" spans="2:23" x14ac:dyDescent="0.3">
      <c r="I61" t="s">
        <v>106</v>
      </c>
      <c r="J61" s="369">
        <f>K50</f>
        <v>25</v>
      </c>
      <c r="K61" s="369">
        <f>K55</f>
        <v>45</v>
      </c>
      <c r="L61" s="369">
        <f>L50</f>
        <v>45</v>
      </c>
      <c r="M61" s="369">
        <f>L55</f>
        <v>98</v>
      </c>
      <c r="N61" s="369">
        <f>M50</f>
        <v>98</v>
      </c>
      <c r="O61" s="369">
        <f>M55</f>
        <v>118</v>
      </c>
      <c r="P61" s="87">
        <f>N50</f>
        <v>118</v>
      </c>
      <c r="Q61" s="87">
        <f>N55</f>
        <v>25</v>
      </c>
      <c r="R61" s="45"/>
      <c r="S61" s="45"/>
      <c r="T61" s="45"/>
      <c r="U61" s="45"/>
      <c r="V61" s="45"/>
      <c r="W61" s="45"/>
    </row>
    <row r="62" spans="2:23" x14ac:dyDescent="0.3">
      <c r="J62" s="522" t="s">
        <v>445</v>
      </c>
      <c r="K62" s="531"/>
      <c r="L62" s="522" t="s">
        <v>446</v>
      </c>
      <c r="M62" s="531"/>
      <c r="N62" s="522" t="s">
        <v>447</v>
      </c>
      <c r="O62" s="531"/>
      <c r="P62" s="522" t="s">
        <v>448</v>
      </c>
      <c r="Q62" s="531"/>
      <c r="R62" s="45"/>
      <c r="S62" s="45"/>
      <c r="T62" s="45"/>
      <c r="U62" s="45"/>
      <c r="V62" s="45"/>
      <c r="W62" s="45"/>
    </row>
    <row r="63" spans="2:23" x14ac:dyDescent="0.3">
      <c r="P63" s="81"/>
      <c r="Q63" s="81"/>
      <c r="R63" s="81"/>
      <c r="S63" s="81"/>
      <c r="T63" s="81"/>
      <c r="U63" s="81"/>
      <c r="V63" s="81"/>
      <c r="W63" s="81"/>
    </row>
    <row r="64" spans="2:23" x14ac:dyDescent="0.3">
      <c r="J64" t="s">
        <v>105</v>
      </c>
      <c r="K64" s="369">
        <v>0</v>
      </c>
      <c r="L64" s="369">
        <f>L60</f>
        <v>40</v>
      </c>
      <c r="M64" s="369">
        <f>N60</f>
        <v>98</v>
      </c>
      <c r="N64" s="369">
        <f>P60</f>
        <v>9</v>
      </c>
      <c r="O64" s="369">
        <f>Q60</f>
        <v>25</v>
      </c>
      <c r="P64" s="81"/>
      <c r="Q64" s="81"/>
      <c r="R64" s="81"/>
      <c r="S64" s="81"/>
      <c r="T64" s="81"/>
      <c r="U64" s="81"/>
      <c r="V64" s="81"/>
      <c r="W64" s="81"/>
    </row>
    <row r="65" spans="10:23" x14ac:dyDescent="0.3">
      <c r="J65" t="s">
        <v>106</v>
      </c>
      <c r="K65" s="369">
        <v>0</v>
      </c>
      <c r="L65" s="369">
        <f>L61</f>
        <v>45</v>
      </c>
      <c r="M65" s="369">
        <f>N61</f>
        <v>98</v>
      </c>
      <c r="N65" s="369">
        <f>P61</f>
        <v>118</v>
      </c>
      <c r="O65" s="369">
        <f>Q61</f>
        <v>25</v>
      </c>
      <c r="P65" s="16"/>
      <c r="Q65" s="16"/>
      <c r="R65" s="84"/>
      <c r="S65" s="84"/>
      <c r="T65" s="84"/>
      <c r="U65" s="84"/>
      <c r="V65" s="84"/>
      <c r="W65" s="84"/>
    </row>
    <row r="66" spans="10:23" x14ac:dyDescent="0.3">
      <c r="P66" s="81"/>
      <c r="Q66" s="81"/>
      <c r="R66" s="82"/>
      <c r="S66" s="82"/>
      <c r="T66" s="82"/>
      <c r="U66" s="82"/>
      <c r="V66" s="82"/>
      <c r="W66" s="83"/>
    </row>
    <row r="67" spans="10:23" x14ac:dyDescent="0.3">
      <c r="P67" s="62"/>
      <c r="Q67" s="77"/>
      <c r="R67" s="77"/>
      <c r="S67" s="77"/>
      <c r="T67" s="77"/>
      <c r="U67" s="77"/>
      <c r="V67" s="77"/>
      <c r="W67" s="77"/>
    </row>
    <row r="68" spans="10:23" x14ac:dyDescent="0.3">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5 C48:F50">
    <cfRule type="cellIs" dxfId="27" priority="10" stopIfTrue="1" operator="equal">
      <formula>0</formula>
    </cfRule>
  </conditionalFormatting>
  <conditionalFormatting sqref="K48:N50">
    <cfRule type="cellIs" dxfId="26" priority="3" stopIfTrue="1" operator="equal">
      <formula>0</formula>
    </cfRule>
  </conditionalFormatting>
  <conditionalFormatting sqref="K53:N55">
    <cfRule type="cellIs" dxfId="25" priority="2"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4.4" x14ac:dyDescent="0.3"/>
  <cols>
    <col min="1" max="1" width="9.109375" customWidth="1"/>
    <col min="2" max="2" width="34.5546875" customWidth="1"/>
    <col min="3" max="5" width="16.6640625" customWidth="1"/>
    <col min="6" max="19" width="9.109375" hidden="1" customWidth="1"/>
    <col min="20" max="20" width="35" customWidth="1"/>
    <col min="21" max="23" width="16.6640625" customWidth="1"/>
    <col min="24" max="24" width="9.109375" customWidth="1"/>
    <col min="25" max="36" width="9.109375" hidden="1" customWidth="1"/>
    <col min="37" max="37" width="35" bestFit="1" customWidth="1"/>
    <col min="38" max="40" width="16.6640625" customWidth="1"/>
    <col min="42" max="53" width="0" hidden="1" customWidth="1"/>
    <col min="54" max="54" width="35" bestFit="1" customWidth="1"/>
    <col min="55" max="57" width="16.6640625" customWidth="1"/>
  </cols>
  <sheetData>
    <row r="1" spans="2:57" x14ac:dyDescent="0.3">
      <c r="B1" s="100" t="s">
        <v>204</v>
      </c>
      <c r="T1" s="96"/>
      <c r="AK1" s="96"/>
      <c r="BB1" s="96"/>
    </row>
    <row r="2" spans="2:57" s="62" customFormat="1" x14ac:dyDescent="0.3">
      <c r="B2" s="542" t="s">
        <v>151</v>
      </c>
      <c r="C2" s="542"/>
      <c r="D2" s="542"/>
      <c r="E2" s="542"/>
      <c r="T2" s="542" t="s">
        <v>198</v>
      </c>
      <c r="U2" s="542"/>
      <c r="V2" s="542"/>
      <c r="W2" s="542"/>
      <c r="AK2" s="542" t="s">
        <v>199</v>
      </c>
      <c r="AL2" s="542"/>
      <c r="AM2" s="542"/>
      <c r="AN2" s="542"/>
      <c r="BB2" s="542" t="s">
        <v>200</v>
      </c>
      <c r="BC2" s="542"/>
      <c r="BD2" s="542"/>
      <c r="BE2" s="542"/>
    </row>
    <row r="3" spans="2:57" s="62" customFormat="1" x14ac:dyDescent="0.3"/>
    <row r="4" spans="2:57" s="274" customFormat="1" x14ac:dyDescent="0.3">
      <c r="B4" s="279" t="s">
        <v>152</v>
      </c>
      <c r="C4" s="274" t="s">
        <v>153</v>
      </c>
      <c r="D4" s="274" t="s">
        <v>154</v>
      </c>
      <c r="T4" s="279" t="s">
        <v>152</v>
      </c>
      <c r="U4" s="274" t="s">
        <v>153</v>
      </c>
      <c r="V4" s="274" t="s">
        <v>154</v>
      </c>
      <c r="AK4" s="279" t="s">
        <v>152</v>
      </c>
      <c r="AL4" s="274" t="s">
        <v>153</v>
      </c>
      <c r="AM4" s="274" t="s">
        <v>154</v>
      </c>
      <c r="BB4" s="279" t="s">
        <v>152</v>
      </c>
      <c r="BC4" s="274" t="s">
        <v>153</v>
      </c>
      <c r="BD4" s="274" t="s">
        <v>154</v>
      </c>
    </row>
    <row r="5" spans="2:57" s="62" customFormat="1" x14ac:dyDescent="0.3">
      <c r="B5" s="62" t="s">
        <v>164</v>
      </c>
      <c r="C5" s="77">
        <f>ROUND(Sheet1!P4*(1-'Input sheet'!G17/100),0)</f>
        <v>38</v>
      </c>
      <c r="D5" s="77">
        <f>C5</f>
        <v>38</v>
      </c>
      <c r="T5" s="62" t="s">
        <v>164</v>
      </c>
      <c r="U5" s="77">
        <f>ROUND(Sheet1!U4*(1-'Input sheet'!N11/100),0)</f>
        <v>75</v>
      </c>
      <c r="V5" s="77">
        <f>U5</f>
        <v>75</v>
      </c>
      <c r="AK5" s="62" t="s">
        <v>164</v>
      </c>
      <c r="AL5" s="77">
        <f>ROUND((Sheet1!F4+Sheet1!Y4+Sheet1!AB4)*(1-'Input sheet'!L22/100),0)</f>
        <v>65</v>
      </c>
      <c r="AM5" s="77">
        <f>AL5</f>
        <v>65</v>
      </c>
      <c r="BB5" s="62" t="s">
        <v>164</v>
      </c>
      <c r="BC5" s="77">
        <f>ROUND((Sheet1!K4+Sheet1!AE4+Sheet1!AH4)*(1-'Input sheet'!H7/100),0)</f>
        <v>50</v>
      </c>
      <c r="BD5" s="77">
        <f>BC5</f>
        <v>50</v>
      </c>
    </row>
    <row r="6" spans="2:57" s="274" customFormat="1" x14ac:dyDescent="0.3">
      <c r="B6" s="274" t="s">
        <v>167</v>
      </c>
      <c r="C6" s="251">
        <f>Sheet1!P5</f>
        <v>0</v>
      </c>
      <c r="D6" s="251">
        <v>1</v>
      </c>
      <c r="T6" s="274" t="s">
        <v>167</v>
      </c>
      <c r="U6" s="251">
        <f>Sheet1!U5</f>
        <v>1</v>
      </c>
      <c r="V6" s="251">
        <v>1</v>
      </c>
      <c r="AK6" s="274" t="s">
        <v>167</v>
      </c>
      <c r="AL6" s="251">
        <f>Sheet1!F5+Sheet1!Y5+Sheet1!AB5</f>
        <v>1</v>
      </c>
      <c r="AM6" s="251">
        <v>1</v>
      </c>
      <c r="BB6" s="274" t="s">
        <v>167</v>
      </c>
      <c r="BC6" s="251">
        <f>Sheet1!K5+Sheet1!AE5+Sheet1!AH5</f>
        <v>1</v>
      </c>
      <c r="BD6" s="251">
        <v>1</v>
      </c>
    </row>
    <row r="7" spans="2:57" s="62" customFormat="1" x14ac:dyDescent="0.3">
      <c r="B7" s="62" t="s">
        <v>166</v>
      </c>
      <c r="C7" s="77">
        <f>IF(C6=1,0.85,0.75)</f>
        <v>0.75</v>
      </c>
      <c r="D7" s="77">
        <v>0.85</v>
      </c>
      <c r="T7" s="62" t="s">
        <v>166</v>
      </c>
      <c r="U7" s="77">
        <f>IF(U6=1,0.85,0.75)</f>
        <v>0.85</v>
      </c>
      <c r="V7" s="77">
        <v>0.85</v>
      </c>
      <c r="AK7" s="62" t="s">
        <v>166</v>
      </c>
      <c r="AL7" s="77">
        <f>IF(AL6=1,0.85,0.75)</f>
        <v>0.85</v>
      </c>
      <c r="AM7" s="77">
        <v>0.85</v>
      </c>
      <c r="BB7" s="62" t="s">
        <v>166</v>
      </c>
      <c r="BC7" s="77">
        <f>IF(BC6=1,0.85,0.75)</f>
        <v>0.85</v>
      </c>
      <c r="BD7" s="77">
        <v>0.85</v>
      </c>
    </row>
    <row r="8" spans="2:57" s="274" customFormat="1" x14ac:dyDescent="0.3">
      <c r="B8" s="274" t="s">
        <v>168</v>
      </c>
      <c r="C8" s="251">
        <f>ROUND(IF(C6=0,0,C5/(C6*C7)),0)</f>
        <v>0</v>
      </c>
      <c r="D8" s="251">
        <f>ROUND(IF(C6=0,D5/(D6*D7),0),0)</f>
        <v>45</v>
      </c>
      <c r="T8" s="274" t="s">
        <v>168</v>
      </c>
      <c r="U8" s="251">
        <f>ROUND(IF(U6=0,0,U5/(U6*U7)),0)</f>
        <v>88</v>
      </c>
      <c r="V8" s="251">
        <f>ROUND(IF(U6=0,V5/(V6*V7),0),0)</f>
        <v>0</v>
      </c>
      <c r="AK8" s="274" t="s">
        <v>168</v>
      </c>
      <c r="AL8" s="251">
        <f>ROUND(IF(AL6=0,0,AL5/(AL6*AL7)),0)</f>
        <v>76</v>
      </c>
      <c r="AM8" s="251">
        <f>ROUND(IF(AL6=0,AM5/(AM6*AM7),0),0)</f>
        <v>0</v>
      </c>
      <c r="BB8" s="274" t="s">
        <v>168</v>
      </c>
      <c r="BC8" s="251">
        <f>ROUND(IF(BC6=0,0,BC5/(BC6*BC7)),0)</f>
        <v>59</v>
      </c>
      <c r="BD8" s="251">
        <f>ROUND(IF(BC6=0,BD5/(BD6*BD7),0),0)</f>
        <v>0</v>
      </c>
    </row>
    <row r="9" spans="2:57" s="62" customFormat="1" x14ac:dyDescent="0.3"/>
    <row r="10" spans="2:57" s="274" customFormat="1" x14ac:dyDescent="0.3">
      <c r="B10" s="279" t="s">
        <v>155</v>
      </c>
      <c r="T10" s="279" t="s">
        <v>155</v>
      </c>
      <c r="AK10" s="279" t="s">
        <v>155</v>
      </c>
      <c r="BB10" s="279" t="s">
        <v>155</v>
      </c>
    </row>
    <row r="11" spans="2:57" s="62" customFormat="1" x14ac:dyDescent="0.3">
      <c r="B11" s="62" t="s">
        <v>165</v>
      </c>
      <c r="C11" s="77">
        <f>Sheet1!N4</f>
        <v>150</v>
      </c>
      <c r="T11" s="62" t="s">
        <v>165</v>
      </c>
      <c r="U11" s="77">
        <f>Sheet1!S4</f>
        <v>75</v>
      </c>
      <c r="AK11" s="62" t="s">
        <v>165</v>
      </c>
      <c r="AL11" s="77">
        <f>Sheet1!D4+Sheet1!W4+Sheet1!Z4</f>
        <v>100</v>
      </c>
      <c r="BB11" s="62" t="s">
        <v>165</v>
      </c>
      <c r="BC11" s="77">
        <f>Sheet1!I4+Sheet1!AC4+Sheet1!AF4</f>
        <v>150</v>
      </c>
    </row>
    <row r="12" spans="2:57" s="274" customFormat="1" x14ac:dyDescent="0.3">
      <c r="B12" s="274" t="s">
        <v>169</v>
      </c>
      <c r="C12" s="251">
        <f>SUM(Sheet1!S4:U4)-Sheet1!S4</f>
        <v>350</v>
      </c>
      <c r="T12" s="274" t="s">
        <v>169</v>
      </c>
      <c r="U12" s="251">
        <f>SUM(Sheet1!N4:P4)-Sheet1!N4</f>
        <v>175</v>
      </c>
      <c r="AK12" s="274" t="s">
        <v>169</v>
      </c>
      <c r="AL12" s="251">
        <f>SUM(Sheet1!I4:K4,Sheet1!AC4:AH4)-Sheet1!AF4-Sheet1!AC4-Sheet1!I4</f>
        <v>450</v>
      </c>
      <c r="BB12" s="274" t="s">
        <v>169</v>
      </c>
      <c r="BC12" s="251">
        <f>SUM(Sheet1!D4:F4,Sheet1!W4:AB4)-Sheet1!Z4-Sheet1!W4-Sheet1!D4</f>
        <v>880</v>
      </c>
    </row>
    <row r="13" spans="2:57" s="62" customFormat="1" x14ac:dyDescent="0.3">
      <c r="B13" s="62" t="s">
        <v>170</v>
      </c>
      <c r="C13" s="77">
        <f>Sheet1!N5</f>
        <v>1</v>
      </c>
      <c r="T13" s="62" t="s">
        <v>170</v>
      </c>
      <c r="U13" s="77">
        <f>Sheet1!S5</f>
        <v>1</v>
      </c>
      <c r="AK13" s="62" t="s">
        <v>170</v>
      </c>
      <c r="AL13" s="77">
        <f>Sheet1!D5+Sheet1!W5+Sheet1!Z5</f>
        <v>1</v>
      </c>
      <c r="BB13" s="62" t="s">
        <v>170</v>
      </c>
      <c r="BC13" s="77">
        <f>Sheet1!I5+Sheet1!AC4+Sheet1!AF4</f>
        <v>1</v>
      </c>
    </row>
    <row r="14" spans="2:57" s="274" customFormat="1" x14ac:dyDescent="0.3">
      <c r="B14" s="274" t="s">
        <v>171</v>
      </c>
      <c r="C14" s="251">
        <f>MAX(C18:C21)</f>
        <v>0.95</v>
      </c>
      <c r="D14" s="331">
        <f>IF(OR('Phase designation'!B22=1,'Phase designation'!B22=3),1,0)</f>
        <v>0</v>
      </c>
      <c r="T14" s="274" t="s">
        <v>171</v>
      </c>
      <c r="U14" s="251">
        <f>MAX(U18:U21)</f>
        <v>0.95</v>
      </c>
      <c r="V14" s="331">
        <f>IF(OR('Phase designation'!D22=1,'Phase designation'!D22=3),1,0)</f>
        <v>0</v>
      </c>
      <c r="AK14" s="274" t="s">
        <v>171</v>
      </c>
      <c r="AL14" s="251">
        <f>MAX(AL18:AL21)</f>
        <v>0.95</v>
      </c>
      <c r="AM14" s="331">
        <f>IF(OR('Phase designation'!F22=1,'Phase designation'!F22=3),1,0)</f>
        <v>1</v>
      </c>
      <c r="BB14" s="274" t="s">
        <v>171</v>
      </c>
      <c r="BC14" s="251">
        <f>MAX(BC18:BC21)</f>
        <v>0.95</v>
      </c>
      <c r="BD14" s="331">
        <f>IF(OR('Phase designation'!H22=1,'Phase designation'!H22=3),1,0)</f>
        <v>1</v>
      </c>
    </row>
    <row r="15" spans="2:57" s="62" customFormat="1" x14ac:dyDescent="0.3">
      <c r="B15" s="543" t="s">
        <v>156</v>
      </c>
      <c r="C15" s="77" t="s">
        <v>173</v>
      </c>
      <c r="D15" s="77" t="s">
        <v>174</v>
      </c>
      <c r="E15" s="77" t="s">
        <v>175</v>
      </c>
      <c r="T15" s="543" t="s">
        <v>156</v>
      </c>
      <c r="U15" s="77" t="s">
        <v>173</v>
      </c>
      <c r="V15" s="77" t="s">
        <v>174</v>
      </c>
      <c r="W15" s="77" t="s">
        <v>175</v>
      </c>
      <c r="AK15" s="543" t="s">
        <v>156</v>
      </c>
      <c r="AL15" s="77" t="s">
        <v>173</v>
      </c>
      <c r="AM15" s="77" t="s">
        <v>174</v>
      </c>
      <c r="AN15" s="77" t="s">
        <v>175</v>
      </c>
      <c r="BB15" s="543" t="s">
        <v>156</v>
      </c>
      <c r="BC15" s="77" t="s">
        <v>173</v>
      </c>
      <c r="BD15" s="77" t="s">
        <v>174</v>
      </c>
      <c r="BE15" s="77" t="s">
        <v>175</v>
      </c>
    </row>
    <row r="16" spans="2:57" s="274" customFormat="1" x14ac:dyDescent="0.3">
      <c r="B16" s="543"/>
      <c r="C16" s="285">
        <v>0</v>
      </c>
      <c r="D16" s="285">
        <f>IF(D14=1,D17,0)</f>
        <v>0</v>
      </c>
      <c r="E16" s="285">
        <f>ROUND(IF(OR(C20&gt;0,C21&gt;0),C11/(C13*C14),0),0)</f>
        <v>0</v>
      </c>
      <c r="T16" s="543"/>
      <c r="U16" s="285">
        <v>0</v>
      </c>
      <c r="V16" s="285">
        <f>IF(V14=1,V17,0)</f>
        <v>0</v>
      </c>
      <c r="W16" s="285">
        <f>ROUND(IF(OR(U20&gt;0,U21&gt;0),U11/(U13*U14),0),0)</f>
        <v>0</v>
      </c>
      <c r="AK16" s="543"/>
      <c r="AL16" s="285">
        <v>0</v>
      </c>
      <c r="AM16" s="285">
        <f>IF(AM14=1,AM17,0)</f>
        <v>105</v>
      </c>
      <c r="AN16" s="285">
        <f>ROUND(IF(OR(AL20&gt;0,AL21&gt;0),AL11/(AL13*AL14),0),0)</f>
        <v>0</v>
      </c>
      <c r="BB16" s="543"/>
      <c r="BC16" s="285">
        <v>0</v>
      </c>
      <c r="BD16" s="285">
        <f>IF(BD14=1,BD17,0)</f>
        <v>158</v>
      </c>
      <c r="BE16" s="285">
        <f>ROUND(IF(OR(BC20&gt;0,BC21&gt;0),BC11/(BC13*BC14),0),0)</f>
        <v>0</v>
      </c>
    </row>
    <row r="17" spans="2:57" s="62" customFormat="1" x14ac:dyDescent="0.3">
      <c r="D17" s="284">
        <f>ROUND(IF(OR(C18&gt;0,C19&gt;0),C11/(C13*C14),0),0)</f>
        <v>158</v>
      </c>
      <c r="V17" s="284">
        <f>ROUND(IF(OR(U18&gt;0,U19&gt;0),U11/(U13*U14),0),0)</f>
        <v>79</v>
      </c>
      <c r="AM17" s="284">
        <f>ROUND(IF(OR(AL18&gt;0,AL19&gt;0),AL11/(AL13*AL14),0),0)</f>
        <v>105</v>
      </c>
      <c r="BD17" s="284">
        <f>ROUND(IF(OR(BC18&gt;0,BC19&gt;0),BC11/(BC13*BC14),0),0)</f>
        <v>158</v>
      </c>
    </row>
    <row r="18" spans="2:57" s="62" customFormat="1" x14ac:dyDescent="0.3">
      <c r="B18" s="62" t="s">
        <v>157</v>
      </c>
      <c r="C18" s="62">
        <f>IF(AND(SUM(Sheet1!S5:U5)&gt;0,'Lane volumes'!C13=1),0.95,0)</f>
        <v>0.95</v>
      </c>
      <c r="T18" s="62" t="s">
        <v>157</v>
      </c>
      <c r="U18" s="62">
        <f>IF(AND(SUM(Sheet1!N5:P5)&gt;0,'Lane volumes'!U13=1),0.95,0)</f>
        <v>0.95</v>
      </c>
      <c r="AK18" s="62" t="s">
        <v>157</v>
      </c>
      <c r="AL18" s="62">
        <f>IF(AND(SUM(Sheet1!I5:K5,Sheet1!AC5:AE5,Sheet1!AF5:AH5)&gt;0,'Lane volumes'!AL13=1),0.95,0)</f>
        <v>0.95</v>
      </c>
      <c r="BB18" s="62" t="s">
        <v>157</v>
      </c>
      <c r="BC18" s="62">
        <f>IF(AND(SUM(Sheet1!D5:F5,Sheet1!W5:Y5,Sheet1!Z5:AB5)&gt;0,'Lane volumes'!BC13=1),0.95,0)</f>
        <v>0.95</v>
      </c>
    </row>
    <row r="19" spans="2:57" s="62" customFormat="1" x14ac:dyDescent="0.3">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3">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3">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3"/>
    <row r="23" spans="2:57" s="274" customFormat="1" x14ac:dyDescent="0.3">
      <c r="B23" s="279" t="s">
        <v>172</v>
      </c>
      <c r="C23" s="251" t="s">
        <v>173</v>
      </c>
      <c r="D23" s="251" t="s">
        <v>174</v>
      </c>
      <c r="E23" s="251" t="s">
        <v>175</v>
      </c>
      <c r="T23" s="279" t="s">
        <v>172</v>
      </c>
      <c r="U23" s="251" t="s">
        <v>173</v>
      </c>
      <c r="V23" s="251" t="s">
        <v>174</v>
      </c>
      <c r="W23" s="251" t="s">
        <v>175</v>
      </c>
      <c r="AK23" s="279" t="s">
        <v>172</v>
      </c>
      <c r="AL23" s="251" t="s">
        <v>173</v>
      </c>
      <c r="AM23" s="251" t="s">
        <v>174</v>
      </c>
      <c r="AN23" s="251" t="s">
        <v>175</v>
      </c>
      <c r="BB23" s="279" t="s">
        <v>172</v>
      </c>
      <c r="BC23" s="251" t="s">
        <v>173</v>
      </c>
      <c r="BD23" s="251" t="s">
        <v>174</v>
      </c>
      <c r="BE23" s="251" t="s">
        <v>175</v>
      </c>
    </row>
    <row r="24" spans="2:57" s="62" customFormat="1" x14ac:dyDescent="0.3">
      <c r="B24" s="62" t="s">
        <v>193</v>
      </c>
      <c r="C24" s="77">
        <f>IF(AND('Phase designation'!B22=2,E16=0),Sheet1!O4,0)</f>
        <v>100</v>
      </c>
      <c r="D24" s="77">
        <f>IF(OR('Phase designation'!B22=1,'Phase designation'!B22=3),Sheet1!O4,0)</f>
        <v>0</v>
      </c>
      <c r="E24" s="77">
        <f>IF(OR(C20&gt;0,C21&gt;0),Sheet1!O4,0)</f>
        <v>0</v>
      </c>
      <c r="T24" s="62" t="s">
        <v>193</v>
      </c>
      <c r="U24" s="77">
        <f>IF(AND('Phase designation'!D22=2,W16=0),Sheet1!T4,0)</f>
        <v>200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750</v>
      </c>
      <c r="AN24" s="77">
        <f>IF(OR(AL20&gt;0,AL21&gt;0),Sheet1!E4+Sheet1!X4+Sheet1!AA4,0)</f>
        <v>0</v>
      </c>
      <c r="BB24" s="62" t="s">
        <v>193</v>
      </c>
      <c r="BC24" s="77">
        <f>IF(AND('Phase designation'!H22=2,BE16=0),Sheet1!J4+Sheet1!AD4+Sheet1!AG4,0)</f>
        <v>0</v>
      </c>
      <c r="BD24" s="77">
        <f>IF(OR('Phase designation'!H22=1,'Phase designation'!H22=3),Sheet1!J4+Sheet1!AD4+Sheet1!AG4,0)</f>
        <v>350</v>
      </c>
      <c r="BE24" s="77">
        <f>IF(OR(BC20&gt;0,BC21&gt;0),Sheet1!J4+Sheet1!AD4+Sheet1!AG4,0)</f>
        <v>0</v>
      </c>
    </row>
    <row r="25" spans="2:57" s="274" customFormat="1" x14ac:dyDescent="0.3">
      <c r="B25" s="274" t="s">
        <v>161</v>
      </c>
      <c r="C25" s="251">
        <v>1</v>
      </c>
      <c r="D25" s="251">
        <v>1</v>
      </c>
      <c r="E25" s="251">
        <v>1</v>
      </c>
      <c r="T25" s="274" t="s">
        <v>161</v>
      </c>
      <c r="U25" s="251">
        <v>1</v>
      </c>
      <c r="V25" s="251">
        <v>1</v>
      </c>
      <c r="W25" s="251">
        <v>1</v>
      </c>
      <c r="AK25" s="274" t="s">
        <v>161</v>
      </c>
      <c r="AL25" s="251">
        <v>1</v>
      </c>
      <c r="AM25" s="251">
        <v>1</v>
      </c>
      <c r="AN25" s="251">
        <v>1</v>
      </c>
      <c r="BB25" s="274" t="s">
        <v>161</v>
      </c>
      <c r="BC25" s="251">
        <v>1</v>
      </c>
      <c r="BD25" s="251">
        <v>1</v>
      </c>
      <c r="BE25" s="251">
        <v>1</v>
      </c>
    </row>
    <row r="26" spans="2:57" s="62" customFormat="1" x14ac:dyDescent="0.3">
      <c r="B26" s="62" t="s">
        <v>163</v>
      </c>
      <c r="C26" s="77">
        <f>Sheet1!O5</f>
        <v>1</v>
      </c>
      <c r="D26" s="77">
        <f>C26</f>
        <v>1</v>
      </c>
      <c r="E26" s="77">
        <f>C26</f>
        <v>1</v>
      </c>
      <c r="T26" s="62" t="s">
        <v>163</v>
      </c>
      <c r="U26" s="77">
        <f>Sheet1!T5</f>
        <v>1</v>
      </c>
      <c r="V26" s="77">
        <f>U26</f>
        <v>1</v>
      </c>
      <c r="W26" s="77">
        <f>U26</f>
        <v>1</v>
      </c>
      <c r="AK26" s="62" t="s">
        <v>163</v>
      </c>
      <c r="AL26" s="77">
        <f>Sheet1!E5+Sheet1!X5+Sheet1!AA5</f>
        <v>1</v>
      </c>
      <c r="AM26" s="77">
        <f>AL26</f>
        <v>1</v>
      </c>
      <c r="AN26" s="77">
        <f>AL26</f>
        <v>1</v>
      </c>
      <c r="BB26" s="62" t="s">
        <v>163</v>
      </c>
      <c r="BC26" s="77">
        <f>Sheet1!J5+Sheet1!AD5+Sheet1!AG5</f>
        <v>1</v>
      </c>
      <c r="BD26" s="77">
        <f>BC26</f>
        <v>1</v>
      </c>
      <c r="BE26" s="77">
        <f>BC26</f>
        <v>1</v>
      </c>
    </row>
    <row r="27" spans="2:57" s="274" customFormat="1" x14ac:dyDescent="0.3">
      <c r="B27" s="274" t="s">
        <v>162</v>
      </c>
      <c r="C27" s="251">
        <f>IF(C24=0,0,(D8+C24)/C25)</f>
        <v>145</v>
      </c>
      <c r="D27" s="251">
        <f>IF(D24=0,0,(D8+D24)/D25)</f>
        <v>0</v>
      </c>
      <c r="E27" s="251">
        <f>IF(E24=0,0,(D8+E24+E16)/E25)</f>
        <v>0</v>
      </c>
      <c r="T27" s="274" t="s">
        <v>162</v>
      </c>
      <c r="U27" s="251">
        <f>IF(U24=0,0,(V8+U24)/U25)</f>
        <v>200</v>
      </c>
      <c r="V27" s="251">
        <f>IF(V24=0,0,(V8+V24)/V25)</f>
        <v>0</v>
      </c>
      <c r="W27" s="251">
        <f>IF(W24=0,0,(V8+W24+W16)/W25)</f>
        <v>0</v>
      </c>
      <c r="AK27" s="274" t="s">
        <v>162</v>
      </c>
      <c r="AL27" s="251">
        <f>IF(AL24=0,0,(AM8+AL24)/AL25)</f>
        <v>0</v>
      </c>
      <c r="AM27" s="251">
        <f>IF(AM24=0,0,(AM8+AM24)/AM25)</f>
        <v>750</v>
      </c>
      <c r="AN27" s="251">
        <f>IF(AN24=0,0,(AM8+AN24+AN16)/AN25)</f>
        <v>0</v>
      </c>
      <c r="BB27" s="274" t="s">
        <v>162</v>
      </c>
      <c r="BC27" s="251">
        <f>IF(BC24=0,0,(BD8+BC24)/BC25)</f>
        <v>0</v>
      </c>
      <c r="BD27" s="251">
        <f>IF(BD24=0,0,(BD8+BD24)/BD25)</f>
        <v>350</v>
      </c>
      <c r="BE27" s="251">
        <f>IF(BE24=0,0,(BD8+BE24+BE16)/BE25)</f>
        <v>0</v>
      </c>
    </row>
    <row r="28" spans="2:57" s="62" customFormat="1" x14ac:dyDescent="0.3"/>
    <row r="29" spans="2:57" s="274" customFormat="1" ht="30" customHeight="1" x14ac:dyDescent="0.3">
      <c r="B29" s="286" t="s">
        <v>176</v>
      </c>
      <c r="C29" s="285" t="s">
        <v>173</v>
      </c>
      <c r="D29" s="285" t="s">
        <v>174</v>
      </c>
      <c r="E29" s="285" t="s">
        <v>175</v>
      </c>
      <c r="T29" s="286" t="s">
        <v>176</v>
      </c>
      <c r="U29" s="285" t="s">
        <v>173</v>
      </c>
      <c r="V29" s="285" t="s">
        <v>174</v>
      </c>
      <c r="W29" s="285" t="s">
        <v>175</v>
      </c>
      <c r="AK29" s="286" t="s">
        <v>176</v>
      </c>
      <c r="AL29" s="285" t="s">
        <v>173</v>
      </c>
      <c r="AM29" s="285" t="s">
        <v>174</v>
      </c>
      <c r="AN29" s="285" t="s">
        <v>175</v>
      </c>
      <c r="BB29" s="286" t="s">
        <v>176</v>
      </c>
      <c r="BC29" s="285" t="s">
        <v>173</v>
      </c>
      <c r="BD29" s="285" t="s">
        <v>174</v>
      </c>
      <c r="BE29" s="285" t="s">
        <v>175</v>
      </c>
    </row>
    <row r="30" spans="2:57" s="62" customFormat="1" x14ac:dyDescent="0.3">
      <c r="B30" s="62" t="s">
        <v>178</v>
      </c>
      <c r="C30" s="77">
        <f>IF(C26&gt;0,ROUND(C27/C26,0),0)</f>
        <v>145</v>
      </c>
      <c r="D30" s="77">
        <f>IF(D26&gt;0,ROUND(D27/D26,0),0)</f>
        <v>0</v>
      </c>
      <c r="E30" s="77">
        <f>IF(E26&gt;0,ROUND(E27/E26,0),0)</f>
        <v>0</v>
      </c>
      <c r="T30" s="62" t="s">
        <v>178</v>
      </c>
      <c r="U30" s="77">
        <f>IF(U26&gt;0,ROUND(U27/U26,0),0)</f>
        <v>200</v>
      </c>
      <c r="V30" s="77">
        <f>IF(V26&gt;0,ROUND(V27/V26,0),0)</f>
        <v>0</v>
      </c>
      <c r="W30" s="77">
        <f>IF(W26&gt;0,ROUND(W27/W26,0),0)</f>
        <v>0</v>
      </c>
      <c r="AK30" s="62" t="s">
        <v>178</v>
      </c>
      <c r="AL30" s="77">
        <f>IF(AL26&gt;0,ROUND(AL27/AL26,0),0)</f>
        <v>0</v>
      </c>
      <c r="AM30" s="77">
        <f>IF(AM26&gt;0,ROUND(AM27/AM26,0),0)</f>
        <v>750</v>
      </c>
      <c r="AN30" s="77">
        <f>IF(AN26&gt;0,ROUND(AN27/AN26,0),0)</f>
        <v>0</v>
      </c>
      <c r="BB30" s="62" t="s">
        <v>178</v>
      </c>
      <c r="BC30" s="77">
        <f>IF(BC26&gt;0,ROUND(BC27/BC26,0),0)</f>
        <v>0</v>
      </c>
      <c r="BD30" s="77">
        <f>IF(BD26&gt;0,ROUND(BD27/BD26,0),0)</f>
        <v>350</v>
      </c>
      <c r="BE30" s="77">
        <f>IF(BE26&gt;0,ROUND(BE27/BE26,0),0)</f>
        <v>0</v>
      </c>
    </row>
    <row r="31" spans="2:57" s="274" customFormat="1" ht="30" customHeight="1" x14ac:dyDescent="0.3">
      <c r="B31" s="287" t="s">
        <v>177</v>
      </c>
      <c r="C31" s="285">
        <f>IF(C30=0,0,MAX(C30,C8,E16))</f>
        <v>145</v>
      </c>
      <c r="D31" s="285">
        <f>IF(D30=0,0,MAX(D30,C8,E16))</f>
        <v>0</v>
      </c>
      <c r="E31" s="285">
        <f>IF(E30=0,0,MAX(E30,C8,E16))</f>
        <v>0</v>
      </c>
      <c r="T31" s="287" t="s">
        <v>177</v>
      </c>
      <c r="U31" s="285">
        <f>IF(U30=0,0,MAX(U30,U8,W16))</f>
        <v>200</v>
      </c>
      <c r="V31" s="285">
        <f>IF(V30=0,0,MAX(V30,U8,W16))</f>
        <v>0</v>
      </c>
      <c r="W31" s="285">
        <f>IF(W30=0,0,MAX(W30,U8,W16))</f>
        <v>0</v>
      </c>
      <c r="AK31" s="287" t="s">
        <v>177</v>
      </c>
      <c r="AL31" s="285">
        <f>IF(AL30=0,0,MAX(AL30,AL8,AN16))</f>
        <v>0</v>
      </c>
      <c r="AM31" s="285">
        <f>IF(AM30=0,0,MAX(AM30,AL8,AN16))</f>
        <v>750</v>
      </c>
      <c r="AN31" s="285">
        <f>IF(AN30=0,0,MAX(AN30,AL8,AN16))</f>
        <v>0</v>
      </c>
      <c r="BB31" s="287" t="s">
        <v>177</v>
      </c>
      <c r="BC31" s="285">
        <f>IF(BC30=0,0,MAX(BC30,BC8,BE16))</f>
        <v>0</v>
      </c>
      <c r="BD31" s="285">
        <f>IF(BD30=0,0,MAX(BD30,BC8,BE16))</f>
        <v>350</v>
      </c>
      <c r="BE31" s="285">
        <f>IF(BE30=0,0,MAX(BE30,BC8,BE16))</f>
        <v>0</v>
      </c>
    </row>
    <row r="32" spans="2:57" s="62" customFormat="1" x14ac:dyDescent="0.3"/>
    <row r="33" spans="2:69" s="274" customFormat="1" ht="30" customHeight="1" x14ac:dyDescent="0.3">
      <c r="B33" s="286" t="s">
        <v>197</v>
      </c>
      <c r="C33" s="285" t="s">
        <v>173</v>
      </c>
      <c r="D33" s="285" t="s">
        <v>174</v>
      </c>
      <c r="E33" s="285" t="s">
        <v>175</v>
      </c>
      <c r="T33" s="286" t="s">
        <v>197</v>
      </c>
      <c r="U33" s="285" t="s">
        <v>173</v>
      </c>
      <c r="V33" s="285" t="s">
        <v>174</v>
      </c>
      <c r="W33" s="285" t="s">
        <v>175</v>
      </c>
      <c r="AK33" s="286" t="s">
        <v>197</v>
      </c>
      <c r="AL33" s="285" t="s">
        <v>173</v>
      </c>
      <c r="AM33" s="285" t="s">
        <v>174</v>
      </c>
      <c r="AN33" s="285" t="s">
        <v>175</v>
      </c>
      <c r="BB33" s="286" t="s">
        <v>197</v>
      </c>
      <c r="BC33" s="285" t="s">
        <v>173</v>
      </c>
      <c r="BD33" s="285" t="s">
        <v>174</v>
      </c>
      <c r="BE33" s="285" t="s">
        <v>175</v>
      </c>
    </row>
    <row r="34" spans="2:69" s="62" customFormat="1" x14ac:dyDescent="0.3">
      <c r="B34" s="62" t="s">
        <v>180</v>
      </c>
      <c r="C34" s="77">
        <f>MAX(D56:D57)</f>
        <v>1</v>
      </c>
      <c r="D34" s="77">
        <v>0</v>
      </c>
      <c r="E34" s="77">
        <v>0</v>
      </c>
      <c r="T34" s="62" t="s">
        <v>180</v>
      </c>
      <c r="U34" s="77">
        <f>MAX(V56:V57)</f>
        <v>1</v>
      </c>
      <c r="V34" s="77">
        <v>0</v>
      </c>
      <c r="W34" s="77">
        <v>0</v>
      </c>
      <c r="AK34" s="62" t="s">
        <v>180</v>
      </c>
      <c r="AL34" s="77">
        <f>MAX(AM56:AM57)</f>
        <v>1</v>
      </c>
      <c r="AM34" s="77">
        <v>0</v>
      </c>
      <c r="AN34" s="77">
        <v>0</v>
      </c>
      <c r="BB34" s="62" t="s">
        <v>180</v>
      </c>
      <c r="BC34" s="77">
        <f>MAX(BD56:BD57)</f>
        <v>1</v>
      </c>
      <c r="BD34" s="77">
        <v>0</v>
      </c>
      <c r="BE34" s="77">
        <v>0</v>
      </c>
    </row>
    <row r="35" spans="2:69" s="274" customFormat="1" x14ac:dyDescent="0.3">
      <c r="B35" s="274" t="s">
        <v>181</v>
      </c>
      <c r="C35" s="251">
        <f>IF(Sheet1!O6=0,INDEX(C42:Q43,2,C44+1),INDEX(C42:Q43,1,C44+1))</f>
        <v>1.9</v>
      </c>
      <c r="D35" s="251">
        <v>0</v>
      </c>
      <c r="E35" s="251">
        <v>0</v>
      </c>
      <c r="T35" s="274" t="s">
        <v>181</v>
      </c>
      <c r="U35" s="251">
        <f>IF(Sheet1!T6=0,INDEX(U42:AI43,2,U44+1),INDEX(U42:AI43,1,U44+1))</f>
        <v>1.6</v>
      </c>
      <c r="V35" s="251">
        <v>0</v>
      </c>
      <c r="W35" s="251">
        <v>0</v>
      </c>
      <c r="AK35" s="274" t="s">
        <v>181</v>
      </c>
      <c r="AL35" s="251">
        <f>IF(Sheet1!E6=0,INDEX(AL42:AZ43,2,AL44+1),INDEX(AL42:AZ43,1,AL44+1))</f>
        <v>2.2999999999999998</v>
      </c>
      <c r="AM35" s="251">
        <v>0</v>
      </c>
      <c r="AN35" s="251">
        <v>0</v>
      </c>
      <c r="BB35" s="274" t="s">
        <v>181</v>
      </c>
      <c r="BC35" s="251">
        <f>IF(Sheet1!J6=0,INDEX(BC42:BQ43,2,BC44+1),INDEX(BC42:BQ43,1,BC44+1))</f>
        <v>3.3</v>
      </c>
      <c r="BD35" s="251">
        <v>0</v>
      </c>
      <c r="BE35" s="251">
        <v>0</v>
      </c>
    </row>
    <row r="36" spans="2:69" s="62" customFormat="1" x14ac:dyDescent="0.3">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74" customFormat="1" x14ac:dyDescent="0.3">
      <c r="B37" s="274" t="s">
        <v>178</v>
      </c>
      <c r="C37" s="251">
        <f>IF(C36=1,0,C27/(C26*C36))</f>
        <v>0</v>
      </c>
      <c r="D37" s="251">
        <f>IF(D36=1,0,D27/(D26*D36))</f>
        <v>0</v>
      </c>
      <c r="E37" s="251">
        <f>IF(E36=1,0,E27/(E26*E36))</f>
        <v>0</v>
      </c>
      <c r="T37" s="274" t="s">
        <v>178</v>
      </c>
      <c r="U37" s="251">
        <f>IF(U36=1,0,U27/(U26*U36))</f>
        <v>0</v>
      </c>
      <c r="V37" s="251">
        <f>IF(V36=1,0,V27/(V26*V36))</f>
        <v>0</v>
      </c>
      <c r="W37" s="251">
        <f>IF(W36=1,0,W27/(W26*W36))</f>
        <v>0</v>
      </c>
      <c r="AK37" s="274" t="s">
        <v>178</v>
      </c>
      <c r="AL37" s="251">
        <f>IF(AL36=1,0,AL27/(AL26*AL36))</f>
        <v>0</v>
      </c>
      <c r="AM37" s="251">
        <f>IF(AM36=1,0,AM27/(AM26*AM36))</f>
        <v>0</v>
      </c>
      <c r="AN37" s="251">
        <f>IF(AN36=1,0,AN27/(AN26*AN36))</f>
        <v>0</v>
      </c>
      <c r="BB37" s="274" t="s">
        <v>178</v>
      </c>
      <c r="BC37" s="251">
        <f>IF(BC36=1,0,BC27/(BC26*BC36))</f>
        <v>0</v>
      </c>
      <c r="BD37" s="251">
        <f>IF(BD36=1,0,BD27/(BD26*BD36))</f>
        <v>0</v>
      </c>
      <c r="BE37" s="251">
        <f>IF(BE36=1,0,BE27/(BE26*BE36))</f>
        <v>0</v>
      </c>
    </row>
    <row r="38" spans="2:69" s="62" customFormat="1" ht="30" customHeight="1" x14ac:dyDescent="0.3">
      <c r="B38" s="282" t="s">
        <v>179</v>
      </c>
      <c r="C38" s="281">
        <f>IF(C37=0,0,MAX($C$8,C37))</f>
        <v>0</v>
      </c>
      <c r="D38" s="281">
        <f>IF(D37=0,0,MAX($C$8,D37))</f>
        <v>0</v>
      </c>
      <c r="E38" s="281">
        <f>IF(E37=0,0,MAX($C$8,E37))</f>
        <v>0</v>
      </c>
      <c r="T38" s="282" t="s">
        <v>179</v>
      </c>
      <c r="U38" s="281">
        <f>IF(U37=0,0,MAX($C$8,U37))</f>
        <v>0</v>
      </c>
      <c r="V38" s="281">
        <f>IF(V37=0,0,MAX($C$8,V37))</f>
        <v>0</v>
      </c>
      <c r="W38" s="281">
        <f>IF(W37=0,0,MAX($C$8,W37))</f>
        <v>0</v>
      </c>
      <c r="AK38" s="282" t="s">
        <v>179</v>
      </c>
      <c r="AL38" s="281">
        <f>IF(AL37=0,0,MAX($C$8,AL37))</f>
        <v>0</v>
      </c>
      <c r="AM38" s="281">
        <f>IF(AM37=0,0,MAX($C$8,AM37))</f>
        <v>0</v>
      </c>
      <c r="AN38" s="281">
        <f>IF(AN37=0,0,MAX($C$8,AN37))</f>
        <v>0</v>
      </c>
      <c r="BB38" s="282" t="s">
        <v>179</v>
      </c>
      <c r="BC38" s="281">
        <f>IF(BC37=0,0,MAX($C$8,BC37))</f>
        <v>0</v>
      </c>
      <c r="BD38" s="281">
        <f>IF(BD37=0,0,MAX($C$8,BD37))</f>
        <v>0</v>
      </c>
      <c r="BE38" s="281">
        <f>IF(BE37=0,0,MAX($C$8,BE37))</f>
        <v>0</v>
      </c>
    </row>
    <row r="39" spans="2:69" s="274" customFormat="1" x14ac:dyDescent="0.3"/>
    <row r="40" spans="2:69" s="62" customFormat="1" hidden="1" x14ac:dyDescent="0.3">
      <c r="C40" s="544" t="s">
        <v>184</v>
      </c>
      <c r="D40" s="544"/>
      <c r="E40" s="544"/>
      <c r="F40" s="544"/>
      <c r="G40" s="544"/>
      <c r="H40" s="544"/>
      <c r="I40" s="544"/>
      <c r="U40" s="544" t="s">
        <v>184</v>
      </c>
      <c r="V40" s="544"/>
      <c r="W40" s="544"/>
      <c r="X40" s="544"/>
      <c r="Y40" s="544"/>
      <c r="Z40" s="544"/>
      <c r="AA40" s="544"/>
      <c r="AL40" s="544" t="s">
        <v>184</v>
      </c>
      <c r="AM40" s="544"/>
      <c r="AN40" s="544"/>
      <c r="AO40" s="544"/>
      <c r="AP40" s="544"/>
      <c r="AQ40" s="544"/>
      <c r="AR40" s="544"/>
      <c r="BC40" s="544" t="s">
        <v>184</v>
      </c>
      <c r="BD40" s="544"/>
      <c r="BE40" s="544"/>
      <c r="BF40" s="544"/>
      <c r="BG40" s="544"/>
      <c r="BH40" s="544"/>
      <c r="BI40" s="544"/>
    </row>
    <row r="41" spans="2:69" s="62" customFormat="1" hidden="1" x14ac:dyDescent="0.3">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3">
      <c r="B42" s="62" t="s">
        <v>37</v>
      </c>
      <c r="C42" s="77">
        <v>1.4</v>
      </c>
      <c r="D42" s="77">
        <v>1.7</v>
      </c>
      <c r="E42" s="77">
        <v>2.1</v>
      </c>
      <c r="F42" s="77">
        <v>2.5</v>
      </c>
      <c r="G42" s="77">
        <v>3.1</v>
      </c>
      <c r="H42" s="77">
        <v>3.7</v>
      </c>
      <c r="I42" s="77">
        <v>4.5</v>
      </c>
      <c r="J42" s="77">
        <f>ROUND((1750/J44)-J46,2)</f>
        <v>7.74</v>
      </c>
      <c r="K42" s="77">
        <f t="shared" ref="K42:Q42" si="0">ROUND((1750/K44)-K46,2)</f>
        <v>7.74</v>
      </c>
      <c r="L42" s="77">
        <f t="shared" si="0"/>
        <v>7.74</v>
      </c>
      <c r="M42" s="77">
        <f t="shared" si="0"/>
        <v>7.74</v>
      </c>
      <c r="N42" s="77">
        <f t="shared" si="0"/>
        <v>7.74</v>
      </c>
      <c r="O42" s="77">
        <f t="shared" si="0"/>
        <v>7.74</v>
      </c>
      <c r="P42" s="77">
        <f t="shared" si="0"/>
        <v>7.74</v>
      </c>
      <c r="Q42" s="77">
        <f t="shared" si="0"/>
        <v>7.74</v>
      </c>
      <c r="T42" s="62" t="s">
        <v>37</v>
      </c>
      <c r="U42" s="77">
        <v>1.4</v>
      </c>
      <c r="V42" s="77">
        <v>1.7</v>
      </c>
      <c r="W42" s="77">
        <v>2.1</v>
      </c>
      <c r="X42" s="77">
        <v>2.5</v>
      </c>
      <c r="Y42" s="77">
        <v>3.1</v>
      </c>
      <c r="Z42" s="77">
        <v>3.7</v>
      </c>
      <c r="AA42" s="77">
        <v>4.5</v>
      </c>
      <c r="AB42" s="77">
        <f>ROUND((1750/AB44)-AB46,2)</f>
        <v>12.41</v>
      </c>
      <c r="AC42" s="77">
        <f t="shared" ref="AC42:AI42" si="1">ROUND((1750/AC44)-AC46,2)</f>
        <v>12.41</v>
      </c>
      <c r="AD42" s="77">
        <f t="shared" si="1"/>
        <v>12.41</v>
      </c>
      <c r="AE42" s="77">
        <f t="shared" si="1"/>
        <v>12.41</v>
      </c>
      <c r="AF42" s="77">
        <f t="shared" si="1"/>
        <v>12.41</v>
      </c>
      <c r="AG42" s="77">
        <f t="shared" si="1"/>
        <v>12.41</v>
      </c>
      <c r="AH42" s="77">
        <f t="shared" si="1"/>
        <v>12.41</v>
      </c>
      <c r="AI42" s="77">
        <f t="shared" si="1"/>
        <v>12.41</v>
      </c>
      <c r="AK42" s="62" t="s">
        <v>37</v>
      </c>
      <c r="AL42" s="77">
        <v>1.4</v>
      </c>
      <c r="AM42" s="77">
        <v>1.7</v>
      </c>
      <c r="AN42" s="77">
        <v>2.1</v>
      </c>
      <c r="AO42" s="77">
        <v>2.5</v>
      </c>
      <c r="AP42" s="77">
        <v>3.1</v>
      </c>
      <c r="AQ42" s="77">
        <v>3.7</v>
      </c>
      <c r="AR42" s="77">
        <v>4.5</v>
      </c>
      <c r="AS42" s="77">
        <f>ROUND((1750/AS44)-AS46,2)</f>
        <v>6.84</v>
      </c>
      <c r="AT42" s="77">
        <f t="shared" ref="AT42:AZ42" si="2">ROUND((1750/AT44)-AT46,2)</f>
        <v>6.84</v>
      </c>
      <c r="AU42" s="77">
        <f t="shared" si="2"/>
        <v>6.84</v>
      </c>
      <c r="AV42" s="77">
        <f t="shared" si="2"/>
        <v>6.84</v>
      </c>
      <c r="AW42" s="77">
        <f t="shared" si="2"/>
        <v>6.84</v>
      </c>
      <c r="AX42" s="77">
        <f t="shared" si="2"/>
        <v>6.84</v>
      </c>
      <c r="AY42" s="77">
        <f t="shared" si="2"/>
        <v>6.84</v>
      </c>
      <c r="AZ42" s="77">
        <f t="shared" si="2"/>
        <v>6.84</v>
      </c>
      <c r="BB42" s="62" t="s">
        <v>37</v>
      </c>
      <c r="BC42" s="77">
        <v>1.4</v>
      </c>
      <c r="BD42" s="77">
        <v>1.7</v>
      </c>
      <c r="BE42" s="77">
        <v>2.1</v>
      </c>
      <c r="BF42" s="77">
        <v>2.5</v>
      </c>
      <c r="BG42" s="77">
        <v>3.1</v>
      </c>
      <c r="BH42" s="77">
        <v>3.7</v>
      </c>
      <c r="BI42" s="77">
        <v>4.5</v>
      </c>
      <c r="BJ42" s="77">
        <f>ROUND((1750/BJ44)-BJ46,2)</f>
        <v>5.97</v>
      </c>
      <c r="BK42" s="77">
        <f t="shared" ref="BK42:BQ42" si="3">ROUND((1750/BK44)-BK46,2)</f>
        <v>5.97</v>
      </c>
      <c r="BL42" s="77">
        <f t="shared" si="3"/>
        <v>5.97</v>
      </c>
      <c r="BM42" s="77">
        <f t="shared" si="3"/>
        <v>5.97</v>
      </c>
      <c r="BN42" s="77">
        <f t="shared" si="3"/>
        <v>5.97</v>
      </c>
      <c r="BO42" s="77">
        <f t="shared" si="3"/>
        <v>5.97</v>
      </c>
      <c r="BP42" s="77">
        <f t="shared" si="3"/>
        <v>5.97</v>
      </c>
      <c r="BQ42" s="77">
        <f t="shared" si="3"/>
        <v>5.97</v>
      </c>
    </row>
    <row r="43" spans="2:69" s="62" customFormat="1" hidden="1" x14ac:dyDescent="0.3">
      <c r="B43" s="62" t="s">
        <v>183</v>
      </c>
      <c r="C43" s="77">
        <v>1.3</v>
      </c>
      <c r="D43" s="77">
        <v>1.6</v>
      </c>
      <c r="E43" s="77">
        <v>1.9</v>
      </c>
      <c r="F43" s="77">
        <v>2.2999999999999998</v>
      </c>
      <c r="G43" s="77">
        <v>2.8</v>
      </c>
      <c r="H43" s="77">
        <v>3.3</v>
      </c>
      <c r="I43" s="77">
        <v>4</v>
      </c>
      <c r="J43" s="77">
        <f>ROUND((1750/J44)-J46,2)</f>
        <v>7.74</v>
      </c>
      <c r="K43" s="77">
        <f t="shared" ref="K43:Q43" si="4">ROUND((1750/K44)-K46,2)</f>
        <v>7.74</v>
      </c>
      <c r="L43" s="77">
        <f t="shared" si="4"/>
        <v>7.74</v>
      </c>
      <c r="M43" s="77">
        <f t="shared" si="4"/>
        <v>7.74</v>
      </c>
      <c r="N43" s="77">
        <f t="shared" si="4"/>
        <v>7.74</v>
      </c>
      <c r="O43" s="77">
        <f t="shared" si="4"/>
        <v>7.74</v>
      </c>
      <c r="P43" s="77">
        <f t="shared" si="4"/>
        <v>7.74</v>
      </c>
      <c r="Q43" s="77">
        <f t="shared" si="4"/>
        <v>7.74</v>
      </c>
      <c r="T43" s="62" t="s">
        <v>183</v>
      </c>
      <c r="U43" s="77">
        <v>1.3</v>
      </c>
      <c r="V43" s="77">
        <v>1.6</v>
      </c>
      <c r="W43" s="77">
        <v>1.9</v>
      </c>
      <c r="X43" s="77">
        <v>2.2999999999999998</v>
      </c>
      <c r="Y43" s="77">
        <v>2.8</v>
      </c>
      <c r="Z43" s="77">
        <v>3.3</v>
      </c>
      <c r="AA43" s="77">
        <v>4</v>
      </c>
      <c r="AB43" s="77">
        <f t="shared" ref="AB43:AI43" si="5">ROUND((1750/AB44)-AB46,2)</f>
        <v>12.41</v>
      </c>
      <c r="AC43" s="77">
        <f t="shared" si="5"/>
        <v>12.41</v>
      </c>
      <c r="AD43" s="77">
        <f t="shared" si="5"/>
        <v>12.41</v>
      </c>
      <c r="AE43" s="77">
        <f t="shared" si="5"/>
        <v>12.41</v>
      </c>
      <c r="AF43" s="77">
        <f t="shared" si="5"/>
        <v>12.41</v>
      </c>
      <c r="AG43" s="77">
        <f t="shared" si="5"/>
        <v>12.41</v>
      </c>
      <c r="AH43" s="77">
        <f t="shared" si="5"/>
        <v>12.41</v>
      </c>
      <c r="AI43" s="77">
        <f t="shared" si="5"/>
        <v>12.41</v>
      </c>
      <c r="AK43" s="62" t="s">
        <v>183</v>
      </c>
      <c r="AL43" s="77">
        <v>1.3</v>
      </c>
      <c r="AM43" s="77">
        <v>1.6</v>
      </c>
      <c r="AN43" s="77">
        <v>1.9</v>
      </c>
      <c r="AO43" s="77">
        <v>2.2999999999999998</v>
      </c>
      <c r="AP43" s="77">
        <v>2.8</v>
      </c>
      <c r="AQ43" s="77">
        <v>3.3</v>
      </c>
      <c r="AR43" s="77">
        <v>4</v>
      </c>
      <c r="AS43" s="77">
        <f t="shared" ref="AS43:AZ43" si="6">ROUND((1750/AS44)-AS46,2)</f>
        <v>6.84</v>
      </c>
      <c r="AT43" s="77">
        <f t="shared" si="6"/>
        <v>6.84</v>
      </c>
      <c r="AU43" s="77">
        <f t="shared" si="6"/>
        <v>6.84</v>
      </c>
      <c r="AV43" s="77">
        <f t="shared" si="6"/>
        <v>6.84</v>
      </c>
      <c r="AW43" s="77">
        <f t="shared" si="6"/>
        <v>6.84</v>
      </c>
      <c r="AX43" s="77">
        <f t="shared" si="6"/>
        <v>6.84</v>
      </c>
      <c r="AY43" s="77">
        <f t="shared" si="6"/>
        <v>6.84</v>
      </c>
      <c r="AZ43" s="77">
        <f t="shared" si="6"/>
        <v>6.84</v>
      </c>
      <c r="BB43" s="62" t="s">
        <v>183</v>
      </c>
      <c r="BC43" s="77">
        <v>1.3</v>
      </c>
      <c r="BD43" s="77">
        <v>1.6</v>
      </c>
      <c r="BE43" s="77">
        <v>1.9</v>
      </c>
      <c r="BF43" s="77">
        <v>2.2999999999999998</v>
      </c>
      <c r="BG43" s="77">
        <v>2.8</v>
      </c>
      <c r="BH43" s="77">
        <v>3.3</v>
      </c>
      <c r="BI43" s="77">
        <v>4</v>
      </c>
      <c r="BJ43" s="77">
        <f t="shared" ref="BJ43:BQ43" si="7">ROUND((1750/BJ44)-BJ46,2)</f>
        <v>5.97</v>
      </c>
      <c r="BK43" s="77">
        <f t="shared" si="7"/>
        <v>5.97</v>
      </c>
      <c r="BL43" s="77">
        <f t="shared" si="7"/>
        <v>5.97</v>
      </c>
      <c r="BM43" s="77">
        <f t="shared" si="7"/>
        <v>5.97</v>
      </c>
      <c r="BN43" s="77">
        <f t="shared" si="7"/>
        <v>5.97</v>
      </c>
      <c r="BO43" s="77">
        <f t="shared" si="7"/>
        <v>5.97</v>
      </c>
      <c r="BP43" s="77">
        <f t="shared" si="7"/>
        <v>5.97</v>
      </c>
      <c r="BQ43" s="77">
        <f t="shared" si="7"/>
        <v>5.97</v>
      </c>
    </row>
    <row r="44" spans="2:69" s="62" customFormat="1" hidden="1" x14ac:dyDescent="0.3">
      <c r="C44" s="284">
        <f>IF(C12&gt;0,MATCH($C$12,$C$41:$Q$41),0)</f>
        <v>2</v>
      </c>
      <c r="I44" s="77" t="s">
        <v>186</v>
      </c>
      <c r="J44" s="77">
        <f>ROUND(($C$12*EXP(-1*$C$12*4.5/3600))/(1-EXP(-1*$C$12*J45)),0)</f>
        <v>226</v>
      </c>
      <c r="K44" s="77">
        <f t="shared" ref="K44:Q44" si="8">ROUND(($C$12*EXP(-1*$C$12*4.5/3600))/(1-EXP(-1*$C$12*K45)),0)</f>
        <v>226</v>
      </c>
      <c r="L44" s="77">
        <f t="shared" si="8"/>
        <v>226</v>
      </c>
      <c r="M44" s="77">
        <f t="shared" si="8"/>
        <v>226</v>
      </c>
      <c r="N44" s="77">
        <f t="shared" si="8"/>
        <v>226</v>
      </c>
      <c r="O44" s="77">
        <f t="shared" si="8"/>
        <v>226</v>
      </c>
      <c r="P44" s="77">
        <f t="shared" si="8"/>
        <v>226</v>
      </c>
      <c r="Q44" s="77">
        <f t="shared" si="8"/>
        <v>226</v>
      </c>
      <c r="U44" s="284">
        <f>IF(U12&gt;0,MATCH($U$12,$U$41:$AI$41),0)</f>
        <v>1</v>
      </c>
      <c r="AA44" s="77" t="s">
        <v>186</v>
      </c>
      <c r="AB44" s="77">
        <f>ROUND(($U$12*EXP(-1*$U$12*4.5/3600))/(1-EXP(-1*$U$12*AB45)),0)</f>
        <v>141</v>
      </c>
      <c r="AC44" s="77">
        <f t="shared" ref="AC44:AI44" si="9">ROUND(($U$12*EXP(-1*$U$12*4.5/3600))/(1-EXP(-1*$U$12*AC45)),0)</f>
        <v>141</v>
      </c>
      <c r="AD44" s="77">
        <f t="shared" si="9"/>
        <v>141</v>
      </c>
      <c r="AE44" s="77">
        <f t="shared" si="9"/>
        <v>141</v>
      </c>
      <c r="AF44" s="77">
        <f t="shared" si="9"/>
        <v>141</v>
      </c>
      <c r="AG44" s="77">
        <f t="shared" si="9"/>
        <v>141</v>
      </c>
      <c r="AH44" s="77">
        <f t="shared" si="9"/>
        <v>141</v>
      </c>
      <c r="AI44" s="77">
        <f t="shared" si="9"/>
        <v>141</v>
      </c>
      <c r="AL44" s="284">
        <f>IF(AL12&gt;0,MATCH($AL$12,$AL$41:$AZ$41),0)</f>
        <v>3</v>
      </c>
      <c r="AR44" s="77" t="s">
        <v>186</v>
      </c>
      <c r="AS44" s="77">
        <f>ROUND(($AL$12*EXP(-1*$AL$12*4.5/3600))/(1-EXP(-1*$AL$12*AS45)),0)</f>
        <v>256</v>
      </c>
      <c r="AT44" s="77">
        <f t="shared" ref="AT44:AZ44" si="10">ROUND(($AL$12*EXP(-1*$AL$12*4.5/3600))/(1-EXP(-1*$AL$12*AT45)),0)</f>
        <v>256</v>
      </c>
      <c r="AU44" s="77">
        <f t="shared" si="10"/>
        <v>256</v>
      </c>
      <c r="AV44" s="77">
        <f t="shared" si="10"/>
        <v>256</v>
      </c>
      <c r="AW44" s="77">
        <f t="shared" si="10"/>
        <v>256</v>
      </c>
      <c r="AX44" s="77">
        <f t="shared" si="10"/>
        <v>256</v>
      </c>
      <c r="AY44" s="77">
        <f t="shared" si="10"/>
        <v>256</v>
      </c>
      <c r="AZ44" s="77">
        <f t="shared" si="10"/>
        <v>256</v>
      </c>
      <c r="BC44" s="284">
        <f>IF(BC12&gt;0,MATCH($BC$12,$BC$41:$BQ$41),0)</f>
        <v>5</v>
      </c>
      <c r="BI44" s="77" t="s">
        <v>186</v>
      </c>
      <c r="BJ44" s="77">
        <f>ROUND(($BC$12*EXP(-1*$BC$12*4.5/3600))/(1-EXP(-1*$BC$12*BJ45)),0)</f>
        <v>293</v>
      </c>
      <c r="BK44" s="77">
        <f t="shared" ref="BK44:BP44" si="11">ROUND(($BC$12*EXP(-1*$BC$12*4.5/3600))/(1-EXP(-1*$BC$12*BK45)),0)</f>
        <v>293</v>
      </c>
      <c r="BL44" s="77">
        <f t="shared" si="11"/>
        <v>293</v>
      </c>
      <c r="BM44" s="77">
        <f t="shared" si="11"/>
        <v>293</v>
      </c>
      <c r="BN44" s="77">
        <f t="shared" si="11"/>
        <v>293</v>
      </c>
      <c r="BO44" s="77">
        <f t="shared" si="11"/>
        <v>293</v>
      </c>
      <c r="BP44" s="77">
        <f t="shared" si="11"/>
        <v>293</v>
      </c>
      <c r="BQ44" s="77">
        <f>ROUND(($BC$12*EXP(-1*$BC$12*4.5/3600))/(1-EXP(-1*$BC$12*BQ45)),0)</f>
        <v>293</v>
      </c>
    </row>
    <row r="45" spans="2:69" s="62" customFormat="1" hidden="1" x14ac:dyDescent="0.3">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3">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3"/>
    <row r="48" spans="2:69" s="62" customFormat="1" hidden="1" x14ac:dyDescent="0.3">
      <c r="B48" s="543" t="s">
        <v>192</v>
      </c>
      <c r="C48" s="62" t="s">
        <v>189</v>
      </c>
      <c r="D48" s="62">
        <f>IF(C13&gt;=2,((C26-1)+EXP(-1*C26*C11*C35/600))/C26,0)</f>
        <v>0</v>
      </c>
      <c r="T48" s="543" t="s">
        <v>192</v>
      </c>
      <c r="U48" s="62" t="s">
        <v>189</v>
      </c>
      <c r="V48" s="62">
        <f>IF(U13&gt;=2,((U26-1)+EXP(-1*U26*U11*U35/600))/U26,0)</f>
        <v>0</v>
      </c>
      <c r="AK48" s="543" t="s">
        <v>192</v>
      </c>
      <c r="AL48" s="62" t="s">
        <v>189</v>
      </c>
      <c r="AM48" s="62">
        <f>IF(AL13&gt;=2,((AL26-1)+EXP(-1*AL26*AL11*AL35/600))/AL26,0)</f>
        <v>0</v>
      </c>
      <c r="BB48" s="543" t="s">
        <v>192</v>
      </c>
      <c r="BC48" s="62" t="s">
        <v>189</v>
      </c>
      <c r="BD48" s="62">
        <f>IF(BC13&gt;=2,((BC26-1)+EXP(-1*BC26*BC11*BC35/600))/BC26,0)</f>
        <v>0</v>
      </c>
    </row>
    <row r="49" spans="2:57" s="62" customFormat="1" hidden="1" x14ac:dyDescent="0.3">
      <c r="B49" s="543"/>
      <c r="C49" s="62" t="s">
        <v>190</v>
      </c>
      <c r="D49" s="62">
        <f>IF(SUM(Sheet1!N5:P5)=1,EXP(-0.02*(C35+10*C34)*C11*0.0444),0)</f>
        <v>0</v>
      </c>
      <c r="E49" s="62">
        <f>IF('Phase designation'!B22=2,MAX('Lane volumes'!D48:D50),1)</f>
        <v>1.2811463703842113E-3</v>
      </c>
      <c r="T49" s="543"/>
      <c r="U49" s="62" t="s">
        <v>190</v>
      </c>
      <c r="V49" s="62">
        <f>IF(SUM(Sheet1!S5:U5)=1,EXP(-0.02*(U35+10*U34)*U11*0.0444),0)</f>
        <v>0</v>
      </c>
      <c r="W49" s="62">
        <f>IF('Phase designation'!T22=2,MAX('Lane volumes'!V48:V50),1)</f>
        <v>1</v>
      </c>
      <c r="AK49" s="543"/>
      <c r="AL49" s="62" t="s">
        <v>190</v>
      </c>
      <c r="AM49" s="62">
        <f>IF(SUM(Sheet1!D5:F5)=1,EXP(-0.02*(AL35+10*AL34)*AL11*0.0444),0)</f>
        <v>0</v>
      </c>
      <c r="AN49" s="62">
        <f>IF('Phase designation'!F22=2,MAX('Lane volumes'!AM48:AM50),1)</f>
        <v>1</v>
      </c>
      <c r="BB49" s="543"/>
      <c r="BC49" s="62" t="s">
        <v>190</v>
      </c>
      <c r="BD49" s="62">
        <f>IF(SUM(Sheet1!I5:K5)=1,EXP(-0.02*(BC35+10*BC34)*BC11*0.0444),0)</f>
        <v>0</v>
      </c>
      <c r="BE49" s="62">
        <f>IF('Phase designation'!H22=2,MAX('Lane volumes'!BD48:BD50),1)</f>
        <v>1</v>
      </c>
    </row>
    <row r="50" spans="2:57" s="62" customFormat="1" hidden="1" x14ac:dyDescent="0.3">
      <c r="B50" s="543"/>
      <c r="C50" s="62" t="s">
        <v>191</v>
      </c>
      <c r="D50" s="62">
        <f>((C26-1)+EXP(-1*C11*0.0444))/C26</f>
        <v>1.2811463703842113E-3</v>
      </c>
      <c r="T50" s="543"/>
      <c r="U50" s="62" t="s">
        <v>191</v>
      </c>
      <c r="V50" s="62">
        <f>((U26-1)+EXP(-1*U11*0.0444))/U26</f>
        <v>3.5793105067655297E-2</v>
      </c>
      <c r="AK50" s="543"/>
      <c r="AL50" s="62" t="s">
        <v>191</v>
      </c>
      <c r="AM50" s="62">
        <f>((AL26-1)+EXP(-1*AL11*0.0444))/AL26</f>
        <v>1.1795938519751562E-2</v>
      </c>
      <c r="BB50" s="543"/>
      <c r="BC50" s="62" t="s">
        <v>191</v>
      </c>
      <c r="BD50" s="62">
        <f>((BC26-1)+EXP(-1*BC11*0.0444))/BC26</f>
        <v>1.2811463703842113E-3</v>
      </c>
    </row>
    <row r="51" spans="2:57" s="62" customFormat="1" hidden="1" x14ac:dyDescent="0.3"/>
    <row r="52" spans="2:57" s="62" customFormat="1" hidden="1" x14ac:dyDescent="0.3">
      <c r="B52" s="543" t="s">
        <v>194</v>
      </c>
      <c r="C52" s="62" t="s">
        <v>195</v>
      </c>
      <c r="D52" s="62">
        <f>IF(C12&lt;1220,1/(1+(C34*(235+0.435*C12)/(1400-C12))),0)</f>
        <v>0.73056183684118969</v>
      </c>
      <c r="E52" s="62">
        <f>IF('Phase designation'!B22=3,MAX('Lane volumes'!D52:D53),1)</f>
        <v>1</v>
      </c>
      <c r="T52" s="543" t="s">
        <v>194</v>
      </c>
      <c r="U52" s="62" t="s">
        <v>195</v>
      </c>
      <c r="V52" s="62">
        <f>IF(U12&lt;1220,1/(1+(U34*(235+0.435*U12)/(1400-U12))),0)</f>
        <v>0.79746114411262103</v>
      </c>
      <c r="W52" s="62">
        <f>IF('Phase designation'!T22=3,MAX('Lane volumes'!V52:V53),1)</f>
        <v>1</v>
      </c>
      <c r="AK52" s="543" t="s">
        <v>194</v>
      </c>
      <c r="AL52" s="62" t="s">
        <v>195</v>
      </c>
      <c r="AM52" s="62">
        <f>IF(AL12&lt;1220,1/(1+(AL34*(235+0.435*AL12)/(1400-AL12))),0)</f>
        <v>0.68803186673909111</v>
      </c>
      <c r="AN52" s="62">
        <f>IF('Phase designation'!F22=3,MAX('Lane volumes'!AM52:AM53),1)</f>
        <v>0.68803186673909111</v>
      </c>
      <c r="BB52" s="543" t="s">
        <v>194</v>
      </c>
      <c r="BC52" s="62" t="s">
        <v>195</v>
      </c>
      <c r="BD52" s="62">
        <f>IF(BC12&lt;1220,1/(1+(BC34*(235+0.435*BC12)/(1400-BC12))),0)</f>
        <v>0.4570223237827386</v>
      </c>
      <c r="BE52" s="62">
        <f>IF('Phase designation'!H22=3,MAX('Lane volumes'!BD52:BD53),1)</f>
        <v>0.4570223237827386</v>
      </c>
    </row>
    <row r="53" spans="2:57" s="62" customFormat="1" hidden="1" x14ac:dyDescent="0.3">
      <c r="B53" s="543"/>
      <c r="C53" s="62" t="s">
        <v>196</v>
      </c>
      <c r="D53" s="62">
        <f>IF(C12&gt;=1220,1/(1+4.525*C34),0)</f>
        <v>0</v>
      </c>
      <c r="T53" s="543"/>
      <c r="U53" s="62" t="s">
        <v>196</v>
      </c>
      <c r="V53" s="62">
        <f>IF(U12&gt;=1220,1/(1+4.525*U34),0)</f>
        <v>0</v>
      </c>
      <c r="AK53" s="543"/>
      <c r="AL53" s="62" t="s">
        <v>196</v>
      </c>
      <c r="AM53" s="62">
        <f>IF(AL12&gt;=1220,1/(1+4.525*AL34),0)</f>
        <v>0</v>
      </c>
      <c r="BB53" s="543"/>
      <c r="BC53" s="62" t="s">
        <v>196</v>
      </c>
      <c r="BD53" s="62">
        <f>IF(BC12&gt;=1220,1/(1+4.525*BC34),0)</f>
        <v>0</v>
      </c>
    </row>
    <row r="54" spans="2:57" s="62" customFormat="1" hidden="1" x14ac:dyDescent="0.3"/>
    <row r="55" spans="2:57" s="62" customFormat="1" hidden="1" x14ac:dyDescent="0.3"/>
    <row r="56" spans="2:57" s="62" customFormat="1" hidden="1" x14ac:dyDescent="0.3">
      <c r="B56" s="323" t="s">
        <v>361</v>
      </c>
      <c r="C56" s="315">
        <f>IF(Sheet1!N4&gt;0,ROUND(Sheet1!N4/SUM(Sheet1!N4:P4),2),0)</f>
        <v>0.46</v>
      </c>
      <c r="D56" s="62">
        <f>IF(C13=0,0,1)</f>
        <v>1</v>
      </c>
      <c r="T56" s="323" t="s">
        <v>361</v>
      </c>
      <c r="U56" s="315">
        <f>IF(Sheet1!S4&gt;0,ROUND(Sheet1!S4/SUM(Sheet1!S4:U4),2),0)</f>
        <v>0.18</v>
      </c>
      <c r="V56" s="62">
        <f>IF(U13=0,U560,1)</f>
        <v>1</v>
      </c>
      <c r="AK56" s="323" t="s">
        <v>361</v>
      </c>
      <c r="AL56" s="315">
        <f>IF((Sheet1!D4+Sheet1!W4+Sheet1!Z4)&gt;0,ROUND((Sheet1!D4+Sheet1!W4+Sheet1!Z4)/SUM(Sheet1!D4:F4,Sheet1!W4:AB4),2),0)</f>
        <v>0.1</v>
      </c>
      <c r="AM56" s="62">
        <f>IF(AL13=0,AL560,1)</f>
        <v>1</v>
      </c>
      <c r="BB56" s="323" t="s">
        <v>361</v>
      </c>
      <c r="BC56" s="315">
        <f>IF((Sheet1!I4+Sheet1!AC4+Sheet1!AF4)&gt;0,ROUND((Sheet1!I4+Sheet1!AC4+Sheet1!AF4)/SUM(Sheet1!I4:K4,Sheet1!AC4:AE4,Sheet1!AF4:AH4),2),0)</f>
        <v>0.25</v>
      </c>
      <c r="BD56" s="62">
        <f>IF(BC13=0,BC560,1)</f>
        <v>1</v>
      </c>
    </row>
    <row r="57" spans="2:57" s="62" customFormat="1" hidden="1" x14ac:dyDescent="0.3">
      <c r="B57" s="323" t="s">
        <v>362</v>
      </c>
      <c r="C57" s="315">
        <f>IF(Sheet1!N4&gt;0,ROUND(Sheet1!N4/SUM(Sheet1!N4:P4),2),0)</f>
        <v>0.46</v>
      </c>
      <c r="D57" s="62">
        <f>IF(C13=0,C57,0)</f>
        <v>0</v>
      </c>
      <c r="T57" s="323" t="s">
        <v>362</v>
      </c>
      <c r="U57" s="315">
        <f>IF(Sheet1!S4&gt;0,ROUND(Sheet1!S4/SUM(Sheet1!S4:U4),2),0)</f>
        <v>0.18</v>
      </c>
      <c r="V57" s="62">
        <f>IF(U13=0,U57,0)</f>
        <v>0</v>
      </c>
      <c r="AK57" s="323" t="s">
        <v>362</v>
      </c>
      <c r="AL57" s="315">
        <f>IF((Sheet1!D4+Sheet1!W4+Sheet1!Z4)&gt;0,ROUND((Sheet1!D4+Sheet1!W4+Sheet1!Z4)/SUM(Sheet1!D4:F4,Sheet1!W4:AB4),2),0)</f>
        <v>0.1</v>
      </c>
      <c r="AM57" s="62">
        <f>IF(AL13=0,AL57,0)</f>
        <v>0</v>
      </c>
      <c r="BB57" s="323" t="s">
        <v>362</v>
      </c>
      <c r="BC57" s="315">
        <f>IF((Sheet1!I4+Sheet1!AC4+Sheet1!AF4)&gt;0,ROUND((Sheet1!I4+Sheet1!AC4+Sheet1!AF4)/SUM(Sheet1!I4:K4,Sheet1!AC4:AE4,Sheet1!AF4:AH4),2),0)</f>
        <v>0.25</v>
      </c>
      <c r="BD57" s="62">
        <f>IF(BC13=0,BC57,0)</f>
        <v>0</v>
      </c>
    </row>
    <row r="58" spans="2:57" s="62" customFormat="1" x14ac:dyDescent="0.3"/>
    <row r="59" spans="2:57" s="62" customFormat="1" x14ac:dyDescent="0.3"/>
    <row r="60" spans="2:57" s="62" customFormat="1" x14ac:dyDescent="0.3"/>
    <row r="61" spans="2:57" s="62" customFormat="1" x14ac:dyDescent="0.3"/>
    <row r="62" spans="2:57" s="62" customFormat="1" x14ac:dyDescent="0.3"/>
    <row r="63" spans="2:57" s="62" customFormat="1" x14ac:dyDescent="0.3"/>
    <row r="64" spans="2:57" s="62" customFormat="1" x14ac:dyDescent="0.3"/>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zoomScale="80" zoomScaleNormal="80" workbookViewId="0">
      <selection activeCell="G36" sqref="G36"/>
    </sheetView>
  </sheetViews>
  <sheetFormatPr defaultColWidth="9.109375" defaultRowHeight="14.4" x14ac:dyDescent="0.3"/>
  <cols>
    <col min="1" max="1" width="9.109375" style="3"/>
    <col min="2" max="2" width="31.109375" style="3" customWidth="1"/>
    <col min="3" max="4" width="15.109375" style="3" bestFit="1" customWidth="1"/>
    <col min="5" max="5" width="15.109375" style="237" bestFit="1" customWidth="1"/>
    <col min="6" max="7" width="15.109375" style="3" bestFit="1" customWidth="1"/>
    <col min="8" max="8" width="9.109375" style="237"/>
    <col min="9" max="10" width="9.109375" style="3"/>
    <col min="11" max="11" width="9.109375" style="237"/>
    <col min="12" max="13" width="9.109375" style="3"/>
    <col min="14" max="14" width="9.109375" style="237" customWidth="1"/>
    <col min="15" max="15" width="9.109375" style="3" hidden="1" customWidth="1"/>
    <col min="16" max="16" width="9.109375" style="283" hidden="1" customWidth="1"/>
    <col min="17" max="18" width="9.109375" style="3" hidden="1" customWidth="1"/>
    <col min="19" max="19" width="10.6640625" style="3" hidden="1" customWidth="1"/>
    <col min="20" max="20" width="9.5546875" style="3" hidden="1" customWidth="1"/>
    <col min="21" max="24" width="9.109375" style="3" hidden="1" customWidth="1"/>
    <col min="25" max="29" width="13.6640625" style="3" hidden="1" customWidth="1"/>
    <col min="30" max="30" width="10.6640625" style="3" hidden="1" customWidth="1"/>
    <col min="31" max="32" width="25.6640625" style="78" hidden="1" customWidth="1"/>
    <col min="33" max="34" width="9.109375" style="78" hidden="1" customWidth="1"/>
    <col min="35" max="35" width="17" style="78" hidden="1" customWidth="1"/>
    <col min="36" max="36" width="9.109375" style="78" hidden="1" customWidth="1"/>
    <col min="37" max="39" width="9.109375" style="77" hidden="1" customWidth="1"/>
    <col min="40" max="40" width="17" style="77" hidden="1" customWidth="1"/>
    <col min="41" max="44" width="9.109375" style="77" hidden="1" customWidth="1"/>
    <col min="45" max="45" width="16.33203125" style="77" hidden="1" customWidth="1"/>
    <col min="46" max="48" width="9.109375" style="77" hidden="1" customWidth="1"/>
    <col min="49" max="60" width="9.109375" style="3" hidden="1" customWidth="1"/>
    <col min="61" max="61" width="7.6640625" style="3" customWidth="1"/>
    <col min="62" max="62" width="8.33203125" style="3" customWidth="1"/>
    <col min="63" max="63" width="20.5546875" style="424" bestFit="1" customWidth="1"/>
    <col min="64" max="16384" width="9.109375" style="3"/>
  </cols>
  <sheetData>
    <row r="1" spans="2:76" x14ac:dyDescent="0.3">
      <c r="B1" s="534" t="s">
        <v>204</v>
      </c>
      <c r="C1" s="534"/>
      <c r="D1" s="534"/>
      <c r="E1" s="236"/>
      <c r="Q1" s="101"/>
      <c r="R1" s="101"/>
      <c r="S1" s="101"/>
      <c r="T1" s="101"/>
      <c r="U1" s="101"/>
      <c r="V1" s="101"/>
      <c r="Y1" s="522" t="s">
        <v>376</v>
      </c>
      <c r="Z1" s="522"/>
      <c r="AA1" s="522"/>
      <c r="AB1" s="522"/>
      <c r="AC1" s="522"/>
      <c r="BI1" s="477"/>
      <c r="BJ1" s="477"/>
      <c r="BK1" s="477"/>
      <c r="BL1" s="477"/>
      <c r="BM1" s="477"/>
      <c r="BN1" s="477"/>
      <c r="BO1" s="477"/>
      <c r="BP1" s="477"/>
      <c r="BQ1" s="477"/>
      <c r="BR1" s="477"/>
      <c r="BS1" s="477"/>
      <c r="BT1" s="477"/>
      <c r="BU1" s="477"/>
      <c r="BV1" s="477"/>
      <c r="BW1" s="477"/>
      <c r="BX1" s="477"/>
    </row>
    <row r="2" spans="2:76" x14ac:dyDescent="0.3">
      <c r="B2" s="248" t="s">
        <v>73</v>
      </c>
      <c r="C2" s="249" t="s">
        <v>13</v>
      </c>
      <c r="D2" s="250" t="s">
        <v>14</v>
      </c>
      <c r="E2" s="317" t="s">
        <v>15</v>
      </c>
      <c r="F2" s="249" t="s">
        <v>18</v>
      </c>
      <c r="G2" s="250" t="s">
        <v>19</v>
      </c>
      <c r="H2" s="317" t="s">
        <v>20</v>
      </c>
      <c r="I2" s="249" t="s">
        <v>3</v>
      </c>
      <c r="J2" s="250" t="s">
        <v>4</v>
      </c>
      <c r="K2" s="317" t="s">
        <v>5</v>
      </c>
      <c r="L2" s="249" t="s">
        <v>8</v>
      </c>
      <c r="M2" s="250" t="s">
        <v>9</v>
      </c>
      <c r="N2" s="317" t="s">
        <v>10</v>
      </c>
      <c r="O2" s="245"/>
      <c r="Q2" s="10"/>
      <c r="R2" s="112" t="s">
        <v>205</v>
      </c>
      <c r="S2" s="113">
        <f>'Input sheet'!V3</f>
        <v>1900</v>
      </c>
      <c r="T2" s="101"/>
      <c r="U2" s="10"/>
      <c r="V2" s="10"/>
      <c r="W2" s="5"/>
      <c r="X2" s="310"/>
      <c r="Y2" s="386" t="s">
        <v>375</v>
      </c>
      <c r="Z2" s="324" t="s">
        <v>363</v>
      </c>
      <c r="AA2" s="324" t="s">
        <v>364</v>
      </c>
      <c r="AB2" s="324" t="s">
        <v>365</v>
      </c>
      <c r="AC2" s="324" t="s">
        <v>366</v>
      </c>
      <c r="AD2" s="386" t="s">
        <v>375</v>
      </c>
      <c r="AE2" s="384" t="s">
        <v>384</v>
      </c>
      <c r="AF2" s="328" t="s">
        <v>385</v>
      </c>
      <c r="AH2" s="246" t="s">
        <v>384</v>
      </c>
      <c r="AI2" s="78" t="s">
        <v>388</v>
      </c>
      <c r="AJ2" s="78" t="s">
        <v>124</v>
      </c>
      <c r="AN2" s="77" t="s">
        <v>389</v>
      </c>
      <c r="AO2" s="77" t="s">
        <v>124</v>
      </c>
      <c r="AS2" s="77" t="s">
        <v>390</v>
      </c>
      <c r="AT2" s="77" t="s">
        <v>124</v>
      </c>
      <c r="BI2" s="477" t="s">
        <v>300</v>
      </c>
      <c r="BJ2" s="477" t="s">
        <v>472</v>
      </c>
      <c r="BK2" s="477"/>
      <c r="BL2" s="477" t="s">
        <v>531</v>
      </c>
      <c r="BM2" s="477" t="s">
        <v>532</v>
      </c>
      <c r="BN2" s="477" t="s">
        <v>533</v>
      </c>
      <c r="BO2" s="477" t="s">
        <v>534</v>
      </c>
      <c r="BP2" s="477" t="s">
        <v>535</v>
      </c>
      <c r="BQ2" s="477" t="s">
        <v>536</v>
      </c>
      <c r="BR2" s="477" t="s">
        <v>537</v>
      </c>
      <c r="BS2" s="477" t="s">
        <v>538</v>
      </c>
      <c r="BT2" s="477" t="s">
        <v>539</v>
      </c>
      <c r="BU2" s="477" t="s">
        <v>540</v>
      </c>
      <c r="BV2" s="477" t="s">
        <v>541</v>
      </c>
      <c r="BW2" s="477" t="s">
        <v>542</v>
      </c>
      <c r="BX2" s="477"/>
    </row>
    <row r="3" spans="2:76" x14ac:dyDescent="0.3">
      <c r="B3" s="87" t="s">
        <v>74</v>
      </c>
      <c r="C3" s="244">
        <f>IF(SUM(C6:E6=0),0,'Phase designation'!B3)</f>
        <v>150</v>
      </c>
      <c r="D3" s="367">
        <f>'Phase designation'!C3</f>
        <v>175</v>
      </c>
      <c r="E3" s="45">
        <f>IF(SUM('Phase designation'!B19:H19)&gt;2,0,Sheet1!P4)</f>
        <v>75</v>
      </c>
      <c r="F3" s="244">
        <f>IF(SUM(F6:H6=0),0,'Phase designation'!D3)</f>
        <v>75</v>
      </c>
      <c r="G3" s="367">
        <f>'Phase designation'!E3</f>
        <v>200</v>
      </c>
      <c r="H3" s="45">
        <f>IF(SUM('Phase designation'!B19:H19)&gt;2,0,Sheet1!U4)</f>
        <v>150</v>
      </c>
      <c r="I3" s="244">
        <f>IF(SUM(I6:K6)=0,0,'Phase designation'!F3)</f>
        <v>100</v>
      </c>
      <c r="J3" s="367">
        <f>'Phase designation'!G3</f>
        <v>750</v>
      </c>
      <c r="K3" s="45">
        <f>IF(SUM('Phase designation'!B19:H19)&gt;2,0,Sheet1!F4+Sheet1!Y4+Sheet1!AB4)</f>
        <v>130</v>
      </c>
      <c r="L3" s="244">
        <f>IF(SUM(L6:N6)=0,0,'Phase designation'!H3)</f>
        <v>150</v>
      </c>
      <c r="M3" s="367">
        <f>'Phase designation'!I3</f>
        <v>350</v>
      </c>
      <c r="N3" s="45">
        <f>IF(SUM('Phase designation'!B19:H19)&gt;2,0,Sheet1!K4+Sheet1!AE4+Sheet1!AH4)</f>
        <v>100</v>
      </c>
      <c r="O3" s="245">
        <f>SUM(C3:N3)</f>
        <v>2405</v>
      </c>
      <c r="Q3" s="10"/>
      <c r="R3" s="112" t="s">
        <v>206</v>
      </c>
      <c r="S3" s="113">
        <f>'Input sheet'!V5</f>
        <v>2</v>
      </c>
      <c r="T3" s="10"/>
      <c r="U3" s="10"/>
      <c r="V3" s="10"/>
      <c r="W3" s="5"/>
      <c r="Y3" s="387" t="s">
        <v>367</v>
      </c>
      <c r="Z3" s="168" t="s">
        <v>83</v>
      </c>
      <c r="AA3" s="168" t="s">
        <v>83</v>
      </c>
      <c r="AB3" s="168" t="s">
        <v>83</v>
      </c>
      <c r="AC3" s="168" t="s">
        <v>83</v>
      </c>
      <c r="AD3" s="387" t="s">
        <v>367</v>
      </c>
      <c r="AE3" s="382" t="str">
        <f>Z3&amp;" "&amp;AA3</f>
        <v>Permitted Permitted</v>
      </c>
      <c r="AF3" s="383" t="str">
        <f>AB3&amp;" "&amp;AC3</f>
        <v>Permitted Permitted</v>
      </c>
      <c r="AI3" s="78" t="s">
        <v>375</v>
      </c>
      <c r="AJ3" s="78">
        <v>1</v>
      </c>
      <c r="AK3" s="77">
        <v>2</v>
      </c>
      <c r="AL3" s="77">
        <v>3</v>
      </c>
      <c r="AN3" s="77" t="s">
        <v>375</v>
      </c>
      <c r="AO3" s="77">
        <v>1</v>
      </c>
      <c r="AP3" s="77">
        <v>2</v>
      </c>
      <c r="AQ3" s="77">
        <v>3</v>
      </c>
      <c r="AS3" s="77" t="s">
        <v>375</v>
      </c>
      <c r="AT3" s="77">
        <v>1</v>
      </c>
      <c r="AU3" s="77">
        <v>2</v>
      </c>
      <c r="AV3" s="77">
        <v>3</v>
      </c>
      <c r="BI3" s="477">
        <f>MAX(F24,'Input sheet'!V8)</f>
        <v>70</v>
      </c>
      <c r="BJ3" s="477">
        <f>'Input sheet'!V9</f>
        <v>150</v>
      </c>
      <c r="BK3" s="477"/>
      <c r="BL3" s="478">
        <f>BI3</f>
        <v>70</v>
      </c>
      <c r="BM3" s="478">
        <f>IF(BI3+10&lt;=$BJ$3,BI3+10,0)</f>
        <v>80</v>
      </c>
      <c r="BN3" s="478">
        <f>IF(BM3=0,0,IF(BM3+10&lt;=$BJ$3,BM3+10,0))</f>
        <v>90</v>
      </c>
      <c r="BO3" s="478">
        <f t="shared" ref="BO3:BW3" si="0">IF(BN3=0,0,IF(BN3+10&lt;=$BJ$3,BN3+10,0))</f>
        <v>100</v>
      </c>
      <c r="BP3" s="478">
        <f t="shared" si="0"/>
        <v>110</v>
      </c>
      <c r="BQ3" s="478">
        <f t="shared" si="0"/>
        <v>120</v>
      </c>
      <c r="BR3" s="478">
        <f t="shared" si="0"/>
        <v>130</v>
      </c>
      <c r="BS3" s="478">
        <f t="shared" si="0"/>
        <v>140</v>
      </c>
      <c r="BT3" s="478">
        <f t="shared" si="0"/>
        <v>150</v>
      </c>
      <c r="BU3" s="478">
        <f t="shared" si="0"/>
        <v>0</v>
      </c>
      <c r="BV3" s="478">
        <f t="shared" si="0"/>
        <v>0</v>
      </c>
      <c r="BW3" s="478">
        <f t="shared" si="0"/>
        <v>0</v>
      </c>
      <c r="BX3" s="477"/>
    </row>
    <row r="4" spans="2:76" x14ac:dyDescent="0.3">
      <c r="B4" s="251" t="s">
        <v>122</v>
      </c>
      <c r="C4" s="316">
        <f>UTDF_input!K49</f>
        <v>0.92</v>
      </c>
      <c r="D4" s="317">
        <f>UTDF_input!L49</f>
        <v>0.92</v>
      </c>
      <c r="E4" s="317">
        <f>D4</f>
        <v>0.92</v>
      </c>
      <c r="F4" s="316">
        <f>UTDF_input!N49</f>
        <v>0.92</v>
      </c>
      <c r="G4" s="317">
        <f>UTDF_input!O49</f>
        <v>0.92</v>
      </c>
      <c r="H4" s="317">
        <f>G4</f>
        <v>0.92</v>
      </c>
      <c r="I4" s="316">
        <f>UTDF_input!D49</f>
        <v>0.92</v>
      </c>
      <c r="J4" s="317">
        <f>UTDF_input!E49</f>
        <v>0.92</v>
      </c>
      <c r="K4" s="317">
        <f>J4</f>
        <v>0.92</v>
      </c>
      <c r="L4" s="316">
        <f>UTDF_input!H49</f>
        <v>0.92</v>
      </c>
      <c r="M4" s="317">
        <f>UTDF_input!I49</f>
        <v>0.92</v>
      </c>
      <c r="N4" s="317">
        <f>M4</f>
        <v>0.92</v>
      </c>
      <c r="O4" s="245">
        <f>AVERAGE(C4:M4)</f>
        <v>0.92</v>
      </c>
      <c r="Q4" s="10"/>
      <c r="R4" s="114" t="s">
        <v>211</v>
      </c>
      <c r="S4" s="115">
        <f>100/(100+S3)</f>
        <v>0.98039215686274506</v>
      </c>
      <c r="T4" s="10"/>
      <c r="U4" s="10"/>
      <c r="V4" s="10"/>
      <c r="W4" s="17"/>
      <c r="Y4" s="387" t="s">
        <v>368</v>
      </c>
      <c r="Z4" s="168" t="s">
        <v>83</v>
      </c>
      <c r="AA4" s="168" t="s">
        <v>374</v>
      </c>
      <c r="AB4" s="168" t="s">
        <v>83</v>
      </c>
      <c r="AC4" s="168" t="s">
        <v>374</v>
      </c>
      <c r="AD4" s="387" t="s">
        <v>368</v>
      </c>
      <c r="AE4" s="382" t="str">
        <f t="shared" ref="AE4:AE10" si="1">Z4&amp;" "&amp;AA4</f>
        <v>Permitted Not opposed</v>
      </c>
      <c r="AF4" s="383" t="str">
        <f t="shared" ref="AF4:AF10" si="2">AB4&amp;" "&amp;AC4</f>
        <v>Permitted Not opposed</v>
      </c>
      <c r="AI4" s="78" t="s">
        <v>367</v>
      </c>
      <c r="AJ4" s="78">
        <v>4</v>
      </c>
      <c r="AN4" s="77" t="s">
        <v>367</v>
      </c>
      <c r="AO4" s="330" t="s">
        <v>391</v>
      </c>
      <c r="AP4" s="330"/>
      <c r="AQ4" s="330"/>
      <c r="AS4" s="77" t="s">
        <v>367</v>
      </c>
      <c r="AT4" s="77">
        <f>MAX(D16,G16,F16)</f>
        <v>200</v>
      </c>
      <c r="BI4" s="477"/>
      <c r="BJ4" s="477"/>
      <c r="BK4" s="477"/>
      <c r="BL4" s="477" t="s">
        <v>543</v>
      </c>
      <c r="BM4" s="477" t="s">
        <v>544</v>
      </c>
      <c r="BN4" s="477" t="s">
        <v>545</v>
      </c>
      <c r="BO4" s="477" t="s">
        <v>546</v>
      </c>
      <c r="BP4" s="477" t="s">
        <v>547</v>
      </c>
      <c r="BQ4" s="477" t="s">
        <v>548</v>
      </c>
      <c r="BR4" s="477" t="s">
        <v>549</v>
      </c>
      <c r="BS4" s="477" t="s">
        <v>550</v>
      </c>
      <c r="BT4" s="477" t="s">
        <v>551</v>
      </c>
      <c r="BU4" s="477" t="s">
        <v>552</v>
      </c>
      <c r="BV4" s="477" t="s">
        <v>553</v>
      </c>
      <c r="BW4" s="477"/>
      <c r="BX4" s="477"/>
    </row>
    <row r="5" spans="2:76" x14ac:dyDescent="0.3">
      <c r="B5" s="315" t="s">
        <v>123</v>
      </c>
      <c r="C5" s="245">
        <f>ROUND(C3/C4,0)</f>
        <v>163</v>
      </c>
      <c r="D5" s="246">
        <f t="shared" ref="D5:N5" si="3">ROUND(D3/D4,0)</f>
        <v>190</v>
      </c>
      <c r="E5" s="246">
        <f t="shared" si="3"/>
        <v>82</v>
      </c>
      <c r="F5" s="245">
        <f t="shared" si="3"/>
        <v>82</v>
      </c>
      <c r="G5" s="246">
        <f t="shared" si="3"/>
        <v>217</v>
      </c>
      <c r="H5" s="246">
        <f t="shared" si="3"/>
        <v>163</v>
      </c>
      <c r="I5" s="245">
        <f t="shared" si="3"/>
        <v>109</v>
      </c>
      <c r="J5" s="246">
        <f t="shared" si="3"/>
        <v>815</v>
      </c>
      <c r="K5" s="246">
        <f t="shared" si="3"/>
        <v>141</v>
      </c>
      <c r="L5" s="245">
        <f t="shared" si="3"/>
        <v>163</v>
      </c>
      <c r="M5" s="246">
        <f t="shared" si="3"/>
        <v>380</v>
      </c>
      <c r="N5" s="246">
        <f t="shared" si="3"/>
        <v>109</v>
      </c>
      <c r="O5" s="245"/>
      <c r="Q5" s="10"/>
      <c r="R5" s="10"/>
      <c r="S5" s="101" t="s">
        <v>209</v>
      </c>
      <c r="T5" s="10"/>
      <c r="U5" s="10"/>
      <c r="V5" s="10"/>
      <c r="W5" s="5"/>
      <c r="Y5" s="387" t="s">
        <v>369</v>
      </c>
      <c r="Z5" s="168" t="s">
        <v>374</v>
      </c>
      <c r="AA5" s="168" t="s">
        <v>83</v>
      </c>
      <c r="AB5" s="168" t="s">
        <v>374</v>
      </c>
      <c r="AC5" s="168" t="s">
        <v>83</v>
      </c>
      <c r="AD5" s="387" t="s">
        <v>369</v>
      </c>
      <c r="AE5" s="382" t="str">
        <f t="shared" si="1"/>
        <v>Not opposed Permitted</v>
      </c>
      <c r="AF5" s="383" t="str">
        <f t="shared" si="2"/>
        <v>Not opposed Permitted</v>
      </c>
      <c r="AI5" s="78" t="s">
        <v>368</v>
      </c>
      <c r="AJ5" s="78">
        <v>4</v>
      </c>
      <c r="AN5" s="77" t="s">
        <v>368</v>
      </c>
      <c r="AO5" s="330" t="s">
        <v>391</v>
      </c>
      <c r="AP5" s="330"/>
      <c r="AQ5" s="330"/>
      <c r="AS5" s="77" t="s">
        <v>368</v>
      </c>
      <c r="AT5" s="315">
        <f>MAX(D16,G16,F16)</f>
        <v>200</v>
      </c>
      <c r="BI5" s="477"/>
      <c r="BJ5" s="477"/>
      <c r="BK5" s="477"/>
      <c r="BL5" s="477">
        <v>110.55</v>
      </c>
      <c r="BM5" s="477">
        <v>60.13</v>
      </c>
      <c r="BN5" s="477">
        <v>51.08</v>
      </c>
      <c r="BO5" s="477">
        <v>49.77</v>
      </c>
      <c r="BP5" s="477">
        <v>52.52</v>
      </c>
      <c r="BQ5" s="477">
        <v>57.85</v>
      </c>
      <c r="BR5" s="477">
        <v>65.5</v>
      </c>
      <c r="BS5" s="477">
        <v>73.03</v>
      </c>
      <c r="BT5" s="477">
        <v>80.790000000000006</v>
      </c>
      <c r="BU5" s="477">
        <v>88.21</v>
      </c>
      <c r="BV5" s="477">
        <v>0</v>
      </c>
      <c r="BW5" s="477">
        <v>0</v>
      </c>
      <c r="BX5" s="477"/>
    </row>
    <row r="6" spans="2:76" ht="15" customHeight="1" x14ac:dyDescent="0.3">
      <c r="B6" s="251" t="s">
        <v>127</v>
      </c>
      <c r="C6" s="316">
        <f>'Phase designation'!B6</f>
        <v>1</v>
      </c>
      <c r="D6" s="316">
        <f>'Phase designation'!C6</f>
        <v>1</v>
      </c>
      <c r="E6" s="317">
        <f>IF(SUM('Phase designation'!B19:H19)&gt;2,0,'Summary sheet'!T13)</f>
        <v>0</v>
      </c>
      <c r="F6" s="316">
        <f>'Phase designation'!D6</f>
        <v>1</v>
      </c>
      <c r="G6" s="316">
        <f>'Phase designation'!E6</f>
        <v>1</v>
      </c>
      <c r="H6" s="317">
        <f>IF(SUM('Phase designation'!B19:H19)&gt;2,0,'Summary sheet'!Z9)</f>
        <v>1</v>
      </c>
      <c r="I6" s="316">
        <f>'Phase designation'!F6</f>
        <v>1</v>
      </c>
      <c r="J6" s="316">
        <f>'Phase designation'!G6</f>
        <v>1</v>
      </c>
      <c r="K6" s="317">
        <f>IF(SUM('Phase designation'!B19:H19)&gt;2,0,'Summary sheet'!X17)</f>
        <v>1</v>
      </c>
      <c r="L6" s="316">
        <f>'Phase designation'!H6</f>
        <v>1</v>
      </c>
      <c r="M6" s="316">
        <f>'Phase designation'!I6</f>
        <v>1</v>
      </c>
      <c r="N6" s="317">
        <f>IF(SUM('Phase designation'!B19:H19)&gt;2,0,'Summary sheet'!V4)</f>
        <v>1</v>
      </c>
      <c r="O6" s="245"/>
      <c r="Q6" s="10"/>
      <c r="R6" s="549" t="s">
        <v>207</v>
      </c>
      <c r="S6" s="101">
        <v>1</v>
      </c>
      <c r="T6" s="101">
        <v>1</v>
      </c>
      <c r="U6" s="10"/>
      <c r="V6" s="10"/>
      <c r="W6" s="5"/>
      <c r="Y6" s="387" t="s">
        <v>370</v>
      </c>
      <c r="Z6" s="168" t="s">
        <v>83</v>
      </c>
      <c r="AA6" s="168" t="s">
        <v>82</v>
      </c>
      <c r="AB6" s="168" t="s">
        <v>83</v>
      </c>
      <c r="AC6" s="168" t="s">
        <v>82</v>
      </c>
      <c r="AD6" s="387" t="s">
        <v>370</v>
      </c>
      <c r="AE6" s="382" t="str">
        <f t="shared" si="1"/>
        <v>Permitted Protected</v>
      </c>
      <c r="AF6" s="383" t="str">
        <f t="shared" si="2"/>
        <v>Permitted Protected</v>
      </c>
      <c r="AI6" s="78" t="s">
        <v>369</v>
      </c>
      <c r="AJ6" s="78">
        <v>4</v>
      </c>
      <c r="AN6" s="77" t="s">
        <v>369</v>
      </c>
      <c r="AO6" s="330" t="s">
        <v>391</v>
      </c>
      <c r="AP6" s="330"/>
      <c r="AQ6" s="330"/>
      <c r="AS6" s="77" t="s">
        <v>369</v>
      </c>
      <c r="AT6" s="315">
        <f>MAX(D16,G16,F16)</f>
        <v>200</v>
      </c>
      <c r="BI6" s="477"/>
      <c r="BJ6" s="477"/>
      <c r="BK6" s="477"/>
      <c r="BL6" s="478">
        <f>IF(BL5=0,"",BL5)</f>
        <v>110.55</v>
      </c>
      <c r="BM6" s="478">
        <f>IF(BM5=0,"",BM5)</f>
        <v>60.13</v>
      </c>
      <c r="BN6" s="478">
        <f t="shared" ref="BN6:BW6" si="4">IF(BN5=0,"",BN5)</f>
        <v>51.08</v>
      </c>
      <c r="BO6" s="478">
        <f t="shared" si="4"/>
        <v>49.77</v>
      </c>
      <c r="BP6" s="478">
        <f t="shared" si="4"/>
        <v>52.52</v>
      </c>
      <c r="BQ6" s="478">
        <f t="shared" si="4"/>
        <v>57.85</v>
      </c>
      <c r="BR6" s="478">
        <f t="shared" si="4"/>
        <v>65.5</v>
      </c>
      <c r="BS6" s="478">
        <f t="shared" si="4"/>
        <v>73.03</v>
      </c>
      <c r="BT6" s="478">
        <f t="shared" si="4"/>
        <v>80.790000000000006</v>
      </c>
      <c r="BU6" s="478">
        <f t="shared" si="4"/>
        <v>88.21</v>
      </c>
      <c r="BV6" s="478" t="str">
        <f t="shared" si="4"/>
        <v/>
      </c>
      <c r="BW6" s="478" t="str">
        <f t="shared" si="4"/>
        <v/>
      </c>
      <c r="BX6" s="477"/>
    </row>
    <row r="7" spans="2:76" s="69" customFormat="1" hidden="1" x14ac:dyDescent="0.3">
      <c r="B7" s="315" t="s">
        <v>131</v>
      </c>
      <c r="C7" s="245">
        <f>IF(C6&gt;0,ROUND(C5/C6,0),0)</f>
        <v>163</v>
      </c>
      <c r="D7" s="246">
        <f t="shared" ref="D7:M7" si="5">IF(D6&gt;0,ROUND(D5/D6,0),0)</f>
        <v>190</v>
      </c>
      <c r="E7" s="246"/>
      <c r="F7" s="245">
        <f t="shared" si="5"/>
        <v>82</v>
      </c>
      <c r="G7" s="246">
        <f t="shared" si="5"/>
        <v>217</v>
      </c>
      <c r="H7" s="246"/>
      <c r="I7" s="245">
        <f t="shared" si="5"/>
        <v>109</v>
      </c>
      <c r="J7" s="246">
        <f t="shared" si="5"/>
        <v>815</v>
      </c>
      <c r="K7" s="246"/>
      <c r="L7" s="245">
        <f t="shared" si="5"/>
        <v>163</v>
      </c>
      <c r="M7" s="246">
        <f t="shared" si="5"/>
        <v>380</v>
      </c>
      <c r="N7" s="246"/>
      <c r="O7" s="245"/>
      <c r="P7" s="283"/>
      <c r="Q7" s="102"/>
      <c r="R7" s="549"/>
      <c r="S7" s="101">
        <v>2</v>
      </c>
      <c r="T7" s="101">
        <v>0.95199999999999996</v>
      </c>
      <c r="U7" s="10"/>
      <c r="V7" s="103"/>
      <c r="W7" s="5"/>
      <c r="Y7" s="387" t="s">
        <v>371</v>
      </c>
      <c r="Z7" s="168" t="s">
        <v>82</v>
      </c>
      <c r="AA7" s="168" t="s">
        <v>83</v>
      </c>
      <c r="AB7" s="168" t="s">
        <v>82</v>
      </c>
      <c r="AC7" s="168" t="s">
        <v>83</v>
      </c>
      <c r="AD7" s="387" t="s">
        <v>371</v>
      </c>
      <c r="AE7" s="382" t="str">
        <f t="shared" si="1"/>
        <v>Protected Permitted</v>
      </c>
      <c r="AF7" s="383" t="str">
        <f t="shared" si="2"/>
        <v>Protected Permitted</v>
      </c>
      <c r="AG7" s="78"/>
      <c r="AH7" s="78"/>
      <c r="AI7" s="78" t="s">
        <v>370</v>
      </c>
      <c r="AJ7" s="78">
        <v>4</v>
      </c>
      <c r="AK7" s="77">
        <v>4</v>
      </c>
      <c r="AL7" s="77"/>
      <c r="AM7" s="77"/>
      <c r="AN7" s="77" t="s">
        <v>370</v>
      </c>
      <c r="AO7" s="330" t="s">
        <v>392</v>
      </c>
      <c r="AP7" s="330" t="s">
        <v>391</v>
      </c>
      <c r="AQ7" s="330"/>
      <c r="AR7" s="77"/>
      <c r="AS7" s="77" t="s">
        <v>370</v>
      </c>
      <c r="AT7" s="77">
        <f>F16</f>
        <v>0</v>
      </c>
      <c r="AU7" s="77">
        <f>MAX(G16-F16,D16)</f>
        <v>200</v>
      </c>
      <c r="AV7" s="77"/>
      <c r="BI7" s="477"/>
      <c r="BJ7" s="477"/>
      <c r="BK7" s="477"/>
      <c r="BL7" s="477"/>
      <c r="BM7" s="477"/>
      <c r="BN7" s="477"/>
      <c r="BO7" s="477"/>
      <c r="BP7" s="477"/>
      <c r="BQ7" s="477"/>
      <c r="BR7" s="477"/>
      <c r="BS7" s="477"/>
      <c r="BT7" s="477"/>
      <c r="BU7" s="477"/>
      <c r="BV7" s="477"/>
      <c r="BW7" s="477"/>
      <c r="BX7" s="477"/>
    </row>
    <row r="8" spans="2:76" s="237" customFormat="1" x14ac:dyDescent="0.3">
      <c r="B8" s="315" t="s">
        <v>328</v>
      </c>
      <c r="C8" s="245"/>
      <c r="D8" s="246"/>
      <c r="E8" s="246">
        <f>ROUND('Input sheet'!G17/100*E5,0)</f>
        <v>41</v>
      </c>
      <c r="F8" s="245"/>
      <c r="G8" s="246"/>
      <c r="H8" s="246">
        <f>ROUND('Input sheet'!N11/100*H5,0)</f>
        <v>82</v>
      </c>
      <c r="I8" s="245"/>
      <c r="J8" s="246"/>
      <c r="K8" s="246">
        <f>ROUND('Input sheet'!L22/100*K5,0)</f>
        <v>71</v>
      </c>
      <c r="L8" s="245"/>
      <c r="M8" s="246"/>
      <c r="N8" s="246">
        <f>ROUND('Input sheet'!H7/100*N5,0)</f>
        <v>55</v>
      </c>
      <c r="O8" s="245"/>
      <c r="P8" s="283"/>
      <c r="Q8" s="102"/>
      <c r="R8" s="549"/>
      <c r="S8" s="101"/>
      <c r="T8" s="101"/>
      <c r="U8" s="10"/>
      <c r="V8" s="103"/>
      <c r="W8" s="5"/>
      <c r="Y8" s="387" t="s">
        <v>372</v>
      </c>
      <c r="Z8" s="168" t="s">
        <v>381</v>
      </c>
      <c r="AA8" s="168" t="s">
        <v>82</v>
      </c>
      <c r="AB8" s="168" t="s">
        <v>381</v>
      </c>
      <c r="AC8" s="168" t="s">
        <v>82</v>
      </c>
      <c r="AD8" s="387" t="s">
        <v>372</v>
      </c>
      <c r="AE8" s="382" t="str">
        <f t="shared" si="1"/>
        <v>ProtectedA Protected</v>
      </c>
      <c r="AF8" s="383" t="str">
        <f t="shared" si="2"/>
        <v>ProtectedA Protected</v>
      </c>
      <c r="AG8" s="78"/>
      <c r="AH8" s="78"/>
      <c r="AI8" s="78" t="s">
        <v>371</v>
      </c>
      <c r="AJ8" s="78">
        <v>4</v>
      </c>
      <c r="AK8" s="77">
        <v>4</v>
      </c>
      <c r="AL8" s="77"/>
      <c r="AM8" s="77"/>
      <c r="AN8" s="77" t="s">
        <v>371</v>
      </c>
      <c r="AO8" s="330" t="s">
        <v>393</v>
      </c>
      <c r="AP8" s="330" t="s">
        <v>391</v>
      </c>
      <c r="AQ8" s="330"/>
      <c r="AR8" s="77"/>
      <c r="AS8" s="77" t="s">
        <v>371</v>
      </c>
      <c r="AT8" s="77">
        <f>C16</f>
        <v>0</v>
      </c>
      <c r="AU8" s="77">
        <f>MAX(D16-C16,G16)</f>
        <v>200</v>
      </c>
      <c r="AV8" s="77"/>
      <c r="BI8" s="477"/>
      <c r="BJ8" s="477"/>
      <c r="BK8" s="477"/>
      <c r="BL8" s="477"/>
      <c r="BM8" s="477"/>
      <c r="BN8" s="477"/>
      <c r="BO8" s="477"/>
      <c r="BP8" s="477"/>
      <c r="BQ8" s="477"/>
      <c r="BR8" s="477"/>
      <c r="BS8" s="477"/>
      <c r="BT8" s="477"/>
      <c r="BU8" s="477"/>
      <c r="BV8" s="477"/>
      <c r="BW8" s="477"/>
      <c r="BX8" s="477"/>
    </row>
    <row r="9" spans="2:76" s="237" customFormat="1" x14ac:dyDescent="0.3">
      <c r="B9" s="251" t="s">
        <v>329</v>
      </c>
      <c r="C9" s="316">
        <f>C5</f>
        <v>163</v>
      </c>
      <c r="D9" s="317">
        <f>IF(AND(E3&gt;0,E6=0),D5+E5,D5)</f>
        <v>272</v>
      </c>
      <c r="E9" s="317">
        <f>IF(AND(E3&gt;0,E6=0),0,E5-E8)</f>
        <v>0</v>
      </c>
      <c r="F9" s="316">
        <f>F5</f>
        <v>82</v>
      </c>
      <c r="G9" s="317">
        <f>IF(AND(H3&gt;0,H6=0),G5+H5,G5)</f>
        <v>217</v>
      </c>
      <c r="H9" s="317">
        <f>IF(AND(H3&gt;0,H6=0),0,H5-H8)</f>
        <v>81</v>
      </c>
      <c r="I9" s="316">
        <f>I5</f>
        <v>109</v>
      </c>
      <c r="J9" s="317">
        <f>IF(AND(K3&gt;0,K6=0),J5+K5,J5)</f>
        <v>815</v>
      </c>
      <c r="K9" s="317">
        <f>IF(AND(K3&gt;0,K6=0),0,K5-K8)</f>
        <v>70</v>
      </c>
      <c r="L9" s="316">
        <f>L5</f>
        <v>163</v>
      </c>
      <c r="M9" s="317">
        <f>IF(AND(N3&gt;0,N6=0),M5+N5,M5)</f>
        <v>380</v>
      </c>
      <c r="N9" s="317">
        <f>IF(AND(N3&gt;0,N6=0),0,N5-N8)</f>
        <v>54</v>
      </c>
      <c r="O9" s="245">
        <f>SUM(C9:N9)</f>
        <v>2406</v>
      </c>
      <c r="P9" s="283"/>
      <c r="Q9" s="102"/>
      <c r="R9" s="549"/>
      <c r="S9" s="101"/>
      <c r="T9" s="101"/>
      <c r="U9" s="10"/>
      <c r="V9" s="103"/>
      <c r="W9" s="5"/>
      <c r="Y9" s="387" t="s">
        <v>373</v>
      </c>
      <c r="Z9" s="168" t="s">
        <v>82</v>
      </c>
      <c r="AA9" s="168" t="s">
        <v>381</v>
      </c>
      <c r="AB9" s="168" t="s">
        <v>82</v>
      </c>
      <c r="AC9" s="168" t="s">
        <v>381</v>
      </c>
      <c r="AD9" s="387" t="s">
        <v>373</v>
      </c>
      <c r="AE9" s="382" t="str">
        <f t="shared" si="1"/>
        <v>Protected ProtectedA</v>
      </c>
      <c r="AF9" s="383" t="str">
        <f t="shared" si="2"/>
        <v>Protected ProtectedA</v>
      </c>
      <c r="AG9" s="78"/>
      <c r="AH9" s="78"/>
      <c r="AI9" s="78" t="s">
        <v>372</v>
      </c>
      <c r="AJ9" s="78">
        <v>4</v>
      </c>
      <c r="AK9" s="77">
        <v>0</v>
      </c>
      <c r="AL9" s="77">
        <v>4</v>
      </c>
      <c r="AM9" s="77"/>
      <c r="AN9" s="77" t="s">
        <v>372</v>
      </c>
      <c r="AO9" s="330" t="s">
        <v>394</v>
      </c>
      <c r="AP9" s="330" t="s">
        <v>393</v>
      </c>
      <c r="AQ9" s="330" t="s">
        <v>391</v>
      </c>
      <c r="AR9" s="77"/>
      <c r="AS9" s="77" t="s">
        <v>372</v>
      </c>
      <c r="AT9" s="77">
        <f>F16</f>
        <v>0</v>
      </c>
      <c r="AU9" s="77">
        <f>C16-F16</f>
        <v>0</v>
      </c>
      <c r="AV9" s="77">
        <f>MAX(G16,D16-(C16-F16))</f>
        <v>200</v>
      </c>
      <c r="BI9" s="477"/>
      <c r="BJ9" s="477"/>
      <c r="BK9" s="477"/>
      <c r="BL9" s="477" t="s">
        <v>554</v>
      </c>
      <c r="BM9" s="377">
        <f>MIN(BL6:BW6)</f>
        <v>49.77</v>
      </c>
      <c r="BN9" s="477"/>
      <c r="BO9" s="477"/>
      <c r="BP9" s="477"/>
      <c r="BQ9" s="477"/>
      <c r="BR9" s="477"/>
      <c r="BS9" s="477"/>
      <c r="BT9" s="477"/>
      <c r="BU9" s="477"/>
      <c r="BV9" s="477"/>
      <c r="BW9" s="477"/>
      <c r="BX9" s="477"/>
    </row>
    <row r="10" spans="2:76" s="85" customFormat="1" x14ac:dyDescent="0.3">
      <c r="B10" s="315" t="s">
        <v>210</v>
      </c>
      <c r="C10" s="245">
        <f>IF(C6=0,1,LOOKUP(C6,$S$18:$S$19,$T$18:$T$19))</f>
        <v>1</v>
      </c>
      <c r="D10" s="246">
        <f>IF(D6=0,1,LOOKUP(D6,$S$6:$S$10,$T$6:$T$10))</f>
        <v>1</v>
      </c>
      <c r="E10" s="246"/>
      <c r="F10" s="245">
        <f>IF(F6=0,1,LOOKUP(F6,$S$18:$S$19,$T$18:$T$19))</f>
        <v>1</v>
      </c>
      <c r="G10" s="246">
        <f>IF(G6=0,1,LOOKUP(G6,$S$6:$S$10,$T$6:$T$10))</f>
        <v>1</v>
      </c>
      <c r="H10" s="246"/>
      <c r="I10" s="245">
        <f>IF(I6=0,1,LOOKUP(I6,$S$18:$S$19,$T$18:$T$19))</f>
        <v>1</v>
      </c>
      <c r="J10" s="246">
        <f>IF(J6=0,1,LOOKUP(J6,$S$6:$S$10,$T$6:$T$10))</f>
        <v>1</v>
      </c>
      <c r="K10" s="246"/>
      <c r="L10" s="245">
        <f>IF(L6=0,1,LOOKUP(L6,$S$18:$S$19,$T$18:$T$19))</f>
        <v>1</v>
      </c>
      <c r="M10" s="246">
        <f>IF(M6=0,1,LOOKUP(M6,$S$6:$S$10,$T$6:$T$10))</f>
        <v>1</v>
      </c>
      <c r="N10" s="246"/>
      <c r="O10" s="245"/>
      <c r="P10" s="283"/>
      <c r="Q10" s="102"/>
      <c r="R10" s="549"/>
      <c r="S10" s="101">
        <v>3</v>
      </c>
      <c r="T10" s="101">
        <v>0.90800000000000003</v>
      </c>
      <c r="U10" s="10"/>
      <c r="V10" s="103"/>
      <c r="W10" s="5"/>
      <c r="Y10" s="387">
        <v>4</v>
      </c>
      <c r="Z10" s="168" t="s">
        <v>374</v>
      </c>
      <c r="AA10" s="168" t="s">
        <v>374</v>
      </c>
      <c r="AB10" s="168" t="s">
        <v>374</v>
      </c>
      <c r="AC10" s="168" t="s">
        <v>374</v>
      </c>
      <c r="AD10" s="387">
        <v>4</v>
      </c>
      <c r="AE10" s="382" t="str">
        <f t="shared" si="1"/>
        <v>Not opposed Not opposed</v>
      </c>
      <c r="AF10" s="383" t="str">
        <f t="shared" si="2"/>
        <v>Not opposed Not opposed</v>
      </c>
      <c r="AG10" s="78"/>
      <c r="AH10" s="78"/>
      <c r="AI10" s="78" t="s">
        <v>373</v>
      </c>
      <c r="AJ10" s="78">
        <v>4</v>
      </c>
      <c r="AK10" s="77">
        <v>0</v>
      </c>
      <c r="AL10" s="77">
        <v>4</v>
      </c>
      <c r="AM10" s="77"/>
      <c r="AN10" s="77" t="s">
        <v>373</v>
      </c>
      <c r="AO10" s="330" t="s">
        <v>394</v>
      </c>
      <c r="AP10" s="330" t="s">
        <v>392</v>
      </c>
      <c r="AQ10" s="330" t="s">
        <v>391</v>
      </c>
      <c r="AR10" s="77"/>
      <c r="AS10" s="77" t="s">
        <v>373</v>
      </c>
      <c r="AT10" s="77">
        <f>C16</f>
        <v>0</v>
      </c>
      <c r="AU10" s="77">
        <f>F16-C16</f>
        <v>0</v>
      </c>
      <c r="AV10" s="77">
        <f>MAX(D16,G16-(F16-C16))</f>
        <v>200</v>
      </c>
      <c r="BI10" s="477"/>
      <c r="BJ10" s="477"/>
      <c r="BK10" s="477"/>
      <c r="BL10" s="477" t="s">
        <v>555</v>
      </c>
      <c r="BM10" s="477">
        <f>IF(BM9=0,0,INDEX(BL3:BW3,MATCH(BM9,BL5:BW5,0)))</f>
        <v>100</v>
      </c>
      <c r="BN10" s="477"/>
      <c r="BO10" s="477"/>
      <c r="BP10" s="477"/>
      <c r="BQ10" s="477"/>
      <c r="BR10" s="477"/>
      <c r="BS10" s="477"/>
      <c r="BT10" s="477"/>
      <c r="BU10" s="477"/>
      <c r="BV10" s="477"/>
      <c r="BW10" s="477"/>
      <c r="BX10" s="477"/>
    </row>
    <row r="11" spans="2:76" x14ac:dyDescent="0.3">
      <c r="B11" s="251" t="s">
        <v>330</v>
      </c>
      <c r="C11" s="316">
        <f>UTDF_input!K42</f>
        <v>1593</v>
      </c>
      <c r="D11" s="316">
        <f>UTDF_input!L42</f>
        <v>1569</v>
      </c>
      <c r="E11" s="316">
        <f>UTDF_input!M42</f>
        <v>0</v>
      </c>
      <c r="F11" s="316">
        <f>UTDF_input!N42</f>
        <v>1593</v>
      </c>
      <c r="G11" s="316">
        <f>UTDF_input!O42</f>
        <v>1676</v>
      </c>
      <c r="H11" s="316">
        <f>UTDF_input!P42</f>
        <v>1425</v>
      </c>
      <c r="I11" s="316">
        <f>UTDF_input!D42</f>
        <v>1593</v>
      </c>
      <c r="J11" s="316">
        <f>UTDF_input!E42</f>
        <v>1676</v>
      </c>
      <c r="K11" s="316">
        <f>UTDF_input!F42</f>
        <v>1425</v>
      </c>
      <c r="L11" s="316">
        <f>UTDF_input!H42</f>
        <v>1593</v>
      </c>
      <c r="M11" s="316">
        <f>UTDF_input!I42</f>
        <v>1676</v>
      </c>
      <c r="N11" s="316">
        <f>UTDF_input!J42</f>
        <v>1425</v>
      </c>
      <c r="O11" s="336">
        <f>ROUND(1530*O4*'Input sheet'!W7,0)</f>
        <v>1267</v>
      </c>
      <c r="P11" s="283" t="s">
        <v>212</v>
      </c>
      <c r="Q11" s="77"/>
      <c r="R11" s="111"/>
      <c r="U11" s="10"/>
      <c r="V11" s="103"/>
      <c r="W11" s="10"/>
      <c r="Y11" s="388" t="s">
        <v>372</v>
      </c>
      <c r="Z11" s="327" t="s">
        <v>381</v>
      </c>
      <c r="AA11" s="327" t="s">
        <v>381</v>
      </c>
      <c r="AB11" s="327" t="s">
        <v>381</v>
      </c>
      <c r="AC11" s="327" t="s">
        <v>381</v>
      </c>
      <c r="AD11" s="388" t="s">
        <v>372</v>
      </c>
      <c r="AE11" s="385" t="str">
        <f>Z11&amp;" "&amp;AA11</f>
        <v>ProtectedA ProtectedA</v>
      </c>
      <c r="AF11" s="329" t="str">
        <f>AB11&amp;" "&amp;AC11</f>
        <v>ProtectedA ProtectedA</v>
      </c>
      <c r="AI11" s="78">
        <v>4</v>
      </c>
      <c r="AJ11" s="78">
        <v>4</v>
      </c>
      <c r="AK11" s="77">
        <v>4</v>
      </c>
      <c r="AN11" s="77">
        <v>4</v>
      </c>
      <c r="AO11" s="330" t="s">
        <v>393</v>
      </c>
      <c r="AP11" s="330" t="s">
        <v>392</v>
      </c>
      <c r="AQ11" s="330"/>
      <c r="AS11" s="77">
        <v>4</v>
      </c>
      <c r="AT11" s="77">
        <f>MAX(D16,C16)</f>
        <v>145</v>
      </c>
      <c r="AU11" s="77">
        <f>MAX(G16,F16)</f>
        <v>200</v>
      </c>
      <c r="BE11" s="168"/>
      <c r="BI11" s="477"/>
      <c r="BJ11" s="477"/>
      <c r="BK11" s="477"/>
      <c r="BL11" s="477"/>
      <c r="BM11" s="477"/>
      <c r="BN11" s="477"/>
      <c r="BO11" s="477"/>
      <c r="BP11" s="477"/>
      <c r="BQ11" s="477"/>
      <c r="BR11" s="477"/>
      <c r="BS11" s="477"/>
      <c r="BT11" s="477"/>
      <c r="BU11" s="477"/>
      <c r="BV11" s="477"/>
      <c r="BW11" s="477"/>
      <c r="BX11" s="477"/>
    </row>
    <row r="12" spans="2:76" s="77" customFormat="1" hidden="1" x14ac:dyDescent="0.3">
      <c r="B12" s="315" t="s">
        <v>332</v>
      </c>
      <c r="C12" s="245">
        <f>MAX(1,'Lane volumes'!C12)</f>
        <v>350</v>
      </c>
      <c r="D12" s="246"/>
      <c r="E12" s="246"/>
      <c r="F12" s="245">
        <f>MAX(1,'Lane volumes'!U12)</f>
        <v>175</v>
      </c>
      <c r="G12" s="246"/>
      <c r="H12" s="246"/>
      <c r="I12" s="245">
        <f>MAX(1,'Lane volumes'!AL12)</f>
        <v>450</v>
      </c>
      <c r="J12" s="246"/>
      <c r="K12" s="246"/>
      <c r="L12" s="245">
        <f>MAX(1,'Lane volumes'!BC12)</f>
        <v>880</v>
      </c>
      <c r="M12" s="246"/>
      <c r="N12" s="246"/>
      <c r="O12" s="245"/>
      <c r="P12" s="283"/>
      <c r="R12" s="111"/>
      <c r="U12" s="10"/>
      <c r="V12" s="103"/>
      <c r="W12" s="10"/>
      <c r="AE12" s="78"/>
      <c r="AF12" s="78"/>
      <c r="AG12" s="78"/>
      <c r="AH12" s="78"/>
      <c r="BI12" s="479"/>
      <c r="BJ12" s="479"/>
      <c r="BK12" s="479"/>
      <c r="BL12" s="479"/>
      <c r="BM12" s="479"/>
      <c r="BN12" s="479"/>
      <c r="BO12" s="479"/>
      <c r="BP12" s="479"/>
      <c r="BQ12" s="479"/>
      <c r="BR12" s="479"/>
      <c r="BS12" s="479"/>
      <c r="BT12" s="479"/>
      <c r="BU12" s="479"/>
      <c r="BV12" s="479"/>
      <c r="BW12" s="479"/>
      <c r="BX12" s="479"/>
    </row>
    <row r="13" spans="2:76" s="283" customFormat="1" hidden="1" x14ac:dyDescent="0.3">
      <c r="B13" s="315" t="s">
        <v>333</v>
      </c>
      <c r="C13" s="245">
        <f>IF(AND(C6=0,C3&gt;0),4.5,2.5)</f>
        <v>2.5</v>
      </c>
      <c r="D13" s="246"/>
      <c r="E13" s="246"/>
      <c r="F13" s="245">
        <f>IF(AND(F6=0,F3&gt;0),4.5,2.5)</f>
        <v>2.5</v>
      </c>
      <c r="G13" s="246"/>
      <c r="H13" s="246"/>
      <c r="I13" s="245">
        <f>IF(AND(I6=0,I3&gt;0),4.5,2.5)</f>
        <v>2.5</v>
      </c>
      <c r="J13" s="246"/>
      <c r="K13" s="246"/>
      <c r="L13" s="245">
        <f>IF(AND(L6=0,L3&gt;0),4.5,2.5)</f>
        <v>2.5</v>
      </c>
      <c r="M13" s="246"/>
      <c r="N13" s="246"/>
      <c r="O13" s="245"/>
      <c r="R13" s="111"/>
      <c r="U13" s="10"/>
      <c r="V13" s="103"/>
      <c r="W13" s="10"/>
      <c r="Y13" s="315" t="s">
        <v>377</v>
      </c>
      <c r="Z13" s="77" t="str">
        <f>'Phase designation'!B23</f>
        <v>Permitted</v>
      </c>
      <c r="AA13" s="315" t="str">
        <f>'Phase designation'!D23</f>
        <v>Permitted</v>
      </c>
      <c r="AB13" s="315" t="str">
        <f>'Phase designation'!F23</f>
        <v>Prot+perm</v>
      </c>
      <c r="AC13" s="315" t="str">
        <f>'Phase designation'!H23</f>
        <v>Prot+perm</v>
      </c>
      <c r="AE13" s="246"/>
      <c r="AF13" s="246"/>
      <c r="AG13" s="246"/>
      <c r="AH13" s="246"/>
      <c r="AI13" s="246"/>
      <c r="AJ13" s="246"/>
      <c r="BI13" s="479"/>
      <c r="BJ13" s="479"/>
      <c r="BK13" s="479"/>
      <c r="BL13" s="479"/>
      <c r="BM13" s="479"/>
      <c r="BN13" s="479"/>
      <c r="BO13" s="479"/>
      <c r="BP13" s="479"/>
      <c r="BQ13" s="479"/>
      <c r="BR13" s="479"/>
      <c r="BS13" s="479"/>
      <c r="BT13" s="479"/>
      <c r="BU13" s="479"/>
      <c r="BV13" s="479"/>
      <c r="BW13" s="479"/>
      <c r="BX13" s="479"/>
    </row>
    <row r="14" spans="2:76" s="237" customFormat="1" x14ac:dyDescent="0.3">
      <c r="B14" s="315" t="s">
        <v>331</v>
      </c>
      <c r="C14" s="245">
        <f>UTDF_input!K43</f>
        <v>607</v>
      </c>
      <c r="D14" s="497">
        <f>UTDF_input!L43</f>
        <v>1569</v>
      </c>
      <c r="E14" s="497">
        <f>UTDF_input!M43</f>
        <v>0</v>
      </c>
      <c r="F14" s="245">
        <f>UTDF_input!N43</f>
        <v>1068</v>
      </c>
      <c r="G14" s="497">
        <f>UTDF_input!O43</f>
        <v>1676</v>
      </c>
      <c r="H14" s="497">
        <f>UTDF_input!P43</f>
        <v>1425</v>
      </c>
      <c r="I14" s="245">
        <f>UTDF_input!D43</f>
        <v>686</v>
      </c>
      <c r="J14" s="497">
        <f>UTDF_input!E43</f>
        <v>1676</v>
      </c>
      <c r="K14" s="497">
        <f>UTDF_input!F43</f>
        <v>1425</v>
      </c>
      <c r="L14" s="245">
        <f>UTDF_input!H43</f>
        <v>134</v>
      </c>
      <c r="M14" s="497">
        <f>UTDF_input!I43</f>
        <v>1676</v>
      </c>
      <c r="N14" s="497">
        <f>UTDF_input!J43</f>
        <v>1425</v>
      </c>
      <c r="O14" s="245"/>
      <c r="P14" s="283"/>
      <c r="Q14" s="77"/>
      <c r="R14" s="111"/>
      <c r="U14" s="10"/>
      <c r="V14" s="103"/>
      <c r="W14" s="10"/>
      <c r="Y14" s="310" t="s">
        <v>380</v>
      </c>
      <c r="Z14" s="237">
        <f>IF(SUM(Sheet1!S5:U5)=0,1,0)</f>
        <v>0</v>
      </c>
      <c r="AA14" s="310">
        <f>IF(SUM(Sheet1!N5:P5)=0,1,0)</f>
        <v>0</v>
      </c>
      <c r="AB14" s="310">
        <f>IF(SUM(Sheet1!I5:K5,Sheet1!AC5:AH5)=0,1,0)</f>
        <v>0</v>
      </c>
      <c r="AC14" s="310">
        <f>IF(SUM(Sheet1!D5:F5,Sheet1!W5:AB5)=0,1,0)</f>
        <v>0</v>
      </c>
      <c r="AE14" s="78"/>
      <c r="AF14" s="78"/>
      <c r="AG14" s="78"/>
      <c r="AH14" s="167" t="s">
        <v>384</v>
      </c>
      <c r="AI14" s="332" t="str">
        <f>Z21</f>
        <v>1a</v>
      </c>
      <c r="AJ14" s="167"/>
      <c r="AK14" s="309"/>
      <c r="AL14" s="309"/>
      <c r="AM14" s="77"/>
      <c r="AN14" s="77"/>
      <c r="AO14" s="77"/>
      <c r="AP14" s="77"/>
      <c r="AQ14" s="77"/>
      <c r="AR14" s="77"/>
      <c r="AS14" s="77"/>
      <c r="AT14" s="77"/>
      <c r="AU14" s="77"/>
      <c r="AV14" s="77"/>
      <c r="BI14" s="477"/>
      <c r="BJ14" s="477"/>
      <c r="BK14" s="477"/>
      <c r="BL14" s="477"/>
      <c r="BM14" s="477"/>
      <c r="BN14" s="477"/>
      <c r="BO14" s="477"/>
      <c r="BP14" s="477"/>
      <c r="BQ14" s="477"/>
      <c r="BR14" s="477"/>
      <c r="BS14" s="477"/>
      <c r="BT14" s="477"/>
      <c r="BU14" s="477"/>
      <c r="BV14" s="477"/>
      <c r="BW14" s="477"/>
      <c r="BX14" s="477"/>
    </row>
    <row r="15" spans="2:76" hidden="1" x14ac:dyDescent="0.3">
      <c r="B15" s="315" t="s">
        <v>130</v>
      </c>
      <c r="C15" s="245">
        <f>IF(C7+G7&gt;F7+D7,C7,0)</f>
        <v>163</v>
      </c>
      <c r="D15" s="246">
        <f>IF(D7+F7&gt;G7+C7,D7,0)</f>
        <v>0</v>
      </c>
      <c r="E15" s="246"/>
      <c r="F15" s="245">
        <f>IF(F7+D7&gt;C7+G7,F7,0)</f>
        <v>0</v>
      </c>
      <c r="G15" s="246">
        <f>IF(G7+C7&gt;D7+F7,G7,0)</f>
        <v>217</v>
      </c>
      <c r="H15" s="246"/>
      <c r="I15" s="245">
        <f>IF(I7+M7&gt;L7+J7,I7,0)</f>
        <v>0</v>
      </c>
      <c r="J15" s="246">
        <f>IF(J7+L7&gt;M7+I7,J7,0)</f>
        <v>815</v>
      </c>
      <c r="K15" s="246"/>
      <c r="L15" s="245">
        <f>IF(L7+J7&gt;I7+M7,L7,0)</f>
        <v>163</v>
      </c>
      <c r="M15" s="246">
        <f>IF(M7+I7&gt;J7+L7,M7,0)</f>
        <v>0</v>
      </c>
      <c r="N15" s="246"/>
      <c r="O15" s="245">
        <f>SUM(C15:M15)</f>
        <v>1358</v>
      </c>
      <c r="Q15" s="10"/>
      <c r="R15" s="13"/>
      <c r="S15" s="101"/>
      <c r="T15" s="101"/>
      <c r="U15" s="10"/>
      <c r="V15" s="103"/>
      <c r="W15" s="10"/>
      <c r="Y15" s="310" t="s">
        <v>379</v>
      </c>
      <c r="Z15" s="3" t="str">
        <f>IF(Z13="Prot+perm","Protected",Z13)</f>
        <v>Permitted</v>
      </c>
      <c r="AA15" s="310" t="str">
        <f>IF(AA13="Prot+perm","Protected",AA13)</f>
        <v>Permitted</v>
      </c>
      <c r="AB15" s="310" t="str">
        <f>IF(AB13="Prot+perm","Protected",AB13)</f>
        <v>Protected</v>
      </c>
      <c r="AC15" s="310" t="str">
        <f>IF(AC13="Prot+perm","Protected",AC13)</f>
        <v>Protected</v>
      </c>
      <c r="AI15" s="167" t="s">
        <v>388</v>
      </c>
      <c r="AJ15" s="167">
        <f>INDEX(AJ4:AJ11,MATCH($AI$14,$AI$4:$AI$11,0))</f>
        <v>4</v>
      </c>
      <c r="AK15" s="167">
        <f>INDEX(AK4:AK11,MATCH($AI$14,$AI$4:$AI$11,0))</f>
        <v>0</v>
      </c>
      <c r="AL15" s="167">
        <f>INDEX(AL4:AL11,MATCH($AI$14,$AI$4:$AI$11,0))</f>
        <v>0</v>
      </c>
      <c r="BI15" s="477"/>
      <c r="BJ15" s="477"/>
      <c r="BK15" s="477"/>
      <c r="BL15" s="477"/>
      <c r="BM15" s="477"/>
      <c r="BN15" s="477"/>
      <c r="BO15" s="477"/>
      <c r="BP15" s="477"/>
      <c r="BQ15" s="477"/>
      <c r="BR15" s="477"/>
      <c r="BS15" s="477"/>
      <c r="BT15" s="477"/>
      <c r="BU15" s="477"/>
      <c r="BV15" s="477"/>
      <c r="BW15" s="477"/>
      <c r="BX15" s="477"/>
    </row>
    <row r="16" spans="2:76" s="283" customFormat="1" x14ac:dyDescent="0.3">
      <c r="B16" s="251" t="s">
        <v>334</v>
      </c>
      <c r="C16" s="316">
        <f>MAX('Lane volumes'!C16:E16)</f>
        <v>0</v>
      </c>
      <c r="D16" s="317">
        <f>IF(D6=0,0,ROUND(MAX('Lane volumes'!C31:E31,'Lane volumes'!C38:E38),0))</f>
        <v>145</v>
      </c>
      <c r="E16" s="317">
        <f>MAX('Lane volumes'!C8:D8)</f>
        <v>45</v>
      </c>
      <c r="F16" s="316">
        <f>MAX('Lane volumes'!U16:W16)</f>
        <v>0</v>
      </c>
      <c r="G16" s="317">
        <f>IF(G6=0,0,ROUND(MAX('Lane volumes'!U31:W31,'Lane volumes'!U38:W38),0))</f>
        <v>200</v>
      </c>
      <c r="H16" s="317">
        <f>MAX('Lane volumes'!U8:V8)</f>
        <v>88</v>
      </c>
      <c r="I16" s="316">
        <f>MAX('Lane volumes'!AL16:AN16)</f>
        <v>105</v>
      </c>
      <c r="J16" s="317">
        <f>IF(J6=0,0,ROUND(MAX('Lane volumes'!AL31:AN31,'Lane volumes'!AL38:AN38),0))</f>
        <v>750</v>
      </c>
      <c r="K16" s="317">
        <f>MAX('Lane volumes'!AL8:AM8)</f>
        <v>76</v>
      </c>
      <c r="L16" s="316">
        <f>MAX('Lane volumes'!BC16:BE16)</f>
        <v>158</v>
      </c>
      <c r="M16" s="317">
        <f>IF(M6=0,0,ROUND(MAX('Lane volumes'!BC31:BE31,'Lane volumes'!BC38:BE38),0))</f>
        <v>350</v>
      </c>
      <c r="N16" s="317">
        <f>MAX('Lane volumes'!BC8:BD8)</f>
        <v>59</v>
      </c>
      <c r="O16" s="245"/>
      <c r="Q16" s="10"/>
      <c r="R16" s="13"/>
      <c r="S16" s="101"/>
      <c r="T16" s="101"/>
      <c r="U16" s="10"/>
      <c r="V16" s="103"/>
      <c r="W16" s="10"/>
      <c r="Y16" s="315" t="s">
        <v>382</v>
      </c>
      <c r="Z16" s="283" t="str">
        <f>IF(AND(Z15="Protected",AA15="Protected",C3&gt;=F3),"ProtectedA","Protected")</f>
        <v>Protected</v>
      </c>
      <c r="AA16" s="315" t="str">
        <f>IF(AND(Z15="Protected",AA15="Protected",F3&gt;=C3),"ProtectedA","Protected")</f>
        <v>Protected</v>
      </c>
      <c r="AB16" s="315" t="str">
        <f>IF(AND(AB15="Protected",AC15="Protected",I3&gt;=L3),"ProtectedA","Protected")</f>
        <v>Protected</v>
      </c>
      <c r="AC16" s="315" t="str">
        <f>IF(AND(AB15="Protected",AC15="Protected",L3&gt;=I3),"ProtectedA","Protected")</f>
        <v>ProtectedA</v>
      </c>
      <c r="AE16" s="246"/>
      <c r="AF16" s="246"/>
      <c r="AG16" s="246"/>
      <c r="AH16" s="246"/>
      <c r="AI16" s="167" t="s">
        <v>389</v>
      </c>
      <c r="AJ16" s="167" t="str">
        <f>INDEX(AO4:AO11,MATCH($AI$14,$AN$4:$AN$11,0))</f>
        <v>EBWBTH</v>
      </c>
      <c r="AK16" s="167">
        <f>INDEX(AP4:AP11,MATCH($AI$14,$AN$4:$AN$11,0))</f>
        <v>0</v>
      </c>
      <c r="AL16" s="167">
        <f>INDEX(AQ4:AQ11,MATCH($AI$14,$AN$4:$AN$11,0))</f>
        <v>0</v>
      </c>
      <c r="BI16" s="479"/>
      <c r="BJ16" s="479"/>
      <c r="BK16" s="479"/>
      <c r="BL16" s="479"/>
      <c r="BM16" s="479"/>
      <c r="BN16" s="479"/>
      <c r="BO16" s="479"/>
      <c r="BP16" s="479"/>
      <c r="BQ16" s="479"/>
      <c r="BR16" s="479"/>
      <c r="BS16" s="479"/>
      <c r="BT16" s="479"/>
      <c r="BU16" s="479"/>
      <c r="BV16" s="479"/>
      <c r="BW16" s="479"/>
      <c r="BX16" s="479"/>
    </row>
    <row r="17" spans="2:76" s="164" customFormat="1" hidden="1" x14ac:dyDescent="0.3">
      <c r="B17" s="315" t="s">
        <v>227</v>
      </c>
      <c r="C17" s="550"/>
      <c r="D17" s="551"/>
      <c r="E17" s="552"/>
      <c r="F17" s="550"/>
      <c r="G17" s="551"/>
      <c r="H17" s="552"/>
      <c r="I17" s="550"/>
      <c r="J17" s="551"/>
      <c r="K17" s="552"/>
      <c r="L17" s="551"/>
      <c r="M17" s="551"/>
      <c r="N17" s="551"/>
      <c r="O17" s="336">
        <f>SUM(AJ17:AL17,AJ33:AL33)</f>
        <v>1108</v>
      </c>
      <c r="P17" s="283" t="s">
        <v>213</v>
      </c>
      <c r="Q17" s="10"/>
      <c r="R17" s="13"/>
      <c r="S17" s="101"/>
      <c r="T17" s="101"/>
      <c r="U17" s="10"/>
      <c r="V17" s="103"/>
      <c r="W17" s="10"/>
      <c r="Y17" s="315" t="s">
        <v>383</v>
      </c>
      <c r="Z17" s="315" t="str">
        <f>IF(AND(Z14=1,Z15="Permitted"),"Not opposed",Z15)</f>
        <v>Permitted</v>
      </c>
      <c r="AA17" s="315" t="str">
        <f>IF(AND(AA14=1,AA15="Permitted"),"Not opposed",AA15)</f>
        <v>Permitted</v>
      </c>
      <c r="AB17" s="315" t="str">
        <f>IF(AND(AB14=1,AB15="Permitted"),"Not opposed",AB15)</f>
        <v>Protected</v>
      </c>
      <c r="AC17" s="315" t="str">
        <f>IF(AND(AC14=1,AC15="Permitted"),"Not opposed",AC15)</f>
        <v>Protected</v>
      </c>
      <c r="AE17" s="78"/>
      <c r="AF17" s="78"/>
      <c r="AG17" s="78"/>
      <c r="AH17" s="78"/>
      <c r="AI17" s="167" t="s">
        <v>390</v>
      </c>
      <c r="AJ17" s="167">
        <f>INDEX(AT4:AT11,MATCH($AI$14,$AS$4:$AS$11,0))</f>
        <v>200</v>
      </c>
      <c r="AK17" s="167">
        <f>INDEX(AU4:AU11,MATCH($AI$14,$AS$4:$AS$11,0))</f>
        <v>0</v>
      </c>
      <c r="AL17" s="167">
        <f>INDEX(AV4:AV11,MATCH($AI$14,$AS$4:$AS$11,0))</f>
        <v>0</v>
      </c>
      <c r="AM17" s="77"/>
      <c r="AN17" s="77"/>
      <c r="AO17" s="77"/>
      <c r="AP17" s="77"/>
      <c r="AQ17" s="77"/>
      <c r="AR17" s="77"/>
      <c r="AS17" s="77"/>
      <c r="AT17" s="77"/>
      <c r="AU17" s="77"/>
      <c r="AV17" s="77"/>
      <c r="BE17" s="168"/>
      <c r="BI17" s="477"/>
      <c r="BJ17" s="477"/>
      <c r="BK17" s="477"/>
      <c r="BL17" s="477"/>
      <c r="BM17" s="477"/>
      <c r="BN17" s="477"/>
      <c r="BO17" s="477"/>
      <c r="BP17" s="477"/>
      <c r="BQ17" s="477"/>
      <c r="BR17" s="477"/>
      <c r="BS17" s="477"/>
      <c r="BT17" s="477"/>
      <c r="BU17" s="477"/>
      <c r="BV17" s="477"/>
      <c r="BW17" s="477"/>
      <c r="BX17" s="477"/>
    </row>
    <row r="18" spans="2:76" x14ac:dyDescent="0.3">
      <c r="B18" s="315" t="s">
        <v>418</v>
      </c>
      <c r="C18" s="245">
        <f>'Phase designation'!B27</f>
        <v>7</v>
      </c>
      <c r="D18" s="246">
        <f>'Phase designation'!C27</f>
        <v>4</v>
      </c>
      <c r="E18" s="246"/>
      <c r="F18" s="245">
        <f>'Phase designation'!D27</f>
        <v>3</v>
      </c>
      <c r="G18" s="246">
        <f>'Phase designation'!E27</f>
        <v>8</v>
      </c>
      <c r="H18" s="246"/>
      <c r="I18" s="245">
        <f>'Phase designation'!F27</f>
        <v>5</v>
      </c>
      <c r="J18" s="246">
        <f>'Phase designation'!G27</f>
        <v>2</v>
      </c>
      <c r="K18" s="246"/>
      <c r="L18" s="245">
        <f>'Phase designation'!H27</f>
        <v>1</v>
      </c>
      <c r="M18" s="246">
        <f>'Phase designation'!I27</f>
        <v>6</v>
      </c>
      <c r="N18" s="246"/>
      <c r="O18" s="245"/>
      <c r="Q18" s="10"/>
      <c r="R18" s="554" t="s">
        <v>208</v>
      </c>
      <c r="S18" s="25">
        <v>1</v>
      </c>
      <c r="T18" s="25">
        <v>1</v>
      </c>
      <c r="U18" s="16"/>
      <c r="V18" s="13"/>
      <c r="W18" s="14"/>
      <c r="Y18" s="309" t="s">
        <v>378</v>
      </c>
      <c r="Z18" s="309" t="str">
        <f>IF(AND(Z16="ProtectedA",Z17="Protected"),"ProtectedA",Z17)</f>
        <v>Permitted</v>
      </c>
      <c r="AA18" s="309" t="str">
        <f>IF(AND(AA16="ProtectedA",AA17="Protected"),"ProtectedA",AA17)</f>
        <v>Permitted</v>
      </c>
      <c r="AB18" s="309" t="str">
        <f>IF(AND(AB16="ProtectedA",AB17="Protected"),"ProtectedA",AB17)</f>
        <v>Protected</v>
      </c>
      <c r="AC18" s="309" t="str">
        <f>IF(AND(AC16="ProtectedA",AC17="Protected"),"ProtectedA",AC17)</f>
        <v>ProtectedA</v>
      </c>
      <c r="AI18" s="334" t="s">
        <v>399</v>
      </c>
      <c r="AJ18" s="334">
        <f>IF(AJ17=0,0,ROUND(($C$25-$C$23)*(AJ17/$O$17)+AJ15,1))</f>
        <v>23.5</v>
      </c>
      <c r="AK18" s="334">
        <f>IF(AK17=0,0,ROUND(($C$25-$C$23)*(AK17/$O$17)+AK15,1))</f>
        <v>0</v>
      </c>
      <c r="AL18" s="334">
        <f>IF(AL17=0,0,ROUND(($C$25-$C$23)*(AL17/$O$17)+AL15,1))</f>
        <v>0</v>
      </c>
      <c r="BI18" s="477"/>
      <c r="BJ18" s="477"/>
      <c r="BK18" s="477"/>
      <c r="BL18" s="477"/>
      <c r="BM18" s="477"/>
      <c r="BN18" s="477"/>
      <c r="BO18" s="477"/>
      <c r="BP18" s="477"/>
      <c r="BQ18" s="477"/>
      <c r="BR18" s="477"/>
      <c r="BS18" s="477"/>
      <c r="BT18" s="477"/>
      <c r="BU18" s="477"/>
      <c r="BV18" s="477"/>
      <c r="BW18" s="477"/>
      <c r="BX18" s="477"/>
    </row>
    <row r="19" spans="2:76" s="110" customFormat="1" x14ac:dyDescent="0.3">
      <c r="B19" s="288" t="s">
        <v>125</v>
      </c>
      <c r="C19" s="289">
        <f>'Phase designation'!B28</f>
        <v>4</v>
      </c>
      <c r="D19" s="290">
        <f>'Phase designation'!C28</f>
        <v>0</v>
      </c>
      <c r="E19" s="290">
        <f>D18</f>
        <v>4</v>
      </c>
      <c r="F19" s="289">
        <f>'Phase designation'!D28</f>
        <v>8</v>
      </c>
      <c r="G19" s="290">
        <f>'Phase designation'!E28</f>
        <v>0</v>
      </c>
      <c r="H19" s="290">
        <f>D18</f>
        <v>4</v>
      </c>
      <c r="I19" s="289">
        <f>'Phase designation'!F28</f>
        <v>2</v>
      </c>
      <c r="J19" s="290">
        <f>'Phase designation'!G28</f>
        <v>0</v>
      </c>
      <c r="K19" s="290">
        <f>J18</f>
        <v>2</v>
      </c>
      <c r="L19" s="289">
        <f>'Phase designation'!H28</f>
        <v>6</v>
      </c>
      <c r="M19" s="290">
        <f>'Phase designation'!I28</f>
        <v>0</v>
      </c>
      <c r="N19" s="290">
        <f>M18</f>
        <v>6</v>
      </c>
      <c r="O19" s="337"/>
      <c r="P19" s="195"/>
      <c r="Q19" s="108"/>
      <c r="R19" s="554"/>
      <c r="S19" s="107">
        <v>2</v>
      </c>
      <c r="T19" s="107">
        <v>0.97099999999999997</v>
      </c>
      <c r="U19" s="106"/>
      <c r="V19" s="109"/>
      <c r="W19" s="109"/>
      <c r="Y19" s="225" t="s">
        <v>386</v>
      </c>
      <c r="Z19" s="548" t="str">
        <f>IF(OR(AND(Z18="Not opposed", AA18="Protected"),AND(AA18="Not opposed", Z18="Protected")),"ProtectedA Protected",Z18&amp;" "&amp;AA18)</f>
        <v>Permitted Permitted</v>
      </c>
      <c r="AA19" s="548"/>
      <c r="AB19" s="548" t="str">
        <f>IF(OR(AND(AB18="Protected",AC18="Not opposed"),AND(AC18="Protected",AB18="Not opposed")),"Protected ProtectedA",AB18&amp;" "&amp;AC18)</f>
        <v>Protected ProtectedA</v>
      </c>
      <c r="AC19" s="548"/>
      <c r="AE19" s="198"/>
      <c r="AF19" s="198"/>
      <c r="AG19" s="198"/>
      <c r="AH19" s="293" t="s">
        <v>385</v>
      </c>
      <c r="AI19" s="78" t="s">
        <v>388</v>
      </c>
      <c r="AJ19" s="78" t="s">
        <v>124</v>
      </c>
      <c r="AK19" s="77"/>
      <c r="AL19" s="77"/>
      <c r="AM19" s="77"/>
      <c r="AN19" s="77" t="s">
        <v>389</v>
      </c>
      <c r="AO19" s="77" t="s">
        <v>124</v>
      </c>
      <c r="AP19" s="77"/>
      <c r="AQ19" s="77"/>
      <c r="AR19" s="77"/>
      <c r="AS19" s="77" t="s">
        <v>390</v>
      </c>
      <c r="AT19" s="77" t="s">
        <v>124</v>
      </c>
      <c r="AU19" s="77"/>
      <c r="AV19" s="77"/>
      <c r="BI19" s="480"/>
      <c r="BJ19" s="480"/>
      <c r="BK19" s="480"/>
      <c r="BL19" s="480"/>
      <c r="BM19" s="480"/>
      <c r="BN19" s="480"/>
      <c r="BO19" s="480"/>
      <c r="BP19" s="480"/>
      <c r="BQ19" s="480"/>
      <c r="BR19" s="480"/>
      <c r="BS19" s="480"/>
      <c r="BT19" s="480"/>
      <c r="BU19" s="480"/>
      <c r="BV19" s="480"/>
      <c r="BW19" s="480"/>
      <c r="BX19" s="480"/>
    </row>
    <row r="20" spans="2:76" x14ac:dyDescent="0.3">
      <c r="B20" s="354" t="s">
        <v>126</v>
      </c>
      <c r="C20" s="246">
        <f>UTDF_input!K39</f>
        <v>6</v>
      </c>
      <c r="D20" s="246">
        <f>UTDF_input!L39</f>
        <v>7</v>
      </c>
      <c r="E20" s="246">
        <f>UTDF_input!M39</f>
        <v>4</v>
      </c>
      <c r="F20" s="246">
        <f>UTDF_input!N39</f>
        <v>6</v>
      </c>
      <c r="G20" s="246">
        <f>UTDF_input!O39</f>
        <v>7</v>
      </c>
      <c r="H20" s="246">
        <f>UTDF_input!P39</f>
        <v>7</v>
      </c>
      <c r="I20" s="246">
        <f>UTDF_input!D39</f>
        <v>6</v>
      </c>
      <c r="J20" s="498">
        <f>UTDF_input!E39</f>
        <v>7</v>
      </c>
      <c r="K20" s="498">
        <f>UTDF_input!F39</f>
        <v>7</v>
      </c>
      <c r="L20" s="246">
        <f>UTDF_input!H39</f>
        <v>6</v>
      </c>
      <c r="M20" s="498">
        <f>UTDF_input!I39</f>
        <v>7</v>
      </c>
      <c r="N20" s="498">
        <f>UTDF_input!J39</f>
        <v>7</v>
      </c>
      <c r="O20" s="246"/>
      <c r="Q20" s="10"/>
      <c r="R20" s="35"/>
      <c r="S20" s="25"/>
      <c r="T20" s="25"/>
      <c r="U20" s="16"/>
      <c r="V20" s="105"/>
      <c r="W20" s="72"/>
      <c r="Y20" s="310" t="s">
        <v>387</v>
      </c>
      <c r="Z20" s="522">
        <f>MATCH(Z19,AE3:AE11,0)</f>
        <v>1</v>
      </c>
      <c r="AA20" s="522"/>
      <c r="AB20" s="522">
        <f>MATCH(AB19,AF3:AF11,0)</f>
        <v>7</v>
      </c>
      <c r="AC20" s="522"/>
      <c r="AI20" s="78" t="s">
        <v>375</v>
      </c>
      <c r="AJ20" s="78">
        <v>1</v>
      </c>
      <c r="AK20" s="77">
        <v>2</v>
      </c>
      <c r="AL20" s="77">
        <v>3</v>
      </c>
      <c r="AN20" s="77" t="s">
        <v>375</v>
      </c>
      <c r="AO20" s="77">
        <v>1</v>
      </c>
      <c r="AP20" s="77">
        <v>2</v>
      </c>
      <c r="AQ20" s="77">
        <v>3</v>
      </c>
      <c r="AS20" s="77" t="s">
        <v>375</v>
      </c>
      <c r="AT20" s="77">
        <v>1</v>
      </c>
      <c r="AU20" s="77">
        <v>2</v>
      </c>
      <c r="AV20" s="77">
        <v>3</v>
      </c>
      <c r="BI20" s="477"/>
      <c r="BJ20" s="477"/>
      <c r="BK20" s="477"/>
      <c r="BL20" s="477"/>
      <c r="BM20" s="477"/>
      <c r="BN20" s="477"/>
      <c r="BO20" s="477"/>
      <c r="BP20" s="477"/>
      <c r="BQ20" s="477"/>
      <c r="BR20" s="477"/>
      <c r="BS20" s="477"/>
      <c r="BT20" s="477"/>
      <c r="BU20" s="477"/>
      <c r="BV20" s="477"/>
      <c r="BW20" s="477"/>
      <c r="BX20" s="477"/>
    </row>
    <row r="21" spans="2:76" x14ac:dyDescent="0.3">
      <c r="B21" s="338"/>
      <c r="C21" s="245"/>
      <c r="D21" s="246"/>
      <c r="E21" s="246"/>
      <c r="F21" s="245"/>
      <c r="G21" s="246"/>
      <c r="H21" s="246"/>
      <c r="I21" s="245"/>
      <c r="J21" s="246"/>
      <c r="K21" s="246"/>
      <c r="L21" s="245"/>
      <c r="M21" s="246"/>
      <c r="N21" s="246"/>
      <c r="O21" s="245"/>
      <c r="Q21" s="10"/>
      <c r="R21" s="104"/>
      <c r="S21" s="25"/>
      <c r="T21" s="25"/>
      <c r="U21" s="16"/>
      <c r="V21" s="16"/>
      <c r="W21" s="15"/>
      <c r="Y21" s="310" t="s">
        <v>375</v>
      </c>
      <c r="Z21" s="522" t="str">
        <f>INDEX(AD3:AD13,Z20)</f>
        <v>1a</v>
      </c>
      <c r="AA21" s="522"/>
      <c r="AB21" s="522" t="str">
        <f>INDEX(AD3:AD11,AB20)</f>
        <v>3b</v>
      </c>
      <c r="AC21" s="522"/>
      <c r="AI21" s="78" t="s">
        <v>367</v>
      </c>
      <c r="AJ21" s="78">
        <v>4</v>
      </c>
      <c r="AN21" s="77" t="s">
        <v>367</v>
      </c>
      <c r="AO21" s="330" t="s">
        <v>395</v>
      </c>
      <c r="AP21" s="330"/>
      <c r="AQ21" s="330"/>
      <c r="AS21" s="77" t="s">
        <v>367</v>
      </c>
      <c r="AT21" s="77">
        <f>MAX(J16,I16,M16,L16)</f>
        <v>750</v>
      </c>
      <c r="BI21" s="477"/>
      <c r="BJ21" s="477"/>
      <c r="BK21" s="477"/>
      <c r="BL21" s="477"/>
      <c r="BM21" s="477"/>
      <c r="BN21" s="477"/>
      <c r="BO21" s="477"/>
      <c r="BP21" s="477"/>
      <c r="BQ21" s="477"/>
      <c r="BR21" s="477"/>
      <c r="BS21" s="477"/>
      <c r="BT21" s="477"/>
      <c r="BU21" s="477"/>
      <c r="BV21" s="477"/>
      <c r="BW21" s="477"/>
      <c r="BX21" s="477"/>
    </row>
    <row r="22" spans="2:76" x14ac:dyDescent="0.3">
      <c r="B22" s="77"/>
      <c r="C22" s="77"/>
      <c r="D22" s="77"/>
      <c r="E22" s="77"/>
      <c r="F22" s="77"/>
      <c r="G22" s="101"/>
      <c r="H22" s="101"/>
      <c r="I22" s="101"/>
      <c r="J22" s="101"/>
      <c r="K22" s="101"/>
      <c r="L22" s="101"/>
      <c r="M22" s="101"/>
      <c r="N22" s="101"/>
      <c r="O22" s="77"/>
      <c r="Q22" s="10"/>
      <c r="R22" s="104"/>
      <c r="S22" s="25"/>
      <c r="T22" s="29"/>
      <c r="U22" s="16"/>
      <c r="V22" s="101" t="s">
        <v>233</v>
      </c>
      <c r="W22" s="15"/>
      <c r="AI22" s="78" t="s">
        <v>368</v>
      </c>
      <c r="AJ22" s="78">
        <v>4</v>
      </c>
      <c r="AN22" s="77" t="s">
        <v>368</v>
      </c>
      <c r="AO22" s="330" t="s">
        <v>395</v>
      </c>
      <c r="AP22" s="330"/>
      <c r="AQ22" s="330"/>
      <c r="AS22" s="77" t="s">
        <v>368</v>
      </c>
      <c r="AT22" s="315">
        <f>MAX(J16,I16,M16,L16)</f>
        <v>750</v>
      </c>
      <c r="BI22" s="477"/>
      <c r="BJ22" s="477"/>
      <c r="BK22" s="477"/>
      <c r="BL22" s="477"/>
      <c r="BM22" s="477"/>
      <c r="BN22" s="477"/>
      <c r="BO22" s="477"/>
      <c r="BP22" s="477"/>
      <c r="BQ22" s="477"/>
      <c r="BR22" s="477"/>
      <c r="BS22" s="477"/>
      <c r="BT22" s="477"/>
      <c r="BU22" s="477"/>
      <c r="BV22" s="477"/>
      <c r="BW22" s="477"/>
      <c r="BX22" s="477"/>
    </row>
    <row r="23" spans="2:76" x14ac:dyDescent="0.3">
      <c r="B23" s="318" t="s">
        <v>419</v>
      </c>
      <c r="C23" s="318">
        <f>SUM(AJ15:AL15,AJ31:AL31)</f>
        <v>12</v>
      </c>
      <c r="F23" s="101"/>
      <c r="H23" s="101"/>
      <c r="M23" s="101"/>
      <c r="N23" s="101"/>
      <c r="O23" s="77"/>
      <c r="S23" s="85"/>
      <c r="V23" s="101">
        <f>IF(O17&gt;=O11,140,C23/(1-(O17/O11)))</f>
        <v>95.622641509434004</v>
      </c>
      <c r="Y23" s="321" t="s">
        <v>428</v>
      </c>
      <c r="Z23" s="321" t="s">
        <v>429</v>
      </c>
      <c r="AA23" s="321" t="s">
        <v>430</v>
      </c>
      <c r="AB23" s="101" t="s">
        <v>303</v>
      </c>
      <c r="AC23" s="321" t="s">
        <v>431</v>
      </c>
      <c r="AI23" s="78" t="s">
        <v>369</v>
      </c>
      <c r="AJ23" s="78">
        <v>4</v>
      </c>
      <c r="AN23" s="77" t="s">
        <v>369</v>
      </c>
      <c r="AO23" s="330" t="s">
        <v>395</v>
      </c>
      <c r="AP23" s="330"/>
      <c r="AQ23" s="330"/>
      <c r="AS23" s="77" t="s">
        <v>369</v>
      </c>
      <c r="AT23" s="315">
        <f>MAX(J16,I16,M16,L16)</f>
        <v>750</v>
      </c>
      <c r="BI23" s="477"/>
      <c r="BJ23" s="477"/>
      <c r="BK23" s="477"/>
      <c r="BL23" s="477"/>
      <c r="BM23" s="477"/>
      <c r="BN23" s="477"/>
      <c r="BO23" s="477"/>
      <c r="BP23" s="477"/>
      <c r="BQ23" s="477"/>
      <c r="BR23" s="477"/>
      <c r="BS23" s="477"/>
      <c r="BT23" s="477"/>
      <c r="BU23" s="477"/>
      <c r="BV23" s="477"/>
      <c r="BW23" s="477"/>
      <c r="BX23" s="477"/>
    </row>
    <row r="24" spans="2:76" x14ac:dyDescent="0.3">
      <c r="B24" s="320" t="s">
        <v>420</v>
      </c>
      <c r="C24" s="356">
        <f>C23/(1-(O17/O11))</f>
        <v>95.622641509434004</v>
      </c>
      <c r="D24" s="553" t="s">
        <v>433</v>
      </c>
      <c r="E24" s="553"/>
      <c r="F24" s="362">
        <f>V25</f>
        <v>70</v>
      </c>
      <c r="H24" s="101"/>
      <c r="M24" s="101"/>
      <c r="N24" s="101"/>
      <c r="O24" s="77"/>
      <c r="U24" s="101" t="s">
        <v>432</v>
      </c>
      <c r="V24" s="101" t="s">
        <v>300</v>
      </c>
      <c r="Y24" s="3">
        <v>-100000</v>
      </c>
      <c r="Z24" s="3">
        <v>0</v>
      </c>
      <c r="AA24" s="3">
        <f>'Input sheet'!V9</f>
        <v>150</v>
      </c>
      <c r="AB24" s="101">
        <f>V23</f>
        <v>95.622641509434004</v>
      </c>
      <c r="AC24" s="3">
        <f>LOOKUP(AB24,Y24:Z37,AA24:AA37)</f>
        <v>100</v>
      </c>
      <c r="AI24" s="78" t="s">
        <v>370</v>
      </c>
      <c r="AJ24" s="78">
        <v>4</v>
      </c>
      <c r="AK24" s="77">
        <v>4</v>
      </c>
      <c r="AN24" s="77" t="s">
        <v>370</v>
      </c>
      <c r="AO24" s="330" t="s">
        <v>396</v>
      </c>
      <c r="AP24" s="330" t="s">
        <v>395</v>
      </c>
      <c r="AQ24" s="330"/>
      <c r="AS24" s="77" t="s">
        <v>370</v>
      </c>
      <c r="AT24" s="77">
        <f>L16</f>
        <v>158</v>
      </c>
      <c r="AU24" s="315">
        <f>MAX(M16-L16,J16)</f>
        <v>750</v>
      </c>
    </row>
    <row r="25" spans="2:76" x14ac:dyDescent="0.3">
      <c r="B25" s="319" t="s">
        <v>421</v>
      </c>
      <c r="C25" s="239">
        <f>UTDF_input!C88</f>
        <v>120</v>
      </c>
      <c r="D25" s="499" t="s">
        <v>577</v>
      </c>
      <c r="E25" s="499">
        <f>UTDF_input!C92</f>
        <v>40</v>
      </c>
      <c r="F25" s="491" t="s">
        <v>387</v>
      </c>
      <c r="G25" s="494">
        <f>UTDF_input!C90</f>
        <v>3</v>
      </c>
      <c r="H25" s="101"/>
      <c r="I25" s="101"/>
      <c r="J25" s="101"/>
      <c r="K25" s="101"/>
      <c r="L25" s="101"/>
      <c r="M25" s="101"/>
      <c r="N25" s="101"/>
      <c r="O25" s="77"/>
      <c r="Q25" s="75"/>
      <c r="R25" s="75"/>
      <c r="S25" s="75"/>
      <c r="U25" s="3">
        <f>Phasing!L27</f>
        <v>67</v>
      </c>
      <c r="V25" s="101">
        <f>10*ROUNDUP(U25/10,0)</f>
        <v>70</v>
      </c>
      <c r="Y25" s="3">
        <v>0</v>
      </c>
      <c r="Z25" s="3">
        <v>40</v>
      </c>
      <c r="AA25" s="3">
        <f>'Input sheet'!V8</f>
        <v>40</v>
      </c>
      <c r="AI25" s="78" t="s">
        <v>371</v>
      </c>
      <c r="AJ25" s="78">
        <v>4</v>
      </c>
      <c r="AK25" s="77">
        <v>4</v>
      </c>
      <c r="AN25" s="77" t="s">
        <v>371</v>
      </c>
      <c r="AO25" s="330" t="s">
        <v>397</v>
      </c>
      <c r="AP25" s="330" t="s">
        <v>395</v>
      </c>
      <c r="AQ25" s="330"/>
      <c r="AS25" s="77" t="s">
        <v>371</v>
      </c>
      <c r="AT25" s="77">
        <f>I16</f>
        <v>105</v>
      </c>
      <c r="AU25" s="77">
        <f>MAX(J16-I16,M16)</f>
        <v>645</v>
      </c>
    </row>
    <row r="26" spans="2:76" x14ac:dyDescent="0.3">
      <c r="B26" s="77" t="s">
        <v>244</v>
      </c>
      <c r="C26" s="77">
        <f>C7</f>
        <v>163</v>
      </c>
      <c r="D26" s="77">
        <f>IF(AND(C18=0,C26&gt;0,D3=0),C26,D7)</f>
        <v>190</v>
      </c>
      <c r="E26" s="77"/>
      <c r="F26" s="77">
        <f>F7</f>
        <v>82</v>
      </c>
      <c r="G26" s="77">
        <f>IF(AND(F18=0,F26&gt;0,G3=0),F26,G7)</f>
        <v>217</v>
      </c>
      <c r="H26" s="77"/>
      <c r="I26" s="77">
        <f>I7</f>
        <v>109</v>
      </c>
      <c r="J26" s="77">
        <f>IF(AND(I18=0,I26&gt;0,J3=0),I26,J7)</f>
        <v>815</v>
      </c>
      <c r="K26" s="77"/>
      <c r="L26" s="77">
        <f>L7</f>
        <v>163</v>
      </c>
      <c r="M26" s="77">
        <f>IF(AND(L18=0,L26&gt;0,M3=0),L26,M7)</f>
        <v>380</v>
      </c>
      <c r="N26" s="77"/>
      <c r="O26" s="77"/>
      <c r="V26" s="283" t="s">
        <v>335</v>
      </c>
      <c r="Y26" s="3">
        <f>Z25+0.001</f>
        <v>40.000999999999998</v>
      </c>
      <c r="Z26" s="3">
        <f>Z25+10</f>
        <v>50</v>
      </c>
      <c r="AA26" s="3">
        <f>AA25+10</f>
        <v>50</v>
      </c>
      <c r="AI26" s="78" t="s">
        <v>372</v>
      </c>
      <c r="AJ26" s="78">
        <v>4</v>
      </c>
      <c r="AK26" s="77">
        <v>0</v>
      </c>
      <c r="AL26" s="77">
        <v>4</v>
      </c>
      <c r="AN26" s="77" t="s">
        <v>372</v>
      </c>
      <c r="AO26" s="330" t="s">
        <v>398</v>
      </c>
      <c r="AP26" s="330" t="s">
        <v>397</v>
      </c>
      <c r="AQ26" s="330" t="s">
        <v>395</v>
      </c>
      <c r="AS26" s="77" t="s">
        <v>372</v>
      </c>
      <c r="AT26" s="77">
        <f>L16</f>
        <v>158</v>
      </c>
      <c r="AU26" s="77">
        <f>I16-L16</f>
        <v>-53</v>
      </c>
      <c r="AV26" s="77">
        <f>MAX(M16,J16-(I16-L16))</f>
        <v>803</v>
      </c>
    </row>
    <row r="27" spans="2:76" x14ac:dyDescent="0.3">
      <c r="B27" s="77" t="s">
        <v>128</v>
      </c>
      <c r="C27" s="77">
        <f>IF(C18=0,0,MATCH(C26,'Max greens'!$B:$B))</f>
        <v>9</v>
      </c>
      <c r="D27" s="77">
        <f>IF(D18=0,0,MATCH(D26,'Max greens'!$B:$B))</f>
        <v>9</v>
      </c>
      <c r="E27" s="77"/>
      <c r="F27" s="77">
        <f>IF(F18=0,0,MATCH(F26,'Max greens'!$B:$B))</f>
        <v>8</v>
      </c>
      <c r="G27" s="77">
        <f>IF(G18=0,0,MATCH(G26,'Max greens'!$B:$B))</f>
        <v>10</v>
      </c>
      <c r="H27" s="77"/>
      <c r="I27" s="77">
        <f>IF(I18=0,0,MATCH(I26,'Max greens'!$B:$B))</f>
        <v>9</v>
      </c>
      <c r="J27" s="77">
        <f>IF(J18=0,0,MATCH(J26,'Max greens'!$B:$B))</f>
        <v>16</v>
      </c>
      <c r="K27" s="77"/>
      <c r="L27" s="77">
        <f>IF(L18=0,0,MATCH(L26,'Max greens'!$B:$B))</f>
        <v>9</v>
      </c>
      <c r="M27" s="77">
        <f>IF(M18=0,0,MATCH(M26,'Max greens'!$B:$B))</f>
        <v>11</v>
      </c>
      <c r="N27" s="77"/>
      <c r="O27" s="77"/>
      <c r="Q27" s="55"/>
      <c r="R27" s="532" t="s">
        <v>113</v>
      </c>
      <c r="S27" s="532"/>
      <c r="T27" s="532"/>
      <c r="U27" s="532"/>
      <c r="V27" s="77">
        <f>IF(MAX(V25,AC24)&gt;='Input sheet'!V9,'Input sheet'!V9,MAX(V25,AC24))</f>
        <v>100</v>
      </c>
      <c r="Y27" s="321">
        <f t="shared" ref="Y27:Y36" si="6">Z26+0.001</f>
        <v>50.000999999999998</v>
      </c>
      <c r="Z27" s="321">
        <f t="shared" ref="Z27:Z35" si="7">Z26+10</f>
        <v>60</v>
      </c>
      <c r="AA27" s="321">
        <f t="shared" ref="AA27:AA36" si="8">AA26+10</f>
        <v>60</v>
      </c>
      <c r="AI27" s="78" t="s">
        <v>373</v>
      </c>
      <c r="AJ27" s="78">
        <v>4</v>
      </c>
      <c r="AK27" s="77">
        <v>0</v>
      </c>
      <c r="AL27" s="77">
        <v>4</v>
      </c>
      <c r="AN27" s="77" t="s">
        <v>373</v>
      </c>
      <c r="AO27" s="330" t="s">
        <v>398</v>
      </c>
      <c r="AP27" s="330" t="s">
        <v>396</v>
      </c>
      <c r="AQ27" s="330" t="s">
        <v>395</v>
      </c>
      <c r="AS27" s="77" t="s">
        <v>373</v>
      </c>
      <c r="AT27" s="77">
        <f>I16</f>
        <v>105</v>
      </c>
      <c r="AU27" s="77">
        <f>L16-I16</f>
        <v>53</v>
      </c>
      <c r="AV27" s="77">
        <f>MAX(J16,M16-(L16-I16))</f>
        <v>750</v>
      </c>
    </row>
    <row r="28" spans="2:76" x14ac:dyDescent="0.3">
      <c r="B28" s="77" t="s">
        <v>129</v>
      </c>
      <c r="C28" s="77">
        <f>IF(SUM('Phase designation'!B19:H19)&gt;2,0,MATCH($C$25,'Max greens'!5:5))</f>
        <v>11</v>
      </c>
      <c r="D28" s="77">
        <f>IF(SUM('Phase designation'!B19:H19)&gt;2,0,MATCH($C$25,'Max greens'!5:5))</f>
        <v>11</v>
      </c>
      <c r="E28" s="77"/>
      <c r="F28" s="77">
        <f>IF(SUM('Phase designation'!B19:H19)&gt;2,0,MATCH($C$25,'Max greens'!5:5))</f>
        <v>11</v>
      </c>
      <c r="G28" s="77">
        <f>IF(SUM('Phase designation'!B19:H19)&gt;2,0,MATCH($C$25,'Max greens'!5:5))</f>
        <v>11</v>
      </c>
      <c r="H28" s="77"/>
      <c r="I28" s="77">
        <f>IF(SUM('Phase designation'!B19:H19)&gt;2,0,MATCH($C$25,'Max greens'!5:5))</f>
        <v>11</v>
      </c>
      <c r="J28" s="77">
        <f>IF(SUM('Phase designation'!B19:H19)&gt;2,0,MATCH($C$25,'Max greens'!5:5))</f>
        <v>11</v>
      </c>
      <c r="K28" s="77"/>
      <c r="L28" s="77">
        <f>IF(SUM('Phase designation'!B19:H19)&gt;2,0,MATCH($C$25,'Max greens'!5:5))</f>
        <v>11</v>
      </c>
      <c r="M28" s="77">
        <f>IF(SUM('Phase designation'!B19:H19)&gt;2,0,MATCH($C$25,'Max greens'!5:5))</f>
        <v>11</v>
      </c>
      <c r="N28" s="77"/>
      <c r="O28" s="77"/>
      <c r="Q28" s="56"/>
      <c r="R28" s="57" t="str">
        <f>'Phase designation'!K35</f>
        <v/>
      </c>
      <c r="S28" s="57" t="str">
        <f>'Phase designation'!L35</f>
        <v>b</v>
      </c>
      <c r="T28" s="57" t="str">
        <f>'Phase designation'!M35</f>
        <v/>
      </c>
      <c r="U28" s="57"/>
      <c r="Y28" s="321">
        <f t="shared" si="6"/>
        <v>60.000999999999998</v>
      </c>
      <c r="Z28" s="321">
        <f t="shared" si="7"/>
        <v>70</v>
      </c>
      <c r="AA28" s="321">
        <f t="shared" si="8"/>
        <v>70</v>
      </c>
      <c r="AI28" s="78">
        <v>4</v>
      </c>
      <c r="AJ28" s="78">
        <v>4</v>
      </c>
      <c r="AK28" s="77">
        <v>4</v>
      </c>
      <c r="AN28" s="77">
        <v>4</v>
      </c>
      <c r="AO28" s="330" t="s">
        <v>397</v>
      </c>
      <c r="AP28" s="330" t="s">
        <v>396</v>
      </c>
      <c r="AQ28" s="330"/>
      <c r="AS28" s="77">
        <v>4</v>
      </c>
      <c r="AT28" s="77">
        <f>MAX(J16,I16)</f>
        <v>750</v>
      </c>
      <c r="AU28" s="77">
        <f>MAX(M16,L16)</f>
        <v>350</v>
      </c>
    </row>
    <row r="29" spans="2:76" x14ac:dyDescent="0.3">
      <c r="B29" s="315" t="s">
        <v>256</v>
      </c>
      <c r="C29" s="340">
        <f>Phasing!O13</f>
        <v>14</v>
      </c>
      <c r="D29" s="340">
        <f>Phasing!P13</f>
        <v>9</v>
      </c>
      <c r="E29" s="340">
        <f>D29</f>
        <v>9</v>
      </c>
      <c r="F29" s="340">
        <f>Phasing!Q13</f>
        <v>25</v>
      </c>
      <c r="G29" s="340">
        <f>Phasing!R13</f>
        <v>20</v>
      </c>
      <c r="H29" s="340">
        <f>G29</f>
        <v>20</v>
      </c>
      <c r="I29" s="340">
        <f>Phasing!S13</f>
        <v>14</v>
      </c>
      <c r="J29" s="340">
        <f>Phasing!T13</f>
        <v>51</v>
      </c>
      <c r="K29" s="340">
        <f>J29</f>
        <v>51</v>
      </c>
      <c r="L29" s="340">
        <f>Phasing!U13</f>
        <v>9</v>
      </c>
      <c r="M29" s="340">
        <f>Phasing!V13</f>
        <v>46</v>
      </c>
      <c r="N29" s="340">
        <f>M29</f>
        <v>46</v>
      </c>
      <c r="O29" s="77"/>
      <c r="Q29" s="59" t="s">
        <v>105</v>
      </c>
      <c r="R29" s="80">
        <f>'Phase designation'!K36</f>
        <v>1</v>
      </c>
      <c r="S29" s="80">
        <f>'Phase designation'!L36</f>
        <v>2</v>
      </c>
      <c r="T29" s="80">
        <f>'Phase designation'!M36</f>
        <v>3</v>
      </c>
      <c r="U29" s="80">
        <f>'Phase designation'!N36</f>
        <v>4</v>
      </c>
      <c r="Y29" s="321">
        <f t="shared" si="6"/>
        <v>70.001000000000005</v>
      </c>
      <c r="Z29" s="321">
        <f t="shared" si="7"/>
        <v>80</v>
      </c>
      <c r="AA29" s="321">
        <f t="shared" si="8"/>
        <v>80</v>
      </c>
    </row>
    <row r="30" spans="2:76" x14ac:dyDescent="0.3">
      <c r="B30" s="315" t="s">
        <v>412</v>
      </c>
      <c r="C30" s="77">
        <f>IF(SUM('Phase designation'!B19:H19)&gt;2,0,AQ48)</f>
        <v>0</v>
      </c>
      <c r="D30" s="315">
        <f>IF(SUM('Phase designation'!B19:H19)&gt;2,0,AR48)</f>
        <v>23.5</v>
      </c>
      <c r="E30" s="315">
        <f>IF(SUM('Phase designation'!B19:H19)&gt;2,0,AS48)</f>
        <v>23.5</v>
      </c>
      <c r="F30" s="315">
        <f>IF(SUM('Phase designation'!B19:H19)&gt;2,0,AT48)</f>
        <v>0</v>
      </c>
      <c r="G30" s="315">
        <f>IF(SUM('Phase designation'!B19:H19)&gt;2,0,AU48)</f>
        <v>23.5</v>
      </c>
      <c r="H30" s="315">
        <f>IF(SUM('Phase designation'!B19:H19)&gt;2,0,AV48)</f>
        <v>23.5</v>
      </c>
      <c r="I30" s="315">
        <f>IF(SUM('Phase designation'!B19:H19)&gt;2,0,AW48)</f>
        <v>14.2</v>
      </c>
      <c r="J30" s="315">
        <f>IF(SUM('Phase designation'!B19:H19)&gt;2,0,AX48)</f>
        <v>77.099999999999994</v>
      </c>
      <c r="K30" s="315">
        <f>IF(SUM('Phase designation'!B19:H19)&gt;2,0,AY48)</f>
        <v>77.099999999999994</v>
      </c>
      <c r="L30" s="315">
        <f>IF(SUM('Phase designation'!B19:H19)&gt;2,0,AZ48)</f>
        <v>19.399999999999999</v>
      </c>
      <c r="M30" s="315">
        <f>IF(SUM('Phase designation'!B19:H19)&gt;2,0,BA48)</f>
        <v>82.3</v>
      </c>
      <c r="N30" s="315">
        <f>IF(SUM('Phase designation'!B19:H19)&gt;2,0,BB48)</f>
        <v>82.3</v>
      </c>
      <c r="O30" s="77"/>
      <c r="Q30" s="61" t="s">
        <v>106</v>
      </c>
      <c r="R30" s="80">
        <f>'Phase designation'!K37</f>
        <v>5</v>
      </c>
      <c r="S30" s="80">
        <f>'Phase designation'!L37</f>
        <v>6</v>
      </c>
      <c r="T30" s="80">
        <f>'Phase designation'!M37</f>
        <v>7</v>
      </c>
      <c r="U30" s="80">
        <f>'Phase designation'!N37</f>
        <v>8</v>
      </c>
      <c r="Y30" s="321">
        <f t="shared" si="6"/>
        <v>80.001000000000005</v>
      </c>
      <c r="Z30" s="321">
        <f t="shared" si="7"/>
        <v>90</v>
      </c>
      <c r="AA30" s="321">
        <f t="shared" si="8"/>
        <v>90</v>
      </c>
      <c r="AH30" s="333" t="s">
        <v>385</v>
      </c>
      <c r="AI30" s="332" t="str">
        <f>AB21</f>
        <v>3b</v>
      </c>
      <c r="AJ30" s="167"/>
      <c r="AK30" s="309"/>
      <c r="AL30" s="309"/>
    </row>
    <row r="31" spans="2:76" s="69" customFormat="1" x14ac:dyDescent="0.3">
      <c r="B31" s="77"/>
      <c r="C31" s="77"/>
      <c r="D31" s="77"/>
      <c r="E31" s="77"/>
      <c r="F31" s="77"/>
      <c r="G31" s="77"/>
      <c r="H31" s="77"/>
      <c r="I31" s="77"/>
      <c r="J31" s="77"/>
      <c r="K31" s="77"/>
      <c r="L31" s="77"/>
      <c r="M31" s="77"/>
      <c r="N31" s="77"/>
      <c r="O31" s="315"/>
      <c r="P31" s="283"/>
      <c r="Q31" s="62" t="s">
        <v>105</v>
      </c>
      <c r="R31" s="87">
        <f t="shared" ref="R31:U32" si="9">IF(R29=0,0,1)</f>
        <v>1</v>
      </c>
      <c r="S31" s="87">
        <f t="shared" si="9"/>
        <v>1</v>
      </c>
      <c r="T31" s="87">
        <f t="shared" si="9"/>
        <v>1</v>
      </c>
      <c r="U31" s="87">
        <f t="shared" si="9"/>
        <v>1</v>
      </c>
      <c r="Y31" s="321">
        <f t="shared" si="6"/>
        <v>90.001000000000005</v>
      </c>
      <c r="Z31" s="321">
        <f t="shared" si="7"/>
        <v>100</v>
      </c>
      <c r="AA31" s="321">
        <f t="shared" si="8"/>
        <v>100</v>
      </c>
      <c r="AE31" s="78"/>
      <c r="AF31" s="78"/>
      <c r="AG31" s="78"/>
      <c r="AH31" s="78"/>
      <c r="AI31" s="167" t="s">
        <v>388</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c r="BK31" s="424"/>
    </row>
    <row r="32" spans="2:76" x14ac:dyDescent="0.3">
      <c r="B32" s="248" t="s">
        <v>73</v>
      </c>
      <c r="C32" s="342" t="str">
        <f>C2</f>
        <v>EBL</v>
      </c>
      <c r="D32" s="343" t="str">
        <f>D2</f>
        <v>EBT</v>
      </c>
      <c r="E32" s="343" t="s">
        <v>15</v>
      </c>
      <c r="F32" s="342" t="s">
        <v>18</v>
      </c>
      <c r="G32" s="343" t="s">
        <v>19</v>
      </c>
      <c r="H32" s="343" t="s">
        <v>20</v>
      </c>
      <c r="I32" s="342" t="s">
        <v>3</v>
      </c>
      <c r="J32" s="343" t="s">
        <v>4</v>
      </c>
      <c r="K32" s="343" t="s">
        <v>5</v>
      </c>
      <c r="L32" s="342" t="s">
        <v>8</v>
      </c>
      <c r="M32" s="343" t="s">
        <v>9</v>
      </c>
      <c r="N32" s="343" t="s">
        <v>10</v>
      </c>
      <c r="O32" s="315"/>
      <c r="Q32" s="47" t="s">
        <v>106</v>
      </c>
      <c r="R32" s="87">
        <f t="shared" si="9"/>
        <v>1</v>
      </c>
      <c r="S32" s="87">
        <f t="shared" si="9"/>
        <v>1</v>
      </c>
      <c r="T32" s="87">
        <f t="shared" si="9"/>
        <v>1</v>
      </c>
      <c r="U32" s="87">
        <f t="shared" si="9"/>
        <v>1</v>
      </c>
      <c r="Y32" s="321">
        <f t="shared" si="6"/>
        <v>100.001</v>
      </c>
      <c r="Z32" s="321">
        <f t="shared" si="7"/>
        <v>110</v>
      </c>
      <c r="AA32" s="321">
        <f t="shared" si="8"/>
        <v>110</v>
      </c>
      <c r="AI32" s="167" t="s">
        <v>389</v>
      </c>
      <c r="AJ32" s="167" t="str">
        <f>INDEX(AO21:AO28,MATCH($AI$30,$AN$21:$AN$28,0))</f>
        <v>NBSBLT</v>
      </c>
      <c r="AK32" s="167" t="str">
        <f>INDEX(AP21:AP28,MATCH($AI$30,$AN$21:$AN$28,0))</f>
        <v>SBTHLT</v>
      </c>
      <c r="AL32" s="167" t="str">
        <f>INDEX(AQ21:AQ28,MATCH($AI$30,$AN$21:$AN$28,0))</f>
        <v>NBSBTH</v>
      </c>
    </row>
    <row r="33" spans="2:63" x14ac:dyDescent="0.3">
      <c r="B33" s="77" t="s">
        <v>124</v>
      </c>
      <c r="C33" s="507">
        <f>IF(C18=0,C19,C18)</f>
        <v>7</v>
      </c>
      <c r="D33" s="246">
        <f>D18</f>
        <v>4</v>
      </c>
      <c r="E33" s="246">
        <f>D33</f>
        <v>4</v>
      </c>
      <c r="F33" s="507">
        <f>IF(F18=0,F19,F18)</f>
        <v>3</v>
      </c>
      <c r="G33" s="246">
        <f>G18</f>
        <v>8</v>
      </c>
      <c r="H33" s="246">
        <f>G33</f>
        <v>8</v>
      </c>
      <c r="I33" s="507">
        <f>IF(I18=0,I19,I18)</f>
        <v>5</v>
      </c>
      <c r="J33" s="246">
        <f>J18</f>
        <v>2</v>
      </c>
      <c r="K33" s="246">
        <f>J33</f>
        <v>2</v>
      </c>
      <c r="L33" s="507">
        <f>IF(L18=0,L19,L18)</f>
        <v>1</v>
      </c>
      <c r="M33" s="246">
        <f>M18</f>
        <v>6</v>
      </c>
      <c r="N33" s="246">
        <f>M33</f>
        <v>6</v>
      </c>
      <c r="O33" s="315"/>
      <c r="Y33" s="321">
        <f t="shared" si="6"/>
        <v>110.001</v>
      </c>
      <c r="Z33" s="321">
        <f t="shared" si="7"/>
        <v>120</v>
      </c>
      <c r="AA33" s="321">
        <f t="shared" si="8"/>
        <v>120</v>
      </c>
      <c r="AI33" s="167" t="s">
        <v>390</v>
      </c>
      <c r="AJ33" s="167">
        <f>INDEX(AT21:AT28,MATCH($AI$30,$AS$21:$AS$28,0))</f>
        <v>105</v>
      </c>
      <c r="AK33" s="167">
        <f>INDEX(AU21:AU28,MATCH($AI$30,$AS$21:$AS$28,0))</f>
        <v>53</v>
      </c>
      <c r="AL33" s="167">
        <f>INDEX(AV21:AV28,MATCH($AI$30,$AS$21:$AS$28,0))</f>
        <v>750</v>
      </c>
      <c r="AP33" s="517" t="s">
        <v>384</v>
      </c>
      <c r="AQ33" s="309" t="str">
        <f>AJ16</f>
        <v>EBWBTH</v>
      </c>
      <c r="AR33" s="309">
        <f>AK16</f>
        <v>0</v>
      </c>
      <c r="AS33" s="309">
        <f>AL16</f>
        <v>0</v>
      </c>
      <c r="AT33" s="237"/>
      <c r="AU33" s="237"/>
      <c r="AV33" s="237"/>
      <c r="AW33" s="237"/>
      <c r="AX33" s="237"/>
      <c r="AY33" s="237"/>
      <c r="AZ33" s="237"/>
      <c r="BA33" s="237"/>
      <c r="BB33" s="237"/>
    </row>
    <row r="34" spans="2:63" x14ac:dyDescent="0.3">
      <c r="B34" s="251" t="s">
        <v>134</v>
      </c>
      <c r="C34" s="316">
        <f>IF(C18=0,D34,Phasing!O30)</f>
        <v>18.7</v>
      </c>
      <c r="D34" s="316">
        <f>IF(C33+D33=0,0,IF(Phasing!P30="",C34,Phasing!P30))</f>
        <v>32.6</v>
      </c>
      <c r="E34" s="317">
        <f>D34</f>
        <v>32.6</v>
      </c>
      <c r="F34" s="316">
        <f>IF(F18=0,G34,Phasing!Q30)</f>
        <v>14.5</v>
      </c>
      <c r="G34" s="316">
        <f>IF(F33+G33=0,0,IF(Phasing!R30="",F34,Phasing!R30))</f>
        <v>28.4</v>
      </c>
      <c r="H34" s="317">
        <f>G34</f>
        <v>28.4</v>
      </c>
      <c r="I34" s="316">
        <f>IF(I18=0,J34,Phasing!S30)</f>
        <v>15.7</v>
      </c>
      <c r="J34" s="316">
        <f>IF(I33+J33=0,0,IF(Phasing!T30="",I34,Phasing!T30))</f>
        <v>57.5</v>
      </c>
      <c r="K34" s="317">
        <f>J34</f>
        <v>57.5</v>
      </c>
      <c r="L34" s="316">
        <f>IF(L18=0,M34,Phasing!U30)</f>
        <v>15.4</v>
      </c>
      <c r="M34" s="316">
        <f>IF(L33+M33=0,0,IF(Phasing!V30="",L34,Phasing!V30))</f>
        <v>57.2</v>
      </c>
      <c r="N34" s="317">
        <f>M34</f>
        <v>57.2</v>
      </c>
      <c r="O34" s="315"/>
      <c r="Y34" s="321">
        <f t="shared" si="6"/>
        <v>120.001</v>
      </c>
      <c r="Z34" s="321">
        <f t="shared" si="7"/>
        <v>130</v>
      </c>
      <c r="AA34" s="321">
        <f t="shared" si="8"/>
        <v>130</v>
      </c>
      <c r="AI34" s="334" t="s">
        <v>399</v>
      </c>
      <c r="AJ34" s="334">
        <f>IF(AJ33=0,0,ROUND(($C$25-$C$23)*(AJ33/$O$17)+AJ31,1))</f>
        <v>14.2</v>
      </c>
      <c r="AK34" s="334">
        <f>IF(AK33=0,0,ROUND(($C$25-$C$23)*(AK33/$O$17)+AK31,1))</f>
        <v>5.2</v>
      </c>
      <c r="AL34" s="334">
        <f>IF(AL33=0,0,ROUND(($C$25-$C$23)*(AL33/$O$17)+AL31,1))</f>
        <v>77.099999999999994</v>
      </c>
      <c r="AP34" s="517"/>
      <c r="AQ34" s="296">
        <f>AJ18</f>
        <v>23.5</v>
      </c>
      <c r="AR34" s="296">
        <f>AK18</f>
        <v>0</v>
      </c>
      <c r="AS34" s="296">
        <f>AL18</f>
        <v>0</v>
      </c>
      <c r="AT34" s="3"/>
      <c r="AU34" s="3"/>
      <c r="AV34" s="3"/>
    </row>
    <row r="35" spans="2:63" s="235" customFormat="1" x14ac:dyDescent="0.3">
      <c r="B35" s="77" t="s">
        <v>261</v>
      </c>
      <c r="C35" s="507">
        <f>IF(C18=0,D35,Phasing!O8)</f>
        <v>4</v>
      </c>
      <c r="D35" s="514">
        <f>IF(C33+D33=0,0,IF(Phasing!P8="",C35,Phasing!P8))</f>
        <v>5</v>
      </c>
      <c r="E35" s="246">
        <f>D35</f>
        <v>5</v>
      </c>
      <c r="F35" s="507">
        <f>IF(F18=0,G35,Phasing!Q8)</f>
        <v>4</v>
      </c>
      <c r="G35" s="246">
        <f>IF(F33+G33=0,0,IF(Phasing!R8="",F35,Phasing!R8))</f>
        <v>5</v>
      </c>
      <c r="H35" s="246">
        <f>G35</f>
        <v>5</v>
      </c>
      <c r="I35" s="507">
        <f>IF(I18=0,J35,Phasing!S8)</f>
        <v>4</v>
      </c>
      <c r="J35" s="246">
        <f>IF(I33+J33=0,0,IF(Phasing!T8="",I35,Phasing!T8))</f>
        <v>5</v>
      </c>
      <c r="K35" s="246">
        <f>J35</f>
        <v>5</v>
      </c>
      <c r="L35" s="507">
        <f>IF(L18=0,M35,Phasing!U8)</f>
        <v>4</v>
      </c>
      <c r="M35" s="246">
        <f>IF(L33+M33=0,0,IF(Phasing!V8="",L35,Phasing!V8))</f>
        <v>5</v>
      </c>
      <c r="N35" s="246">
        <f>M35</f>
        <v>5</v>
      </c>
      <c r="O35" s="315"/>
      <c r="P35" s="283"/>
      <c r="Q35" s="77">
        <f>C33</f>
        <v>7</v>
      </c>
      <c r="R35" s="77">
        <f>D33</f>
        <v>4</v>
      </c>
      <c r="S35" s="77">
        <f>F33</f>
        <v>3</v>
      </c>
      <c r="T35" s="77">
        <f>G33</f>
        <v>8</v>
      </c>
      <c r="U35" s="77">
        <f>I33</f>
        <v>5</v>
      </c>
      <c r="V35" s="77">
        <f>J33</f>
        <v>2</v>
      </c>
      <c r="W35" s="77">
        <f>L33</f>
        <v>1</v>
      </c>
      <c r="X35" s="77">
        <f>M33</f>
        <v>6</v>
      </c>
      <c r="Y35" s="321">
        <f t="shared" si="6"/>
        <v>130.001</v>
      </c>
      <c r="Z35" s="321">
        <f t="shared" si="7"/>
        <v>140</v>
      </c>
      <c r="AA35" s="321">
        <f t="shared" si="8"/>
        <v>140</v>
      </c>
      <c r="AE35" s="78"/>
      <c r="AF35" s="78"/>
      <c r="AG35" s="78"/>
      <c r="AH35" s="78"/>
      <c r="AI35" s="78"/>
      <c r="AJ35" s="246"/>
      <c r="AK35" s="315"/>
      <c r="AL35" s="315"/>
      <c r="AM35" s="77"/>
      <c r="AN35" s="77"/>
      <c r="AO35" s="77"/>
      <c r="AP35" s="543" t="s">
        <v>385</v>
      </c>
      <c r="AQ35" s="309" t="str">
        <f>AJ32</f>
        <v>NBSBLT</v>
      </c>
      <c r="AR35" s="309" t="str">
        <f>AK32</f>
        <v>SBTHLT</v>
      </c>
      <c r="AS35" s="309" t="str">
        <f>AL32</f>
        <v>NBSBTH</v>
      </c>
      <c r="AT35" s="283"/>
      <c r="AU35" s="283"/>
      <c r="AV35" s="283"/>
      <c r="AW35" s="283"/>
      <c r="AX35" s="283"/>
      <c r="AY35" s="283"/>
      <c r="AZ35" s="283"/>
      <c r="BA35" s="283"/>
      <c r="BB35" s="283"/>
      <c r="BK35" s="424"/>
    </row>
    <row r="36" spans="2:63" s="235" customFormat="1" x14ac:dyDescent="0.3">
      <c r="B36" s="251" t="s">
        <v>262</v>
      </c>
      <c r="C36" s="316">
        <f>IF(C18=0,D36,Phasing!O11)</f>
        <v>2</v>
      </c>
      <c r="D36" s="317">
        <f>IF(C33+D33=0,0,IF(Phasing!P11="",C36,Phasing!P11))</f>
        <v>2</v>
      </c>
      <c r="E36" s="317">
        <f>D36</f>
        <v>2</v>
      </c>
      <c r="F36" s="316">
        <f>IF(F18=0,G36,Phasing!Q11)</f>
        <v>2</v>
      </c>
      <c r="G36" s="317">
        <f>IF(F33+G33=0,0,IF(Phasing!R11="",F36,Phasing!R11))</f>
        <v>2</v>
      </c>
      <c r="H36" s="317">
        <f>G36</f>
        <v>2</v>
      </c>
      <c r="I36" s="316">
        <f>IF(I18=0,J36,Phasing!S11)</f>
        <v>2</v>
      </c>
      <c r="J36" s="317">
        <f>IF(I33+J33=0,0,IF(Phasing!T11="",I36,Phasing!T11))</f>
        <v>2</v>
      </c>
      <c r="K36" s="317">
        <f>J36</f>
        <v>2</v>
      </c>
      <c r="L36" s="316">
        <f>IF(I18=0,J36,Phasing!U11)</f>
        <v>2</v>
      </c>
      <c r="M36" s="317">
        <f>IF(L33+M33=0,0,IF(Phasing!V11="",L36,Phasing!V11))</f>
        <v>2</v>
      </c>
      <c r="N36" s="317">
        <f>M36</f>
        <v>2</v>
      </c>
      <c r="O36" s="315"/>
      <c r="P36" s="283"/>
      <c r="Q36" s="78">
        <f>Q40</f>
        <v>0</v>
      </c>
      <c r="R36" s="246">
        <f t="shared" ref="R36:X36" si="10">R40</f>
        <v>23.5</v>
      </c>
      <c r="S36" s="246">
        <f t="shared" si="10"/>
        <v>0</v>
      </c>
      <c r="T36" s="246">
        <f t="shared" si="10"/>
        <v>23.5</v>
      </c>
      <c r="U36" s="246">
        <f t="shared" si="10"/>
        <v>14.2</v>
      </c>
      <c r="V36" s="246">
        <f t="shared" si="10"/>
        <v>77.099999999999994</v>
      </c>
      <c r="W36" s="246">
        <f t="shared" si="10"/>
        <v>19.399999999999999</v>
      </c>
      <c r="X36" s="246">
        <f t="shared" si="10"/>
        <v>82.3</v>
      </c>
      <c r="Y36" s="321">
        <f t="shared" si="6"/>
        <v>140.001</v>
      </c>
      <c r="Z36" s="321">
        <f>Z35+10</f>
        <v>150</v>
      </c>
      <c r="AA36" s="321">
        <f t="shared" si="8"/>
        <v>150</v>
      </c>
      <c r="AE36" s="78"/>
      <c r="AF36" s="78"/>
      <c r="AG36" s="78"/>
      <c r="AH36" s="78"/>
      <c r="AI36" s="78"/>
      <c r="AJ36" s="246"/>
      <c r="AK36" s="315"/>
      <c r="AL36" s="315"/>
      <c r="AM36" s="77"/>
      <c r="AN36" s="77"/>
      <c r="AO36" s="77"/>
      <c r="AP36" s="543"/>
      <c r="AQ36" s="296">
        <f>AJ34</f>
        <v>14.2</v>
      </c>
      <c r="AR36" s="296">
        <f>AK34</f>
        <v>5.2</v>
      </c>
      <c r="AS36" s="296">
        <f>AL34</f>
        <v>77.099999999999994</v>
      </c>
      <c r="AT36" s="164"/>
      <c r="AU36" s="164"/>
      <c r="AV36" s="164"/>
      <c r="AW36" s="164"/>
      <c r="AX36" s="164"/>
      <c r="AY36" s="164"/>
      <c r="AZ36" s="164"/>
      <c r="BA36" s="164"/>
      <c r="BB36" s="164"/>
      <c r="BK36" s="424"/>
    </row>
    <row r="37" spans="2:63" s="235" customFormat="1" x14ac:dyDescent="0.3">
      <c r="B37" s="77" t="s">
        <v>323</v>
      </c>
      <c r="C37" s="245">
        <f>C34-C35-C36</f>
        <v>12.7</v>
      </c>
      <c r="D37" s="500">
        <f t="shared" ref="D37:N37" si="11">D34-D35-D36</f>
        <v>25.6</v>
      </c>
      <c r="E37" s="500">
        <f t="shared" si="11"/>
        <v>25.6</v>
      </c>
      <c r="F37" s="500">
        <f t="shared" si="11"/>
        <v>8.5</v>
      </c>
      <c r="G37" s="500">
        <f t="shared" si="11"/>
        <v>21.4</v>
      </c>
      <c r="H37" s="500">
        <f t="shared" si="11"/>
        <v>21.4</v>
      </c>
      <c r="I37" s="500">
        <f t="shared" si="11"/>
        <v>9.6999999999999993</v>
      </c>
      <c r="J37" s="500">
        <f t="shared" si="11"/>
        <v>50.5</v>
      </c>
      <c r="K37" s="500">
        <f t="shared" si="11"/>
        <v>50.5</v>
      </c>
      <c r="L37" s="500">
        <f t="shared" si="11"/>
        <v>9.4</v>
      </c>
      <c r="M37" s="500">
        <f t="shared" si="11"/>
        <v>50.2</v>
      </c>
      <c r="N37" s="500">
        <f t="shared" si="11"/>
        <v>50.2</v>
      </c>
      <c r="O37" s="315"/>
      <c r="P37" s="283"/>
      <c r="Q37" s="78"/>
      <c r="R37" s="78"/>
      <c r="S37" s="78"/>
      <c r="T37" s="78"/>
      <c r="U37" s="78"/>
      <c r="V37" s="78"/>
      <c r="W37" s="78"/>
      <c r="X37" s="78"/>
      <c r="Y37" s="235">
        <v>150.001</v>
      </c>
      <c r="Z37" s="321">
        <v>100000</v>
      </c>
      <c r="AA37" s="32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24"/>
    </row>
    <row r="38" spans="2:63" s="235" customFormat="1" x14ac:dyDescent="0.3">
      <c r="B38" s="251" t="s">
        <v>324</v>
      </c>
      <c r="C38" s="316">
        <f>IF(C37=0,0,(C37+C36+C35)-C20)</f>
        <v>12.7</v>
      </c>
      <c r="D38" s="317">
        <f t="shared" ref="D38:N38" si="12">IF(D37=0,0,(D37+D36+D35)-D20)</f>
        <v>25.6</v>
      </c>
      <c r="E38" s="317">
        <f t="shared" si="12"/>
        <v>28.6</v>
      </c>
      <c r="F38" s="316">
        <f t="shared" si="12"/>
        <v>8.5</v>
      </c>
      <c r="G38" s="317">
        <f t="shared" si="12"/>
        <v>21.4</v>
      </c>
      <c r="H38" s="317">
        <f t="shared" si="12"/>
        <v>21.4</v>
      </c>
      <c r="I38" s="316">
        <f t="shared" si="12"/>
        <v>9.6999999999999993</v>
      </c>
      <c r="J38" s="317">
        <f t="shared" si="12"/>
        <v>50.5</v>
      </c>
      <c r="K38" s="317">
        <f t="shared" si="12"/>
        <v>50.5</v>
      </c>
      <c r="L38" s="316">
        <f t="shared" si="12"/>
        <v>9.4</v>
      </c>
      <c r="M38" s="317">
        <f t="shared" si="12"/>
        <v>50.2</v>
      </c>
      <c r="N38" s="317">
        <f t="shared" si="12"/>
        <v>50.2</v>
      </c>
      <c r="O38" s="315"/>
      <c r="P38" s="283"/>
      <c r="Q38" s="78"/>
      <c r="R38" s="78"/>
      <c r="S38" s="78"/>
      <c r="T38" s="78"/>
      <c r="U38" s="78"/>
      <c r="V38" s="78"/>
      <c r="W38" s="78"/>
      <c r="X38" s="78"/>
      <c r="AE38" s="78"/>
      <c r="AF38" s="78"/>
      <c r="AG38" s="78"/>
      <c r="AH38" s="78"/>
      <c r="AI38" s="78"/>
      <c r="AJ38" s="78"/>
      <c r="AK38" s="77"/>
      <c r="AL38" s="77"/>
      <c r="AM38" s="77"/>
      <c r="AN38" s="77"/>
      <c r="AO38" s="77"/>
      <c r="AP38" s="346"/>
      <c r="AQ38" s="536" t="s">
        <v>400</v>
      </c>
      <c r="AR38" s="537"/>
      <c r="AS38" s="537"/>
      <c r="AT38" s="536" t="s">
        <v>401</v>
      </c>
      <c r="AU38" s="537"/>
      <c r="AV38" s="537"/>
      <c r="AW38" s="536" t="s">
        <v>402</v>
      </c>
      <c r="AX38" s="537"/>
      <c r="AY38" s="537"/>
      <c r="AZ38" s="536" t="s">
        <v>403</v>
      </c>
      <c r="BA38" s="537"/>
      <c r="BB38" s="537"/>
      <c r="BF38" s="166" t="s">
        <v>142</v>
      </c>
      <c r="BG38" s="67"/>
      <c r="BK38" s="424"/>
    </row>
    <row r="39" spans="2:63" s="310" customFormat="1" x14ac:dyDescent="0.3">
      <c r="B39" s="315" t="s">
        <v>427</v>
      </c>
      <c r="C39" s="359">
        <f t="shared" ref="C39:N39" si="13">IF($C$25=0,0,C34/$C$25)</f>
        <v>0.15583333333333332</v>
      </c>
      <c r="D39" s="358">
        <f t="shared" si="13"/>
        <v>0.27166666666666667</v>
      </c>
      <c r="E39" s="358">
        <f t="shared" si="13"/>
        <v>0.27166666666666667</v>
      </c>
      <c r="F39" s="359">
        <f t="shared" si="13"/>
        <v>0.12083333333333333</v>
      </c>
      <c r="G39" s="358">
        <f t="shared" si="13"/>
        <v>0.23666666666666666</v>
      </c>
      <c r="H39" s="358">
        <f t="shared" si="13"/>
        <v>0.23666666666666666</v>
      </c>
      <c r="I39" s="359">
        <f t="shared" si="13"/>
        <v>0.13083333333333333</v>
      </c>
      <c r="J39" s="358">
        <f t="shared" si="13"/>
        <v>0.47916666666666669</v>
      </c>
      <c r="K39" s="358">
        <f t="shared" si="13"/>
        <v>0.47916666666666669</v>
      </c>
      <c r="L39" s="359">
        <f t="shared" si="13"/>
        <v>0.12833333333333333</v>
      </c>
      <c r="M39" s="358">
        <f t="shared" si="13"/>
        <v>0.47666666666666668</v>
      </c>
      <c r="N39" s="358">
        <f t="shared" si="13"/>
        <v>0.47666666666666668</v>
      </c>
      <c r="O39" s="315"/>
      <c r="P39" s="315"/>
      <c r="Q39" s="246"/>
      <c r="R39" s="246"/>
      <c r="S39" s="246"/>
      <c r="T39" s="246"/>
      <c r="U39" s="246"/>
      <c r="V39" s="246"/>
      <c r="W39" s="246"/>
      <c r="X39" s="246"/>
      <c r="AE39" s="246"/>
      <c r="AF39" s="246"/>
      <c r="AG39" s="246"/>
      <c r="AH39" s="246"/>
      <c r="AI39" s="246"/>
      <c r="AJ39" s="246"/>
      <c r="AK39" s="315"/>
      <c r="AL39" s="315"/>
      <c r="AM39" s="315"/>
      <c r="AN39" s="315"/>
      <c r="AO39" s="315"/>
      <c r="AP39" s="346"/>
      <c r="AQ39" s="311" t="s">
        <v>404</v>
      </c>
      <c r="AR39" s="312" t="s">
        <v>405</v>
      </c>
      <c r="AS39" s="312" t="s">
        <v>406</v>
      </c>
      <c r="AT39" s="311" t="s">
        <v>404</v>
      </c>
      <c r="AU39" s="312" t="s">
        <v>405</v>
      </c>
      <c r="AV39" s="312" t="s">
        <v>406</v>
      </c>
      <c r="AW39" s="311" t="s">
        <v>404</v>
      </c>
      <c r="AX39" s="312" t="s">
        <v>405</v>
      </c>
      <c r="AY39" s="312" t="s">
        <v>406</v>
      </c>
      <c r="AZ39" s="311" t="s">
        <v>404</v>
      </c>
      <c r="BA39" s="312" t="s">
        <v>405</v>
      </c>
      <c r="BB39" s="312" t="s">
        <v>406</v>
      </c>
      <c r="BF39" s="166" t="s">
        <v>143</v>
      </c>
      <c r="BG39" s="156"/>
      <c r="BK39" s="424"/>
    </row>
    <row r="40" spans="2:63" x14ac:dyDescent="0.3">
      <c r="B40" s="251" t="s">
        <v>135</v>
      </c>
      <c r="C40" s="316">
        <f>IF(C41=0,0,ROUND(C5/C41,2))</f>
        <v>0.55000000000000004</v>
      </c>
      <c r="D40" s="317">
        <f>IF(D41=0,0,ROUND(D5/D41,2))</f>
        <v>0.56999999999999995</v>
      </c>
      <c r="E40" s="344">
        <f>IF(E41=0,0,E9/E41)</f>
        <v>0</v>
      </c>
      <c r="F40" s="316">
        <f>IF(F41=0,0,ROUND(F5/F41,2))</f>
        <v>0.27</v>
      </c>
      <c r="G40" s="317">
        <f>IF(G41=0,0,ROUND(G5/G41,2))</f>
        <v>0.73</v>
      </c>
      <c r="H40" s="344">
        <f>IF(H41=0,0,H9/H41)</f>
        <v>0.31889763779527558</v>
      </c>
      <c r="I40" s="316">
        <f>IF(I41=0,0,ROUND(I5/I41,2))</f>
        <v>0.26</v>
      </c>
      <c r="J40" s="317">
        <f>IF(J41=0,0,ROUND(J5/J41,2))</f>
        <v>1.1599999999999999</v>
      </c>
      <c r="K40" s="344">
        <f>IF(K41=0,0,K9/K41)</f>
        <v>0.11666666666666667</v>
      </c>
      <c r="L40" s="316">
        <f>IF(L41=0,0,ROUND(L5/L41,2))</f>
        <v>0.9</v>
      </c>
      <c r="M40" s="317">
        <f>IF(M41=0,0,ROUND(M5/M41,2))</f>
        <v>0.54</v>
      </c>
      <c r="N40" s="344">
        <f>IF(N41=0,0,N9/N41)</f>
        <v>9.0604026845637578E-2</v>
      </c>
      <c r="Q40" s="78">
        <f>C30</f>
        <v>0</v>
      </c>
      <c r="R40" s="78">
        <f>D30</f>
        <v>23.5</v>
      </c>
      <c r="S40" s="78">
        <f>F30</f>
        <v>0</v>
      </c>
      <c r="T40" s="78">
        <f>G30</f>
        <v>23.5</v>
      </c>
      <c r="U40" s="78">
        <f>I30</f>
        <v>14.2</v>
      </c>
      <c r="V40" s="78">
        <f>J30</f>
        <v>77.099999999999994</v>
      </c>
      <c r="W40" s="78">
        <f>L30</f>
        <v>19.399999999999999</v>
      </c>
      <c r="X40" s="78">
        <f>M30</f>
        <v>82.3</v>
      </c>
      <c r="Y40" s="164"/>
      <c r="AP40" s="347" t="s">
        <v>391</v>
      </c>
      <c r="AQ40" s="348"/>
      <c r="AR40" s="347">
        <f>IF($AP$40=$AQ$33,$AQ$34,0)+IF($AP40=$AR$33,$AR$34,0)+IF($AP40=$AS$33,$AS$34,0)</f>
        <v>23.5</v>
      </c>
      <c r="AS40" s="347">
        <f>IF($AP$40=$AQ$33,$AQ$34,0)+IF($AP40=$AR$33,$AR$34,0)+IF($AP40=$AS$33,$AS$34,0)</f>
        <v>23.5</v>
      </c>
      <c r="AT40" s="348"/>
      <c r="AU40" s="347">
        <f>IF($AP$40=$AQ$33,$AQ$34,0)+IF($AP40=$AR$33,$AR$34,0)+IF($AP40=$AS$33,$AS$34,0)</f>
        <v>23.5</v>
      </c>
      <c r="AV40" s="347">
        <f>IF($AP$40=$AQ$33,$AQ$34,0)+IF($AP40=$AR$33,$AR$34,0)+IF($AP40=$AS$33,$AS$34,0)</f>
        <v>23.5</v>
      </c>
      <c r="AW40" s="348"/>
      <c r="AX40" s="347"/>
      <c r="AY40" s="347"/>
      <c r="AZ40" s="348"/>
      <c r="BA40" s="347"/>
      <c r="BB40" s="347"/>
      <c r="BF40" s="166" t="s">
        <v>144</v>
      </c>
      <c r="BG40" s="157"/>
    </row>
    <row r="41" spans="2:63" x14ac:dyDescent="0.3">
      <c r="B41" s="315" t="s">
        <v>359</v>
      </c>
      <c r="C41" s="245">
        <f>IFERROR(ROUND(C11*C38/$C$25+C14*D38/$C$25,1),0)</f>
        <v>298.10000000000002</v>
      </c>
      <c r="D41" s="246">
        <f>IFERROR(ROUND(D11*D38/$C$25,1),0)</f>
        <v>334.7</v>
      </c>
      <c r="E41" s="246">
        <f>IF($C$25=0,0,ROUND(E6*E11*E38/$C$25,0))</f>
        <v>0</v>
      </c>
      <c r="F41" s="500">
        <f>IFERROR(ROUND(F11*F38/$C$25+F14*G38/$C$25,1),0)</f>
        <v>303.3</v>
      </c>
      <c r="G41" s="501">
        <f>IFERROR(ROUND(G11*G38/$C$25,1),0)</f>
        <v>298.89999999999998</v>
      </c>
      <c r="H41" s="246">
        <f>IF($C$25=0,0,ROUND(H6*H11*H38/$C$25,0))</f>
        <v>254</v>
      </c>
      <c r="I41" s="500">
        <f>IFERROR(ROUND(I11*I38/$C$25+I14*J38/$C$25,1),0)</f>
        <v>417.5</v>
      </c>
      <c r="J41" s="501">
        <f>IFERROR(ROUND(J11*J38/$C$25,1),0)</f>
        <v>705.3</v>
      </c>
      <c r="K41" s="246">
        <f>IF($C$25=0,0,ROUND(K6*K11*K38/$C$25,0))</f>
        <v>600</v>
      </c>
      <c r="L41" s="500">
        <f>IFERROR(ROUND(L11*L38/$C$25+L14*M38/$C$25,1),0)</f>
        <v>180.8</v>
      </c>
      <c r="M41" s="501">
        <f>IFERROR(ROUND(M11*M38/$C$25,1),0)</f>
        <v>701.1</v>
      </c>
      <c r="N41" s="246">
        <f>IF($C$25=0,0,ROUND(N6*N11*N38/$C$25,0))</f>
        <v>596</v>
      </c>
      <c r="Q41" s="62" t="s">
        <v>105</v>
      </c>
      <c r="R41" s="70">
        <f t="shared" ref="R41:U42" si="14">MATCH(R29,$Q$35:$X$35,0)</f>
        <v>7</v>
      </c>
      <c r="S41" s="70">
        <f t="shared" si="14"/>
        <v>6</v>
      </c>
      <c r="T41" s="70">
        <f t="shared" si="14"/>
        <v>3</v>
      </c>
      <c r="U41" s="70">
        <f t="shared" si="14"/>
        <v>2</v>
      </c>
      <c r="AP41" s="347" t="s">
        <v>392</v>
      </c>
      <c r="AQ41" s="348"/>
      <c r="AR41" s="347"/>
      <c r="AS41" s="347"/>
      <c r="AT41" s="348">
        <f>IF($AP$41=$AQ$33,$AQ$34,0)+IF($AP41=$AR$33,$AR$34,0)+IF($AP41=$AS$33,$AS$34,0)</f>
        <v>0</v>
      </c>
      <c r="AU41" s="347">
        <f>IF($AP$41=$AQ$33,$AQ$34,0)+IF($AP41=$AR$33,$AR$34,0)+IF($AP41=$AS$33,$AS$34,0)</f>
        <v>0</v>
      </c>
      <c r="AV41" s="347">
        <f>IF($AP$41=$AQ$33,$AQ$34,0)+IF($AP41=$AR$33,$AR$34,0)+IF($AP41=$AS$33,$AS$34,0)</f>
        <v>0</v>
      </c>
      <c r="AW41" s="348"/>
      <c r="AX41" s="347"/>
      <c r="AY41" s="347"/>
      <c r="AZ41" s="348"/>
      <c r="BA41" s="347"/>
      <c r="BB41" s="347"/>
      <c r="BF41" s="166" t="s">
        <v>145</v>
      </c>
      <c r="BG41" s="1"/>
    </row>
    <row r="42" spans="2:63" hidden="1" x14ac:dyDescent="0.3">
      <c r="B42" s="315" t="s">
        <v>136</v>
      </c>
      <c r="C42" s="245">
        <f t="shared" ref="C42:N42" si="15">IF(C40=0,0,ROUND((0.5*$C$25*(1-(C38)/$C$25)^2)/(1-(MIN(1,C40)*(C38))/$C$25),2))</f>
        <v>50.94</v>
      </c>
      <c r="D42" s="246">
        <f t="shared" si="15"/>
        <v>42.27</v>
      </c>
      <c r="E42" s="246">
        <f t="shared" si="15"/>
        <v>0</v>
      </c>
      <c r="F42" s="245">
        <f t="shared" si="15"/>
        <v>52.81</v>
      </c>
      <c r="G42" s="246">
        <f t="shared" si="15"/>
        <v>46.57</v>
      </c>
      <c r="H42" s="246">
        <f t="shared" si="15"/>
        <v>42.95</v>
      </c>
      <c r="I42" s="245">
        <f t="shared" si="15"/>
        <v>51.78</v>
      </c>
      <c r="J42" s="246">
        <f t="shared" si="15"/>
        <v>34.75</v>
      </c>
      <c r="K42" s="246">
        <f t="shared" si="15"/>
        <v>21.17</v>
      </c>
      <c r="L42" s="245">
        <f t="shared" si="15"/>
        <v>54.83</v>
      </c>
      <c r="M42" s="246">
        <f t="shared" si="15"/>
        <v>26.22</v>
      </c>
      <c r="N42" s="246">
        <f t="shared" si="15"/>
        <v>21.1</v>
      </c>
      <c r="O42" s="315"/>
      <c r="Q42" s="47" t="s">
        <v>106</v>
      </c>
      <c r="R42" s="70">
        <f t="shared" si="14"/>
        <v>5</v>
      </c>
      <c r="S42" s="70">
        <f t="shared" si="14"/>
        <v>8</v>
      </c>
      <c r="T42" s="70">
        <f t="shared" si="14"/>
        <v>1</v>
      </c>
      <c r="U42" s="70">
        <f t="shared" si="14"/>
        <v>4</v>
      </c>
      <c r="AP42" s="347" t="s">
        <v>393</v>
      </c>
      <c r="AQ42" s="348">
        <f>IF($AP$42=$AQ$33,$AQ$34,0)+IF($AP42=$AR$33,$AR$34,0)+IF($AP42=$AS$33,$AS$34,0)</f>
        <v>0</v>
      </c>
      <c r="AR42" s="347">
        <f>IF($AP$42=$AQ$33,$AQ$34,0)+IF($AP42=$AR$33,$AR$34,0)+IF($AP42=$AS$33,$AS$34,0)</f>
        <v>0</v>
      </c>
      <c r="AS42" s="347">
        <f>IF($AP$42=$AQ$33,$AQ$34,0)+IF($AP42=$AR$33,$AR$34,0)+IF($AP42=$AS$33,$AS$34,0)</f>
        <v>0</v>
      </c>
      <c r="AT42" s="348"/>
      <c r="AU42" s="347"/>
      <c r="AV42" s="347"/>
      <c r="AW42" s="348"/>
      <c r="AX42" s="347"/>
      <c r="AY42" s="347"/>
      <c r="AZ42" s="348"/>
      <c r="BA42" s="347"/>
      <c r="BB42" s="347"/>
      <c r="BF42" s="77"/>
      <c r="BG42" s="62"/>
    </row>
    <row r="43" spans="2:63" hidden="1" x14ac:dyDescent="0.3">
      <c r="B43" s="315" t="s">
        <v>137</v>
      </c>
      <c r="C43" s="245">
        <f>IF(OR(C41=0,C11+C14=0),0,ROUND(225*((C40-1)+SQRT((C40-1)^2+(4*C40)/(C41*0.25))),2))</f>
        <v>7.13</v>
      </c>
      <c r="D43" s="246">
        <f>IF(OR(D41=0,D11=0),0,ROUND(225*((D40-1)+SQRT((D40-1)^2+(4*D40)/(D41*0.25))),2))</f>
        <v>6.88</v>
      </c>
      <c r="E43" s="246">
        <f>IF(OR(E41=0,E11=0),0,ROUND(225*((E40-1)+SQRT((E40-1)^2+(4*E40)/(E41*0.25))),2))</f>
        <v>0</v>
      </c>
      <c r="F43" s="245">
        <f>IF(OR(F41=0,F11+F14=0),0,ROUND(225*((F40-1)+SQRT((F40-1)^2+(4*F40)/(F41*0.25))),2))</f>
        <v>2.1800000000000002</v>
      </c>
      <c r="G43" s="246">
        <f>IF(OR(G41=0,G11=0),0,ROUND(225*((G40-1)+SQRT((G40-1)^2+(4*G40)/(G41*0.25))),2))</f>
        <v>14.54</v>
      </c>
      <c r="H43" s="246">
        <f>IF(OR(H41=0,H11=0),0,ROUND(225*((H40-1)+SQRT((H40-1)^2+(4*H40)/(H41*0.25))),2))</f>
        <v>3.28</v>
      </c>
      <c r="I43" s="245">
        <f>IF(OR(I41=0,I11+I14=0),0,ROUND(225*((I40-1)+SQRT((I40-1)^2+(4*I40)/(I41*0.25))),2))</f>
        <v>1.51</v>
      </c>
      <c r="J43" s="246">
        <f>IF(OR(J41=0,J11=0),0,ROUND(225*((J40-1)+SQRT((J40-1)^2+(4*J40)/(J41*0.25))),2))</f>
        <v>87.27</v>
      </c>
      <c r="K43" s="246">
        <f>IF(OR(K41=0,K11=0),0,ROUND(225*((K40-1)+SQRT((K40-1)^2+(4*K40)/(K41*0.25))),2))</f>
        <v>0.4</v>
      </c>
      <c r="L43" s="245">
        <f>IF(OR(L41=0,L11+L14=0),0,ROUND(225*((L40-1)+SQRT((L40-1)^2+(4*L40)/(L41*0.25))),2))</f>
        <v>44.87</v>
      </c>
      <c r="M43" s="246">
        <f>IF(OR(M41=0,M41=0),0,ROUND(225*((M40-1)+SQRT((M40-1)^2+(4*M40)/(M41*0.25))),2))</f>
        <v>2.97</v>
      </c>
      <c r="N43" s="246">
        <f>IF(OR(N41=0,N11=0),0,ROUND(225*((N40-1)+SQRT((N40-1)^2+(4*N40)/(N41*0.25))),2))</f>
        <v>0.3</v>
      </c>
      <c r="O43" s="315"/>
      <c r="R43" s="69"/>
      <c r="S43" s="69"/>
      <c r="T43" s="69"/>
      <c r="U43" s="69"/>
      <c r="Y43" s="558" t="s">
        <v>304</v>
      </c>
      <c r="Z43" s="558"/>
      <c r="AA43" s="558"/>
      <c r="AB43" s="558"/>
      <c r="AF43" s="78" t="s">
        <v>237</v>
      </c>
      <c r="AG43" s="78" t="s">
        <v>238</v>
      </c>
      <c r="AP43" s="347" t="s">
        <v>394</v>
      </c>
      <c r="AQ43" s="348">
        <f>IF($AP$43=$AQ$33,$AQ$34,0)+IF($AP43=$AR$33,$AR$34,0)+IF($AP43=$AS$33,$AS$34,0)</f>
        <v>0</v>
      </c>
      <c r="AR43" s="347"/>
      <c r="AS43" s="347"/>
      <c r="AT43" s="348">
        <f>IF($AP$43=$AQ$33,$AQ$34,0)+IF($AP43=$AR$33,$AR$34,0)+IF($AP43=$AS$33,$AS$34,0)</f>
        <v>0</v>
      </c>
      <c r="AU43" s="347"/>
      <c r="AV43" s="347"/>
      <c r="AW43" s="348"/>
      <c r="AX43" s="347"/>
      <c r="AY43" s="347"/>
      <c r="AZ43" s="348"/>
      <c r="BA43" s="347"/>
      <c r="BB43" s="347"/>
      <c r="BF43" s="77"/>
      <c r="BG43" s="62"/>
    </row>
    <row r="44" spans="2:63" x14ac:dyDescent="0.3">
      <c r="B44" s="251" t="s">
        <v>138</v>
      </c>
      <c r="C44" s="360">
        <f>IF(C3=0,0,C42+C43)</f>
        <v>58.07</v>
      </c>
      <c r="D44" s="361">
        <f>IF(OR(D3=0,D6=0),0,D42+D43)</f>
        <v>49.150000000000006</v>
      </c>
      <c r="E44" s="361">
        <f>IF(E3=0,0,E42+E43)</f>
        <v>0</v>
      </c>
      <c r="F44" s="360">
        <f>IF(F3=0,0,F42+F43)</f>
        <v>54.99</v>
      </c>
      <c r="G44" s="361">
        <f>IF(OR(G3=0,G6=0),0,G42+G43)</f>
        <v>61.11</v>
      </c>
      <c r="H44" s="361">
        <f>IF(H3=0,0,H42+H43)</f>
        <v>46.230000000000004</v>
      </c>
      <c r="I44" s="360">
        <f>IF(I3=0,0,I42+I43)</f>
        <v>53.29</v>
      </c>
      <c r="J44" s="361">
        <f>IF(OR(J3=0,J6=0),0,J42+J43)</f>
        <v>122.02</v>
      </c>
      <c r="K44" s="361">
        <f>IF(K3=0,0,K42+K43)</f>
        <v>21.57</v>
      </c>
      <c r="L44" s="360">
        <f>IF(L3=0,0,L42+L43)</f>
        <v>99.699999999999989</v>
      </c>
      <c r="M44" s="361">
        <f>IF(OR(M3=0,M6=0),0,M42+M43)</f>
        <v>29.189999999999998</v>
      </c>
      <c r="N44" s="361">
        <f>IF(N3=0,0,N42+N43)</f>
        <v>21.400000000000002</v>
      </c>
      <c r="Q44" s="62" t="s">
        <v>105</v>
      </c>
      <c r="R44" s="70">
        <f t="shared" ref="R44:U45" si="16">IF(R41&gt;0,MAX(Y44,INDEX($Q$35:$X$36,2,R41),0))</f>
        <v>19.399999999999999</v>
      </c>
      <c r="S44" s="70">
        <f t="shared" si="16"/>
        <v>77.099999999999994</v>
      </c>
      <c r="T44" s="70">
        <f t="shared" si="16"/>
        <v>15</v>
      </c>
      <c r="U44" s="70">
        <f t="shared" si="16"/>
        <v>23.5</v>
      </c>
      <c r="V44" s="71">
        <f>SUM(R44:U44)</f>
        <v>135</v>
      </c>
      <c r="X44" s="62" t="s">
        <v>105</v>
      </c>
      <c r="Y44" s="45">
        <f>Phasing!D43</f>
        <v>15</v>
      </c>
      <c r="Z44" s="45">
        <f>Phasing!E43</f>
        <v>22</v>
      </c>
      <c r="AA44" s="45">
        <f>Phasing!F43</f>
        <v>15</v>
      </c>
      <c r="AB44" s="45">
        <f>Phasing!G43</f>
        <v>15</v>
      </c>
      <c r="AC44" s="170" t="s">
        <v>237</v>
      </c>
      <c r="AD44" s="170" t="s">
        <v>238</v>
      </c>
      <c r="AE44" s="47"/>
      <c r="AF44" s="167">
        <f>Y44+Z44</f>
        <v>37</v>
      </c>
      <c r="AG44" s="167">
        <f>AA44+AB44</f>
        <v>30</v>
      </c>
      <c r="AH44" s="62" t="s">
        <v>105</v>
      </c>
      <c r="AI44" s="78">
        <f>IF(MIN(AF44,$AC$45)=0,0,ROUND(Y44*MAX(AF44,$AC$45)/MIN(AF44,$AC$45)*$C$25/$AE$45,0))</f>
        <v>27</v>
      </c>
      <c r="AJ44" s="78">
        <f>IF(MIN(AF44,$AC$45)=0,0,ROUND(Z44*MAX(AF44,$AC$45)/MIN(AF44,$AC$45)*$C$25/$AE$45,0))</f>
        <v>39</v>
      </c>
      <c r="AK44" s="78">
        <f>IF(MIN(AG44,$AD$45)=0,0,ROUND(AA44*MAX(AG44,$AD$45)/MIN(AG44,$AD$45)*$C$25/$AE$45,0))</f>
        <v>27</v>
      </c>
      <c r="AL44" s="78">
        <f>$C$25-SUM(AI44:AK44)</f>
        <v>27</v>
      </c>
      <c r="AM44" s="87"/>
      <c r="AN44" s="87"/>
      <c r="AO44" s="87"/>
      <c r="AP44" s="349" t="s">
        <v>395</v>
      </c>
      <c r="AQ44" s="350"/>
      <c r="AR44" s="349"/>
      <c r="AS44" s="349"/>
      <c r="AT44" s="350"/>
      <c r="AU44" s="349"/>
      <c r="AV44" s="349"/>
      <c r="AW44" s="350"/>
      <c r="AX44" s="349">
        <f>IF($AP$44=$AQ$35,$AQ$36,0)+IF($AP44=$AR$35,$AR$36,0)+IF($AP44=$AS$35,$AS$36,0)</f>
        <v>77.099999999999994</v>
      </c>
      <c r="AY44" s="349">
        <f>IF($AP$44=$AQ$35,$AQ$36,0)+IF($AP44=$AR$35,$AR$36,0)+IF($AP44=$AS$35,$AS$36,0)</f>
        <v>77.099999999999994</v>
      </c>
      <c r="AZ44" s="350"/>
      <c r="BA44" s="349">
        <f>IF($AP$44=$AQ$35,$AQ$36,0)+IF($AP44=$AR$35,$AR$36,0)+IF($AP44=$AS$35,$AS$36,0)</f>
        <v>77.099999999999994</v>
      </c>
      <c r="BB44" s="349">
        <f>IF($AP$44=$AQ$35,$AQ$36,0)+IF($AP44=$AR$35,$AR$36,0)+IF($AP44=$AS$35,$AS$36,0)</f>
        <v>77.099999999999994</v>
      </c>
      <c r="BF44" s="194" t="s">
        <v>146</v>
      </c>
      <c r="BG44" s="155"/>
    </row>
    <row r="45" spans="2:63" x14ac:dyDescent="0.3">
      <c r="B45" s="315" t="s">
        <v>139</v>
      </c>
      <c r="C45" s="244" t="str">
        <f>IF(C44=0,"N/A",VLOOKUP(C44,'LOS table'!$B$3:$D$8,3))</f>
        <v>E</v>
      </c>
      <c r="D45" s="45" t="str">
        <f>IF(D44=0,"N/A",VLOOKUP(D44,'LOS table'!$B$3:$D$8,3))</f>
        <v>D</v>
      </c>
      <c r="E45" s="45" t="str">
        <f>IF(E44=0,"N/A",VLOOKUP(E44,'LOS table'!$B$3:$D$8,3))</f>
        <v>N/A</v>
      </c>
      <c r="F45" s="244" t="str">
        <f>IF(F44=0,"N/A",VLOOKUP(F44,'LOS table'!$B$3:$D$8,3))</f>
        <v>D</v>
      </c>
      <c r="G45" s="45" t="str">
        <f>IF(G44=0,"N/A",VLOOKUP(G44,'LOS table'!$B$3:$D$8,3))</f>
        <v>E</v>
      </c>
      <c r="H45" s="45" t="str">
        <f>IF(H44=0,"N/A",VLOOKUP(H44,'LOS table'!$B$3:$D$8,3))</f>
        <v>D</v>
      </c>
      <c r="I45" s="244" t="str">
        <f>IF(I44=0,"N/A",VLOOKUP(I44,'LOS table'!$B$3:$D$8,3))</f>
        <v>D</v>
      </c>
      <c r="J45" s="45" t="str">
        <f>IF(J44=0,"N/A",VLOOKUP(J44,'LOS table'!$B$3:$D$8,3))</f>
        <v>F</v>
      </c>
      <c r="K45" s="45" t="str">
        <f>IF(K44=0,"N/A",VLOOKUP(K44,'LOS table'!$B$3:$D$8,3))</f>
        <v>C</v>
      </c>
      <c r="L45" s="244" t="str">
        <f>IF(L44=0,"N/A",VLOOKUP(L44,'LOS table'!$B$3:$D$8,3))</f>
        <v>F</v>
      </c>
      <c r="M45" s="45" t="str">
        <f>IF(M44=0,"N/A",VLOOKUP(M44,'LOS table'!$B$3:$D$8,3))</f>
        <v>C</v>
      </c>
      <c r="N45" s="45" t="str">
        <f>IF(N44=0,"N/A",VLOOKUP(N44,'LOS table'!$B$3:$D$8,3))</f>
        <v>C</v>
      </c>
      <c r="Q45" s="47" t="s">
        <v>106</v>
      </c>
      <c r="R45" s="211">
        <f t="shared" si="16"/>
        <v>15</v>
      </c>
      <c r="S45" s="70">
        <f t="shared" si="16"/>
        <v>82.3</v>
      </c>
      <c r="T45" s="70">
        <f t="shared" si="16"/>
        <v>15</v>
      </c>
      <c r="U45" s="70">
        <f t="shared" si="16"/>
        <v>23.5</v>
      </c>
      <c r="V45" s="71">
        <f>SUM(R45:U45)</f>
        <v>135.80000000000001</v>
      </c>
      <c r="X45" s="47" t="s">
        <v>106</v>
      </c>
      <c r="Y45" s="45">
        <f>Phasing!H43</f>
        <v>15</v>
      </c>
      <c r="Z45" s="45">
        <f>Phasing!I43</f>
        <v>22</v>
      </c>
      <c r="AA45" s="45">
        <f>Phasing!J43</f>
        <v>15</v>
      </c>
      <c r="AB45" s="45">
        <f>Phasing!K43</f>
        <v>15</v>
      </c>
      <c r="AC45" s="170">
        <f>MAX(Y44+Z44,Y45+Z45)</f>
        <v>37</v>
      </c>
      <c r="AD45" s="170">
        <f>MAX(AA44+AB44,AA45+AB45)</f>
        <v>30</v>
      </c>
      <c r="AE45" s="218">
        <f>SUM(AC45:AD45)</f>
        <v>67</v>
      </c>
      <c r="AF45" s="167">
        <f>Y45+Z45</f>
        <v>37</v>
      </c>
      <c r="AG45" s="167">
        <f>AA45+AB45</f>
        <v>30</v>
      </c>
      <c r="AH45" s="47" t="s">
        <v>106</v>
      </c>
      <c r="AI45" s="78">
        <f>IF(MIN(AF45,$AC$45)=0,0,ROUND(Y45*MAX(AF45,$AC$45)/MIN(AF45,$AC$45)*$C$25/$AE$45,0))</f>
        <v>27</v>
      </c>
      <c r="AJ45" s="78">
        <f>IF(MIN(AF45,$AC$45)=0,0,ROUND(Z45*MAX(AF45,$AC$45)/MIN(AF45,$AC$45)*$C$25/$AE$45,0))</f>
        <v>39</v>
      </c>
      <c r="AK45" s="78">
        <f>IF(MIN(AG45,$AD$45)=0,0,ROUND(AA45*MAX(AG45,$AD$45)/MIN(AG45,$AD$45)*$C$25/$AE$45,0))</f>
        <v>27</v>
      </c>
      <c r="AL45" s="78">
        <f>$C$25-SUM(AI45:AK45)</f>
        <v>27</v>
      </c>
      <c r="AM45" s="87"/>
      <c r="AN45" s="87"/>
      <c r="AO45" s="87"/>
      <c r="AP45" s="349" t="s">
        <v>396</v>
      </c>
      <c r="AQ45" s="350"/>
      <c r="AR45" s="349"/>
      <c r="AS45" s="349"/>
      <c r="AT45" s="350"/>
      <c r="AU45" s="349"/>
      <c r="AV45" s="349"/>
      <c r="AW45" s="350"/>
      <c r="AX45" s="349"/>
      <c r="AY45" s="349"/>
      <c r="AZ45" s="350">
        <f>IF($AP$45=$AQ$35,$AQ$36,0)+IF($AP45=$AR$35,$AR$36,0)+IF($AP45=$AS$35,$AS$36,0)</f>
        <v>5.2</v>
      </c>
      <c r="BA45" s="349">
        <f>IF($AP$45=$AQ$35,$AQ$36,0)+IF($AP45=$AR$35,$AR$36,0)+IF($AP45=$AS$35,$AS$36,0)</f>
        <v>5.2</v>
      </c>
      <c r="BB45" s="349">
        <f>IF($AP$45=$AQ$35,$AQ$36,0)+IF($AP45=$AR$35,$AR$36,0)+IF($AP45=$AS$35,$AS$36,0)</f>
        <v>5.2</v>
      </c>
      <c r="BF45" s="194" t="s">
        <v>147</v>
      </c>
      <c r="BG45" s="59"/>
    </row>
    <row r="46" spans="2:63" s="310" customFormat="1" x14ac:dyDescent="0.3">
      <c r="B46" s="251" t="s">
        <v>413</v>
      </c>
      <c r="C46" s="462">
        <f>IF(SUM(C3:E3)=0,0,SUMPRODUCT(C3:E3,C44:E44)/SUM(C3:E3))</f>
        <v>43.279375000000002</v>
      </c>
      <c r="D46" s="463"/>
      <c r="E46" s="468"/>
      <c r="F46" s="462">
        <f>IF(SUM(F3:H3)=0,0,SUMPRODUCT(F3:H3,F44:H44)/SUM(F3:H3))</f>
        <v>54.77823529411765</v>
      </c>
      <c r="G46" s="463"/>
      <c r="H46" s="468"/>
      <c r="I46" s="462">
        <f>IF(SUM(I3:K3)=0,0,SUMPRODUCT(I3:K3,I44:K44)/SUM(I3:K3))</f>
        <v>101.68173469387756</v>
      </c>
      <c r="J46" s="463"/>
      <c r="K46" s="468"/>
      <c r="L46" s="462">
        <f>IF(SUM(L3:N3)=0,0,SUMPRODUCT(L3:N3,L44:N44)/SUM(L3:N3))</f>
        <v>45.519166666666663</v>
      </c>
      <c r="M46" s="463"/>
      <c r="N46" s="463"/>
      <c r="O46" s="247"/>
      <c r="P46" s="315"/>
      <c r="Q46" s="47"/>
      <c r="R46" s="313"/>
      <c r="S46" s="313"/>
      <c r="T46" s="313"/>
      <c r="U46" s="313"/>
      <c r="V46" s="315"/>
      <c r="X46" s="47"/>
      <c r="Y46" s="45"/>
      <c r="Z46" s="45"/>
      <c r="AA46" s="45"/>
      <c r="AB46" s="45"/>
      <c r="AC46" s="246"/>
      <c r="AD46" s="246"/>
      <c r="AE46" s="246"/>
      <c r="AF46" s="246"/>
      <c r="AG46" s="246"/>
      <c r="AH46" s="47"/>
      <c r="AI46" s="246"/>
      <c r="AJ46" s="246"/>
      <c r="AK46" s="246"/>
      <c r="AL46" s="246"/>
      <c r="AM46" s="87"/>
      <c r="AN46" s="87"/>
      <c r="AO46" s="87"/>
      <c r="AP46" s="349" t="s">
        <v>397</v>
      </c>
      <c r="AQ46" s="350"/>
      <c r="AR46" s="349"/>
      <c r="AS46" s="349"/>
      <c r="AT46" s="350"/>
      <c r="AU46" s="349"/>
      <c r="AV46" s="349"/>
      <c r="AW46" s="350">
        <f>IF($AP$46=$AQ$35,$AQ$36,0)+IF($AP46=$AR$35,$AR$36,0)+IF($AP46=$AS$35,$AS$36,0)</f>
        <v>0</v>
      </c>
      <c r="AX46" s="349">
        <f>IF($AP$46=$AQ$35,$AQ$36,0)+IF($AP46=$AR$35,$AR$36,0)+IF($AP46=$AS$35,$AS$36,0)</f>
        <v>0</v>
      </c>
      <c r="AY46" s="349">
        <f>IF($AP$46=$AQ$35,$AQ$36,0)+IF($AP46=$AR$35,$AR$36,0)+IF($AP46=$AS$35,$AS$36,0)</f>
        <v>0</v>
      </c>
      <c r="AZ46" s="350"/>
      <c r="BA46" s="349"/>
      <c r="BB46" s="349"/>
      <c r="BK46" s="424"/>
    </row>
    <row r="47" spans="2:63" s="310" customFormat="1" x14ac:dyDescent="0.3">
      <c r="B47" s="315" t="s">
        <v>414</v>
      </c>
      <c r="C47" s="464" t="str">
        <f>IF(C46=0,"N/A",VLOOKUP(C46,'LOS table'!$B$3:$D$8,3))</f>
        <v>D</v>
      </c>
      <c r="D47" s="465"/>
      <c r="E47" s="51"/>
      <c r="F47" s="464" t="str">
        <f>IF(F46=0,"N/A",VLOOKUP(F46,'LOS table'!$B$3:$D$8,3))</f>
        <v>D</v>
      </c>
      <c r="G47" s="465"/>
      <c r="H47" s="51"/>
      <c r="I47" s="464" t="str">
        <f>IF(I46=0,"N/A",VLOOKUP(I46,'LOS table'!$B$3:$D$8,3))</f>
        <v>F</v>
      </c>
      <c r="J47" s="465"/>
      <c r="K47" s="51"/>
      <c r="L47" s="464" t="str">
        <f>IF(L46=0,"N/A",VLOOKUP(L46,'LOS table'!$B$3:$D$8,3))</f>
        <v>D</v>
      </c>
      <c r="M47" s="465"/>
      <c r="N47" s="465"/>
      <c r="O47" s="314"/>
      <c r="P47" s="315"/>
      <c r="Q47" s="47"/>
      <c r="R47" s="313"/>
      <c r="S47" s="313"/>
      <c r="T47" s="313"/>
      <c r="U47" s="313"/>
      <c r="V47" s="315"/>
      <c r="X47" s="47"/>
      <c r="Y47" s="45"/>
      <c r="Z47" s="45"/>
      <c r="AA47" s="45"/>
      <c r="AB47" s="45"/>
      <c r="AC47" s="246"/>
      <c r="AD47" s="246"/>
      <c r="AE47" s="246"/>
      <c r="AF47" s="246"/>
      <c r="AG47" s="246"/>
      <c r="AH47" s="47"/>
      <c r="AI47" s="246"/>
      <c r="AJ47" s="246"/>
      <c r="AK47" s="246"/>
      <c r="AL47" s="246"/>
      <c r="AM47" s="87"/>
      <c r="AN47" s="87"/>
      <c r="AO47" s="87"/>
      <c r="AP47" s="349" t="s">
        <v>398</v>
      </c>
      <c r="AQ47" s="350"/>
      <c r="AR47" s="349"/>
      <c r="AS47" s="349"/>
      <c r="AT47" s="350"/>
      <c r="AU47" s="349"/>
      <c r="AV47" s="349"/>
      <c r="AW47" s="350">
        <f>IF($AP$47=$AQ$35,$AQ$36,0)+IF($AP47=$AR$35,$AR$36,0)+IF($AP47=$AS$35,$AS$36,0)</f>
        <v>14.2</v>
      </c>
      <c r="AX47" s="349"/>
      <c r="AY47" s="349"/>
      <c r="AZ47" s="350">
        <f>IF($AP$47=$AQ$35,$AQ$36,0)+IF($AP47=$AR$35,$AR$36,0)+IF($AP47=$AS$35,$AS$36,0)</f>
        <v>14.2</v>
      </c>
      <c r="BA47" s="349"/>
      <c r="BB47" s="349"/>
      <c r="BK47" s="424"/>
    </row>
    <row r="48" spans="2:63" s="310" customFormat="1" x14ac:dyDescent="0.3">
      <c r="B48" s="315"/>
      <c r="C48" s="87"/>
      <c r="D48" s="87"/>
      <c r="E48" s="87"/>
      <c r="F48" s="87"/>
      <c r="G48" s="87"/>
      <c r="H48" s="87"/>
      <c r="I48" s="87"/>
      <c r="J48" s="87"/>
      <c r="K48" s="87"/>
      <c r="L48" s="87"/>
      <c r="M48" s="87"/>
      <c r="N48" s="87"/>
      <c r="O48" s="314"/>
      <c r="P48" s="315"/>
      <c r="Q48" s="47"/>
      <c r="R48" s="313"/>
      <c r="S48" s="313"/>
      <c r="T48" s="313"/>
      <c r="U48" s="313"/>
      <c r="V48" s="315"/>
      <c r="X48" s="47"/>
      <c r="Y48" s="45"/>
      <c r="Z48" s="45"/>
      <c r="AA48" s="45"/>
      <c r="AB48" s="45"/>
      <c r="AC48" s="246"/>
      <c r="AD48" s="246"/>
      <c r="AE48" s="246"/>
      <c r="AF48" s="246"/>
      <c r="AG48" s="246"/>
      <c r="AH48" s="47"/>
      <c r="AI48" s="246"/>
      <c r="AJ48" s="246"/>
      <c r="AK48" s="246"/>
      <c r="AL48" s="246"/>
      <c r="AM48" s="87"/>
      <c r="AN48" s="87"/>
      <c r="AO48" s="87"/>
      <c r="AP48" s="351"/>
      <c r="AQ48" s="352">
        <f>SUM(AQ40:AQ47)</f>
        <v>0</v>
      </c>
      <c r="AR48" s="353">
        <f t="shared" ref="AR48:BB48" si="17">SUM(AR40:AR47)</f>
        <v>23.5</v>
      </c>
      <c r="AS48" s="353">
        <f t="shared" si="17"/>
        <v>23.5</v>
      </c>
      <c r="AT48" s="352">
        <f t="shared" si="17"/>
        <v>0</v>
      </c>
      <c r="AU48" s="353">
        <f t="shared" si="17"/>
        <v>23.5</v>
      </c>
      <c r="AV48" s="353">
        <f t="shared" si="17"/>
        <v>23.5</v>
      </c>
      <c r="AW48" s="352">
        <f t="shared" si="17"/>
        <v>14.2</v>
      </c>
      <c r="AX48" s="353">
        <f t="shared" si="17"/>
        <v>77.099999999999994</v>
      </c>
      <c r="AY48" s="353">
        <f t="shared" si="17"/>
        <v>77.099999999999994</v>
      </c>
      <c r="AZ48" s="352">
        <f t="shared" si="17"/>
        <v>19.399999999999999</v>
      </c>
      <c r="BA48" s="353">
        <f t="shared" si="17"/>
        <v>82.3</v>
      </c>
      <c r="BB48" s="353">
        <f t="shared" si="17"/>
        <v>82.3</v>
      </c>
      <c r="BK48" s="424"/>
    </row>
    <row r="49" spans="2:63" s="310" customFormat="1" x14ac:dyDescent="0.3">
      <c r="B49" s="355" t="s">
        <v>415</v>
      </c>
      <c r="C49" s="466">
        <f>IF($C$25=0,"CHECK INPUT DATA!",IF(OR(SUM(C9:H9)=0,SUM(I9:N9)=0),0,ROUND(SUMPRODUCT(C9:N9,C44:N44)/O9,2)))</f>
        <v>74.650000000000006</v>
      </c>
      <c r="D49" s="466"/>
      <c r="E49" s="345"/>
      <c r="G49" s="87"/>
      <c r="H49" s="87"/>
      <c r="M49" s="87"/>
      <c r="N49" s="87"/>
      <c r="O49" s="314"/>
      <c r="P49" s="315"/>
      <c r="Q49" s="47"/>
      <c r="R49" s="335">
        <v>0</v>
      </c>
      <c r="S49" s="335">
        <v>0.85</v>
      </c>
      <c r="T49" s="335" t="s">
        <v>423</v>
      </c>
      <c r="U49" s="313"/>
      <c r="V49" s="315"/>
      <c r="X49" s="47"/>
      <c r="Y49" s="45"/>
      <c r="Z49" s="45"/>
      <c r="AA49" s="45"/>
      <c r="AB49" s="45"/>
      <c r="AC49" s="246"/>
      <c r="AD49" s="246"/>
      <c r="AE49" s="246"/>
      <c r="AF49" s="246"/>
      <c r="AG49" s="246"/>
      <c r="AH49" s="47"/>
      <c r="AI49" s="246"/>
      <c r="AJ49" s="246"/>
      <c r="AK49" s="246"/>
      <c r="AL49" s="246"/>
      <c r="AM49" s="87"/>
      <c r="AN49" s="87"/>
      <c r="AO49" s="87"/>
      <c r="AP49" s="3"/>
      <c r="AQ49" s="3"/>
      <c r="AR49" s="3"/>
      <c r="AS49" s="3"/>
      <c r="AT49" s="3"/>
      <c r="AU49" s="3"/>
      <c r="AV49" s="3"/>
      <c r="AW49" s="3"/>
      <c r="AX49" s="3"/>
      <c r="AY49" s="3"/>
      <c r="AZ49" s="3"/>
      <c r="BA49" s="3"/>
      <c r="BB49" s="3"/>
      <c r="BK49" s="424"/>
    </row>
    <row r="50" spans="2:63" s="310" customFormat="1" x14ac:dyDescent="0.3">
      <c r="B50" s="161" t="s">
        <v>416</v>
      </c>
      <c r="C50" s="461" t="str">
        <f>IF($C$25=0,"CHECK INPUT DATA",IF(C49=0,"N/A",VLOOKUP(C49,'LOS table'!$B$3:$D$8,3)))</f>
        <v>E</v>
      </c>
      <c r="D50" s="461"/>
      <c r="E50" s="87"/>
      <c r="F50" s="87"/>
      <c r="G50" s="87"/>
      <c r="H50" s="87"/>
      <c r="I50" s="87"/>
      <c r="J50" s="87"/>
      <c r="K50" s="87"/>
      <c r="L50" s="87"/>
      <c r="M50" s="87"/>
      <c r="N50" s="87"/>
      <c r="O50" s="314"/>
      <c r="P50" s="315"/>
      <c r="Q50" s="47"/>
      <c r="R50" s="335">
        <v>0.85</v>
      </c>
      <c r="S50" s="335">
        <v>0.95</v>
      </c>
      <c r="T50" s="335" t="s">
        <v>424</v>
      </c>
      <c r="U50" s="313"/>
      <c r="V50" s="315"/>
      <c r="X50" s="47"/>
      <c r="Y50" s="45"/>
      <c r="Z50" s="45"/>
      <c r="AA50" s="45"/>
      <c r="AB50" s="45"/>
      <c r="AC50" s="246"/>
      <c r="AD50" s="246"/>
      <c r="AE50" s="246"/>
      <c r="AF50" s="246"/>
      <c r="AG50" s="246"/>
      <c r="AH50" s="47"/>
      <c r="AI50" s="246"/>
      <c r="AJ50" s="246"/>
      <c r="AK50" s="246"/>
      <c r="AL50" s="246"/>
      <c r="AM50" s="87"/>
      <c r="AN50" s="87"/>
      <c r="AO50" s="87"/>
      <c r="AP50" s="69"/>
      <c r="AQ50" s="69"/>
      <c r="AR50" s="69"/>
      <c r="AS50" s="69"/>
      <c r="AT50" s="69"/>
      <c r="AU50" s="69"/>
      <c r="AV50" s="69"/>
      <c r="AW50" s="69"/>
      <c r="AX50" s="69"/>
      <c r="AY50" s="69"/>
      <c r="AZ50" s="69"/>
      <c r="BA50" s="69"/>
      <c r="BB50" s="69"/>
      <c r="BK50" s="424"/>
    </row>
    <row r="51" spans="2:63" s="310" customFormat="1" x14ac:dyDescent="0.3">
      <c r="B51" s="355" t="s">
        <v>417</v>
      </c>
      <c r="C51" s="467">
        <f>IF($C$25=0,"CHECK INPUT DATA",ROUND(O17/(1700*O4*'Input sheet'!W7*(1-C23/C25)),2))</f>
        <v>0.87</v>
      </c>
      <c r="D51" s="467"/>
      <c r="E51" s="87"/>
      <c r="F51" s="87"/>
      <c r="G51" s="87"/>
      <c r="H51" s="87"/>
      <c r="I51" s="87"/>
      <c r="J51" s="87"/>
      <c r="K51" s="87"/>
      <c r="L51" s="87"/>
      <c r="M51" s="87"/>
      <c r="N51" s="87"/>
      <c r="O51" s="314"/>
      <c r="P51" s="315"/>
      <c r="Q51" s="47"/>
      <c r="R51" s="335">
        <v>0.95</v>
      </c>
      <c r="S51" s="335">
        <v>1</v>
      </c>
      <c r="T51" s="335" t="s">
        <v>425</v>
      </c>
      <c r="U51" s="313"/>
      <c r="V51" s="315"/>
      <c r="X51" s="47"/>
      <c r="Y51" s="45"/>
      <c r="Z51" s="45"/>
      <c r="AA51" s="45"/>
      <c r="AB51" s="45"/>
      <c r="AC51" s="246"/>
      <c r="AD51" s="246"/>
      <c r="AE51" s="246"/>
      <c r="AF51" s="246"/>
      <c r="AG51" s="246"/>
      <c r="AH51" s="47"/>
      <c r="AI51" s="246"/>
      <c r="AJ51" s="246"/>
      <c r="AK51" s="246"/>
      <c r="AL51" s="246"/>
      <c r="AM51" s="87"/>
      <c r="AN51" s="87"/>
      <c r="AO51" s="87"/>
      <c r="AP51" s="87"/>
      <c r="AQ51" s="315"/>
      <c r="AR51" s="47"/>
      <c r="AS51" s="87"/>
      <c r="AT51" s="87"/>
      <c r="AU51" s="87"/>
      <c r="AV51" s="87"/>
      <c r="AX51" s="62"/>
      <c r="BK51" s="424"/>
    </row>
    <row r="52" spans="2:63" s="310" customFormat="1" x14ac:dyDescent="0.3">
      <c r="B52" s="161" t="s">
        <v>422</v>
      </c>
      <c r="C52" s="461" t="str">
        <f>IF($C$25=0,"CHECK INPUT DATA",VLOOKUP(C51,R49:T52,3))</f>
        <v>Near Capacity</v>
      </c>
      <c r="D52" s="461"/>
      <c r="E52" s="87"/>
      <c r="F52" s="87"/>
      <c r="G52" s="87"/>
      <c r="H52" s="87"/>
      <c r="I52" s="87"/>
      <c r="J52" s="87"/>
      <c r="K52" s="87"/>
      <c r="L52" s="87"/>
      <c r="M52" s="87"/>
      <c r="N52" s="87"/>
      <c r="O52" s="314"/>
      <c r="P52" s="315"/>
      <c r="Q52" s="47"/>
      <c r="R52" s="335">
        <v>1</v>
      </c>
      <c r="S52" s="335">
        <v>100</v>
      </c>
      <c r="T52" s="335" t="s">
        <v>426</v>
      </c>
      <c r="U52" s="313"/>
      <c r="V52" s="315"/>
      <c r="X52" s="47"/>
      <c r="Y52" s="45"/>
      <c r="Z52" s="45"/>
      <c r="AA52" s="45"/>
      <c r="AB52" s="45"/>
      <c r="AC52" s="246"/>
      <c r="AD52" s="246"/>
      <c r="AE52" s="246"/>
      <c r="AF52" s="246"/>
      <c r="AG52" s="246"/>
      <c r="AH52" s="47"/>
      <c r="AI52" s="246"/>
      <c r="AJ52" s="246"/>
      <c r="AK52" s="246"/>
      <c r="AL52" s="246"/>
      <c r="AM52" s="87"/>
      <c r="AN52" s="87"/>
      <c r="AO52" s="87"/>
      <c r="AP52" s="87"/>
      <c r="AQ52" s="315"/>
      <c r="AR52" s="47"/>
      <c r="AS52" s="87"/>
      <c r="AT52" s="87"/>
      <c r="AU52" s="87"/>
      <c r="AV52" s="87"/>
      <c r="AX52" s="62"/>
      <c r="BK52" s="424"/>
    </row>
    <row r="53" spans="2:63" s="310" customFormat="1" x14ac:dyDescent="0.3">
      <c r="B53" s="315"/>
      <c r="C53" s="87"/>
      <c r="D53" s="87"/>
      <c r="E53" s="87"/>
      <c r="F53" s="87"/>
      <c r="G53" s="87"/>
      <c r="H53" s="87"/>
      <c r="I53" s="87"/>
      <c r="J53" s="87"/>
      <c r="K53" s="87"/>
      <c r="L53" s="87"/>
      <c r="M53" s="87"/>
      <c r="N53" s="87"/>
      <c r="O53" s="314"/>
      <c r="P53" s="315"/>
      <c r="Q53" s="47"/>
      <c r="R53" s="313"/>
      <c r="S53" s="313"/>
      <c r="T53" s="313"/>
      <c r="U53" s="313"/>
      <c r="V53" s="315"/>
      <c r="X53" s="47"/>
      <c r="Y53" s="45"/>
      <c r="Z53" s="45"/>
      <c r="AA53" s="45"/>
      <c r="AB53" s="45"/>
      <c r="AC53" s="246"/>
      <c r="AD53" s="246"/>
      <c r="AE53" s="246"/>
      <c r="AF53" s="246"/>
      <c r="AG53" s="246"/>
      <c r="AH53" s="47"/>
      <c r="AI53" s="246"/>
      <c r="AJ53" s="246"/>
      <c r="AK53" s="246"/>
      <c r="AL53" s="246"/>
      <c r="AM53" s="87"/>
      <c r="AN53" s="87"/>
      <c r="AO53" s="87"/>
      <c r="AP53" s="87"/>
      <c r="AQ53" s="315"/>
      <c r="AR53" s="47"/>
      <c r="AS53" s="87"/>
      <c r="AT53" s="87"/>
      <c r="AU53" s="87"/>
      <c r="AV53" s="87"/>
      <c r="AX53" s="62"/>
      <c r="BK53" s="424"/>
    </row>
    <row r="54" spans="2:63" hidden="1" x14ac:dyDescent="0.3">
      <c r="B54" s="241" t="s">
        <v>357</v>
      </c>
      <c r="C54" s="3">
        <f>ROUND(SUMPRODUCT(C66:C68,D66:D68),0)</f>
        <v>607</v>
      </c>
      <c r="D54" s="85">
        <f>IF($C$25=0,0,IF(D41=0,0,D11))</f>
        <v>1569</v>
      </c>
      <c r="E54" s="241">
        <f>IF($C$25=0,0,IF(AND(E6=0,E3&gt;0),ROUND(0.25*D54,0),E11))</f>
        <v>392</v>
      </c>
      <c r="F54" s="363">
        <f>ROUND(SUMPRODUCT(F66:F68,G66:G68),0)</f>
        <v>1068</v>
      </c>
      <c r="G54" s="241">
        <f>IF($C$25=0,0,IF(G41=0,0,G11))</f>
        <v>1676</v>
      </c>
      <c r="H54" s="241">
        <f>IF($C$25=0,0,IF(AND(H6=0,H3&gt;0),ROUND(0.25*G54,0),H11))</f>
        <v>1425</v>
      </c>
      <c r="I54" s="363">
        <f>ROUND(SUMPRODUCT(I66:I68,J66:J68),0)</f>
        <v>924</v>
      </c>
      <c r="J54" s="241">
        <f>IF($C$25=0,0,IF(J41=0,0,J11))</f>
        <v>1676</v>
      </c>
      <c r="K54" s="241">
        <f>IF($C$25=0,0,IF(AND(K6=0,K3&gt;0),ROUND(0.25*J54,0),K11))</f>
        <v>1425</v>
      </c>
      <c r="L54" s="363">
        <f>ROUND(SUMPRODUCT(L66:L68,M66:M68),0)</f>
        <v>405</v>
      </c>
      <c r="M54" s="241">
        <f>IF($C$25=0,0,IF(M41=0,0,M11))</f>
        <v>1676</v>
      </c>
      <c r="N54" s="241">
        <f>IF($C$25=0,0,IF(AND(N6=0,N3&gt;0),ROUND(0.25*M54,0),N11))</f>
        <v>1425</v>
      </c>
      <c r="Y54" s="78"/>
      <c r="Z54" s="78"/>
      <c r="AA54" s="78"/>
      <c r="AB54" s="78"/>
      <c r="AC54" s="78"/>
      <c r="AD54" s="78"/>
    </row>
    <row r="55" spans="2:63" hidden="1" x14ac:dyDescent="0.3">
      <c r="B55" s="241" t="s">
        <v>358</v>
      </c>
      <c r="C55" s="3">
        <f t="shared" ref="C55:N55" si="18">IF($C$25=0,0,C38/$C$25)</f>
        <v>0.10583333333333332</v>
      </c>
      <c r="D55" s="241">
        <f t="shared" si="18"/>
        <v>0.21333333333333335</v>
      </c>
      <c r="E55" s="241">
        <f t="shared" si="18"/>
        <v>0.23833333333333334</v>
      </c>
      <c r="F55" s="241">
        <f t="shared" si="18"/>
        <v>7.0833333333333331E-2</v>
      </c>
      <c r="G55" s="241">
        <f t="shared" si="18"/>
        <v>0.17833333333333332</v>
      </c>
      <c r="H55" s="241">
        <f t="shared" si="18"/>
        <v>0.17833333333333332</v>
      </c>
      <c r="I55" s="241">
        <f t="shared" si="18"/>
        <v>8.0833333333333326E-2</v>
      </c>
      <c r="J55" s="241">
        <f t="shared" si="18"/>
        <v>0.42083333333333334</v>
      </c>
      <c r="K55" s="241">
        <f t="shared" si="18"/>
        <v>0.42083333333333334</v>
      </c>
      <c r="L55" s="241">
        <f t="shared" si="18"/>
        <v>7.8333333333333338E-2</v>
      </c>
      <c r="M55" s="241">
        <f t="shared" si="18"/>
        <v>0.41833333333333333</v>
      </c>
      <c r="N55" s="241">
        <f t="shared" si="18"/>
        <v>0.41833333333333333</v>
      </c>
      <c r="Q55" s="62" t="s">
        <v>105</v>
      </c>
      <c r="R55" s="70">
        <f>IF(V44=0,0,ROUND(R44*$C$25/$V$44,0))</f>
        <v>17</v>
      </c>
      <c r="S55" s="70">
        <f>IF(V44=0,0,ROUND(S44*$C$25/$V$44,0))</f>
        <v>69</v>
      </c>
      <c r="T55" s="70">
        <f>IF(V44=0,0,ROUND(T44*$C$25/$V$44,0))</f>
        <v>13</v>
      </c>
      <c r="U55" s="70">
        <f>IF(V44=0,0,ROUND(U44*$C$25/$V$44,0))</f>
        <v>21</v>
      </c>
      <c r="W55" s="71">
        <f>SUM(R55:S55)</f>
        <v>86</v>
      </c>
      <c r="X55" s="71">
        <f>SUM(T55:U55)</f>
        <v>34</v>
      </c>
      <c r="Y55" s="47"/>
      <c r="Z55" s="62" t="s">
        <v>105</v>
      </c>
      <c r="AA55" s="193">
        <f>IF(W55=0,0,R31*MAX(Y44,ROUNDDOWN($W$58/W55*R55,0)))</f>
        <v>17</v>
      </c>
      <c r="AB55" s="193">
        <f>IF(W55=0,0,S31*MAX(Z44,ROUNDUP($W$58/W55*S55,0)))</f>
        <v>69</v>
      </c>
      <c r="AC55" s="193">
        <f>IF(X55=0,0,T31*MAX(AA44,ROUNDDOWN($X$58/X55*T55,0)))</f>
        <v>15</v>
      </c>
      <c r="AD55" s="193">
        <f>IF(X55=0,0,U31*MAX(AB44,ROUNDUP($X$58/X55*U55,0)))</f>
        <v>21</v>
      </c>
      <c r="AE55" s="47"/>
      <c r="AF55" s="62" t="s">
        <v>105</v>
      </c>
      <c r="AG55" s="193">
        <f>IF(AND(AB55=Z44,AA55+AB55&gt;W58),W58-AB57,AA57)</f>
        <v>17</v>
      </c>
      <c r="AH55" s="193">
        <f>IF(AND(AA55=Y44,AA55+AB55&gt;W58),W58-AA57,AB57)</f>
        <v>69</v>
      </c>
      <c r="AI55" s="193">
        <f>IF(AND(AD55=AB44,AC55+AD55&gt;X58),X58-AD57,AC57)</f>
        <v>15</v>
      </c>
      <c r="AJ55" s="193">
        <f>IF(AND(AC55=AA44,AC55+AD55&gt;X58),X58-AC57,AD57)</f>
        <v>19</v>
      </c>
      <c r="AK55" s="196"/>
      <c r="AM55" s="62"/>
      <c r="AN55" s="87"/>
      <c r="AO55" s="87"/>
      <c r="AP55" s="87"/>
      <c r="AQ55" s="87"/>
      <c r="AT55" s="62"/>
      <c r="AU55" s="87"/>
      <c r="AV55" s="87"/>
      <c r="AW55" s="87"/>
      <c r="AX55" s="87"/>
      <c r="AY55" s="77"/>
    </row>
    <row r="56" spans="2:63" hidden="1" x14ac:dyDescent="0.3">
      <c r="C56" s="522" t="s">
        <v>13</v>
      </c>
      <c r="D56" s="522"/>
      <c r="F56" s="522" t="s">
        <v>18</v>
      </c>
      <c r="G56" s="522"/>
      <c r="I56" s="522" t="s">
        <v>3</v>
      </c>
      <c r="J56" s="522"/>
      <c r="L56" s="522" t="s">
        <v>8</v>
      </c>
      <c r="M56" s="522"/>
      <c r="Q56" s="47" t="s">
        <v>106</v>
      </c>
      <c r="R56" s="70">
        <f>IF(V45=0,0,ROUND(R45*$C$25/$V$45,0))</f>
        <v>13</v>
      </c>
      <c r="S56" s="70">
        <f>IF(V45=0,0,ROUND(S45*$C$25/$V$45,0))</f>
        <v>73</v>
      </c>
      <c r="T56" s="70">
        <f>IF(V45=0,0,ROUND(T45*$C$25/$V$45,0))</f>
        <v>13</v>
      </c>
      <c r="U56" s="70">
        <f>IF(V45=0,0,ROUND(U45*$C$25/$V$45,0))</f>
        <v>21</v>
      </c>
      <c r="W56" s="71">
        <f>SUM(R56:S56)</f>
        <v>86</v>
      </c>
      <c r="X56" s="71">
        <f>SUM(T56:U56)</f>
        <v>34</v>
      </c>
      <c r="Y56" s="214"/>
      <c r="Z56" s="47" t="s">
        <v>106</v>
      </c>
      <c r="AA56" s="193">
        <f>IF(W56=0,0,R32*MAX(Y45,ROUNDDOWN($W$58/W56*R56,0)))</f>
        <v>15</v>
      </c>
      <c r="AB56" s="193">
        <f>IF(W56=0,0,S32*MAX(Z45,ROUNDUP($W$58/W56*S56,0)))</f>
        <v>73</v>
      </c>
      <c r="AC56" s="193">
        <f>IF(X56=0,0,T32*MAX(AA45,ROUNDDOWN($X$58/X56*T56,0)))</f>
        <v>15</v>
      </c>
      <c r="AD56" s="193">
        <f>IF(X56=0,0,U32*MAX(AB45,ROUNDUP($X$58/X56*U56,0)))</f>
        <v>21</v>
      </c>
      <c r="AE56" s="47"/>
      <c r="AF56" s="47" t="s">
        <v>106</v>
      </c>
      <c r="AG56" s="193">
        <f>IF(AND(AB56=Z45,AA56+AB56&gt;W58),W58-AB56,AA58)</f>
        <v>15</v>
      </c>
      <c r="AH56" s="193">
        <f>IF(AND(AA56=Y45,AA56+AB56&gt;W58),W58-AA58,AB58)</f>
        <v>71</v>
      </c>
      <c r="AI56" s="193">
        <f>IF(AND(AD56=AB45,AC56+AD56&gt;X58),X58-AD58,AC58)</f>
        <v>15</v>
      </c>
      <c r="AJ56" s="193">
        <f>IF(AND(AC56=AA45,AC56+AD56&gt;X58),X58-AC58,AD58)</f>
        <v>19</v>
      </c>
      <c r="AK56" s="196"/>
      <c r="AM56" s="47"/>
      <c r="AN56" s="87"/>
      <c r="AO56" s="87"/>
      <c r="AP56" s="87"/>
      <c r="AQ56" s="87"/>
      <c r="AT56" s="47"/>
      <c r="AU56" s="87"/>
      <c r="AV56" s="87"/>
      <c r="AW56" s="87"/>
      <c r="AX56" s="87"/>
      <c r="AY56" s="77"/>
    </row>
    <row r="57" spans="2:63" hidden="1" x14ac:dyDescent="0.3">
      <c r="B57" s="164" t="s">
        <v>224</v>
      </c>
      <c r="C57" s="164">
        <f>C97</f>
        <v>75</v>
      </c>
      <c r="D57" s="163">
        <f>IF('Phase designation'!B22=2,1,0)</f>
        <v>1</v>
      </c>
      <c r="F57" s="241">
        <f>F97</f>
        <v>87</v>
      </c>
      <c r="G57" s="164">
        <f>IF('Phase designation'!D22=2,1,0)</f>
        <v>1</v>
      </c>
      <c r="I57" s="241">
        <f>I97</f>
        <v>77</v>
      </c>
      <c r="J57" s="164">
        <f>IF('Phase designation'!F22=2,1,0)</f>
        <v>0</v>
      </c>
      <c r="L57" s="241">
        <f>L97</f>
        <v>63</v>
      </c>
      <c r="M57" s="164">
        <f>IF('Phase designation'!H22=2,1,0)</f>
        <v>0</v>
      </c>
      <c r="W57" s="65">
        <f>MAX(AC45,MAX(W55:W56))</f>
        <v>86</v>
      </c>
      <c r="X57" s="65">
        <f>MAX(AD45,MAX(X55:X56))</f>
        <v>34</v>
      </c>
      <c r="Y57" s="214"/>
      <c r="Z57" s="62" t="s">
        <v>105</v>
      </c>
      <c r="AA57" s="193">
        <f>AA55</f>
        <v>17</v>
      </c>
      <c r="AB57" s="193">
        <f t="shared" ref="AB57:AD58" si="19">AB55</f>
        <v>69</v>
      </c>
      <c r="AC57" s="193">
        <f t="shared" si="19"/>
        <v>15</v>
      </c>
      <c r="AD57" s="193">
        <f t="shared" si="19"/>
        <v>21</v>
      </c>
    </row>
    <row r="58" spans="2:63" ht="15" hidden="1" thickBot="1" x14ac:dyDescent="0.35">
      <c r="B58" s="164" t="s">
        <v>225</v>
      </c>
      <c r="C58" s="3">
        <f>C96</f>
        <v>208</v>
      </c>
      <c r="D58" s="164">
        <f>IF('Phase designation'!B22=1,1,0)</f>
        <v>0</v>
      </c>
      <c r="F58" s="241">
        <f>F96</f>
        <v>153</v>
      </c>
      <c r="G58" s="164">
        <f>IF('Phase designation'!D22=1,1,0)</f>
        <v>0</v>
      </c>
      <c r="I58" s="241">
        <f>I96</f>
        <v>169</v>
      </c>
      <c r="J58" s="164">
        <f>IF('Phase designation'!F22=1,1,0)</f>
        <v>0</v>
      </c>
      <c r="L58" s="241">
        <f>L96</f>
        <v>165</v>
      </c>
      <c r="M58" s="164">
        <f>IF('Phase designation'!H22=1,1,0)</f>
        <v>0</v>
      </c>
      <c r="W58" s="76">
        <f>C25-MIN(W57:X57)</f>
        <v>86</v>
      </c>
      <c r="X58" s="76">
        <f>C25-W58</f>
        <v>34</v>
      </c>
      <c r="Y58" s="47"/>
      <c r="Z58" s="47" t="s">
        <v>106</v>
      </c>
      <c r="AA58" s="193">
        <f>AA56</f>
        <v>15</v>
      </c>
      <c r="AB58" s="193">
        <f t="shared" si="19"/>
        <v>73</v>
      </c>
      <c r="AC58" s="193">
        <f t="shared" si="19"/>
        <v>15</v>
      </c>
      <c r="AD58" s="193">
        <f t="shared" si="19"/>
        <v>21</v>
      </c>
      <c r="AE58" s="197" t="s">
        <v>223</v>
      </c>
    </row>
    <row r="59" spans="2:63" s="77" customFormat="1" hidden="1" x14ac:dyDescent="0.3">
      <c r="B59" s="77" t="s">
        <v>226</v>
      </c>
      <c r="C59" s="77">
        <f>C104</f>
        <v>284</v>
      </c>
      <c r="D59" s="77">
        <f>IF('Phase designation'!B22=3,1,0)</f>
        <v>0</v>
      </c>
      <c r="F59" s="283">
        <f>F104</f>
        <v>239</v>
      </c>
      <c r="G59" s="77">
        <f>IF('Phase designation'!D22=3,1,0)</f>
        <v>0</v>
      </c>
      <c r="I59" s="283">
        <f>I104</f>
        <v>246</v>
      </c>
      <c r="J59" s="77">
        <f>IF('Phase designation'!F22=3,1,0)</f>
        <v>1</v>
      </c>
      <c r="L59" s="283">
        <f>L104</f>
        <v>228</v>
      </c>
      <c r="M59" s="77">
        <f>IF('Phase designation'!H22=3,1,0)</f>
        <v>1</v>
      </c>
      <c r="P59" s="283"/>
      <c r="Q59" s="172"/>
      <c r="R59" s="173"/>
      <c r="S59" s="173"/>
      <c r="T59" s="173"/>
      <c r="U59" s="173"/>
      <c r="V59" s="174" t="s">
        <v>132</v>
      </c>
      <c r="W59" s="175" t="s">
        <v>237</v>
      </c>
      <c r="X59" s="176" t="s">
        <v>238</v>
      </c>
      <c r="Y59" s="47"/>
      <c r="AA59" s="78"/>
      <c r="AB59" s="78"/>
      <c r="AC59" s="78"/>
      <c r="AD59" s="78"/>
      <c r="AE59" s="78"/>
      <c r="AF59" s="78"/>
      <c r="AG59" s="78"/>
      <c r="AH59" s="78"/>
      <c r="AI59" s="78"/>
      <c r="AJ59" s="78"/>
      <c r="BK59" s="425"/>
    </row>
    <row r="60" spans="2:63" s="77" customFormat="1" hidden="1" x14ac:dyDescent="0.3">
      <c r="B60" s="241" t="s">
        <v>356</v>
      </c>
      <c r="C60" s="3">
        <f>C103</f>
        <v>161</v>
      </c>
      <c r="D60" s="77">
        <f>IF(AND(C6=0,C3&gt;0),1,0)</f>
        <v>0</v>
      </c>
      <c r="F60" s="241">
        <f>F103</f>
        <v>235</v>
      </c>
      <c r="G60" s="283">
        <f>IF(AND(F6=0,F3&gt;0),1,0)</f>
        <v>0</v>
      </c>
      <c r="I60" s="241">
        <f>I103</f>
        <v>326</v>
      </c>
      <c r="J60" s="283">
        <f>IF(AND(I6=0,I3&gt;0),1,0)</f>
        <v>0</v>
      </c>
      <c r="L60" s="241">
        <f>L103</f>
        <v>95</v>
      </c>
      <c r="M60" s="283">
        <f>IF(AND(L6=0,L3&gt;0),1,0)</f>
        <v>0</v>
      </c>
      <c r="P60" s="283"/>
      <c r="Q60" s="177" t="s">
        <v>105</v>
      </c>
      <c r="R60" s="169">
        <f t="shared" ref="R60:U61" si="20">AG55</f>
        <v>17</v>
      </c>
      <c r="S60" s="169">
        <f t="shared" si="20"/>
        <v>69</v>
      </c>
      <c r="T60" s="169">
        <f t="shared" si="20"/>
        <v>15</v>
      </c>
      <c r="U60" s="169">
        <f t="shared" si="20"/>
        <v>19</v>
      </c>
      <c r="V60" s="167">
        <f>SUM(R60:U60)</f>
        <v>120</v>
      </c>
      <c r="W60" s="170">
        <f>R60+S60</f>
        <v>86</v>
      </c>
      <c r="X60" s="178">
        <f>T60+U60</f>
        <v>34</v>
      </c>
      <c r="Y60" s="47"/>
      <c r="Z60" s="62" t="s">
        <v>105</v>
      </c>
      <c r="AA60" s="216">
        <f t="shared" ref="AA60:AD61" si="21">IF(R60&lt;Y44,1,0)</f>
        <v>0</v>
      </c>
      <c r="AB60" s="216">
        <f t="shared" si="21"/>
        <v>0</v>
      </c>
      <c r="AC60" s="216">
        <f t="shared" si="21"/>
        <v>0</v>
      </c>
      <c r="AD60" s="216">
        <f t="shared" si="21"/>
        <v>0</v>
      </c>
      <c r="AE60" s="78"/>
      <c r="AF60" s="45"/>
      <c r="AG60" s="45"/>
      <c r="AH60" s="45"/>
      <c r="AI60" s="45"/>
      <c r="AJ60" s="78"/>
      <c r="BK60" s="425"/>
    </row>
    <row r="61" spans="2:63" s="77" customFormat="1" ht="15" hidden="1" thickBot="1" x14ac:dyDescent="0.35">
      <c r="P61" s="283"/>
      <c r="Q61" s="179" t="s">
        <v>106</v>
      </c>
      <c r="R61" s="180">
        <f t="shared" si="20"/>
        <v>15</v>
      </c>
      <c r="S61" s="180">
        <f t="shared" si="20"/>
        <v>71</v>
      </c>
      <c r="T61" s="180">
        <f t="shared" si="20"/>
        <v>15</v>
      </c>
      <c r="U61" s="180">
        <f t="shared" si="20"/>
        <v>19</v>
      </c>
      <c r="V61" s="181">
        <f>SUM(R61:U61)</f>
        <v>120</v>
      </c>
      <c r="W61" s="182">
        <f>R61+S61</f>
        <v>86</v>
      </c>
      <c r="X61" s="183">
        <f>T61+U61</f>
        <v>34</v>
      </c>
      <c r="Y61" s="47"/>
      <c r="Z61" s="47" t="s">
        <v>106</v>
      </c>
      <c r="AA61" s="216">
        <f t="shared" si="21"/>
        <v>0</v>
      </c>
      <c r="AB61" s="216">
        <f t="shared" si="21"/>
        <v>0</v>
      </c>
      <c r="AC61" s="216">
        <f t="shared" si="21"/>
        <v>0</v>
      </c>
      <c r="AD61" s="216">
        <f t="shared" si="21"/>
        <v>0</v>
      </c>
      <c r="AE61" s="217">
        <f>SUM(AA60:AD61)</f>
        <v>0</v>
      </c>
      <c r="AF61" s="45"/>
      <c r="AG61" s="45"/>
      <c r="AH61" s="45"/>
      <c r="AI61" s="45"/>
      <c r="AJ61" s="78"/>
      <c r="BK61" s="425"/>
    </row>
    <row r="62" spans="2:63" hidden="1" x14ac:dyDescent="0.3">
      <c r="B62" s="235" t="s">
        <v>325</v>
      </c>
      <c r="C62" s="77">
        <f>MAX(0,D37)</f>
        <v>25.6</v>
      </c>
      <c r="D62" s="77">
        <f>D57</f>
        <v>1</v>
      </c>
      <c r="E62" s="77"/>
      <c r="F62" s="283">
        <f>MAX(0,G37)</f>
        <v>21.4</v>
      </c>
      <c r="G62" s="77">
        <f>G57</f>
        <v>1</v>
      </c>
      <c r="H62" s="77"/>
      <c r="I62" s="283">
        <f>MAX(0,J37)</f>
        <v>50.5</v>
      </c>
      <c r="J62" s="77">
        <f>J57</f>
        <v>0</v>
      </c>
      <c r="K62" s="77"/>
      <c r="L62" s="283">
        <f>MAX(0,M37)</f>
        <v>50.2</v>
      </c>
      <c r="M62" s="77">
        <f>M57</f>
        <v>0</v>
      </c>
      <c r="N62" s="77"/>
      <c r="X62" s="77"/>
      <c r="Z62" s="197"/>
      <c r="AA62" s="197"/>
      <c r="AB62" s="197"/>
      <c r="AC62" s="197"/>
      <c r="AD62" s="197"/>
      <c r="AE62" s="199"/>
      <c r="AF62" s="199"/>
      <c r="AG62" s="199"/>
      <c r="AH62" s="199"/>
      <c r="AI62" s="199"/>
    </row>
    <row r="63" spans="2:63" hidden="1" x14ac:dyDescent="0.3">
      <c r="B63" s="235" t="s">
        <v>326</v>
      </c>
      <c r="C63" s="235">
        <f>MAX(0,C34-C35-C36)</f>
        <v>12.7</v>
      </c>
      <c r="D63" s="77">
        <f>D58</f>
        <v>0</v>
      </c>
      <c r="E63" s="77"/>
      <c r="F63" s="241">
        <f>MAX(0,F34-F35-F36)</f>
        <v>8.5</v>
      </c>
      <c r="G63" s="77">
        <f>G58</f>
        <v>0</v>
      </c>
      <c r="H63" s="77"/>
      <c r="I63" s="241">
        <f>MAX(0,I34-I35-I36)</f>
        <v>9.6999999999999993</v>
      </c>
      <c r="J63" s="77">
        <f>J58</f>
        <v>0</v>
      </c>
      <c r="K63" s="77"/>
      <c r="L63" s="241">
        <f>MAX(0,L34-L35-L36)</f>
        <v>9.4</v>
      </c>
      <c r="M63" s="77">
        <f>M58</f>
        <v>0</v>
      </c>
      <c r="N63" s="77"/>
      <c r="Q63" s="3">
        <f>R29</f>
        <v>1</v>
      </c>
      <c r="R63" s="69">
        <f>S29</f>
        <v>2</v>
      </c>
      <c r="S63" s="69">
        <f>T29</f>
        <v>3</v>
      </c>
      <c r="T63" s="69">
        <f>U29</f>
        <v>4</v>
      </c>
      <c r="U63" s="69">
        <f>R30</f>
        <v>5</v>
      </c>
      <c r="V63" s="69">
        <f>S30</f>
        <v>6</v>
      </c>
      <c r="W63" s="69">
        <f>T30</f>
        <v>7</v>
      </c>
      <c r="X63" s="69">
        <f>U30</f>
        <v>8</v>
      </c>
    </row>
    <row r="64" spans="2:63" hidden="1" x14ac:dyDescent="0.3">
      <c r="B64" s="77" t="s">
        <v>327</v>
      </c>
      <c r="C64" s="3">
        <f>MAX(0,C63+C62-C35-C36)</f>
        <v>32.299999999999997</v>
      </c>
      <c r="D64" s="77">
        <f>D59</f>
        <v>0</v>
      </c>
      <c r="E64" s="77"/>
      <c r="F64" s="241">
        <f>MAX(0,F63+F62-F35-F36)</f>
        <v>23.9</v>
      </c>
      <c r="G64" s="77">
        <f>G59</f>
        <v>0</v>
      </c>
      <c r="H64" s="77"/>
      <c r="I64" s="241">
        <f>MAX(0,I63+I62-I35-I36)</f>
        <v>54.2</v>
      </c>
      <c r="J64" s="77">
        <f>J59</f>
        <v>1</v>
      </c>
      <c r="K64" s="77"/>
      <c r="L64" s="241">
        <f>MAX(0,L63+L62-L35-L36)</f>
        <v>53.6</v>
      </c>
      <c r="M64" s="77">
        <f>M59</f>
        <v>1</v>
      </c>
      <c r="Q64" s="3">
        <f>C83</f>
        <v>15.4</v>
      </c>
      <c r="R64" s="215">
        <f>D83</f>
        <v>57.5</v>
      </c>
      <c r="S64" s="215">
        <f>E83</f>
        <v>14.5</v>
      </c>
      <c r="T64" s="215">
        <f>F83</f>
        <v>32.6</v>
      </c>
      <c r="U64" s="3">
        <f>C84</f>
        <v>15.7</v>
      </c>
      <c r="V64" s="215">
        <f>D84</f>
        <v>57.2</v>
      </c>
      <c r="W64" s="215">
        <f>E84</f>
        <v>18.7</v>
      </c>
      <c r="X64" s="215">
        <f>F84</f>
        <v>28.4</v>
      </c>
    </row>
    <row r="65" spans="2:63" hidden="1" x14ac:dyDescent="0.3">
      <c r="D65" s="241"/>
      <c r="F65" s="241"/>
      <c r="G65" s="241"/>
      <c r="I65" s="241"/>
      <c r="J65" s="241"/>
      <c r="L65" s="241"/>
      <c r="M65" s="241"/>
      <c r="Q65" s="3">
        <f>C33</f>
        <v>7</v>
      </c>
      <c r="R65" s="163">
        <f>D33</f>
        <v>4</v>
      </c>
      <c r="S65" s="163">
        <f>F33</f>
        <v>3</v>
      </c>
      <c r="T65" s="163">
        <f>G33</f>
        <v>8</v>
      </c>
      <c r="U65" s="163">
        <f>I33</f>
        <v>5</v>
      </c>
      <c r="V65" s="163">
        <f>J33</f>
        <v>2</v>
      </c>
      <c r="W65" s="163">
        <f>L33</f>
        <v>1</v>
      </c>
      <c r="X65" s="163">
        <f>M33</f>
        <v>6</v>
      </c>
    </row>
    <row r="66" spans="2:63" s="363" customFormat="1" hidden="1" x14ac:dyDescent="0.3">
      <c r="B66" s="363" t="s">
        <v>435</v>
      </c>
      <c r="C66" s="363">
        <f>C14</f>
        <v>607</v>
      </c>
      <c r="D66" s="363">
        <f>D62</f>
        <v>1</v>
      </c>
      <c r="F66" s="363">
        <f>F14</f>
        <v>1068</v>
      </c>
      <c r="G66" s="363">
        <f>G62</f>
        <v>1</v>
      </c>
      <c r="I66" s="363">
        <f>I14</f>
        <v>686</v>
      </c>
      <c r="J66" s="363">
        <f>J62</f>
        <v>0</v>
      </c>
      <c r="L66" s="363">
        <f>L14</f>
        <v>134</v>
      </c>
      <c r="M66" s="363">
        <f>M62</f>
        <v>0</v>
      </c>
      <c r="P66" s="364"/>
      <c r="AE66" s="365"/>
      <c r="AF66" s="365"/>
      <c r="AG66" s="365"/>
      <c r="AH66" s="365"/>
      <c r="AI66" s="365"/>
      <c r="AJ66" s="365"/>
      <c r="AK66" s="364"/>
      <c r="AL66" s="364"/>
      <c r="AM66" s="364"/>
      <c r="AN66" s="364"/>
      <c r="AO66" s="364"/>
      <c r="AP66" s="364"/>
      <c r="AQ66" s="364"/>
      <c r="AR66" s="364"/>
      <c r="AS66" s="364"/>
      <c r="AT66" s="364"/>
      <c r="AU66" s="364"/>
      <c r="AV66" s="364"/>
      <c r="BK66" s="424"/>
    </row>
    <row r="67" spans="2:63" s="363" customFormat="1" hidden="1" x14ac:dyDescent="0.3">
      <c r="B67" s="363" t="s">
        <v>436</v>
      </c>
      <c r="C67" s="363">
        <f>C11</f>
        <v>1593</v>
      </c>
      <c r="D67" s="363">
        <f>D63</f>
        <v>0</v>
      </c>
      <c r="F67" s="363">
        <f>F11</f>
        <v>1593</v>
      </c>
      <c r="G67" s="363">
        <f>G63</f>
        <v>0</v>
      </c>
      <c r="I67" s="363">
        <f>I11</f>
        <v>1593</v>
      </c>
      <c r="J67" s="363">
        <f>J63</f>
        <v>0</v>
      </c>
      <c r="L67" s="363">
        <f>L11</f>
        <v>1593</v>
      </c>
      <c r="M67" s="363">
        <f>M63</f>
        <v>0</v>
      </c>
      <c r="P67" s="364"/>
      <c r="AE67" s="365"/>
      <c r="AF67" s="365"/>
      <c r="AG67" s="365"/>
      <c r="AH67" s="365"/>
      <c r="AI67" s="365"/>
      <c r="AJ67" s="365"/>
      <c r="AK67" s="364"/>
      <c r="AL67" s="364"/>
      <c r="AM67" s="364"/>
      <c r="AN67" s="364"/>
      <c r="AO67" s="364"/>
      <c r="AP67" s="364"/>
      <c r="AQ67" s="364"/>
      <c r="AR67" s="364"/>
      <c r="AS67" s="364"/>
      <c r="AT67" s="364"/>
      <c r="AU67" s="364"/>
      <c r="AV67" s="364"/>
      <c r="BK67" s="424"/>
    </row>
    <row r="68" spans="2:63" s="363" customFormat="1" hidden="1" x14ac:dyDescent="0.3">
      <c r="B68" s="363" t="s">
        <v>437</v>
      </c>
      <c r="C68" s="341">
        <f>IF(C64=0,0,(C67*C63+C66*C62)/C64)</f>
        <v>1107.4396284829722</v>
      </c>
      <c r="D68" s="363">
        <f>D64</f>
        <v>0</v>
      </c>
      <c r="F68" s="341">
        <f>IF(F64=0,0,(F67*F63+F66*F62)/F64)</f>
        <v>1522.8326359832636</v>
      </c>
      <c r="G68" s="363">
        <f>G64</f>
        <v>0</v>
      </c>
      <c r="I68" s="341">
        <f>IF(I64=0,0,(I67*I63+I66*I62)/I64)</f>
        <v>924.26383763837634</v>
      </c>
      <c r="J68" s="363">
        <f>J64</f>
        <v>1</v>
      </c>
      <c r="L68" s="341">
        <f>IF(L64=0,0,(L67*L63+L66*L62)/L64)</f>
        <v>404.8694029850746</v>
      </c>
      <c r="M68" s="363">
        <f>M64</f>
        <v>1</v>
      </c>
      <c r="P68" s="364"/>
      <c r="AE68" s="365"/>
      <c r="AF68" s="365"/>
      <c r="AG68" s="365"/>
      <c r="AH68" s="365"/>
      <c r="AI68" s="365"/>
      <c r="AJ68" s="365"/>
      <c r="AK68" s="364"/>
      <c r="AL68" s="364"/>
      <c r="AM68" s="364"/>
      <c r="AN68" s="364"/>
      <c r="AO68" s="364"/>
      <c r="AP68" s="364"/>
      <c r="AQ68" s="364"/>
      <c r="AR68" s="364"/>
      <c r="AS68" s="364"/>
      <c r="AT68" s="364"/>
      <c r="AU68" s="364"/>
      <c r="AV68" s="364"/>
      <c r="BK68" s="424"/>
    </row>
    <row r="69" spans="2:63" hidden="1" x14ac:dyDescent="0.3">
      <c r="Q69" s="77">
        <f>IF(Q65=0,0,MATCH(Q65,$Q$63:$X$63,0))</f>
        <v>7</v>
      </c>
      <c r="R69" s="77">
        <f t="shared" ref="R69:X69" si="22">IF(R65=0,0,MATCH(R65,$Q$63:$X$63,0))</f>
        <v>4</v>
      </c>
      <c r="S69" s="77">
        <f t="shared" si="22"/>
        <v>3</v>
      </c>
      <c r="T69" s="77">
        <f t="shared" si="22"/>
        <v>8</v>
      </c>
      <c r="U69" s="77">
        <f t="shared" si="22"/>
        <v>5</v>
      </c>
      <c r="V69" s="77">
        <f t="shared" si="22"/>
        <v>2</v>
      </c>
      <c r="W69" s="77">
        <f t="shared" si="22"/>
        <v>1</v>
      </c>
      <c r="X69" s="77">
        <f t="shared" si="22"/>
        <v>6</v>
      </c>
    </row>
    <row r="70" spans="2:63" s="241" customFormat="1" hidden="1" x14ac:dyDescent="0.3">
      <c r="C70" s="241" t="s">
        <v>13</v>
      </c>
      <c r="D70" s="3"/>
      <c r="E70" s="237"/>
      <c r="F70" s="241" t="s">
        <v>18</v>
      </c>
      <c r="G70" s="3"/>
      <c r="H70" s="237"/>
      <c r="I70" s="241" t="s">
        <v>3</v>
      </c>
      <c r="J70" s="3"/>
      <c r="K70" s="237"/>
      <c r="L70" s="241" t="s">
        <v>8</v>
      </c>
      <c r="P70" s="283"/>
      <c r="Q70" s="283"/>
      <c r="R70" s="283"/>
      <c r="S70" s="283"/>
      <c r="T70" s="283"/>
      <c r="U70" s="283"/>
      <c r="V70" s="283"/>
      <c r="W70" s="283"/>
      <c r="X70" s="283"/>
      <c r="AE70" s="246"/>
      <c r="AF70" s="246"/>
      <c r="AG70" s="246"/>
      <c r="AH70" s="246"/>
      <c r="AI70" s="246"/>
      <c r="AJ70" s="246"/>
      <c r="AK70" s="283"/>
      <c r="AL70" s="283"/>
      <c r="AM70" s="283"/>
      <c r="AN70" s="283"/>
      <c r="AO70" s="283"/>
      <c r="AP70" s="283"/>
      <c r="AQ70" s="283"/>
      <c r="AR70" s="283"/>
      <c r="AS70" s="283"/>
      <c r="AT70" s="283"/>
      <c r="AU70" s="283"/>
      <c r="AV70" s="283"/>
      <c r="BK70" s="424"/>
    </row>
    <row r="71" spans="2:63" s="241" customFormat="1" hidden="1" x14ac:dyDescent="0.3">
      <c r="B71" s="241" t="s">
        <v>336</v>
      </c>
      <c r="C71" s="241">
        <f>IF(C34&lt;F34,MAX(0,MIN(C34+G34-F34-D35-D36,G34-D35-D36-G37)),G34-D35-D36-G37)</f>
        <v>0</v>
      </c>
      <c r="F71" s="241">
        <f>IF(F34&lt;C34,MAX(0,MIN(F34+D34-C34-G35-G36,D34-G35-G36-D37)),D34-G35-G36-D37)</f>
        <v>0</v>
      </c>
      <c r="I71" s="241">
        <f>IF(I34&lt;L34,MAX(0,MIN(I34+M34-L34-J35-J36,M34-J35-J36-M37)),M34-J35-J36-M37)</f>
        <v>0</v>
      </c>
      <c r="L71" s="241">
        <f>IF(L34&lt;I34,MAX(0,MIN(L34+J34-I34-M35-M36,J34-M35-M36-J37)),J34-M35-M36-J37)</f>
        <v>0</v>
      </c>
      <c r="P71" s="283"/>
      <c r="Q71" s="283"/>
      <c r="R71" s="283"/>
      <c r="S71" s="283"/>
      <c r="T71" s="283"/>
      <c r="U71" s="283"/>
      <c r="V71" s="283"/>
      <c r="W71" s="283"/>
      <c r="X71" s="283"/>
      <c r="AE71" s="246"/>
      <c r="AF71" s="246"/>
      <c r="AG71" s="246"/>
      <c r="AH71" s="246"/>
      <c r="AI71" s="246"/>
      <c r="AJ71" s="246"/>
      <c r="AK71" s="283"/>
      <c r="AL71" s="283"/>
      <c r="AM71" s="283"/>
      <c r="AN71" s="283"/>
      <c r="AO71" s="283"/>
      <c r="AP71" s="283"/>
      <c r="AQ71" s="283"/>
      <c r="AR71" s="283"/>
      <c r="AS71" s="283"/>
      <c r="AT71" s="283"/>
      <c r="AU71" s="283"/>
      <c r="AV71" s="283"/>
      <c r="BK71" s="424"/>
    </row>
    <row r="72" spans="2:63" s="241" customFormat="1" hidden="1" x14ac:dyDescent="0.3">
      <c r="B72" s="241" t="s">
        <v>337</v>
      </c>
      <c r="C72" s="241">
        <f>IF(C34&lt;F34,MAX(0,MIN(C34+G34-F34-D35-D36,G34-D35-D36)),G34-D35-D36)</f>
        <v>21.4</v>
      </c>
      <c r="F72" s="241">
        <f>IF(F34&lt;C34,MAX(0,MIN(F34+D34-C34-G35-G36,D34-G35-G36)),D34-G35-G36)</f>
        <v>21.400000000000002</v>
      </c>
      <c r="I72" s="241">
        <f>IF(I34&lt;L34,MAX(0,MIN(I34+M34-L34-J35-J36,M34-J35-J36)),M34-J35-J36)</f>
        <v>50.2</v>
      </c>
      <c r="L72" s="241">
        <f>IF(L34&lt;I34,MAX(0,MIN(L34+J34-I34-M35-M36,J34-M35-M36)),J34-M35-M36)</f>
        <v>50.2</v>
      </c>
      <c r="P72" s="283"/>
      <c r="Q72" s="283"/>
      <c r="R72" s="283"/>
      <c r="S72" s="283"/>
      <c r="T72" s="283"/>
      <c r="U72" s="283"/>
      <c r="V72" s="283"/>
      <c r="W72" s="283"/>
      <c r="X72" s="283"/>
      <c r="AE72" s="246"/>
      <c r="AF72" s="246"/>
      <c r="AG72" s="246"/>
      <c r="AH72" s="246"/>
      <c r="AI72" s="246"/>
      <c r="AJ72" s="246"/>
      <c r="AK72" s="283"/>
      <c r="AL72" s="283"/>
      <c r="AM72" s="283"/>
      <c r="AN72" s="283"/>
      <c r="AO72" s="283"/>
      <c r="AP72" s="283"/>
      <c r="AQ72" s="283"/>
      <c r="AR72" s="283"/>
      <c r="AS72" s="283"/>
      <c r="AT72" s="283"/>
      <c r="AU72" s="283"/>
      <c r="AV72" s="283"/>
      <c r="BK72" s="424"/>
    </row>
    <row r="73" spans="2:63" s="241" customFormat="1" hidden="1" x14ac:dyDescent="0.3">
      <c r="B73" s="241" t="s">
        <v>340</v>
      </c>
      <c r="C73" s="241">
        <f>IF(F34&gt;(C34-C35-C36),MIN(C74,F34-(C34-C35-C36)+C74-C75),0)</f>
        <v>0.80000000000000071</v>
      </c>
      <c r="F73" s="241">
        <f>IF(C34&gt;(F34-F35-F36),MIN(F74,C34-(F34-F35-F36)+F74-F75),0)</f>
        <v>2</v>
      </c>
      <c r="I73" s="241">
        <f>IF(L34&gt;(I34-I35-I36),MIN(I74,L34-(I34-I35-I36)+I74-I75),0)</f>
        <v>2</v>
      </c>
      <c r="L73" s="241">
        <f>IF(I34&gt;(L34-L35-L36),MIN(L74,I34-(L34-L35-L36)+L74-L75),0)</f>
        <v>2</v>
      </c>
      <c r="P73" s="283"/>
      <c r="Q73" s="283"/>
      <c r="R73" s="283"/>
      <c r="S73" s="283"/>
      <c r="T73" s="283"/>
      <c r="U73" s="283"/>
      <c r="V73" s="283"/>
      <c r="W73" s="283"/>
      <c r="X73" s="283"/>
      <c r="AE73" s="246"/>
      <c r="AF73" s="246"/>
      <c r="AG73" s="246"/>
      <c r="AH73" s="246"/>
      <c r="AI73" s="246"/>
      <c r="AJ73" s="246"/>
      <c r="AK73" s="283"/>
      <c r="AL73" s="283"/>
      <c r="AM73" s="283"/>
      <c r="AN73" s="283"/>
      <c r="AO73" s="283"/>
      <c r="AP73" s="283"/>
      <c r="AQ73" s="283"/>
      <c r="AR73" s="283"/>
      <c r="AS73" s="283"/>
      <c r="AT73" s="283"/>
      <c r="AU73" s="283"/>
      <c r="AV73" s="283"/>
      <c r="BK73" s="424"/>
    </row>
    <row r="74" spans="2:63" s="241" customFormat="1" hidden="1" x14ac:dyDescent="0.3">
      <c r="B74" s="241" t="s">
        <v>342</v>
      </c>
      <c r="C74" s="241">
        <v>2</v>
      </c>
      <c r="F74" s="241">
        <v>2</v>
      </c>
      <c r="I74" s="241">
        <v>2</v>
      </c>
      <c r="L74" s="241">
        <v>2</v>
      </c>
      <c r="P74" s="283"/>
      <c r="Q74" s="283"/>
      <c r="R74" s="283"/>
      <c r="S74" s="283"/>
      <c r="T74" s="283"/>
      <c r="U74" s="283"/>
      <c r="V74" s="283"/>
      <c r="W74" s="283"/>
      <c r="X74" s="283"/>
      <c r="AE74" s="246"/>
      <c r="AF74" s="246"/>
      <c r="AG74" s="246"/>
      <c r="AH74" s="246"/>
      <c r="AI74" s="246"/>
      <c r="AJ74" s="246"/>
      <c r="AK74" s="283"/>
      <c r="AL74" s="283"/>
      <c r="AM74" s="283"/>
      <c r="AN74" s="283"/>
      <c r="AO74" s="283"/>
      <c r="AP74" s="283"/>
      <c r="AQ74" s="283"/>
      <c r="AR74" s="283"/>
      <c r="AS74" s="283"/>
      <c r="AT74" s="283"/>
      <c r="AU74" s="283"/>
      <c r="AV74" s="283"/>
      <c r="BK74" s="424"/>
    </row>
    <row r="75" spans="2:63" s="241" customFormat="1" hidden="1" x14ac:dyDescent="0.3">
      <c r="B75" s="241" t="s">
        <v>341</v>
      </c>
      <c r="C75" s="241">
        <f>Phasing!O27</f>
        <v>3</v>
      </c>
      <c r="F75" s="241">
        <f>Phasing!Q27</f>
        <v>3</v>
      </c>
      <c r="I75" s="241">
        <f>Phasing!S27</f>
        <v>3</v>
      </c>
      <c r="L75" s="241">
        <f>Phasing!U27</f>
        <v>3</v>
      </c>
      <c r="P75" s="283"/>
      <c r="Q75" s="283"/>
      <c r="R75" s="283"/>
      <c r="S75" s="283"/>
      <c r="T75" s="283"/>
      <c r="U75" s="283"/>
      <c r="V75" s="283"/>
      <c r="W75" s="283"/>
      <c r="X75" s="283"/>
      <c r="AE75" s="246"/>
      <c r="AF75" s="246"/>
      <c r="AG75" s="246"/>
      <c r="AH75" s="246"/>
      <c r="AI75" s="246"/>
      <c r="AJ75" s="246"/>
      <c r="AK75" s="283"/>
      <c r="AL75" s="283"/>
      <c r="AM75" s="283"/>
      <c r="AN75" s="283"/>
      <c r="AO75" s="283"/>
      <c r="AP75" s="283"/>
      <c r="AQ75" s="283"/>
      <c r="AR75" s="283"/>
      <c r="AS75" s="283"/>
      <c r="AT75" s="283"/>
      <c r="AU75" s="283"/>
      <c r="AV75" s="283"/>
      <c r="BK75" s="424"/>
    </row>
    <row r="76" spans="2:63" s="241" customFormat="1" hidden="1" x14ac:dyDescent="0.3">
      <c r="B76" s="241" t="s">
        <v>338</v>
      </c>
      <c r="C76" s="241">
        <f>MIN(C71+C75,C77)</f>
        <v>3</v>
      </c>
      <c r="F76" s="241">
        <f>MIN(F71+F75,F77)</f>
        <v>3</v>
      </c>
      <c r="I76" s="241">
        <f>MIN(I71+I75,I77)</f>
        <v>3</v>
      </c>
      <c r="L76" s="241">
        <f>MIN(L71+L75,L77)</f>
        <v>3</v>
      </c>
      <c r="P76" s="283"/>
      <c r="Q76" s="283"/>
      <c r="R76" s="283"/>
      <c r="S76" s="283"/>
      <c r="T76" s="283"/>
      <c r="U76" s="283"/>
      <c r="V76" s="283"/>
      <c r="W76" s="283"/>
      <c r="X76" s="283"/>
      <c r="AE76" s="246"/>
      <c r="AF76" s="246"/>
      <c r="AG76" s="246"/>
      <c r="AH76" s="246"/>
      <c r="AI76" s="246"/>
      <c r="AJ76" s="246"/>
      <c r="AK76" s="283"/>
      <c r="AL76" s="283"/>
      <c r="AM76" s="283"/>
      <c r="AN76" s="283"/>
      <c r="AO76" s="283"/>
      <c r="AP76" s="283"/>
      <c r="AQ76" s="283"/>
      <c r="AR76" s="283"/>
      <c r="AS76" s="283"/>
      <c r="AT76" s="283"/>
      <c r="AU76" s="283"/>
      <c r="AV76" s="283"/>
      <c r="BK76" s="424"/>
    </row>
    <row r="77" spans="2:63" s="241" customFormat="1" hidden="1" x14ac:dyDescent="0.3">
      <c r="B77" s="241" t="s">
        <v>339</v>
      </c>
      <c r="C77" s="241">
        <f>MAX(0,C72-C73+C75)</f>
        <v>23.599999999999998</v>
      </c>
      <c r="F77" s="241">
        <f>MAX(0,F72-F73+F75)</f>
        <v>22.400000000000002</v>
      </c>
      <c r="I77" s="241">
        <f>MAX(0,I72-I73+I75)</f>
        <v>51.2</v>
      </c>
      <c r="L77" s="241">
        <f>MAX(0,L72-L73+L75)</f>
        <v>51.2</v>
      </c>
      <c r="P77" s="283"/>
      <c r="Q77" s="283"/>
      <c r="R77" s="283"/>
      <c r="S77" s="283"/>
      <c r="T77" s="283"/>
      <c r="U77" s="283"/>
      <c r="V77" s="283"/>
      <c r="W77" s="283"/>
      <c r="X77" s="283"/>
      <c r="AE77" s="246"/>
      <c r="AF77" s="246"/>
      <c r="AG77" s="246"/>
      <c r="AH77" s="246"/>
      <c r="AI77" s="246"/>
      <c r="AJ77" s="246"/>
      <c r="AK77" s="283"/>
      <c r="AL77" s="283"/>
      <c r="AM77" s="283"/>
      <c r="AN77" s="283"/>
      <c r="AO77" s="283"/>
      <c r="AP77" s="283"/>
      <c r="AQ77" s="283"/>
      <c r="AR77" s="283"/>
      <c r="AS77" s="283"/>
      <c r="AT77" s="283"/>
      <c r="AU77" s="283"/>
      <c r="AV77" s="283"/>
      <c r="BK77" s="424"/>
    </row>
    <row r="78" spans="2:63" s="241" customFormat="1" hidden="1" x14ac:dyDescent="0.3">
      <c r="P78" s="283"/>
      <c r="Q78" s="283"/>
      <c r="R78" s="283"/>
      <c r="S78" s="283"/>
      <c r="T78" s="283"/>
      <c r="U78" s="283"/>
      <c r="V78" s="283"/>
      <c r="W78" s="283"/>
      <c r="X78" s="283"/>
      <c r="AE78" s="246"/>
      <c r="AF78" s="246"/>
      <c r="AG78" s="246"/>
      <c r="AH78" s="246"/>
      <c r="AI78" s="246"/>
      <c r="AJ78" s="246"/>
      <c r="AK78" s="283"/>
      <c r="AL78" s="283"/>
      <c r="AM78" s="283"/>
      <c r="AN78" s="283"/>
      <c r="AO78" s="283"/>
      <c r="AP78" s="283"/>
      <c r="AQ78" s="283"/>
      <c r="AR78" s="283"/>
      <c r="AS78" s="283"/>
      <c r="AT78" s="283"/>
      <c r="AU78" s="283"/>
      <c r="AV78" s="283"/>
      <c r="BK78" s="424"/>
    </row>
    <row r="79" spans="2:63" s="241" customFormat="1" hidden="1" x14ac:dyDescent="0.3">
      <c r="P79" s="283"/>
      <c r="Q79" s="283"/>
      <c r="R79" s="283"/>
      <c r="S79" s="283"/>
      <c r="T79" s="283"/>
      <c r="U79" s="283"/>
      <c r="V79" s="283"/>
      <c r="W79" s="283"/>
      <c r="X79" s="283"/>
      <c r="AE79" s="246"/>
      <c r="AF79" s="246"/>
      <c r="AG79" s="246"/>
      <c r="AH79" s="246"/>
      <c r="AI79" s="246"/>
      <c r="AJ79" s="246"/>
      <c r="AK79" s="283"/>
      <c r="AL79" s="283"/>
      <c r="AM79" s="283"/>
      <c r="AN79" s="283"/>
      <c r="AO79" s="283"/>
      <c r="AP79" s="283"/>
      <c r="AQ79" s="283"/>
      <c r="AR79" s="283"/>
      <c r="AS79" s="283"/>
      <c r="AT79" s="283"/>
      <c r="AU79" s="283"/>
      <c r="AV79" s="283"/>
      <c r="BK79" s="424"/>
    </row>
    <row r="80" spans="2:63" s="241" customFormat="1" hidden="1" x14ac:dyDescent="0.3">
      <c r="P80" s="283"/>
      <c r="Q80" s="283"/>
      <c r="R80" s="283"/>
      <c r="S80" s="283"/>
      <c r="T80" s="283"/>
      <c r="U80" s="283"/>
      <c r="V80" s="283"/>
      <c r="W80" s="283"/>
      <c r="X80" s="283"/>
      <c r="AE80" s="246"/>
      <c r="AF80" s="246"/>
      <c r="AG80" s="246"/>
      <c r="AH80" s="246"/>
      <c r="AI80" s="246"/>
      <c r="AJ80" s="246"/>
      <c r="AK80" s="283"/>
      <c r="AL80" s="283"/>
      <c r="AM80" s="283"/>
      <c r="AN80" s="283"/>
      <c r="AO80" s="283"/>
      <c r="AP80" s="283"/>
      <c r="AQ80" s="283"/>
      <c r="AR80" s="283"/>
      <c r="AS80" s="283"/>
      <c r="AT80" s="283"/>
      <c r="AU80" s="283"/>
      <c r="AV80" s="283"/>
      <c r="BK80" s="424"/>
    </row>
    <row r="81" spans="2:63" hidden="1" x14ac:dyDescent="0.3">
      <c r="B81" s="283"/>
      <c r="C81" s="283"/>
      <c r="Q81" s="88"/>
      <c r="R81" s="88"/>
      <c r="S81" s="88"/>
      <c r="T81" s="88"/>
      <c r="U81" s="88"/>
      <c r="V81" s="77"/>
      <c r="W81" s="77"/>
    </row>
    <row r="82" spans="2:63" x14ac:dyDescent="0.3">
      <c r="B82" s="168"/>
      <c r="C82" s="189" t="str">
        <f>R28</f>
        <v/>
      </c>
      <c r="D82" s="189" t="str">
        <f>S28</f>
        <v>b</v>
      </c>
      <c r="E82" s="189"/>
      <c r="F82" s="189" t="str">
        <f>T28</f>
        <v/>
      </c>
      <c r="G82" s="167" t="s">
        <v>132</v>
      </c>
      <c r="H82" s="170" t="s">
        <v>241</v>
      </c>
      <c r="I82" s="170" t="s">
        <v>242</v>
      </c>
      <c r="Q82" s="62"/>
      <c r="R82" s="87"/>
      <c r="S82" s="87"/>
      <c r="T82" s="314">
        <f>IF($C$25=0,"CHECK INPUT DATA",ROUND(O17/(1700*O4*'Input sheet'!W7*(1-C23/C25)),2))</f>
        <v>0.87</v>
      </c>
      <c r="U82" s="87"/>
      <c r="V82" s="77"/>
      <c r="W82" s="77"/>
    </row>
    <row r="83" spans="2:63" x14ac:dyDescent="0.3">
      <c r="B83" s="188" t="s">
        <v>105</v>
      </c>
      <c r="C83" s="188">
        <f>IFERROR(INDEX($C$34:$N$34,1,MATCH(1,$C$33:$N$33,0)),0)</f>
        <v>15.4</v>
      </c>
      <c r="D83" s="188">
        <f>IFERROR(INDEX($C$34:$N$34,1,MATCH(2,$C$33:$N$33,0)),0)</f>
        <v>57.5</v>
      </c>
      <c r="E83" s="188">
        <f>IFERROR(INDEX($C$34:$N$34,1,MATCH(3,$C$33:$N$33,0)),0)</f>
        <v>14.5</v>
      </c>
      <c r="F83" s="188">
        <f>IFERROR(INDEX($C$34:$N$34,1,MATCH(4,$C$33:$N$33,0)),0)</f>
        <v>32.6</v>
      </c>
      <c r="G83" s="190">
        <f>SUM(C83:F83)</f>
        <v>120</v>
      </c>
      <c r="H83" s="191">
        <f>C83+D83</f>
        <v>72.900000000000006</v>
      </c>
      <c r="I83" s="191">
        <f>E83+F83</f>
        <v>47.1</v>
      </c>
      <c r="Q83" s="47"/>
      <c r="R83" s="87"/>
      <c r="S83" s="87"/>
      <c r="T83" s="87"/>
      <c r="U83" s="87"/>
      <c r="V83" s="77"/>
      <c r="W83" s="77"/>
    </row>
    <row r="84" spans="2:63" x14ac:dyDescent="0.3">
      <c r="B84" s="188" t="s">
        <v>106</v>
      </c>
      <c r="C84" s="188">
        <f>IFERROR(INDEX($C$34:$N$34,1,MATCH(5,$C$33:$N$33,0)),0)</f>
        <v>15.7</v>
      </c>
      <c r="D84" s="188">
        <f>IFERROR(INDEX($C$34:$N$34,1,MATCH(6,$C$33:$N$33,0)),0)</f>
        <v>57.2</v>
      </c>
      <c r="E84" s="188">
        <f>IFERROR(INDEX($C$34:$N$34,1,MATCH(7,$C$33:$N$33,0)),0)</f>
        <v>18.7</v>
      </c>
      <c r="F84" s="188">
        <f>IFERROR(INDEX($C$34:$N$34,1,MATCH(8,$C$33:$N$33,0)),0)</f>
        <v>28.4</v>
      </c>
      <c r="G84" s="190">
        <f>SUM(C84:F84)</f>
        <v>120</v>
      </c>
      <c r="H84" s="191">
        <f>C84+D84</f>
        <v>72.900000000000006</v>
      </c>
      <c r="I84" s="191">
        <f>E84+F84</f>
        <v>47.099999999999994</v>
      </c>
      <c r="T84" s="247">
        <f>IF($C$25=0,"CHECK INPUT DATA",IF(OR(SUM(C9:H9)=0,SUM(I9:N9)=0),0,ROUND(SUMPRODUCT(C9:N9,C44:N44)/O9,2)))</f>
        <v>74.650000000000006</v>
      </c>
      <c r="U84" s="158" t="str">
        <f>IF($C$25=0,"CHECK INPUT DATA",IF(T84=0,"N/A",VLOOKUP(T84,'LOS table'!$B$3:$D$8,3)))</f>
        <v>E</v>
      </c>
    </row>
    <row r="85" spans="2:63" hidden="1" x14ac:dyDescent="0.3"/>
    <row r="86" spans="2:63" hidden="1" x14ac:dyDescent="0.3">
      <c r="C86" s="3">
        <f>IF(C83&lt;Y44,1,0)</f>
        <v>0</v>
      </c>
      <c r="D86" s="210">
        <f>IF(D83&lt;Z44,1,0)</f>
        <v>0</v>
      </c>
      <c r="F86" s="210">
        <f>IF(E83&lt;AA44,1,0)</f>
        <v>1</v>
      </c>
      <c r="G86" s="210">
        <f>IF(F83&lt;AB44,1,0)</f>
        <v>0</v>
      </c>
    </row>
    <row r="87" spans="2:63" hidden="1" x14ac:dyDescent="0.3">
      <c r="C87" s="210">
        <f>IF(C84&lt;Y45,1,0)</f>
        <v>0</v>
      </c>
      <c r="D87" s="210">
        <f>IF(D84&lt;Z45,1,0)</f>
        <v>0</v>
      </c>
      <c r="F87" s="210">
        <f>IF(E84&lt;AA45,1,0)</f>
        <v>0</v>
      </c>
      <c r="G87" s="210">
        <f>IF(F84&lt;AB45,1,0)</f>
        <v>0</v>
      </c>
    </row>
    <row r="88" spans="2:63" hidden="1" x14ac:dyDescent="0.3"/>
    <row r="89" spans="2:63" hidden="1" x14ac:dyDescent="0.3">
      <c r="B89" s="248" t="s">
        <v>73</v>
      </c>
      <c r="C89" s="252" t="s">
        <v>13</v>
      </c>
      <c r="D89" s="252" t="s">
        <v>14</v>
      </c>
      <c r="E89" s="252" t="s">
        <v>15</v>
      </c>
      <c r="F89" s="252" t="s">
        <v>18</v>
      </c>
      <c r="G89" s="252" t="s">
        <v>19</v>
      </c>
      <c r="H89" s="252" t="s">
        <v>20</v>
      </c>
      <c r="I89" s="252" t="s">
        <v>3</v>
      </c>
      <c r="J89" s="252" t="s">
        <v>4</v>
      </c>
      <c r="K89" s="252" t="s">
        <v>5</v>
      </c>
      <c r="L89" s="252" t="s">
        <v>8</v>
      </c>
      <c r="M89" s="252" t="s">
        <v>9</v>
      </c>
      <c r="N89" s="252" t="s">
        <v>10</v>
      </c>
    </row>
    <row r="90" spans="2:63" s="225" customFormat="1" hidden="1" x14ac:dyDescent="0.3">
      <c r="B90" s="291" t="s">
        <v>324</v>
      </c>
      <c r="C90" s="291">
        <f>C38</f>
        <v>12.7</v>
      </c>
      <c r="D90" s="291">
        <f t="shared" ref="D90:N90" si="23">D38</f>
        <v>25.6</v>
      </c>
      <c r="E90" s="291">
        <f t="shared" si="23"/>
        <v>28.6</v>
      </c>
      <c r="F90" s="291">
        <f t="shared" si="23"/>
        <v>8.5</v>
      </c>
      <c r="G90" s="291">
        <f t="shared" si="23"/>
        <v>21.4</v>
      </c>
      <c r="H90" s="291">
        <f t="shared" si="23"/>
        <v>21.4</v>
      </c>
      <c r="I90" s="291">
        <f t="shared" si="23"/>
        <v>9.6999999999999993</v>
      </c>
      <c r="J90" s="291">
        <f t="shared" si="23"/>
        <v>50.5</v>
      </c>
      <c r="K90" s="291">
        <f t="shared" si="23"/>
        <v>50.5</v>
      </c>
      <c r="L90" s="291">
        <f t="shared" si="23"/>
        <v>9.4</v>
      </c>
      <c r="M90" s="291">
        <f t="shared" si="23"/>
        <v>50.2</v>
      </c>
      <c r="N90" s="291">
        <f t="shared" si="23"/>
        <v>50.2</v>
      </c>
      <c r="P90" s="292"/>
      <c r="AE90" s="293"/>
      <c r="AF90" s="293"/>
      <c r="AG90" s="293"/>
      <c r="AH90" s="293"/>
      <c r="AI90" s="293"/>
      <c r="AJ90" s="293"/>
      <c r="AK90" s="292"/>
      <c r="AL90" s="292"/>
      <c r="AM90" s="292"/>
      <c r="AN90" s="292"/>
      <c r="AO90" s="292"/>
      <c r="AP90" s="292"/>
      <c r="AQ90" s="292"/>
      <c r="AR90" s="292"/>
      <c r="AS90" s="292"/>
      <c r="AT90" s="292"/>
      <c r="AU90" s="292"/>
      <c r="AV90" s="292"/>
    </row>
    <row r="91" spans="2:63" hidden="1" x14ac:dyDescent="0.3">
      <c r="B91" s="241" t="s">
        <v>345</v>
      </c>
      <c r="C91" s="3">
        <f>C3*$C$25/3600</f>
        <v>5</v>
      </c>
      <c r="E91" s="241"/>
      <c r="F91" s="241">
        <f>F3*$C$25/3600</f>
        <v>2.5</v>
      </c>
      <c r="G91" s="241"/>
      <c r="I91" s="241">
        <f>I3*$C$25/3600</f>
        <v>3.3333333333333335</v>
      </c>
      <c r="L91" s="241">
        <f>L3*$C$25/3600</f>
        <v>5</v>
      </c>
    </row>
    <row r="92" spans="2:63" hidden="1" x14ac:dyDescent="0.3">
      <c r="B92" s="241" t="s">
        <v>344</v>
      </c>
      <c r="C92" s="3">
        <f>MAX(C90*EXP(-0.86*(C91^0.629)-C73),0)</f>
        <v>0.53518746730428013</v>
      </c>
      <c r="F92" s="241">
        <f>MAX(F90*EXP(-0.86*(F91^0.629)-F73),0)</f>
        <v>0.24899413378027252</v>
      </c>
      <c r="I92" s="241">
        <f>MAX(I90*EXP(-0.86*(I91^0.629)-I73),0)</f>
        <v>0.20975161058781316</v>
      </c>
      <c r="L92" s="241">
        <f>MAX(L90*EXP(-0.86*(L91^0.629)-L73),0)</f>
        <v>0.11930995700283481</v>
      </c>
    </row>
    <row r="93" spans="2:63" hidden="1" x14ac:dyDescent="0.3">
      <c r="B93" s="241" t="s">
        <v>346</v>
      </c>
      <c r="C93" s="241">
        <f>MAX(C90*EXP(-0.882*(C91^0.717)-C73),0)</f>
        <v>0.34819373817921917</v>
      </c>
      <c r="F93" s="241">
        <f>MAX(F90*EXP(-0.882*(F91^0.717)-F73),0)</f>
        <v>0.20986818559675466</v>
      </c>
      <c r="I93" s="241">
        <f>MAX(I90*EXP(-0.882*(I91^0.717)-I73),0)</f>
        <v>0.16219374022551608</v>
      </c>
      <c r="L93" s="241">
        <f>MAX(L90*EXP(-0.882*(L91^0.717)-L73),0)</f>
        <v>7.7623230117979891E-2</v>
      </c>
    </row>
    <row r="94" spans="2:63" hidden="1" x14ac:dyDescent="0.3">
      <c r="B94" s="241" t="s">
        <v>343</v>
      </c>
      <c r="C94" s="3">
        <f>IF(SUM(C6:E6)=1,C92,C93)</f>
        <v>0.34819373817921917</v>
      </c>
      <c r="F94" s="241">
        <f>IF(SUM(F6:H6)=1,F92,F93)</f>
        <v>0.20986818559675466</v>
      </c>
      <c r="I94" s="241">
        <f>IF(SUM(I6:K6)=1,I92,I93)</f>
        <v>0.16219374022551608</v>
      </c>
      <c r="L94" s="241">
        <f>IF(SUM(L6:N6)=1,L92,L93)</f>
        <v>7.7623230117979891E-2</v>
      </c>
    </row>
    <row r="95" spans="2:63" hidden="1" x14ac:dyDescent="0.3"/>
    <row r="96" spans="2:63" s="241" customFormat="1" hidden="1" x14ac:dyDescent="0.3">
      <c r="B96" s="251" t="s">
        <v>352</v>
      </c>
      <c r="C96" s="251">
        <f>MAX(0,ROUND(C6*(C63+C35-1)*C11/$C$25,0))</f>
        <v>208</v>
      </c>
      <c r="D96" s="251"/>
      <c r="E96" s="251"/>
      <c r="F96" s="251">
        <f>MAX(0,ROUND(F6*(F63+F35-1)*F11/$C$25,0))</f>
        <v>153</v>
      </c>
      <c r="G96" s="251"/>
      <c r="H96" s="251"/>
      <c r="I96" s="251">
        <f>MAX(0,ROUND(I6*(I63+I35-1)*I11/$C$25,0))</f>
        <v>169</v>
      </c>
      <c r="J96" s="251"/>
      <c r="K96" s="251"/>
      <c r="L96" s="251">
        <f>MAX(0,ROUND(L6*(L63+L35-1)*L11/$C$25,0))</f>
        <v>165</v>
      </c>
      <c r="P96" s="283"/>
      <c r="AE96" s="246"/>
      <c r="AF96" s="246"/>
      <c r="AG96" s="246"/>
      <c r="AH96" s="246"/>
      <c r="AI96" s="246"/>
      <c r="AJ96" s="246"/>
      <c r="AK96" s="283"/>
      <c r="AL96" s="283"/>
      <c r="AM96" s="283"/>
      <c r="AN96" s="283"/>
      <c r="AO96" s="283"/>
      <c r="AP96" s="283"/>
      <c r="AQ96" s="283"/>
      <c r="AR96" s="283"/>
      <c r="AS96" s="283"/>
      <c r="AT96" s="283"/>
      <c r="AU96" s="283"/>
      <c r="AV96" s="283"/>
      <c r="BK96" s="424"/>
    </row>
    <row r="97" spans="1:13" hidden="1" x14ac:dyDescent="0.3">
      <c r="B97" s="251" t="s">
        <v>347</v>
      </c>
      <c r="C97" s="251">
        <f>ROUND(((MIN(C77-C94,C76)*C14+7200)/$C$25)*C6,0)</f>
        <v>75</v>
      </c>
      <c r="D97" s="251"/>
      <c r="E97" s="251"/>
      <c r="F97" s="251">
        <f>ROUND(((MIN(F77-F94,F76)*F14+7200)/$C$25)*F6,0)</f>
        <v>87</v>
      </c>
      <c r="G97" s="251"/>
      <c r="H97" s="251"/>
      <c r="I97" s="251">
        <f>ROUND(((MIN(I77-I94,I76)*I14+7200)/$C$25)*I6,0)</f>
        <v>77</v>
      </c>
      <c r="J97" s="251"/>
      <c r="K97" s="251"/>
      <c r="L97" s="251">
        <f>ROUND(((MIN(L77-L94,L76)*L14+7200)/$C$25)*L6,0)</f>
        <v>63</v>
      </c>
    </row>
    <row r="98" spans="1:13" hidden="1" x14ac:dyDescent="0.3">
      <c r="B98" s="241" t="s">
        <v>348</v>
      </c>
      <c r="C98" s="3">
        <f>IF(C14=0,0,$S$2/C14)</f>
        <v>3.1301482701812193</v>
      </c>
      <c r="F98" s="241">
        <f>IF(F14=0,0,$S$2/F14)</f>
        <v>1.7790262172284643</v>
      </c>
      <c r="I98" s="241">
        <f>IF(I14=0,0,$S$2/I14)</f>
        <v>2.7696793002915454</v>
      </c>
      <c r="L98" s="241">
        <f>IF(L14=0,0,$S$2/L14)</f>
        <v>14.17910447761194</v>
      </c>
    </row>
    <row r="99" spans="1:13" hidden="1" x14ac:dyDescent="0.3">
      <c r="B99" s="241" t="s">
        <v>349</v>
      </c>
      <c r="C99" s="3">
        <f>MAX(0,0.5*(C77-C76-C94))</f>
        <v>10.125903130910389</v>
      </c>
      <c r="F99" s="241">
        <f>MAX(0,0.5*(F77-F76-F94))</f>
        <v>9.595065907201624</v>
      </c>
      <c r="I99" s="241">
        <f>MAX(0,0.5*(I77-I76-I94))</f>
        <v>24.018903129887242</v>
      </c>
      <c r="L99" s="241">
        <f>MAX(0,0.5*(L77-L76-L94))</f>
        <v>24.061188384941012</v>
      </c>
    </row>
    <row r="100" spans="1:13" hidden="1" x14ac:dyDescent="0.3">
      <c r="B100" s="241" t="s">
        <v>351</v>
      </c>
      <c r="C100" s="3">
        <f>IF(SUM(F3:H3)=0,0,F3/SUM(F3:H3))</f>
        <v>0.17647058823529413</v>
      </c>
      <c r="F100" s="241">
        <f>IF(SUM(C3:E3)=0,0,C3/SUM(C3:E3))</f>
        <v>0.375</v>
      </c>
      <c r="I100" s="241">
        <f>IF(SUM(L3:N3)=0,0,L3/SUM(L3:N3))</f>
        <v>0.25</v>
      </c>
      <c r="L100" s="241">
        <f>IF(SUM(I3:K3)=0,0,I3/SUM(I3:K3))</f>
        <v>0.10204081632653061</v>
      </c>
    </row>
    <row r="101" spans="1:13" hidden="1" x14ac:dyDescent="0.3">
      <c r="B101" s="241" t="s">
        <v>350</v>
      </c>
      <c r="C101" s="3">
        <f>IF(C100=0,0,MAX(1,(1-(1-C100)^C99)/C100))</f>
        <v>4.8732477583092955</v>
      </c>
      <c r="F101" s="241">
        <f>IF(F100=0,0,MAX(1,(1-(1-F100)^F99)/F100))</f>
        <v>2.6373291029578714</v>
      </c>
      <c r="I101" s="241">
        <f>IF(I100=0,0,MAX(1,(1-(1-I100)^I99)/I100))</f>
        <v>3.9960082017855965</v>
      </c>
      <c r="L101" s="241">
        <f>IF(L100=0,0,MAX(1,(1-(1-L100)^L99)/L100))</f>
        <v>9.0645989640687485</v>
      </c>
    </row>
    <row r="102" spans="1:13" hidden="1" x14ac:dyDescent="0.3">
      <c r="B102" s="241" t="s">
        <v>354</v>
      </c>
      <c r="C102" s="3">
        <f>IF(SUM(C3:E3)=0,0,C3/SUM(C3:E3))</f>
        <v>0.375</v>
      </c>
      <c r="F102" s="241">
        <f>IF(SUM(F3:H3)=0,0,F3/SUM(F3:H3))</f>
        <v>0.17647058823529413</v>
      </c>
      <c r="I102" s="241">
        <f>IF(SUM(I3:K3)=0,0,I3/SUM(I3:K3))</f>
        <v>0.10204081632653061</v>
      </c>
      <c r="L102" s="241">
        <f>IF(SUM(L3:N3)=0,0,L3/SUM(L3:N3))</f>
        <v>0.25</v>
      </c>
    </row>
    <row r="103" spans="1:13" hidden="1" x14ac:dyDescent="0.3">
      <c r="B103" s="251" t="s">
        <v>353</v>
      </c>
      <c r="C103" s="251">
        <f>ROUND((C77*C14+3600*(1+C102))/$C$25,0)</f>
        <v>161</v>
      </c>
      <c r="D103" s="251"/>
      <c r="E103" s="251"/>
      <c r="F103" s="251">
        <f>ROUND((F77*F14+3600*(1+F102))/$C$25,0)</f>
        <v>235</v>
      </c>
      <c r="G103" s="251"/>
      <c r="H103" s="251"/>
      <c r="I103" s="251">
        <f>ROUND((I77*I14+3600*(1+I102))/$C$25,0)</f>
        <v>326</v>
      </c>
      <c r="J103" s="251"/>
      <c r="K103" s="251"/>
      <c r="L103" s="251">
        <f>ROUND((L77*L14+3600*(1+L102))/$C$25,0)</f>
        <v>95</v>
      </c>
    </row>
    <row r="104" spans="1:13" hidden="1" x14ac:dyDescent="0.3">
      <c r="B104" s="251" t="s">
        <v>355</v>
      </c>
      <c r="C104" s="251">
        <f>MAX(0,ROUND(((C63+C35-1)*C11/$C$25+(MIN(C77-C94,C76)*C14+7200)/$C$25)*C6,0))</f>
        <v>284</v>
      </c>
      <c r="D104" s="251"/>
      <c r="E104" s="251"/>
      <c r="F104" s="251">
        <f>MAX(0,ROUND(((F63+F35-1)*F11/$C$25+(MIN(F77-F94,F76)*F14+7200)/$C$25)*F6,0))</f>
        <v>239</v>
      </c>
      <c r="G104" s="251"/>
      <c r="H104" s="251"/>
      <c r="I104" s="251">
        <f>MAX(0,ROUND(((I63+I35-1)*I11/$C$25+(MIN(I77-I94,I76)*I14+7200)/$C$25)*I6,0))</f>
        <v>246</v>
      </c>
      <c r="J104" s="251"/>
      <c r="K104" s="251"/>
      <c r="L104" s="251">
        <f>MAX(0,ROUND(((L63+L35-1)*L11/$C$25+(MIN(L77-L94,L76)*L14+7200)/$C$25)*L6,0))</f>
        <v>228</v>
      </c>
    </row>
    <row r="105" spans="1:13" hidden="1" x14ac:dyDescent="0.3"/>
    <row r="106" spans="1:13" hidden="1" x14ac:dyDescent="0.3">
      <c r="A106" s="555" t="s">
        <v>482</v>
      </c>
      <c r="B106" s="324" t="s">
        <v>73</v>
      </c>
      <c r="C106" s="324"/>
      <c r="D106" s="324" t="s">
        <v>14</v>
      </c>
      <c r="E106" s="324"/>
      <c r="F106" s="324"/>
      <c r="G106" s="324" t="s">
        <v>19</v>
      </c>
      <c r="H106" s="324"/>
      <c r="I106" s="324"/>
      <c r="J106" s="324" t="s">
        <v>4</v>
      </c>
      <c r="K106" s="324"/>
      <c r="L106" s="324"/>
      <c r="M106" s="432" t="s">
        <v>9</v>
      </c>
    </row>
    <row r="107" spans="1:13" hidden="1" x14ac:dyDescent="0.3">
      <c r="A107" s="556"/>
      <c r="B107" s="168" t="s">
        <v>473</v>
      </c>
      <c r="C107" s="168"/>
      <c r="D107" s="168">
        <f>D37-Phasing!P19</f>
        <v>25.6</v>
      </c>
      <c r="E107" s="168"/>
      <c r="F107" s="168"/>
      <c r="G107" s="168">
        <f>G37-Phasing!R19</f>
        <v>21.4</v>
      </c>
      <c r="H107" s="168"/>
      <c r="I107" s="168"/>
      <c r="J107" s="168">
        <f>J37-Phasing!T19</f>
        <v>50.5</v>
      </c>
      <c r="K107" s="168"/>
      <c r="L107" s="168"/>
      <c r="M107" s="433">
        <f>M37-Phasing!V19</f>
        <v>50.2</v>
      </c>
    </row>
    <row r="108" spans="1:13" hidden="1" x14ac:dyDescent="0.3">
      <c r="A108" s="556"/>
      <c r="B108" s="168" t="s">
        <v>474</v>
      </c>
      <c r="C108" s="168"/>
      <c r="D108" s="168">
        <f>D107+4</f>
        <v>29.6</v>
      </c>
      <c r="E108" s="168"/>
      <c r="F108" s="168"/>
      <c r="G108" s="168">
        <f>G107+4</f>
        <v>25.4</v>
      </c>
      <c r="H108" s="168"/>
      <c r="I108" s="168"/>
      <c r="J108" s="168">
        <f>J107+4</f>
        <v>54.5</v>
      </c>
      <c r="K108" s="168"/>
      <c r="L108" s="168"/>
      <c r="M108" s="433">
        <f>M107+4</f>
        <v>54.2</v>
      </c>
    </row>
    <row r="109" spans="1:13" hidden="1" x14ac:dyDescent="0.3">
      <c r="A109" s="556"/>
      <c r="B109" s="168" t="s">
        <v>475</v>
      </c>
      <c r="C109" s="434"/>
      <c r="D109" s="434">
        <f>(($C$25-D108)^2)/(2*$C$25)</f>
        <v>34.050666666666672</v>
      </c>
      <c r="E109" s="434"/>
      <c r="F109" s="434"/>
      <c r="G109" s="434">
        <f>(($C$25-G108)^2)/(2*$C$25)</f>
        <v>37.288166666666662</v>
      </c>
      <c r="H109" s="434"/>
      <c r="I109" s="434"/>
      <c r="J109" s="434">
        <f>(($C$25-J108)^2)/(2*$C$25)</f>
        <v>17.876041666666666</v>
      </c>
      <c r="K109" s="434"/>
      <c r="L109" s="434"/>
      <c r="M109" s="435">
        <f>(($C$25-M108)^2)/(2*$C$25)</f>
        <v>18.040166666666664</v>
      </c>
    </row>
    <row r="110" spans="1:13" hidden="1" x14ac:dyDescent="0.3">
      <c r="A110" s="556"/>
      <c r="B110" s="168" t="s">
        <v>479</v>
      </c>
      <c r="C110" s="168"/>
      <c r="D110" s="168">
        <f>'Input sheet'!E17</f>
        <v>0</v>
      </c>
      <c r="E110" s="168"/>
      <c r="F110" s="168"/>
      <c r="G110" s="168">
        <f>'Input sheet'!Q17</f>
        <v>0</v>
      </c>
      <c r="H110" s="168"/>
      <c r="I110" s="168"/>
      <c r="J110" s="168">
        <f>'Input sheet'!O21</f>
        <v>0</v>
      </c>
      <c r="K110" s="168"/>
      <c r="L110" s="168"/>
      <c r="M110" s="433">
        <f>'Input sheet'!M6</f>
        <v>0</v>
      </c>
    </row>
    <row r="111" spans="1:13" hidden="1" x14ac:dyDescent="0.3">
      <c r="A111" s="556"/>
      <c r="B111" s="168" t="s">
        <v>481</v>
      </c>
      <c r="C111" s="168"/>
      <c r="D111" s="436">
        <f>D109*D110/3600</f>
        <v>0</v>
      </c>
      <c r="E111" s="436"/>
      <c r="F111" s="436"/>
      <c r="G111" s="436">
        <f>G109*G110/3600</f>
        <v>0</v>
      </c>
      <c r="H111" s="436"/>
      <c r="I111" s="436"/>
      <c r="J111" s="436">
        <f>J109*J110/3600</f>
        <v>0</v>
      </c>
      <c r="K111" s="436"/>
      <c r="L111" s="436"/>
      <c r="M111" s="437">
        <f>M109*M110/3600</f>
        <v>0</v>
      </c>
    </row>
    <row r="112" spans="1:13" hidden="1" x14ac:dyDescent="0.3">
      <c r="A112" s="556"/>
      <c r="B112" s="168" t="s">
        <v>480</v>
      </c>
      <c r="C112" s="168"/>
      <c r="D112" s="436">
        <f>D111+G111+J111+M111</f>
        <v>0</v>
      </c>
      <c r="E112" s="436"/>
      <c r="F112" s="436"/>
      <c r="G112" s="436"/>
      <c r="H112" s="436"/>
      <c r="I112" s="436"/>
      <c r="J112" s="436"/>
      <c r="K112" s="436"/>
      <c r="L112" s="436"/>
      <c r="M112" s="437"/>
    </row>
    <row r="113" spans="1:58" s="426" customFormat="1" hidden="1" x14ac:dyDescent="0.3">
      <c r="A113" s="556"/>
      <c r="B113" s="168" t="s">
        <v>489</v>
      </c>
      <c r="C113" s="168"/>
      <c r="D113" s="439">
        <f>Phasing!P3</f>
        <v>48</v>
      </c>
      <c r="E113" s="439"/>
      <c r="F113" s="439"/>
      <c r="G113" s="439">
        <f>Phasing!R3</f>
        <v>60</v>
      </c>
      <c r="H113" s="439"/>
      <c r="I113" s="439"/>
      <c r="J113" s="439">
        <f>Phasing!T3</f>
        <v>60</v>
      </c>
      <c r="K113" s="439"/>
      <c r="L113" s="439"/>
      <c r="M113" s="440">
        <f>Phasing!V3</f>
        <v>60</v>
      </c>
      <c r="P113" s="427"/>
      <c r="AE113" s="428"/>
      <c r="AF113" s="428"/>
      <c r="AG113" s="428"/>
      <c r="AH113" s="428"/>
      <c r="AI113" s="428"/>
      <c r="AJ113" s="428"/>
      <c r="AK113" s="427"/>
      <c r="AL113" s="427"/>
      <c r="AM113" s="427"/>
      <c r="AN113" s="427"/>
      <c r="AO113" s="427"/>
      <c r="AP113" s="427"/>
      <c r="AQ113" s="427"/>
      <c r="AR113" s="427"/>
      <c r="AS113" s="427"/>
      <c r="AT113" s="427"/>
      <c r="AU113" s="427"/>
      <c r="AV113" s="427"/>
    </row>
    <row r="114" spans="1:58" s="426" customFormat="1" hidden="1" x14ac:dyDescent="0.3">
      <c r="A114" s="557"/>
      <c r="B114" s="327" t="s">
        <v>490</v>
      </c>
      <c r="C114" s="327"/>
      <c r="D114" s="442">
        <f>MAX(D113:M113)</f>
        <v>60</v>
      </c>
      <c r="E114" s="442"/>
      <c r="F114" s="442"/>
      <c r="G114" s="442"/>
      <c r="H114" s="442"/>
      <c r="I114" s="442"/>
      <c r="J114" s="442"/>
      <c r="K114" s="442"/>
      <c r="L114" s="442"/>
      <c r="M114" s="443"/>
      <c r="P114" s="427"/>
      <c r="AE114" s="428"/>
      <c r="AF114" s="428"/>
      <c r="AG114" s="428"/>
      <c r="AH114" s="428"/>
      <c r="AI114" s="428"/>
      <c r="AJ114" s="428"/>
      <c r="AK114" s="427"/>
      <c r="AL114" s="427"/>
      <c r="AM114" s="427"/>
      <c r="AN114" s="427"/>
      <c r="AO114" s="427"/>
      <c r="AP114" s="427"/>
      <c r="AQ114" s="427"/>
      <c r="AR114" s="427"/>
      <c r="AS114" s="427"/>
      <c r="AT114" s="427"/>
      <c r="AU114" s="427"/>
      <c r="AV114" s="427"/>
    </row>
    <row r="115" spans="1:58" hidden="1" x14ac:dyDescent="0.3"/>
    <row r="116" spans="1:58" hidden="1" x14ac:dyDescent="0.3">
      <c r="A116" s="555" t="s">
        <v>488</v>
      </c>
      <c r="B116" s="324" t="s">
        <v>73</v>
      </c>
      <c r="C116" s="324"/>
      <c r="D116" s="324" t="s">
        <v>14</v>
      </c>
      <c r="E116" s="324"/>
      <c r="F116" s="324"/>
      <c r="G116" s="324" t="s">
        <v>19</v>
      </c>
      <c r="H116" s="324"/>
      <c r="I116" s="324"/>
      <c r="J116" s="324" t="s">
        <v>4</v>
      </c>
      <c r="K116" s="324"/>
      <c r="L116" s="324"/>
      <c r="M116" s="432" t="s">
        <v>9</v>
      </c>
    </row>
    <row r="117" spans="1:58" hidden="1" x14ac:dyDescent="0.3">
      <c r="A117" s="556"/>
      <c r="B117" s="168" t="s">
        <v>483</v>
      </c>
      <c r="C117" s="168"/>
      <c r="D117" s="439">
        <f>2000*D38/$C$25</f>
        <v>426.66666666666669</v>
      </c>
      <c r="E117" s="439"/>
      <c r="F117" s="439"/>
      <c r="G117" s="439">
        <f>2000*G38/$C$25</f>
        <v>356.66666666666669</v>
      </c>
      <c r="H117" s="439"/>
      <c r="I117" s="439"/>
      <c r="J117" s="439">
        <f>2000*J38/$C$25</f>
        <v>841.66666666666663</v>
      </c>
      <c r="K117" s="439"/>
      <c r="L117" s="439"/>
      <c r="M117" s="440">
        <f>2000*M38/$C$25</f>
        <v>836.66666666666663</v>
      </c>
    </row>
    <row r="118" spans="1:58" s="426" customFormat="1" hidden="1" x14ac:dyDescent="0.3">
      <c r="A118" s="556"/>
      <c r="B118" s="168" t="s">
        <v>485</v>
      </c>
      <c r="C118" s="168"/>
      <c r="D118" s="439">
        <f>'Input sheet'!E18</f>
        <v>0</v>
      </c>
      <c r="E118" s="439"/>
      <c r="F118" s="439"/>
      <c r="G118" s="439">
        <f>'Input sheet'!Q18</f>
        <v>0</v>
      </c>
      <c r="H118" s="439"/>
      <c r="I118" s="439"/>
      <c r="J118" s="439">
        <f>'Input sheet'!P21</f>
        <v>0</v>
      </c>
      <c r="K118" s="439"/>
      <c r="L118" s="439"/>
      <c r="M118" s="440">
        <f>'Input sheet'!N6</f>
        <v>0</v>
      </c>
      <c r="P118" s="427"/>
      <c r="AE118" s="428"/>
      <c r="AF118" s="428"/>
      <c r="AG118" s="428"/>
      <c r="AH118" s="428"/>
      <c r="AI118" s="428"/>
      <c r="AJ118" s="428"/>
      <c r="AK118" s="427"/>
      <c r="AL118" s="427"/>
      <c r="AM118" s="427"/>
      <c r="AN118" s="427"/>
      <c r="AO118" s="427"/>
      <c r="AP118" s="427"/>
      <c r="AQ118" s="427"/>
      <c r="AR118" s="427"/>
      <c r="AS118" s="427"/>
      <c r="AT118" s="427"/>
      <c r="AU118" s="427"/>
      <c r="AV118" s="427"/>
    </row>
    <row r="119" spans="1:58" s="426" customFormat="1" hidden="1" x14ac:dyDescent="0.3">
      <c r="A119" s="556"/>
      <c r="B119" s="168" t="s">
        <v>486</v>
      </c>
      <c r="C119" s="168"/>
      <c r="D119" s="439">
        <f>D38</f>
        <v>25.6</v>
      </c>
      <c r="E119" s="439"/>
      <c r="F119" s="439"/>
      <c r="G119" s="439">
        <f>G38</f>
        <v>21.4</v>
      </c>
      <c r="H119" s="439"/>
      <c r="I119" s="439"/>
      <c r="J119" s="439">
        <f>J38</f>
        <v>50.5</v>
      </c>
      <c r="K119" s="439"/>
      <c r="L119" s="439"/>
      <c r="M119" s="440">
        <f>M38</f>
        <v>50.2</v>
      </c>
      <c r="P119" s="427"/>
      <c r="AE119" s="428"/>
      <c r="AF119" s="428"/>
      <c r="AG119" s="428"/>
      <c r="AH119" s="428"/>
      <c r="AI119" s="428"/>
      <c r="AJ119" s="428"/>
      <c r="AK119" s="427"/>
      <c r="AL119" s="427"/>
      <c r="AM119" s="427"/>
      <c r="AN119" s="427"/>
      <c r="AO119" s="427"/>
      <c r="AP119" s="427"/>
      <c r="AQ119" s="427"/>
      <c r="AR119" s="427"/>
      <c r="AS119" s="427"/>
      <c r="AT119" s="427"/>
      <c r="AU119" s="427"/>
      <c r="AV119" s="427"/>
    </row>
    <row r="120" spans="1:58" hidden="1" x14ac:dyDescent="0.3">
      <c r="A120" s="556"/>
      <c r="B120" s="168" t="s">
        <v>484</v>
      </c>
      <c r="C120" s="168"/>
      <c r="D120" s="434">
        <f>(0.5*$C$25*(1-D119/$C$25)^2)/(1-(D118/D117)*(D119/$C$25))</f>
        <v>37.130666666666663</v>
      </c>
      <c r="E120" s="434"/>
      <c r="F120" s="434"/>
      <c r="G120" s="434">
        <f>(0.5*$C$25*(1-G119/$C$25)^2)/(1-(G118/G117)*(G119/$C$25))</f>
        <v>40.508166666666661</v>
      </c>
      <c r="H120" s="434"/>
      <c r="I120" s="434"/>
      <c r="J120" s="434">
        <f>(0.5*$C$25*(1-J119/$C$25)^2)/(1-(J118/J117)*(J119/$C$25))</f>
        <v>20.126041666666662</v>
      </c>
      <c r="K120" s="434"/>
      <c r="L120" s="434"/>
      <c r="M120" s="435">
        <f>(0.5*$C$25*(1-M119/$C$25)^2)/(1-(M118/M117)*(M119/$C$25))</f>
        <v>20.300166666666666</v>
      </c>
    </row>
    <row r="121" spans="1:58" hidden="1" x14ac:dyDescent="0.3">
      <c r="A121" s="557"/>
      <c r="B121" s="327" t="s">
        <v>487</v>
      </c>
      <c r="C121" s="327"/>
      <c r="D121" s="438">
        <f>(D118*D120+G118*G120+J118*J120+M118*M120)/3600</f>
        <v>0</v>
      </c>
      <c r="E121" s="327"/>
      <c r="F121" s="327"/>
      <c r="G121" s="327"/>
      <c r="H121" s="327"/>
      <c r="I121" s="327"/>
      <c r="J121" s="327"/>
      <c r="K121" s="327"/>
      <c r="L121" s="327"/>
      <c r="M121" s="441"/>
    </row>
    <row r="122" spans="1:58" hidden="1" x14ac:dyDescent="0.3"/>
    <row r="123" spans="1:58" hidden="1" x14ac:dyDescent="0.3">
      <c r="A123" s="555" t="s">
        <v>499</v>
      </c>
      <c r="B123" s="324" t="s">
        <v>495</v>
      </c>
      <c r="C123" s="272" t="s">
        <v>13</v>
      </c>
      <c r="D123" s="272" t="s">
        <v>14</v>
      </c>
      <c r="E123" s="384" t="s">
        <v>15</v>
      </c>
      <c r="F123" s="272" t="s">
        <v>18</v>
      </c>
      <c r="G123" s="272" t="s">
        <v>19</v>
      </c>
      <c r="H123" s="384" t="s">
        <v>20</v>
      </c>
      <c r="I123" s="272" t="s">
        <v>3</v>
      </c>
      <c r="J123" s="272" t="s">
        <v>4</v>
      </c>
      <c r="K123" s="384" t="s">
        <v>5</v>
      </c>
      <c r="L123" s="272" t="s">
        <v>8</v>
      </c>
      <c r="M123" s="272" t="s">
        <v>9</v>
      </c>
      <c r="N123" s="384" t="s">
        <v>10</v>
      </c>
      <c r="O123" s="324"/>
      <c r="P123" s="384"/>
      <c r="Q123" s="324"/>
      <c r="R123" s="324"/>
      <c r="S123" s="324"/>
      <c r="T123" s="324"/>
      <c r="U123" s="324"/>
      <c r="V123" s="324"/>
      <c r="W123" s="324"/>
      <c r="X123" s="324"/>
      <c r="Y123" s="324"/>
      <c r="Z123" s="324"/>
      <c r="AA123" s="324"/>
      <c r="AB123" s="324"/>
      <c r="AC123" s="324"/>
      <c r="AD123" s="324"/>
      <c r="AE123" s="384"/>
      <c r="AF123" s="384"/>
      <c r="AG123" s="384"/>
      <c r="AH123" s="384"/>
      <c r="AI123" s="384"/>
      <c r="AJ123" s="384"/>
      <c r="AK123" s="384"/>
      <c r="AL123" s="384"/>
      <c r="AM123" s="384"/>
      <c r="AN123" s="384"/>
      <c r="AO123" s="384"/>
      <c r="AP123" s="384"/>
      <c r="AQ123" s="384"/>
      <c r="AR123" s="384"/>
      <c r="AS123" s="384"/>
      <c r="AT123" s="384"/>
      <c r="AU123" s="384"/>
      <c r="AV123" s="384"/>
      <c r="AW123" s="324"/>
      <c r="AX123" s="324"/>
      <c r="AY123" s="324"/>
      <c r="AZ123" s="324"/>
      <c r="BA123" s="324"/>
      <c r="BB123" s="324"/>
      <c r="BC123" s="324"/>
      <c r="BD123" s="324"/>
      <c r="BE123" s="324"/>
      <c r="BF123" s="432" t="s">
        <v>497</v>
      </c>
    </row>
    <row r="124" spans="1:58" hidden="1" x14ac:dyDescent="0.3">
      <c r="A124" s="556"/>
      <c r="B124" s="168" t="s">
        <v>492</v>
      </c>
      <c r="C124" s="436">
        <f>(((100-'Input sheet'!$B$4)/100)*'Phase calculation'!C3*'Phase calculation'!C44*'Input sheet'!$B$2)/3600</f>
        <v>29.639895833333338</v>
      </c>
      <c r="D124" s="436">
        <f>(((100-'Input sheet'!$B$4)/100)*'Phase calculation'!D3*'Phase calculation'!D44*'Input sheet'!$B$2)/3600</f>
        <v>29.26814236111111</v>
      </c>
      <c r="E124" s="436">
        <f>(((100-'Input sheet'!$B$4)/100)*'Phase calculation'!E3*'Phase calculation'!E44*'Input sheet'!$B$2)/3600</f>
        <v>0</v>
      </c>
      <c r="F124" s="436">
        <f>(((100-'Input sheet'!$B$4)/100)*'Phase calculation'!F3*'Phase calculation'!F44*'Input sheet'!$B$2)/3600</f>
        <v>14.033906250000001</v>
      </c>
      <c r="G124" s="436">
        <f>(((100-'Input sheet'!$B$4)/100)*'Phase calculation'!G3*'Phase calculation'!G44*'Input sheet'!$B$2)/3600</f>
        <v>41.588749999999997</v>
      </c>
      <c r="H124" s="436">
        <f>(((100-'Input sheet'!$B$4)/100)*'Phase calculation'!H3*'Phase calculation'!H44*'Input sheet'!$B$2)/3600</f>
        <v>23.596562500000001</v>
      </c>
      <c r="I124" s="436">
        <f>(((100-'Input sheet'!$B$4)/100)*'Phase calculation'!I3*'Phase calculation'!I44*'Input sheet'!$B$2)/3600</f>
        <v>18.133402777777778</v>
      </c>
      <c r="J124" s="436">
        <f>(((100-'Input sheet'!$B$4)/100)*'Phase calculation'!J3*'Phase calculation'!J44*'Input sheet'!$B$2)/3600</f>
        <v>311.40520833333335</v>
      </c>
      <c r="K124" s="436">
        <f>(((100-'Input sheet'!$B$4)/100)*'Phase calculation'!K3*'Phase calculation'!K44*'Input sheet'!$B$2)/3600</f>
        <v>9.5417291666666664</v>
      </c>
      <c r="L124" s="436">
        <f>(((100-'Input sheet'!$B$4)/100)*'Phase calculation'!L3*'Phase calculation'!L44*'Input sheet'!$B$2)/3600</f>
        <v>50.888541666666661</v>
      </c>
      <c r="M124" s="436">
        <f>(((100-'Input sheet'!$B$4)/100)*'Phase calculation'!M3*'Phase calculation'!M44*'Input sheet'!$B$2)/3600</f>
        <v>34.764479166666668</v>
      </c>
      <c r="N124" s="436">
        <f>(((100-'Input sheet'!$B$4)/100)*'Phase calculation'!N3*'Phase calculation'!N44*'Input sheet'!$B$2)/3600</f>
        <v>7.2819444444444459</v>
      </c>
      <c r="O124" s="168"/>
      <c r="P124" s="428"/>
      <c r="Q124" s="168"/>
      <c r="R124" s="168"/>
      <c r="S124" s="168"/>
      <c r="T124" s="168"/>
      <c r="U124" s="168"/>
      <c r="V124" s="168"/>
      <c r="W124" s="168"/>
      <c r="X124" s="168"/>
      <c r="Y124" s="168"/>
      <c r="Z124" s="168"/>
      <c r="AA124" s="168"/>
      <c r="AB124" s="168"/>
      <c r="AC124" s="168"/>
      <c r="AD124" s="168"/>
      <c r="AE124" s="428"/>
      <c r="AF124" s="428"/>
      <c r="AG124" s="428"/>
      <c r="AH124" s="428"/>
      <c r="AI124" s="428"/>
      <c r="AJ124" s="428"/>
      <c r="AK124" s="428"/>
      <c r="AL124" s="428"/>
      <c r="AM124" s="428"/>
      <c r="AN124" s="428"/>
      <c r="AO124" s="428"/>
      <c r="AP124" s="428"/>
      <c r="AQ124" s="428"/>
      <c r="AR124" s="428"/>
      <c r="AS124" s="428"/>
      <c r="AT124" s="428"/>
      <c r="AU124" s="428"/>
      <c r="AV124" s="428"/>
      <c r="AW124" s="168"/>
      <c r="AX124" s="168"/>
      <c r="AY124" s="168"/>
      <c r="AZ124" s="168"/>
      <c r="BA124" s="168"/>
      <c r="BB124" s="168"/>
      <c r="BC124" s="168"/>
      <c r="BD124" s="168"/>
      <c r="BE124" s="168"/>
      <c r="BF124" s="437">
        <f>SUM(C124:N124)</f>
        <v>570.14256249999994</v>
      </c>
    </row>
    <row r="125" spans="1:58" hidden="1" x14ac:dyDescent="0.3">
      <c r="A125" s="556"/>
      <c r="B125" s="168" t="s">
        <v>493</v>
      </c>
      <c r="C125" s="436">
        <f>(('Input sheet'!$B$4/100)*'Phase calculation'!C3*'Phase calculation'!C44*'Input sheet'!$B$3)/3600</f>
        <v>1.5243375000000001</v>
      </c>
      <c r="D125" s="436">
        <f>(('Input sheet'!$B$4/100)*'Phase calculation'!D3*'Phase calculation'!D44*'Input sheet'!$B$3)/3600</f>
        <v>1.5052187500000003</v>
      </c>
      <c r="E125" s="436">
        <f>(('Input sheet'!$B$4/100)*'Phase calculation'!E3*'Phase calculation'!E44*'Input sheet'!$B$3)/3600</f>
        <v>0</v>
      </c>
      <c r="F125" s="436">
        <f>(('Input sheet'!$B$4/100)*'Phase calculation'!F3*'Phase calculation'!F44*'Input sheet'!$B$3)/3600</f>
        <v>0.72174375000000002</v>
      </c>
      <c r="G125" s="436">
        <f>(('Input sheet'!$B$4/100)*'Phase calculation'!G3*'Phase calculation'!G44*'Input sheet'!$B$3)/3600</f>
        <v>2.1388499999999997</v>
      </c>
      <c r="H125" s="436">
        <f>(('Input sheet'!$B$4/100)*'Phase calculation'!H3*'Phase calculation'!H44*'Input sheet'!$B$3)/3600</f>
        <v>1.2135374999999999</v>
      </c>
      <c r="I125" s="436">
        <f>(('Input sheet'!$B$4/100)*'Phase calculation'!I3*'Phase calculation'!I44*'Input sheet'!$B$3)/3600</f>
        <v>0.93257500000000004</v>
      </c>
      <c r="J125" s="436">
        <f>(('Input sheet'!$B$4/100)*'Phase calculation'!J3*'Phase calculation'!J44*'Input sheet'!$B$3)/3600</f>
        <v>16.015124999999998</v>
      </c>
      <c r="K125" s="436">
        <f>(('Input sheet'!$B$4/100)*'Phase calculation'!K3*'Phase calculation'!K44*'Input sheet'!$B$3)/3600</f>
        <v>0.49071750000000003</v>
      </c>
      <c r="L125" s="436">
        <f>(('Input sheet'!$B$4/100)*'Phase calculation'!L3*'Phase calculation'!L44*'Input sheet'!$B$3)/3600</f>
        <v>2.6171249999999997</v>
      </c>
      <c r="M125" s="436">
        <f>(('Input sheet'!$B$4/100)*'Phase calculation'!M3*'Phase calculation'!M44*'Input sheet'!$B$3)/3600</f>
        <v>1.7878874999999999</v>
      </c>
      <c r="N125" s="436">
        <f>(('Input sheet'!$B$4/100)*'Phase calculation'!N3*'Phase calculation'!N44*'Input sheet'!$B$3)/3600</f>
        <v>0.3745</v>
      </c>
      <c r="O125" s="436">
        <f>(('Input sheet'!$B$4/100)*'Phase calculation'!O3*'Phase calculation'!O44*'Input sheet'!$B$3)/3600</f>
        <v>0</v>
      </c>
      <c r="P125" s="436">
        <f>(('Input sheet'!$B$4/100)*'Phase calculation'!P3*'Phase calculation'!P44*'Input sheet'!$B$3)/3600</f>
        <v>0</v>
      </c>
      <c r="Q125" s="436" t="e">
        <f>(('Input sheet'!$B$4/100)*'Phase calculation'!Q3*'Phase calculation'!Q44*'Input sheet'!$B$3)/3600</f>
        <v>#VALUE!</v>
      </c>
      <c r="R125" s="436" t="e">
        <f>(('Input sheet'!$B$4/100)*'Phase calculation'!R3*'Phase calculation'!R44*'Input sheet'!$B$3)/3600</f>
        <v>#VALUE!</v>
      </c>
      <c r="S125" s="436">
        <f>(('Input sheet'!$B$4/100)*'Phase calculation'!S3*'Phase calculation'!S44*'Input sheet'!$B$3)/3600</f>
        <v>2.6984999999999995E-2</v>
      </c>
      <c r="T125" s="436">
        <f>(('Input sheet'!$B$4/100)*'Phase calculation'!T3*'Phase calculation'!T44*'Input sheet'!$B$3)/3600</f>
        <v>0</v>
      </c>
      <c r="U125" s="436">
        <f>(('Input sheet'!$B$4/100)*'Phase calculation'!U3*'Phase calculation'!U44*'Input sheet'!$B$3)/3600</f>
        <v>0</v>
      </c>
      <c r="V125" s="436">
        <f>(('Input sheet'!$B$4/100)*'Phase calculation'!V3*'Phase calculation'!V44*'Input sheet'!$B$3)/3600</f>
        <v>0</v>
      </c>
      <c r="W125" s="436">
        <f>(('Input sheet'!$B$4/100)*'Phase calculation'!W3*'Phase calculation'!W44*'Input sheet'!$B$3)/3600</f>
        <v>0</v>
      </c>
      <c r="X125" s="436" t="e">
        <f>(('Input sheet'!$B$4/100)*'Phase calculation'!X3*'Phase calculation'!X44*'Input sheet'!$B$3)/3600</f>
        <v>#VALUE!</v>
      </c>
      <c r="Y125" s="436" t="e">
        <f>(('Input sheet'!$B$4/100)*'Phase calculation'!Y3*'Phase calculation'!Y44*'Input sheet'!$B$3)/3600</f>
        <v>#VALUE!</v>
      </c>
      <c r="Z125" s="436" t="e">
        <f>(('Input sheet'!$B$4/100)*'Phase calculation'!Z3*'Phase calculation'!Z44*'Input sheet'!$B$3)/3600</f>
        <v>#VALUE!</v>
      </c>
      <c r="AA125" s="436" t="e">
        <f>(('Input sheet'!$B$4/100)*'Phase calculation'!AA3*'Phase calculation'!AA44*'Input sheet'!$B$3)/3600</f>
        <v>#VALUE!</v>
      </c>
      <c r="AB125" s="436" t="e">
        <f>(('Input sheet'!$B$4/100)*'Phase calculation'!AB3*'Phase calculation'!AB44*'Input sheet'!$B$3)/3600</f>
        <v>#VALUE!</v>
      </c>
      <c r="AC125" s="436" t="e">
        <f>(('Input sheet'!$B$4/100)*'Phase calculation'!AC3*'Phase calculation'!AC44*'Input sheet'!$B$3)/3600</f>
        <v>#VALUE!</v>
      </c>
      <c r="AD125" s="436" t="e">
        <f>(('Input sheet'!$B$4/100)*'Phase calculation'!AD3*'Phase calculation'!AD44*'Input sheet'!$B$3)/3600</f>
        <v>#VALUE!</v>
      </c>
      <c r="AE125" s="436" t="e">
        <f>(('Input sheet'!$B$4/100)*'Phase calculation'!AE3*'Phase calculation'!AE44*'Input sheet'!$B$3)/3600</f>
        <v>#VALUE!</v>
      </c>
      <c r="AF125" s="436" t="e">
        <f>(('Input sheet'!$B$4/100)*'Phase calculation'!AF3*'Phase calculation'!AF44*'Input sheet'!$B$3)/3600</f>
        <v>#VALUE!</v>
      </c>
      <c r="AG125" s="436">
        <f>(('Input sheet'!$B$4/100)*'Phase calculation'!AG3*'Phase calculation'!AG44*'Input sheet'!$B$3)/3600</f>
        <v>0</v>
      </c>
      <c r="AH125" s="436" t="e">
        <f>(('Input sheet'!$B$4/100)*'Phase calculation'!AH3*'Phase calculation'!AH44*'Input sheet'!$B$3)/3600</f>
        <v>#VALUE!</v>
      </c>
      <c r="AI125" s="436" t="e">
        <f>(('Input sheet'!$B$4/100)*'Phase calculation'!AI3*'Phase calculation'!AI44*'Input sheet'!$B$3)/3600</f>
        <v>#VALUE!</v>
      </c>
      <c r="AJ125" s="436">
        <f>(('Input sheet'!$B$4/100)*'Phase calculation'!AJ3*'Phase calculation'!AJ44*'Input sheet'!$B$3)/3600</f>
        <v>6.8250000000000003E-3</v>
      </c>
      <c r="AK125" s="436">
        <f>(('Input sheet'!$B$4/100)*'Phase calculation'!AK3*'Phase calculation'!AK44*'Input sheet'!$B$3)/3600</f>
        <v>9.4500000000000001E-3</v>
      </c>
      <c r="AL125" s="436">
        <f>(('Input sheet'!$B$4/100)*'Phase calculation'!AL3*'Phase calculation'!AL44*'Input sheet'!$B$3)/3600</f>
        <v>1.4174999999999998E-2</v>
      </c>
      <c r="AM125" s="436">
        <f>(('Input sheet'!$B$4/100)*'Phase calculation'!AM3*'Phase calculation'!AM44*'Input sheet'!$B$3)/3600</f>
        <v>0</v>
      </c>
      <c r="AN125" s="436" t="e">
        <f>(('Input sheet'!$B$4/100)*'Phase calculation'!AN3*'Phase calculation'!AN44*'Input sheet'!$B$3)/3600</f>
        <v>#VALUE!</v>
      </c>
      <c r="AO125" s="436">
        <f>(('Input sheet'!$B$4/100)*'Phase calculation'!AO3*'Phase calculation'!AO44*'Input sheet'!$B$3)/3600</f>
        <v>0</v>
      </c>
      <c r="AP125" s="436" t="e">
        <f>(('Input sheet'!$B$4/100)*'Phase calculation'!AP3*'Phase calculation'!AP44*'Input sheet'!$B$3)/3600</f>
        <v>#VALUE!</v>
      </c>
      <c r="AQ125" s="436">
        <f>(('Input sheet'!$B$4/100)*'Phase calculation'!AQ3*'Phase calculation'!AQ44*'Input sheet'!$B$3)/3600</f>
        <v>0</v>
      </c>
      <c r="AR125" s="436">
        <f>(('Input sheet'!$B$4/100)*'Phase calculation'!AR3*'Phase calculation'!AR44*'Input sheet'!$B$3)/3600</f>
        <v>0</v>
      </c>
      <c r="AS125" s="436" t="e">
        <f>(('Input sheet'!$B$4/100)*'Phase calculation'!AS3*'Phase calculation'!AS44*'Input sheet'!$B$3)/3600</f>
        <v>#VALUE!</v>
      </c>
      <c r="AT125" s="436">
        <f>(('Input sheet'!$B$4/100)*'Phase calculation'!AT3*'Phase calculation'!AT44*'Input sheet'!$B$3)/3600</f>
        <v>0</v>
      </c>
      <c r="AU125" s="436">
        <f>(('Input sheet'!$B$4/100)*'Phase calculation'!AU3*'Phase calculation'!AU44*'Input sheet'!$B$3)/3600</f>
        <v>0</v>
      </c>
      <c r="AV125" s="436">
        <f>(('Input sheet'!$B$4/100)*'Phase calculation'!AV3*'Phase calculation'!AV44*'Input sheet'!$B$3)/3600</f>
        <v>0</v>
      </c>
      <c r="AW125" s="436">
        <f>(('Input sheet'!$B$4/100)*'Phase calculation'!AW3*'Phase calculation'!AW44*'Input sheet'!$B$3)/3600</f>
        <v>0</v>
      </c>
      <c r="AX125" s="436">
        <f>(('Input sheet'!$B$4/100)*'Phase calculation'!AX3*'Phase calculation'!AX44*'Input sheet'!$B$3)/3600</f>
        <v>0</v>
      </c>
      <c r="AY125" s="436">
        <f>(('Input sheet'!$B$4/100)*'Phase calculation'!AY3*'Phase calculation'!AY44*'Input sheet'!$B$3)/3600</f>
        <v>0</v>
      </c>
      <c r="AZ125" s="436">
        <f>(('Input sheet'!$B$4/100)*'Phase calculation'!AZ3*'Phase calculation'!AZ44*'Input sheet'!$B$3)/3600</f>
        <v>0</v>
      </c>
      <c r="BA125" s="436">
        <f>(('Input sheet'!$B$4/100)*'Phase calculation'!BA3*'Phase calculation'!BA44*'Input sheet'!$B$3)/3600</f>
        <v>0</v>
      </c>
      <c r="BB125" s="436">
        <f>(('Input sheet'!$B$4/100)*'Phase calculation'!BB3*'Phase calculation'!BB44*'Input sheet'!$B$3)/3600</f>
        <v>0</v>
      </c>
      <c r="BC125" s="436">
        <f>(('Input sheet'!$B$4/100)*'Phase calculation'!BC3*'Phase calculation'!BC44*'Input sheet'!$B$3)/3600</f>
        <v>0</v>
      </c>
      <c r="BD125" s="436">
        <f>(('Input sheet'!$B$4/100)*'Phase calculation'!BD3*'Phase calculation'!BD44*'Input sheet'!$B$3)/3600</f>
        <v>0</v>
      </c>
      <c r="BE125" s="436">
        <f>(('Input sheet'!$B$4/100)*'Phase calculation'!BE3*'Phase calculation'!BE44*'Input sheet'!$B$3)/3600</f>
        <v>0</v>
      </c>
      <c r="BF125" s="437">
        <f>SUM(C125:N125)</f>
        <v>29.321617499999995</v>
      </c>
    </row>
    <row r="126" spans="1:58" hidden="1" x14ac:dyDescent="0.3">
      <c r="A126" s="556"/>
      <c r="B126" s="168" t="s">
        <v>54</v>
      </c>
      <c r="C126" s="168"/>
      <c r="D126" s="436">
        <f>D111*'Input sheet'!$B$2</f>
        <v>0</v>
      </c>
      <c r="E126" s="168"/>
      <c r="F126" s="168"/>
      <c r="G126" s="436">
        <f>G111*'Input sheet'!$B$2</f>
        <v>0</v>
      </c>
      <c r="H126" s="168"/>
      <c r="I126" s="168"/>
      <c r="J126" s="436">
        <f>J111*'Input sheet'!$B$2</f>
        <v>0</v>
      </c>
      <c r="K126" s="168"/>
      <c r="L126" s="168"/>
      <c r="M126" s="436">
        <f>M111*'Input sheet'!$B$2</f>
        <v>0</v>
      </c>
      <c r="N126" s="168"/>
      <c r="O126" s="168"/>
      <c r="P126" s="428"/>
      <c r="Q126" s="168"/>
      <c r="R126" s="168"/>
      <c r="S126" s="168"/>
      <c r="T126" s="168"/>
      <c r="U126" s="168"/>
      <c r="V126" s="168"/>
      <c r="W126" s="168"/>
      <c r="X126" s="168"/>
      <c r="Y126" s="168"/>
      <c r="Z126" s="168"/>
      <c r="AA126" s="168"/>
      <c r="AB126" s="168"/>
      <c r="AC126" s="168"/>
      <c r="AD126" s="168"/>
      <c r="AE126" s="428"/>
      <c r="AF126" s="428"/>
      <c r="AG126" s="428"/>
      <c r="AH126" s="428"/>
      <c r="AI126" s="428"/>
      <c r="AJ126" s="428"/>
      <c r="AK126" s="428"/>
      <c r="AL126" s="428"/>
      <c r="AM126" s="428"/>
      <c r="AN126" s="428"/>
      <c r="AO126" s="428"/>
      <c r="AP126" s="428"/>
      <c r="AQ126" s="428"/>
      <c r="AR126" s="428"/>
      <c r="AS126" s="428"/>
      <c r="AT126" s="428"/>
      <c r="AU126" s="428"/>
      <c r="AV126" s="428"/>
      <c r="AW126" s="168"/>
      <c r="AX126" s="168"/>
      <c r="AY126" s="168"/>
      <c r="AZ126" s="168"/>
      <c r="BA126" s="168"/>
      <c r="BB126" s="168"/>
      <c r="BC126" s="168"/>
      <c r="BD126" s="168"/>
      <c r="BE126" s="168"/>
      <c r="BF126" s="437">
        <f>SUM(C126:N126)</f>
        <v>0</v>
      </c>
    </row>
    <row r="127" spans="1:58" hidden="1" x14ac:dyDescent="0.3">
      <c r="A127" s="556"/>
      <c r="B127" s="168" t="s">
        <v>496</v>
      </c>
      <c r="C127" s="168"/>
      <c r="D127" s="436">
        <f>(D118*D120/3600)*'Input sheet'!$B$2</f>
        <v>0</v>
      </c>
      <c r="E127" s="168"/>
      <c r="F127" s="168"/>
      <c r="G127" s="436">
        <f>(G118*G120/3600)*'Input sheet'!$B$2</f>
        <v>0</v>
      </c>
      <c r="H127" s="168"/>
      <c r="I127" s="168"/>
      <c r="J127" s="436">
        <f>(J118*J120/3600)*'Input sheet'!$B$2</f>
        <v>0</v>
      </c>
      <c r="K127" s="168"/>
      <c r="L127" s="168"/>
      <c r="M127" s="436">
        <f>(M118*M120/3600)*'Input sheet'!$B$2</f>
        <v>0</v>
      </c>
      <c r="N127" s="168"/>
      <c r="O127" s="168"/>
      <c r="P127" s="428"/>
      <c r="Q127" s="168"/>
      <c r="R127" s="168"/>
      <c r="S127" s="168"/>
      <c r="T127" s="168"/>
      <c r="U127" s="168"/>
      <c r="V127" s="168"/>
      <c r="W127" s="168"/>
      <c r="X127" s="168"/>
      <c r="Y127" s="168"/>
      <c r="Z127" s="168"/>
      <c r="AA127" s="168"/>
      <c r="AB127" s="168"/>
      <c r="AC127" s="168"/>
      <c r="AD127" s="168"/>
      <c r="AE127" s="428"/>
      <c r="AF127" s="428"/>
      <c r="AG127" s="428"/>
      <c r="AH127" s="428"/>
      <c r="AI127" s="428"/>
      <c r="AJ127" s="428"/>
      <c r="AK127" s="428"/>
      <c r="AL127" s="428"/>
      <c r="AM127" s="428"/>
      <c r="AN127" s="428"/>
      <c r="AO127" s="428"/>
      <c r="AP127" s="428"/>
      <c r="AQ127" s="428"/>
      <c r="AR127" s="428"/>
      <c r="AS127" s="428"/>
      <c r="AT127" s="428"/>
      <c r="AU127" s="428"/>
      <c r="AV127" s="428"/>
      <c r="AW127" s="168"/>
      <c r="AX127" s="168"/>
      <c r="AY127" s="168"/>
      <c r="AZ127" s="168"/>
      <c r="BA127" s="168"/>
      <c r="BB127" s="168"/>
      <c r="BC127" s="168"/>
      <c r="BD127" s="168"/>
      <c r="BE127" s="168"/>
      <c r="BF127" s="437">
        <f>SUM(C127:N127)</f>
        <v>0</v>
      </c>
    </row>
    <row r="128" spans="1:58" hidden="1" x14ac:dyDescent="0.3">
      <c r="A128" s="557"/>
      <c r="B128" s="454" t="s">
        <v>498</v>
      </c>
      <c r="C128" s="455">
        <f>SUM(BF124:BF127)</f>
        <v>599.46417999999994</v>
      </c>
      <c r="D128" s="327"/>
      <c r="E128" s="327"/>
      <c r="F128" s="327"/>
      <c r="G128" s="327"/>
      <c r="H128" s="327"/>
      <c r="I128" s="327"/>
      <c r="J128" s="327"/>
      <c r="K128" s="327"/>
      <c r="L128" s="327"/>
      <c r="M128" s="327"/>
      <c r="N128" s="327"/>
      <c r="O128" s="327"/>
      <c r="P128" s="385"/>
      <c r="Q128" s="327"/>
      <c r="R128" s="327"/>
      <c r="S128" s="327"/>
      <c r="T128" s="327"/>
      <c r="U128" s="327"/>
      <c r="V128" s="327"/>
      <c r="W128" s="327"/>
      <c r="X128" s="327"/>
      <c r="Y128" s="327"/>
      <c r="Z128" s="327"/>
      <c r="AA128" s="327"/>
      <c r="AB128" s="327"/>
      <c r="AC128" s="327"/>
      <c r="AD128" s="327"/>
      <c r="AE128" s="385"/>
      <c r="AF128" s="385"/>
      <c r="AG128" s="385"/>
      <c r="AH128" s="385"/>
      <c r="AI128" s="385"/>
      <c r="AJ128" s="385"/>
      <c r="AK128" s="385"/>
      <c r="AL128" s="385"/>
      <c r="AM128" s="385"/>
      <c r="AN128" s="385"/>
      <c r="AO128" s="385"/>
      <c r="AP128" s="385"/>
      <c r="AQ128" s="385"/>
      <c r="AR128" s="385"/>
      <c r="AS128" s="385"/>
      <c r="AT128" s="385"/>
      <c r="AU128" s="385"/>
      <c r="AV128" s="385"/>
      <c r="AW128" s="327"/>
      <c r="AX128" s="327"/>
      <c r="AY128" s="327"/>
      <c r="AZ128" s="327"/>
      <c r="BA128" s="327"/>
      <c r="BB128" s="327"/>
      <c r="BC128" s="327"/>
      <c r="BD128" s="327"/>
      <c r="BE128" s="327"/>
      <c r="BF128" s="441"/>
    </row>
    <row r="129" spans="1:63" hidden="1" x14ac:dyDescent="0.3"/>
    <row r="130" spans="1:63" hidden="1" x14ac:dyDescent="0.3"/>
    <row r="131" spans="1:63" hidden="1" x14ac:dyDescent="0.3">
      <c r="B131" s="456"/>
      <c r="C131" s="324" t="s">
        <v>501</v>
      </c>
      <c r="D131" s="324" t="s">
        <v>502</v>
      </c>
      <c r="E131" s="324" t="s">
        <v>503</v>
      </c>
      <c r="F131" s="324" t="s">
        <v>504</v>
      </c>
      <c r="G131" s="432"/>
      <c r="BI131" s="426" t="s">
        <v>505</v>
      </c>
      <c r="BJ131" s="426" t="s">
        <v>506</v>
      </c>
      <c r="BK131" s="426" t="s">
        <v>507</v>
      </c>
    </row>
    <row r="132" spans="1:63" hidden="1" x14ac:dyDescent="0.3">
      <c r="B132" s="325" t="s">
        <v>500</v>
      </c>
      <c r="C132" s="168">
        <f>Phasing!P3</f>
        <v>48</v>
      </c>
      <c r="D132" s="168">
        <f>Phasing!R3</f>
        <v>60</v>
      </c>
      <c r="E132" s="168">
        <f>Phasing!T3</f>
        <v>60</v>
      </c>
      <c r="F132" s="168">
        <f>Phasing!V3</f>
        <v>60</v>
      </c>
      <c r="G132" s="433"/>
      <c r="BI132" s="426">
        <v>8</v>
      </c>
      <c r="BJ132" s="426" t="s">
        <v>511</v>
      </c>
      <c r="BK132" s="426">
        <v>300</v>
      </c>
    </row>
    <row r="133" spans="1:63" hidden="1" x14ac:dyDescent="0.3">
      <c r="B133" s="325" t="s">
        <v>42</v>
      </c>
      <c r="C133" s="168">
        <f>'Input sheet'!D13</f>
        <v>30</v>
      </c>
      <c r="D133" s="168">
        <f>'Input sheet'!P13</f>
        <v>30</v>
      </c>
      <c r="E133" s="168">
        <f>'Input sheet'!J24</f>
        <v>45</v>
      </c>
      <c r="F133" s="168">
        <f>'Input sheet'!J4</f>
        <v>45</v>
      </c>
      <c r="G133" s="433"/>
      <c r="BI133" s="426">
        <v>6</v>
      </c>
      <c r="BJ133" s="426" t="s">
        <v>510</v>
      </c>
      <c r="BK133" s="426">
        <v>350</v>
      </c>
    </row>
    <row r="134" spans="1:63" hidden="1" x14ac:dyDescent="0.3">
      <c r="B134" s="325" t="s">
        <v>512</v>
      </c>
      <c r="C134" s="168" t="e">
        <f>VLOOKUP(C133,#REF!,3)</f>
        <v>#REF!</v>
      </c>
      <c r="D134" s="168" t="e">
        <f>VLOOKUP(D133,#REF!,3)</f>
        <v>#REF!</v>
      </c>
      <c r="E134" s="168" t="e">
        <f>VLOOKUP(E133,#REF!,3)</f>
        <v>#REF!</v>
      </c>
      <c r="F134" s="168" t="e">
        <f>VLOOKUP(F133,#REF!,3)</f>
        <v>#REF!</v>
      </c>
      <c r="G134" s="433"/>
      <c r="BI134" s="426">
        <v>5</v>
      </c>
      <c r="BJ134" s="426" t="s">
        <v>509</v>
      </c>
      <c r="BK134" s="426">
        <v>660</v>
      </c>
    </row>
    <row r="135" spans="1:63" hidden="1" x14ac:dyDescent="0.3">
      <c r="B135" s="325" t="s">
        <v>507</v>
      </c>
      <c r="C135" s="168" t="e">
        <f>INDEX($BK$132:$BK$134,MATCH(C134,$BJ$132:$BJ$134,0))</f>
        <v>#REF!</v>
      </c>
      <c r="D135" s="168" t="e">
        <f t="shared" ref="D135:F135" si="24">INDEX($BK$132:$BK$134,MATCH(D134,$BJ$132:$BJ$134,0))</f>
        <v>#REF!</v>
      </c>
      <c r="E135" s="168" t="e">
        <f t="shared" si="24"/>
        <v>#REF!</v>
      </c>
      <c r="F135" s="168" t="e">
        <f t="shared" si="24"/>
        <v>#REF!</v>
      </c>
      <c r="G135" s="433"/>
    </row>
    <row r="136" spans="1:63" hidden="1" x14ac:dyDescent="0.3">
      <c r="B136" s="325" t="s">
        <v>508</v>
      </c>
      <c r="C136" s="168" t="e">
        <f>INDEX(#REF!,MATCH(C134,$BJ$132:$BJ$134,0))</f>
        <v>#REF!</v>
      </c>
      <c r="D136" s="168" t="e">
        <f>INDEX(#REF!,MATCH(D134,$BJ$132:$BJ$134,0))</f>
        <v>#REF!</v>
      </c>
      <c r="E136" s="168" t="e">
        <f>INDEX(#REF!,MATCH(E134,$BJ$132:$BJ$134,0))</f>
        <v>#REF!</v>
      </c>
      <c r="F136" s="168" t="e">
        <f>INDEX(#REF!,MATCH(F134,$BJ$132:$BJ$134,0))</f>
        <v>#REF!</v>
      </c>
      <c r="G136" s="433"/>
    </row>
    <row r="137" spans="1:63" hidden="1" x14ac:dyDescent="0.3">
      <c r="B137" s="325" t="s">
        <v>515</v>
      </c>
      <c r="C137" s="168" t="e">
        <f>INDEX(#REF!,MATCH(C134,$BJ$132:$BJ$134,0))</f>
        <v>#REF!</v>
      </c>
      <c r="D137" s="168" t="e">
        <f>INDEX(#REF!,MATCH(D134,$BJ$132:$BJ$134,0))</f>
        <v>#REF!</v>
      </c>
      <c r="E137" s="168" t="e">
        <f>INDEX(#REF!,MATCH(E134,$BJ$132:$BJ$134,0))</f>
        <v>#REF!</v>
      </c>
      <c r="F137" s="168" t="e">
        <f>INDEX(#REF!,MATCH(F134,$BJ$132:$BJ$134,0))</f>
        <v>#REF!</v>
      </c>
      <c r="G137" s="458" t="s">
        <v>497</v>
      </c>
    </row>
    <row r="138" spans="1:63" hidden="1" x14ac:dyDescent="0.3">
      <c r="B138" s="325" t="s">
        <v>513</v>
      </c>
      <c r="C138" s="434" t="e">
        <f>(C137-C132)/C135</f>
        <v>#REF!</v>
      </c>
      <c r="D138" s="434" t="e">
        <f t="shared" ref="D138:F138" si="25">(D137-D132)/D135</f>
        <v>#REF!</v>
      </c>
      <c r="E138" s="434" t="e">
        <f t="shared" si="25"/>
        <v>#REF!</v>
      </c>
      <c r="F138" s="434" t="e">
        <f t="shared" si="25"/>
        <v>#REF!</v>
      </c>
      <c r="G138" s="459" t="e">
        <f>SUM(C138:F138)</f>
        <v>#REF!</v>
      </c>
    </row>
    <row r="139" spans="1:63" hidden="1" x14ac:dyDescent="0.3">
      <c r="B139" s="326" t="s">
        <v>514</v>
      </c>
      <c r="C139" s="457" t="e">
        <f>(C137-C132)/C136</f>
        <v>#REF!</v>
      </c>
      <c r="D139" s="457" t="e">
        <f t="shared" ref="D139:F139" si="26">(D137-D132)/D136</f>
        <v>#REF!</v>
      </c>
      <c r="E139" s="457" t="e">
        <f t="shared" si="26"/>
        <v>#REF!</v>
      </c>
      <c r="F139" s="457" t="e">
        <f t="shared" si="26"/>
        <v>#REF!</v>
      </c>
      <c r="G139" s="460" t="e">
        <f>SUM(C139:F139)</f>
        <v>#REF!</v>
      </c>
    </row>
    <row r="140" spans="1:63" hidden="1" x14ac:dyDescent="0.3"/>
    <row r="141" spans="1:63" hidden="1" x14ac:dyDescent="0.3"/>
    <row r="142" spans="1:63" hidden="1" x14ac:dyDescent="0.3">
      <c r="A142" s="545" t="s">
        <v>523</v>
      </c>
      <c r="B142" s="324" t="s">
        <v>73</v>
      </c>
      <c r="C142" s="324"/>
      <c r="D142" s="324" t="s">
        <v>14</v>
      </c>
      <c r="E142" s="324"/>
      <c r="F142" s="324"/>
      <c r="G142" s="324" t="s">
        <v>19</v>
      </c>
      <c r="H142" s="324"/>
      <c r="I142" s="324"/>
      <c r="J142" s="324" t="s">
        <v>4</v>
      </c>
      <c r="K142" s="324"/>
      <c r="L142" s="324"/>
      <c r="M142" s="432" t="s">
        <v>9</v>
      </c>
    </row>
    <row r="143" spans="1:63" hidden="1" x14ac:dyDescent="0.3">
      <c r="A143" s="546"/>
      <c r="B143" s="168" t="s">
        <v>524</v>
      </c>
      <c r="C143" s="168"/>
      <c r="D143" s="439">
        <f>'Input sheet'!A15</f>
        <v>10</v>
      </c>
      <c r="E143" s="439"/>
      <c r="F143" s="439"/>
      <c r="G143" s="439">
        <f>'Input sheet'!R15</f>
        <v>10</v>
      </c>
      <c r="H143" s="439"/>
      <c r="I143" s="439"/>
      <c r="J143" s="439">
        <f>'Input sheet'!M26</f>
        <v>12</v>
      </c>
      <c r="K143" s="439"/>
      <c r="L143" s="439"/>
      <c r="M143" s="440">
        <f>'Input sheet'!M2</f>
        <v>12</v>
      </c>
    </row>
    <row r="144" spans="1:63" hidden="1" x14ac:dyDescent="0.3">
      <c r="A144" s="546"/>
      <c r="B144" s="168" t="s">
        <v>525</v>
      </c>
      <c r="C144" s="168"/>
      <c r="D144" s="439">
        <f>D38</f>
        <v>25.6</v>
      </c>
      <c r="E144" s="439"/>
      <c r="F144" s="439"/>
      <c r="G144" s="439">
        <f>G38</f>
        <v>21.4</v>
      </c>
      <c r="H144" s="439"/>
      <c r="I144" s="439"/>
      <c r="J144" s="439">
        <f>J38</f>
        <v>50.5</v>
      </c>
      <c r="K144" s="439"/>
      <c r="L144" s="439"/>
      <c r="M144" s="440">
        <f>M38</f>
        <v>50.2</v>
      </c>
    </row>
    <row r="145" spans="1:64" hidden="1" x14ac:dyDescent="0.3">
      <c r="A145" s="546"/>
      <c r="B145" s="168" t="s">
        <v>526</v>
      </c>
      <c r="C145" s="168"/>
      <c r="D145" s="434">
        <f>D44</f>
        <v>49.150000000000006</v>
      </c>
      <c r="E145" s="434"/>
      <c r="F145" s="434"/>
      <c r="G145" s="434">
        <f>G44</f>
        <v>61.11</v>
      </c>
      <c r="H145" s="434"/>
      <c r="I145" s="434"/>
      <c r="J145" s="434">
        <f>J44</f>
        <v>122.02</v>
      </c>
      <c r="K145" s="434"/>
      <c r="L145" s="434"/>
      <c r="M145" s="435">
        <f>M44</f>
        <v>29.189999999999998</v>
      </c>
    </row>
    <row r="146" spans="1:64" hidden="1" x14ac:dyDescent="0.3">
      <c r="A146" s="547"/>
      <c r="B146" s="327" t="s">
        <v>527</v>
      </c>
      <c r="C146" s="327"/>
      <c r="D146" s="438">
        <f>(D143*D145+G143*G145+J143*J145+M143*M145)/3600</f>
        <v>0.81031111111111109</v>
      </c>
      <c r="E146" s="327"/>
      <c r="F146" s="327"/>
      <c r="G146" s="327"/>
      <c r="H146" s="327"/>
      <c r="I146" s="327"/>
      <c r="J146" s="327"/>
      <c r="K146" s="327"/>
      <c r="L146" s="327"/>
      <c r="M146" s="441"/>
    </row>
    <row r="147" spans="1:64" hidden="1" x14ac:dyDescent="0.3"/>
    <row r="149" spans="1:64" x14ac:dyDescent="0.3">
      <c r="B149" s="502" t="s">
        <v>689</v>
      </c>
      <c r="C149" s="502">
        <f>IF(C33=0,D33&amp;"2",C33)</f>
        <v>7</v>
      </c>
      <c r="D149" s="502">
        <f>D33</f>
        <v>4</v>
      </c>
      <c r="E149" s="502" t="str">
        <f>E33&amp;"1"</f>
        <v>41</v>
      </c>
      <c r="F149" s="502">
        <f>IF(F33=0,G33&amp;"2",F33)</f>
        <v>3</v>
      </c>
      <c r="G149" s="502">
        <f>G33</f>
        <v>8</v>
      </c>
      <c r="H149" s="502" t="str">
        <f>H33&amp;"1"</f>
        <v>81</v>
      </c>
      <c r="I149" s="502">
        <f>IF(I33=0,J33&amp;"2",I33)</f>
        <v>5</v>
      </c>
      <c r="J149" s="502">
        <f>J33</f>
        <v>2</v>
      </c>
      <c r="K149" s="502" t="str">
        <f>K33&amp;"1"</f>
        <v>21</v>
      </c>
      <c r="L149" s="502">
        <f>IF(L33=0,M33&amp;"2",L33)</f>
        <v>1</v>
      </c>
      <c r="M149" s="502">
        <f>M33</f>
        <v>6</v>
      </c>
      <c r="N149" s="502" t="str">
        <f>N33&amp;"1"</f>
        <v>61</v>
      </c>
      <c r="O149" s="502"/>
      <c r="P149" s="503"/>
      <c r="Q149" s="502"/>
      <c r="R149" s="502"/>
      <c r="S149" s="502"/>
      <c r="T149" s="502"/>
      <c r="U149" s="502"/>
      <c r="V149" s="502"/>
      <c r="W149" s="502"/>
      <c r="X149" s="502"/>
      <c r="Y149" s="502"/>
      <c r="Z149" s="502"/>
      <c r="AA149" s="502"/>
      <c r="AB149" s="502"/>
      <c r="AC149" s="502"/>
      <c r="AD149" s="502"/>
      <c r="AE149" s="504"/>
      <c r="AF149" s="504"/>
      <c r="AG149" s="504"/>
      <c r="AH149" s="504"/>
      <c r="AI149" s="504"/>
      <c r="AJ149" s="504"/>
      <c r="AK149" s="503"/>
      <c r="AL149" s="503"/>
      <c r="AM149" s="503"/>
      <c r="AN149" s="503"/>
      <c r="AO149" s="503"/>
      <c r="AP149" s="503"/>
      <c r="AQ149" s="503"/>
      <c r="AR149" s="503"/>
      <c r="AS149" s="503"/>
      <c r="AT149" s="503"/>
      <c r="AU149" s="503"/>
      <c r="AV149" s="503"/>
      <c r="AW149" s="502"/>
      <c r="AX149" s="502"/>
      <c r="AY149" s="502"/>
      <c r="AZ149" s="502"/>
      <c r="BA149" s="502"/>
      <c r="BB149" s="502"/>
      <c r="BC149" s="502"/>
      <c r="BD149" s="502"/>
      <c r="BE149" s="502"/>
      <c r="BF149" s="502"/>
      <c r="BG149" s="502"/>
      <c r="BH149" s="502"/>
      <c r="BI149" s="502"/>
      <c r="BJ149" s="502"/>
      <c r="BK149" s="502" t="s">
        <v>82</v>
      </c>
      <c r="BL149" s="502" t="s">
        <v>82</v>
      </c>
    </row>
    <row r="150" spans="1:64" x14ac:dyDescent="0.3">
      <c r="B150" s="502" t="s">
        <v>690</v>
      </c>
      <c r="C150" s="502">
        <f>IF(C33=0,D33,C33)</f>
        <v>7</v>
      </c>
      <c r="D150" s="502">
        <f>D33</f>
        <v>4</v>
      </c>
      <c r="E150" s="502">
        <f>E33</f>
        <v>4</v>
      </c>
      <c r="F150" s="502">
        <f>IF(F33=0,G33,F33)</f>
        <v>3</v>
      </c>
      <c r="G150" s="502">
        <f>G33</f>
        <v>8</v>
      </c>
      <c r="H150" s="502">
        <f>H33</f>
        <v>8</v>
      </c>
      <c r="I150" s="502">
        <f>IF(I33=0,J33,I33)</f>
        <v>5</v>
      </c>
      <c r="J150" s="502">
        <f>J33</f>
        <v>2</v>
      </c>
      <c r="K150" s="502">
        <f>K33</f>
        <v>2</v>
      </c>
      <c r="L150" s="502">
        <f>IF(L33=0,M33,L33)</f>
        <v>1</v>
      </c>
      <c r="M150" s="502">
        <f>M33</f>
        <v>6</v>
      </c>
      <c r="N150" s="502">
        <f>N33</f>
        <v>6</v>
      </c>
      <c r="O150" s="502"/>
      <c r="P150" s="503"/>
      <c r="Q150" s="502"/>
      <c r="R150" s="502"/>
      <c r="S150" s="502"/>
      <c r="T150" s="502"/>
      <c r="U150" s="502"/>
      <c r="V150" s="502"/>
      <c r="W150" s="502"/>
      <c r="X150" s="502"/>
      <c r="Y150" s="502"/>
      <c r="Z150" s="502"/>
      <c r="AA150" s="502"/>
      <c r="AB150" s="502"/>
      <c r="AC150" s="502"/>
      <c r="AD150" s="502"/>
      <c r="AE150" s="504"/>
      <c r="AF150" s="504"/>
      <c r="AG150" s="504"/>
      <c r="AH150" s="504"/>
      <c r="AI150" s="504"/>
      <c r="AJ150" s="504"/>
      <c r="AK150" s="503"/>
      <c r="AL150" s="503"/>
      <c r="AM150" s="503"/>
      <c r="AN150" s="503"/>
      <c r="AO150" s="503"/>
      <c r="AP150" s="503"/>
      <c r="AQ150" s="503"/>
      <c r="AR150" s="503"/>
      <c r="AS150" s="503"/>
      <c r="AT150" s="503"/>
      <c r="AU150" s="503"/>
      <c r="AV150" s="503"/>
      <c r="AW150" s="502"/>
      <c r="AX150" s="502"/>
      <c r="AY150" s="502"/>
      <c r="AZ150" s="502"/>
      <c r="BA150" s="502"/>
      <c r="BB150" s="502"/>
      <c r="BC150" s="502"/>
      <c r="BD150" s="502"/>
      <c r="BE150" s="502"/>
      <c r="BF150" s="502"/>
      <c r="BG150" s="502"/>
      <c r="BH150" s="502"/>
      <c r="BI150" s="502"/>
      <c r="BJ150" s="502"/>
      <c r="BK150" s="502" t="s">
        <v>83</v>
      </c>
      <c r="BL150" s="502" t="s">
        <v>691</v>
      </c>
    </row>
    <row r="151" spans="1:64" x14ac:dyDescent="0.3">
      <c r="B151" s="502" t="s">
        <v>692</v>
      </c>
      <c r="C151" s="502" t="str">
        <f>'Phase designation'!B23</f>
        <v>Permitted</v>
      </c>
      <c r="D151" s="502"/>
      <c r="E151" s="502"/>
      <c r="F151" s="502" t="str">
        <f>'Phase designation'!D23</f>
        <v>Permitted</v>
      </c>
      <c r="G151" s="502"/>
      <c r="H151" s="502"/>
      <c r="I151" s="502" t="str">
        <f>'Phase designation'!F23</f>
        <v>Prot+perm</v>
      </c>
      <c r="J151" s="502"/>
      <c r="K151" s="502"/>
      <c r="L151" s="502" t="str">
        <f>'Phase designation'!H23</f>
        <v>Prot+perm</v>
      </c>
      <c r="M151" s="502"/>
      <c r="N151" s="502"/>
      <c r="O151" s="502"/>
      <c r="P151" s="503"/>
      <c r="Q151" s="502"/>
      <c r="R151" s="502"/>
      <c r="S151" s="502"/>
      <c r="T151" s="502"/>
      <c r="U151" s="502"/>
      <c r="V151" s="502"/>
      <c r="W151" s="502"/>
      <c r="X151" s="502"/>
      <c r="Y151" s="502"/>
      <c r="Z151" s="502"/>
      <c r="AA151" s="502"/>
      <c r="AB151" s="502"/>
      <c r="AC151" s="502"/>
      <c r="AD151" s="502"/>
      <c r="AE151" s="504"/>
      <c r="AF151" s="504"/>
      <c r="AG151" s="504"/>
      <c r="AH151" s="504"/>
      <c r="AI151" s="504"/>
      <c r="AJ151" s="504"/>
      <c r="AK151" s="503"/>
      <c r="AL151" s="503"/>
      <c r="AM151" s="503"/>
      <c r="AN151" s="503"/>
      <c r="AO151" s="503"/>
      <c r="AP151" s="503"/>
      <c r="AQ151" s="503"/>
      <c r="AR151" s="503"/>
      <c r="AS151" s="503"/>
      <c r="AT151" s="503"/>
      <c r="AU151" s="503"/>
      <c r="AV151" s="503"/>
      <c r="AW151" s="502"/>
      <c r="AX151" s="502"/>
      <c r="AY151" s="502"/>
      <c r="AZ151" s="502"/>
      <c r="BA151" s="502"/>
      <c r="BB151" s="502"/>
      <c r="BC151" s="502"/>
      <c r="BD151" s="502"/>
      <c r="BE151" s="502"/>
      <c r="BF151" s="502"/>
      <c r="BG151" s="502"/>
      <c r="BH151" s="502"/>
      <c r="BI151" s="502"/>
      <c r="BJ151" s="502"/>
      <c r="BK151" s="502" t="s">
        <v>84</v>
      </c>
      <c r="BL151" s="502" t="s">
        <v>693</v>
      </c>
    </row>
    <row r="152" spans="1:64" x14ac:dyDescent="0.3">
      <c r="B152" s="502" t="s">
        <v>694</v>
      </c>
      <c r="C152" s="502" t="str">
        <f>IF(C150=0,"",INDEX($BL$149:$BL$151,MATCH(C151,$BK$149:$BK$151,0)))</f>
        <v>Permissive</v>
      </c>
      <c r="D152" s="502" t="str">
        <f>IF(D150=0,"","Protected")</f>
        <v>Protected</v>
      </c>
      <c r="E152" s="502" t="str">
        <f>IF(E150=0,"","RTOR")</f>
        <v>RTOR</v>
      </c>
      <c r="F152" s="502" t="str">
        <f>IF(F150=0,"",INDEX($BL$149:$BL$151,MATCH(F151,$BK$149:$BK$151,0)))</f>
        <v>Permissive</v>
      </c>
      <c r="G152" s="502" t="str">
        <f>IF(G150=0,"","Protected")</f>
        <v>Protected</v>
      </c>
      <c r="H152" s="502" t="str">
        <f>IF(H150=0,"","RTOR")</f>
        <v>RTOR</v>
      </c>
      <c r="I152" s="502" t="str">
        <f>IF(I150=0,"",INDEX($BL$149:$BL$151,MATCH(I151,$BK$149:$BK$151,0)))</f>
        <v>Protected/Permissive</v>
      </c>
      <c r="J152" s="502" t="str">
        <f>IF(J150=0,"","Protected")</f>
        <v>Protected</v>
      </c>
      <c r="K152" s="502" t="str">
        <f>IF(K150=0,"","RTOR")</f>
        <v>RTOR</v>
      </c>
      <c r="L152" s="502" t="str">
        <f>IF(L150=0,"",INDEX($BL$149:$BL$151,MATCH(L151,$BK$149:$BK$151,0)))</f>
        <v>Protected/Permissive</v>
      </c>
      <c r="M152" s="502" t="str">
        <f>IF(M150=0,"","Protected")</f>
        <v>Protected</v>
      </c>
      <c r="N152" s="502" t="str">
        <f>IF(N150=0,"","RTOR")</f>
        <v>RTOR</v>
      </c>
      <c r="O152" s="502"/>
      <c r="P152" s="503"/>
      <c r="Q152" s="502"/>
      <c r="R152" s="502"/>
      <c r="S152" s="502"/>
      <c r="T152" s="502"/>
      <c r="U152" s="502"/>
      <c r="V152" s="502"/>
      <c r="W152" s="502"/>
      <c r="X152" s="502"/>
      <c r="Y152" s="502"/>
      <c r="Z152" s="502"/>
      <c r="AA152" s="502"/>
      <c r="AB152" s="502"/>
      <c r="AC152" s="502"/>
      <c r="AD152" s="502"/>
      <c r="AE152" s="504"/>
      <c r="AF152" s="504"/>
      <c r="AG152" s="504"/>
      <c r="AH152" s="504"/>
      <c r="AI152" s="504"/>
      <c r="AJ152" s="504"/>
      <c r="AK152" s="503"/>
      <c r="AL152" s="503"/>
      <c r="AM152" s="503"/>
      <c r="AN152" s="503"/>
      <c r="AO152" s="503"/>
      <c r="AP152" s="503"/>
      <c r="AQ152" s="503"/>
      <c r="AR152" s="503"/>
      <c r="AS152" s="503"/>
      <c r="AT152" s="503"/>
      <c r="AU152" s="503"/>
      <c r="AV152" s="503"/>
      <c r="AW152" s="502"/>
      <c r="AX152" s="502"/>
      <c r="AY152" s="502"/>
      <c r="AZ152" s="502"/>
      <c r="BA152" s="502"/>
      <c r="BB152" s="502"/>
      <c r="BC152" s="502"/>
      <c r="BD152" s="502"/>
      <c r="BE152" s="502"/>
      <c r="BF152" s="502"/>
      <c r="BG152" s="502"/>
      <c r="BH152" s="502"/>
      <c r="BI152" s="502"/>
      <c r="BJ152" s="502"/>
      <c r="BK152" s="502"/>
      <c r="BL152" s="502"/>
    </row>
    <row r="153" spans="1:64" x14ac:dyDescent="0.3">
      <c r="B153" s="502"/>
      <c r="C153" s="502"/>
      <c r="D153" s="502"/>
      <c r="E153" s="502"/>
      <c r="F153" s="502"/>
      <c r="G153" s="502"/>
      <c r="H153" s="502"/>
      <c r="I153" s="502"/>
      <c r="J153" s="502"/>
      <c r="K153" s="502"/>
      <c r="L153" s="502"/>
      <c r="M153" s="502"/>
      <c r="N153" s="502"/>
      <c r="O153" s="502"/>
      <c r="P153" s="503"/>
      <c r="Q153" s="502"/>
      <c r="R153" s="502"/>
      <c r="S153" s="502"/>
      <c r="T153" s="502"/>
      <c r="U153" s="502"/>
      <c r="V153" s="502"/>
      <c r="W153" s="502"/>
      <c r="X153" s="502"/>
      <c r="Y153" s="502"/>
      <c r="Z153" s="502"/>
      <c r="AA153" s="502"/>
      <c r="AB153" s="502"/>
      <c r="AC153" s="502"/>
      <c r="AD153" s="502"/>
      <c r="AE153" s="504"/>
      <c r="AF153" s="504"/>
      <c r="AG153" s="504"/>
      <c r="AH153" s="504"/>
      <c r="AI153" s="504"/>
      <c r="AJ153" s="504"/>
      <c r="AK153" s="503"/>
      <c r="AL153" s="503"/>
      <c r="AM153" s="503"/>
      <c r="AN153" s="503"/>
      <c r="AO153" s="503"/>
      <c r="AP153" s="503"/>
      <c r="AQ153" s="503"/>
      <c r="AR153" s="503"/>
      <c r="AS153" s="503"/>
      <c r="AT153" s="503"/>
      <c r="AU153" s="503"/>
      <c r="AV153" s="503"/>
      <c r="AW153" s="502"/>
      <c r="AX153" s="502"/>
      <c r="AY153" s="502"/>
      <c r="AZ153" s="502"/>
      <c r="BA153" s="502"/>
      <c r="BB153" s="502"/>
      <c r="BC153" s="502"/>
      <c r="BD153" s="502"/>
      <c r="BE153" s="502"/>
      <c r="BF153" s="502"/>
      <c r="BG153" s="502"/>
      <c r="BH153" s="502"/>
      <c r="BI153" s="502"/>
      <c r="BJ153" s="502"/>
      <c r="BK153" s="502"/>
      <c r="BL153" s="502"/>
    </row>
    <row r="154" spans="1:64" x14ac:dyDescent="0.3">
      <c r="B154" s="502" t="s">
        <v>695</v>
      </c>
      <c r="C154" s="502"/>
      <c r="D154" s="502"/>
      <c r="E154" s="502"/>
      <c r="F154" s="502"/>
      <c r="G154" s="502"/>
      <c r="H154" s="502"/>
      <c r="I154" s="502"/>
      <c r="J154" s="502"/>
      <c r="K154" s="502"/>
      <c r="L154" s="502"/>
      <c r="M154" s="502"/>
      <c r="N154" s="502"/>
      <c r="O154" s="502"/>
      <c r="P154" s="503"/>
      <c r="Q154" s="502"/>
      <c r="R154" s="502"/>
      <c r="S154" s="502"/>
      <c r="T154" s="502"/>
      <c r="U154" s="502"/>
      <c r="V154" s="502"/>
      <c r="W154" s="502"/>
      <c r="X154" s="502"/>
      <c r="Y154" s="502"/>
      <c r="Z154" s="502"/>
      <c r="AA154" s="502"/>
      <c r="AB154" s="502"/>
      <c r="AC154" s="502"/>
      <c r="AD154" s="502"/>
      <c r="AE154" s="504"/>
      <c r="AF154" s="504"/>
      <c r="AG154" s="504"/>
      <c r="AH154" s="504"/>
      <c r="AI154" s="504"/>
      <c r="AJ154" s="504"/>
      <c r="AK154" s="503"/>
      <c r="AL154" s="503"/>
      <c r="AM154" s="503"/>
      <c r="AN154" s="503"/>
      <c r="AO154" s="503"/>
      <c r="AP154" s="503"/>
      <c r="AQ154" s="503"/>
      <c r="AR154" s="503"/>
      <c r="AS154" s="503"/>
      <c r="AT154" s="503"/>
      <c r="AU154" s="503"/>
      <c r="AV154" s="503"/>
      <c r="AW154" s="502"/>
      <c r="AX154" s="502"/>
      <c r="AY154" s="502"/>
      <c r="AZ154" s="502"/>
      <c r="BA154" s="502"/>
      <c r="BB154" s="502"/>
      <c r="BC154" s="502"/>
      <c r="BD154" s="502"/>
      <c r="BE154" s="502"/>
      <c r="BF154" s="502"/>
      <c r="BG154" s="502"/>
      <c r="BH154" s="502"/>
      <c r="BI154" s="502"/>
      <c r="BJ154" s="502"/>
      <c r="BK154" s="502"/>
      <c r="BL154" s="502"/>
    </row>
    <row r="155" spans="1:64" x14ac:dyDescent="0.3">
      <c r="B155" s="335" t="s">
        <v>696</v>
      </c>
      <c r="C155" s="502" t="str">
        <f>IF(C150=0,"",Sheet1!$B$2)</f>
        <v>SR 85 &amp; Ramah Road</v>
      </c>
      <c r="D155" s="502" t="str">
        <f>IF(D150=0,"",Sheet1!$B$2)</f>
        <v>SR 85 &amp; Ramah Road</v>
      </c>
      <c r="E155" s="502" t="str">
        <f>IF(E150=0,"",Sheet1!$B$2)</f>
        <v>SR 85 &amp; Ramah Road</v>
      </c>
      <c r="F155" s="502" t="str">
        <f>IF(F150=0,"",Sheet1!$B$2)</f>
        <v>SR 85 &amp; Ramah Road</v>
      </c>
      <c r="G155" s="502" t="str">
        <f>IF(G150=0,"",Sheet1!$B$2)</f>
        <v>SR 85 &amp; Ramah Road</v>
      </c>
      <c r="H155" s="502" t="str">
        <f>IF(H150=0,"",Sheet1!$B$2)</f>
        <v>SR 85 &amp; Ramah Road</v>
      </c>
      <c r="I155" s="502" t="str">
        <f>IF(I150=0,"",Sheet1!$B$2)</f>
        <v>SR 85 &amp; Ramah Road</v>
      </c>
      <c r="J155" s="502" t="str">
        <f>IF(J150=0,"",Sheet1!$B$2)</f>
        <v>SR 85 &amp; Ramah Road</v>
      </c>
      <c r="K155" s="502" t="str">
        <f>IF(K150=0,"",Sheet1!$B$2)</f>
        <v>SR 85 &amp; Ramah Road</v>
      </c>
      <c r="L155" s="502" t="str">
        <f>IF(L150=0,"",Sheet1!$B$2)</f>
        <v>SR 85 &amp; Ramah Road</v>
      </c>
      <c r="M155" s="502" t="str">
        <f>IF(M150=0,"",Sheet1!$B$2)</f>
        <v>SR 85 &amp; Ramah Road</v>
      </c>
      <c r="N155" s="502" t="str">
        <f>IF(N150=0,"",Sheet1!$B$2)</f>
        <v>SR 85 &amp; Ramah Road</v>
      </c>
      <c r="O155" s="502"/>
      <c r="P155" s="503"/>
      <c r="Q155" s="502"/>
      <c r="R155" s="502"/>
      <c r="S155" s="502"/>
      <c r="T155" s="502"/>
      <c r="U155" s="502"/>
      <c r="V155" s="502"/>
      <c r="W155" s="502"/>
      <c r="X155" s="502"/>
      <c r="Y155" s="502"/>
      <c r="Z155" s="502"/>
      <c r="AA155" s="502"/>
      <c r="AB155" s="502"/>
      <c r="AC155" s="502"/>
      <c r="AD155" s="502"/>
      <c r="AE155" s="504"/>
      <c r="AF155" s="504"/>
      <c r="AG155" s="504"/>
      <c r="AH155" s="504"/>
      <c r="AI155" s="504"/>
      <c r="AJ155" s="504"/>
      <c r="AK155" s="503"/>
      <c r="AL155" s="503"/>
      <c r="AM155" s="503"/>
      <c r="AN155" s="503"/>
      <c r="AO155" s="503"/>
      <c r="AP155" s="503"/>
      <c r="AQ155" s="503"/>
      <c r="AR155" s="503"/>
      <c r="AS155" s="503"/>
      <c r="AT155" s="503"/>
      <c r="AU155" s="503"/>
      <c r="AV155" s="503"/>
      <c r="AW155" s="502"/>
      <c r="AX155" s="502"/>
      <c r="AY155" s="502"/>
      <c r="AZ155" s="502"/>
      <c r="BA155" s="502"/>
      <c r="BB155" s="502"/>
      <c r="BC155" s="502"/>
      <c r="BD155" s="502"/>
      <c r="BE155" s="502"/>
      <c r="BF155" s="502"/>
      <c r="BG155" s="502"/>
      <c r="BH155" s="502"/>
      <c r="BI155" s="502"/>
      <c r="BJ155" s="502"/>
      <c r="BK155" s="502"/>
      <c r="BL155" s="502"/>
    </row>
    <row r="156" spans="1:64" x14ac:dyDescent="0.3">
      <c r="B156" s="335" t="s">
        <v>697</v>
      </c>
      <c r="C156" s="502">
        <f>IF(C150=0,"",C149)</f>
        <v>7</v>
      </c>
      <c r="D156" s="502">
        <f t="shared" ref="D156:N156" si="27">IF(D150=0,"",D149)</f>
        <v>4</v>
      </c>
      <c r="E156" s="502" t="str">
        <f t="shared" si="27"/>
        <v>41</v>
      </c>
      <c r="F156" s="502">
        <f t="shared" si="27"/>
        <v>3</v>
      </c>
      <c r="G156" s="502">
        <f t="shared" si="27"/>
        <v>8</v>
      </c>
      <c r="H156" s="502" t="str">
        <f t="shared" si="27"/>
        <v>81</v>
      </c>
      <c r="I156" s="502">
        <f t="shared" si="27"/>
        <v>5</v>
      </c>
      <c r="J156" s="502">
        <f t="shared" si="27"/>
        <v>2</v>
      </c>
      <c r="K156" s="502" t="str">
        <f t="shared" si="27"/>
        <v>21</v>
      </c>
      <c r="L156" s="502">
        <f t="shared" si="27"/>
        <v>1</v>
      </c>
      <c r="M156" s="502">
        <f t="shared" si="27"/>
        <v>6</v>
      </c>
      <c r="N156" s="502" t="str">
        <f t="shared" si="27"/>
        <v>61</v>
      </c>
      <c r="O156" s="502"/>
      <c r="P156" s="503"/>
      <c r="Q156" s="502"/>
      <c r="R156" s="502"/>
      <c r="S156" s="502"/>
      <c r="T156" s="502"/>
      <c r="U156" s="502"/>
      <c r="V156" s="502"/>
      <c r="W156" s="502"/>
      <c r="X156" s="502"/>
      <c r="Y156" s="502"/>
      <c r="Z156" s="502"/>
      <c r="AA156" s="502"/>
      <c r="AB156" s="502"/>
      <c r="AC156" s="502"/>
      <c r="AD156" s="502"/>
      <c r="AE156" s="504"/>
      <c r="AF156" s="504"/>
      <c r="AG156" s="504"/>
      <c r="AH156" s="504"/>
      <c r="AI156" s="504"/>
      <c r="AJ156" s="504"/>
      <c r="AK156" s="503"/>
      <c r="AL156" s="503"/>
      <c r="AM156" s="503"/>
      <c r="AN156" s="503"/>
      <c r="AO156" s="503"/>
      <c r="AP156" s="503"/>
      <c r="AQ156" s="503"/>
      <c r="AR156" s="503"/>
      <c r="AS156" s="503"/>
      <c r="AT156" s="503"/>
      <c r="AU156" s="503"/>
      <c r="AV156" s="503"/>
      <c r="AW156" s="502"/>
      <c r="AX156" s="502"/>
      <c r="AY156" s="502"/>
      <c r="AZ156" s="502"/>
      <c r="BA156" s="502"/>
      <c r="BB156" s="502"/>
      <c r="BC156" s="502"/>
      <c r="BD156" s="502"/>
      <c r="BE156" s="502"/>
      <c r="BF156" s="502"/>
      <c r="BG156" s="502"/>
      <c r="BH156" s="502"/>
      <c r="BI156" s="502"/>
      <c r="BJ156" s="502"/>
      <c r="BK156" s="502"/>
      <c r="BL156" s="502"/>
    </row>
    <row r="157" spans="1:64" x14ac:dyDescent="0.3">
      <c r="B157" s="335" t="s">
        <v>698</v>
      </c>
      <c r="C157" s="502"/>
      <c r="D157" s="502"/>
      <c r="E157" s="502"/>
      <c r="F157" s="502"/>
      <c r="G157" s="502"/>
      <c r="H157" s="502"/>
      <c r="I157" s="502"/>
      <c r="J157" s="502"/>
      <c r="K157" s="502"/>
      <c r="L157" s="502"/>
      <c r="M157" s="502"/>
      <c r="N157" s="502"/>
      <c r="O157" s="502"/>
      <c r="P157" s="503"/>
      <c r="Q157" s="502"/>
      <c r="R157" s="502"/>
      <c r="S157" s="502"/>
      <c r="T157" s="502"/>
      <c r="U157" s="502"/>
      <c r="V157" s="502"/>
      <c r="W157" s="502"/>
      <c r="X157" s="502"/>
      <c r="Y157" s="502"/>
      <c r="Z157" s="502"/>
      <c r="AA157" s="502"/>
      <c r="AB157" s="502"/>
      <c r="AC157" s="502"/>
      <c r="AD157" s="502"/>
      <c r="AE157" s="504"/>
      <c r="AF157" s="504"/>
      <c r="AG157" s="504"/>
      <c r="AH157" s="504"/>
      <c r="AI157" s="504"/>
      <c r="AJ157" s="504"/>
      <c r="AK157" s="503"/>
      <c r="AL157" s="503"/>
      <c r="AM157" s="503"/>
      <c r="AN157" s="503"/>
      <c r="AO157" s="503"/>
      <c r="AP157" s="503"/>
      <c r="AQ157" s="503"/>
      <c r="AR157" s="503"/>
      <c r="AS157" s="503"/>
      <c r="AT157" s="503"/>
      <c r="AU157" s="503"/>
      <c r="AV157" s="503"/>
      <c r="AW157" s="502"/>
      <c r="AX157" s="502"/>
      <c r="AY157" s="502"/>
      <c r="AZ157" s="502"/>
      <c r="BA157" s="502"/>
      <c r="BB157" s="502"/>
      <c r="BC157" s="502"/>
      <c r="BD157" s="502"/>
      <c r="BE157" s="502"/>
      <c r="BF157" s="502"/>
      <c r="BG157" s="502"/>
      <c r="BH157" s="502"/>
      <c r="BI157" s="502"/>
      <c r="BJ157" s="502"/>
      <c r="BK157" s="502"/>
      <c r="BL157" s="502"/>
    </row>
    <row r="158" spans="1:64" x14ac:dyDescent="0.3">
      <c r="B158" s="335" t="s">
        <v>699</v>
      </c>
      <c r="C158" s="502">
        <f>IF(C150=0,"",C150)</f>
        <v>7</v>
      </c>
      <c r="D158" s="502">
        <f t="shared" ref="D158:N158" si="28">IF(D150=0,"",D150)</f>
        <v>4</v>
      </c>
      <c r="E158" s="502">
        <f t="shared" si="28"/>
        <v>4</v>
      </c>
      <c r="F158" s="502">
        <f t="shared" si="28"/>
        <v>3</v>
      </c>
      <c r="G158" s="502">
        <f t="shared" si="28"/>
        <v>8</v>
      </c>
      <c r="H158" s="502">
        <f t="shared" si="28"/>
        <v>8</v>
      </c>
      <c r="I158" s="502">
        <f t="shared" si="28"/>
        <v>5</v>
      </c>
      <c r="J158" s="502">
        <f t="shared" si="28"/>
        <v>2</v>
      </c>
      <c r="K158" s="502">
        <f t="shared" si="28"/>
        <v>2</v>
      </c>
      <c r="L158" s="502">
        <f t="shared" si="28"/>
        <v>1</v>
      </c>
      <c r="M158" s="502">
        <f t="shared" si="28"/>
        <v>6</v>
      </c>
      <c r="N158" s="502">
        <f t="shared" si="28"/>
        <v>6</v>
      </c>
      <c r="O158" s="502"/>
      <c r="P158" s="503"/>
      <c r="Q158" s="502"/>
      <c r="R158" s="502"/>
      <c r="S158" s="502"/>
      <c r="T158" s="502"/>
      <c r="U158" s="502"/>
      <c r="V158" s="502"/>
      <c r="W158" s="502"/>
      <c r="X158" s="502"/>
      <c r="Y158" s="502"/>
      <c r="Z158" s="502"/>
      <c r="AA158" s="502"/>
      <c r="AB158" s="502"/>
      <c r="AC158" s="502"/>
      <c r="AD158" s="502"/>
      <c r="AE158" s="504"/>
      <c r="AF158" s="504"/>
      <c r="AG158" s="504"/>
      <c r="AH158" s="504"/>
      <c r="AI158" s="504"/>
      <c r="AJ158" s="504"/>
      <c r="AK158" s="503"/>
      <c r="AL158" s="503"/>
      <c r="AM158" s="503"/>
      <c r="AN158" s="503"/>
      <c r="AO158" s="503"/>
      <c r="AP158" s="503"/>
      <c r="AQ158" s="503"/>
      <c r="AR158" s="503"/>
      <c r="AS158" s="503"/>
      <c r="AT158" s="503"/>
      <c r="AU158" s="503"/>
      <c r="AV158" s="503"/>
      <c r="AW158" s="502"/>
      <c r="AX158" s="502"/>
      <c r="AY158" s="502"/>
      <c r="AZ158" s="502"/>
      <c r="BA158" s="502"/>
      <c r="BB158" s="502"/>
      <c r="BC158" s="502"/>
      <c r="BD158" s="502"/>
      <c r="BE158" s="502"/>
      <c r="BF158" s="502"/>
      <c r="BG158" s="502"/>
      <c r="BH158" s="502"/>
      <c r="BI158" s="502"/>
      <c r="BJ158" s="502"/>
      <c r="BK158" s="502"/>
      <c r="BL158" s="502"/>
    </row>
    <row r="159" spans="1:64" x14ac:dyDescent="0.3">
      <c r="B159" s="335" t="s">
        <v>700</v>
      </c>
      <c r="C159" s="502" t="str">
        <f>C152</f>
        <v>Permissive</v>
      </c>
      <c r="D159" s="502" t="str">
        <f t="shared" ref="D159:N159" si="29">D152</f>
        <v>Protected</v>
      </c>
      <c r="E159" s="502" t="str">
        <f t="shared" si="29"/>
        <v>RTOR</v>
      </c>
      <c r="F159" s="502" t="str">
        <f t="shared" si="29"/>
        <v>Permissive</v>
      </c>
      <c r="G159" s="502" t="str">
        <f t="shared" si="29"/>
        <v>Protected</v>
      </c>
      <c r="H159" s="502" t="str">
        <f t="shared" si="29"/>
        <v>RTOR</v>
      </c>
      <c r="I159" s="502" t="str">
        <f t="shared" si="29"/>
        <v>Protected/Permissive</v>
      </c>
      <c r="J159" s="502" t="str">
        <f t="shared" si="29"/>
        <v>Protected</v>
      </c>
      <c r="K159" s="502" t="str">
        <f t="shared" si="29"/>
        <v>RTOR</v>
      </c>
      <c r="L159" s="502" t="str">
        <f t="shared" si="29"/>
        <v>Protected/Permissive</v>
      </c>
      <c r="M159" s="502" t="str">
        <f t="shared" si="29"/>
        <v>Protected</v>
      </c>
      <c r="N159" s="502" t="str">
        <f t="shared" si="29"/>
        <v>RTOR</v>
      </c>
      <c r="O159" s="502"/>
      <c r="P159" s="503"/>
      <c r="Q159" s="502"/>
      <c r="R159" s="502"/>
      <c r="S159" s="502"/>
      <c r="T159" s="502"/>
      <c r="U159" s="502"/>
      <c r="V159" s="502"/>
      <c r="W159" s="502"/>
      <c r="X159" s="502"/>
      <c r="Y159" s="502"/>
      <c r="Z159" s="502"/>
      <c r="AA159" s="502"/>
      <c r="AB159" s="502"/>
      <c r="AC159" s="502"/>
      <c r="AD159" s="502"/>
      <c r="AE159" s="504"/>
      <c r="AF159" s="504"/>
      <c r="AG159" s="504"/>
      <c r="AH159" s="504"/>
      <c r="AI159" s="504"/>
      <c r="AJ159" s="504"/>
      <c r="AK159" s="503"/>
      <c r="AL159" s="503"/>
      <c r="AM159" s="503"/>
      <c r="AN159" s="503"/>
      <c r="AO159" s="503"/>
      <c r="AP159" s="503"/>
      <c r="AQ159" s="503"/>
      <c r="AR159" s="503"/>
      <c r="AS159" s="503"/>
      <c r="AT159" s="503"/>
      <c r="AU159" s="503"/>
      <c r="AV159" s="503"/>
      <c r="AW159" s="502"/>
      <c r="AX159" s="502"/>
      <c r="AY159" s="502"/>
      <c r="AZ159" s="502"/>
      <c r="BA159" s="502"/>
      <c r="BB159" s="502"/>
      <c r="BC159" s="502"/>
      <c r="BD159" s="502"/>
      <c r="BE159" s="502"/>
      <c r="BF159" s="502"/>
      <c r="BG159" s="502"/>
      <c r="BH159" s="502"/>
      <c r="BI159" s="502"/>
      <c r="BJ159" s="502"/>
      <c r="BK159" s="502"/>
      <c r="BL159" s="502"/>
    </row>
    <row r="160" spans="1:64" x14ac:dyDescent="0.3">
      <c r="B160" s="335" t="s">
        <v>701</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2"/>
      <c r="P160" s="503"/>
      <c r="Q160" s="502"/>
      <c r="R160" s="502"/>
      <c r="S160" s="502"/>
      <c r="T160" s="502"/>
      <c r="U160" s="502"/>
      <c r="V160" s="502"/>
      <c r="W160" s="502"/>
      <c r="X160" s="502"/>
      <c r="Y160" s="502"/>
      <c r="Z160" s="502"/>
      <c r="AA160" s="502"/>
      <c r="AB160" s="502"/>
      <c r="AC160" s="502"/>
      <c r="AD160" s="502"/>
      <c r="AE160" s="504"/>
      <c r="AF160" s="504"/>
      <c r="AG160" s="504"/>
      <c r="AH160" s="504"/>
      <c r="AI160" s="504"/>
      <c r="AJ160" s="504"/>
      <c r="AK160" s="503"/>
      <c r="AL160" s="503"/>
      <c r="AM160" s="503"/>
      <c r="AN160" s="503"/>
      <c r="AO160" s="503"/>
      <c r="AP160" s="503"/>
      <c r="AQ160" s="503"/>
      <c r="AR160" s="503"/>
      <c r="AS160" s="503"/>
      <c r="AT160" s="503"/>
      <c r="AU160" s="503"/>
      <c r="AV160" s="503"/>
      <c r="AW160" s="502"/>
      <c r="AX160" s="502"/>
      <c r="AY160" s="502"/>
      <c r="AZ160" s="502"/>
      <c r="BA160" s="502"/>
      <c r="BB160" s="502"/>
      <c r="BC160" s="502"/>
      <c r="BD160" s="502"/>
      <c r="BE160" s="502"/>
      <c r="BF160" s="502"/>
      <c r="BG160" s="502"/>
      <c r="BH160" s="502"/>
      <c r="BI160" s="502"/>
      <c r="BJ160" s="502"/>
      <c r="BK160" s="502"/>
      <c r="BL160" s="502"/>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1363980</xdr:colOff>
                    <xdr:row>13</xdr:row>
                    <xdr:rowOff>83820</xdr:rowOff>
                  </from>
                  <to>
                    <xdr:col>65</xdr:col>
                    <xdr:colOff>571500</xdr:colOff>
                    <xdr:row>18</xdr:row>
                    <xdr:rowOff>83820</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137160</xdr:rowOff>
                  </from>
                  <to>
                    <xdr:col>65</xdr:col>
                    <xdr:colOff>594360</xdr:colOff>
                    <xdr:row>22</xdr:row>
                    <xdr:rowOff>137160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4.4" x14ac:dyDescent="0.3"/>
  <cols>
    <col min="2" max="2" width="9.109375" style="3"/>
    <col min="3" max="3" width="9.109375" style="310"/>
  </cols>
  <sheetData>
    <row r="3" spans="1:14" x14ac:dyDescent="0.3">
      <c r="D3" s="522" t="s">
        <v>116</v>
      </c>
      <c r="E3" s="522"/>
      <c r="F3" s="522"/>
      <c r="G3" s="522"/>
      <c r="H3" s="522"/>
      <c r="I3" s="522"/>
      <c r="J3" s="522"/>
      <c r="K3" s="522"/>
      <c r="L3" s="522" t="s">
        <v>117</v>
      </c>
      <c r="M3" s="522"/>
      <c r="N3" s="522"/>
    </row>
    <row r="4" spans="1:14" x14ac:dyDescent="0.3">
      <c r="D4" s="522" t="s">
        <v>118</v>
      </c>
      <c r="E4" s="522"/>
      <c r="F4" s="522"/>
      <c r="G4" s="522"/>
      <c r="H4" s="522"/>
      <c r="I4" s="522"/>
      <c r="J4" s="522"/>
      <c r="K4" s="522"/>
    </row>
    <row r="5" spans="1:14" ht="43.2" x14ac:dyDescent="0.3">
      <c r="B5" s="63" t="s">
        <v>119</v>
      </c>
      <c r="C5" s="339">
        <v>40</v>
      </c>
      <c r="D5" s="64">
        <v>50</v>
      </c>
      <c r="E5" s="64">
        <v>60</v>
      </c>
      <c r="F5" s="64">
        <v>70</v>
      </c>
      <c r="G5" s="64">
        <v>80</v>
      </c>
      <c r="H5" s="64">
        <v>90</v>
      </c>
      <c r="I5" s="64">
        <v>100</v>
      </c>
      <c r="J5" s="64">
        <v>110</v>
      </c>
      <c r="K5" s="64">
        <v>120</v>
      </c>
      <c r="L5" s="64">
        <v>130</v>
      </c>
      <c r="M5" s="64">
        <v>140</v>
      </c>
      <c r="N5" s="64">
        <v>150</v>
      </c>
    </row>
    <row r="6" spans="1:14" x14ac:dyDescent="0.3">
      <c r="B6" s="3" t="s">
        <v>120</v>
      </c>
      <c r="D6" s="522" t="s">
        <v>121</v>
      </c>
      <c r="E6" s="522"/>
      <c r="F6" s="522"/>
      <c r="G6" s="522"/>
      <c r="H6" s="522"/>
      <c r="I6" s="522"/>
      <c r="J6" s="522"/>
      <c r="K6" s="522"/>
    </row>
    <row r="7" spans="1:14" x14ac:dyDescent="0.3">
      <c r="A7" s="517" t="s">
        <v>133</v>
      </c>
      <c r="B7" s="65">
        <v>0</v>
      </c>
      <c r="C7" s="65">
        <v>5</v>
      </c>
      <c r="D7" s="65">
        <v>5</v>
      </c>
      <c r="E7" s="65">
        <v>5</v>
      </c>
      <c r="F7" s="65">
        <v>5</v>
      </c>
      <c r="G7" s="65">
        <v>5</v>
      </c>
      <c r="H7" s="65">
        <v>5</v>
      </c>
      <c r="I7" s="65">
        <v>5</v>
      </c>
      <c r="J7" s="65">
        <v>5</v>
      </c>
      <c r="K7" s="65">
        <v>5</v>
      </c>
      <c r="L7" s="65">
        <v>5</v>
      </c>
      <c r="M7" s="65">
        <v>5</v>
      </c>
      <c r="N7" s="65">
        <v>5</v>
      </c>
    </row>
    <row r="8" spans="1:14" x14ac:dyDescent="0.3">
      <c r="A8" s="517"/>
      <c r="B8" s="65">
        <v>50</v>
      </c>
      <c r="C8" s="65">
        <v>7</v>
      </c>
      <c r="D8" s="65">
        <v>7</v>
      </c>
      <c r="E8" s="65">
        <v>7</v>
      </c>
      <c r="F8" s="65">
        <v>7</v>
      </c>
      <c r="G8" s="65">
        <v>7</v>
      </c>
      <c r="H8" s="65">
        <v>7</v>
      </c>
      <c r="I8" s="65">
        <v>7</v>
      </c>
      <c r="J8" s="65">
        <v>7</v>
      </c>
      <c r="K8" s="65">
        <v>7</v>
      </c>
      <c r="L8" s="65">
        <v>7</v>
      </c>
      <c r="M8" s="65">
        <v>7</v>
      </c>
      <c r="N8" s="65">
        <v>7</v>
      </c>
    </row>
    <row r="9" spans="1:14" x14ac:dyDescent="0.3">
      <c r="B9" s="3">
        <v>100</v>
      </c>
      <c r="C9" s="310">
        <v>15</v>
      </c>
      <c r="D9" s="3">
        <v>15</v>
      </c>
      <c r="E9" s="3">
        <v>15</v>
      </c>
      <c r="F9" s="3">
        <v>15</v>
      </c>
      <c r="G9" s="3">
        <v>15</v>
      </c>
      <c r="H9" s="3">
        <v>15</v>
      </c>
      <c r="I9" s="3">
        <v>15</v>
      </c>
      <c r="J9" s="3">
        <v>15</v>
      </c>
      <c r="K9" s="3">
        <v>15</v>
      </c>
      <c r="L9" s="3">
        <v>15</v>
      </c>
      <c r="M9" s="3">
        <v>15</v>
      </c>
      <c r="N9" s="3">
        <v>15</v>
      </c>
    </row>
    <row r="10" spans="1:14" x14ac:dyDescent="0.3">
      <c r="B10" s="3">
        <v>200</v>
      </c>
      <c r="C10" s="310">
        <v>15</v>
      </c>
      <c r="D10" s="3">
        <v>15</v>
      </c>
      <c r="E10" s="3">
        <v>15</v>
      </c>
      <c r="F10" s="3">
        <v>15</v>
      </c>
      <c r="G10" s="3">
        <v>15</v>
      </c>
      <c r="H10" s="3">
        <v>16</v>
      </c>
      <c r="I10" s="3">
        <v>18</v>
      </c>
      <c r="J10" s="3">
        <v>19</v>
      </c>
      <c r="K10" s="3">
        <v>21</v>
      </c>
      <c r="L10" s="3">
        <f>ROUND(0.18*L5,0)</f>
        <v>23</v>
      </c>
      <c r="M10" s="3">
        <f>ROUND(0.18*M5,0)</f>
        <v>25</v>
      </c>
      <c r="N10" s="3">
        <f>ROUND(0.18*N5,0)</f>
        <v>27</v>
      </c>
    </row>
    <row r="11" spans="1:14" x14ac:dyDescent="0.3">
      <c r="B11" s="3">
        <v>300</v>
      </c>
      <c r="C11" s="310">
        <v>15</v>
      </c>
      <c r="D11" s="3">
        <v>15</v>
      </c>
      <c r="E11" s="3">
        <v>16</v>
      </c>
      <c r="F11" s="3">
        <v>19</v>
      </c>
      <c r="G11" s="3">
        <v>21</v>
      </c>
      <c r="H11" s="3">
        <v>24</v>
      </c>
      <c r="I11" s="3">
        <v>26</v>
      </c>
      <c r="J11" s="3">
        <v>29</v>
      </c>
      <c r="K11" s="3">
        <v>31</v>
      </c>
      <c r="L11" s="3">
        <f>ROUND(0.26*L5,0)</f>
        <v>34</v>
      </c>
      <c r="M11" s="3">
        <f>ROUND(0.26*M5,0)</f>
        <v>36</v>
      </c>
      <c r="N11" s="3">
        <f>ROUND(0.26*N5,0)</f>
        <v>39</v>
      </c>
    </row>
    <row r="12" spans="1:14" x14ac:dyDescent="0.3">
      <c r="B12" s="3">
        <v>400</v>
      </c>
      <c r="C12" s="310">
        <v>17</v>
      </c>
      <c r="D12" s="3">
        <v>18</v>
      </c>
      <c r="E12" s="3">
        <v>21</v>
      </c>
      <c r="F12" s="3">
        <v>24</v>
      </c>
      <c r="G12" s="3">
        <v>28</v>
      </c>
      <c r="H12" s="3">
        <v>31</v>
      </c>
      <c r="I12" s="3">
        <v>34</v>
      </c>
      <c r="J12" s="3">
        <v>38</v>
      </c>
      <c r="K12" s="3">
        <v>41</v>
      </c>
      <c r="L12" s="3">
        <f>ROUND(0.34*L5,0)</f>
        <v>44</v>
      </c>
      <c r="M12" s="3">
        <f>ROUND(0.34*M5,0)</f>
        <v>48</v>
      </c>
      <c r="N12" s="3">
        <f>ROUND(0.34*N5,0)</f>
        <v>51</v>
      </c>
    </row>
    <row r="13" spans="1:14" x14ac:dyDescent="0.3">
      <c r="B13" s="3">
        <v>500</v>
      </c>
      <c r="C13" s="310">
        <v>19</v>
      </c>
      <c r="D13" s="3">
        <v>22</v>
      </c>
      <c r="E13" s="3">
        <v>26</v>
      </c>
      <c r="F13" s="3">
        <v>30</v>
      </c>
      <c r="G13" s="3">
        <v>34</v>
      </c>
      <c r="H13" s="3">
        <v>39</v>
      </c>
      <c r="I13" s="3">
        <v>43</v>
      </c>
      <c r="J13" s="3">
        <v>47</v>
      </c>
      <c r="K13" s="3">
        <v>51</v>
      </c>
      <c r="L13" s="3">
        <f>ROUND(0.43*L5,0)</f>
        <v>56</v>
      </c>
      <c r="M13" s="3">
        <f>ROUND(0.43*M5,0)</f>
        <v>60</v>
      </c>
      <c r="N13" s="3">
        <f>ROUND(0.43*N5,0)</f>
        <v>65</v>
      </c>
    </row>
    <row r="14" spans="1:14" x14ac:dyDescent="0.3">
      <c r="B14" s="3">
        <v>600</v>
      </c>
      <c r="C14" s="310">
        <v>23</v>
      </c>
      <c r="D14" s="3">
        <v>26</v>
      </c>
      <c r="E14" s="3">
        <v>31</v>
      </c>
      <c r="F14" s="3">
        <v>36</v>
      </c>
      <c r="G14" s="3">
        <v>41</v>
      </c>
      <c r="H14" s="3">
        <v>46</v>
      </c>
      <c r="I14" s="3">
        <v>51</v>
      </c>
      <c r="J14" s="3">
        <v>56</v>
      </c>
      <c r="K14" s="3">
        <v>61</v>
      </c>
      <c r="L14" s="3">
        <f>ROUND(0.51*L5,0)</f>
        <v>66</v>
      </c>
      <c r="M14" s="3">
        <f>ROUND(0.51*M5,0)</f>
        <v>71</v>
      </c>
      <c r="N14" s="3">
        <f>ROUND(0.51*N5,0)</f>
        <v>77</v>
      </c>
    </row>
    <row r="15" spans="1:14" x14ac:dyDescent="0.3">
      <c r="B15" s="3">
        <v>700</v>
      </c>
      <c r="C15" s="310">
        <v>27</v>
      </c>
      <c r="D15" s="3">
        <v>30</v>
      </c>
      <c r="E15" s="3">
        <v>36</v>
      </c>
      <c r="F15" s="3">
        <v>42</v>
      </c>
      <c r="G15" s="3">
        <v>48</v>
      </c>
      <c r="H15" s="3">
        <v>54</v>
      </c>
      <c r="I15" s="3">
        <v>59</v>
      </c>
      <c r="J15" s="3">
        <v>65</v>
      </c>
      <c r="K15" s="3">
        <v>71</v>
      </c>
      <c r="L15" s="3">
        <f>ROUND(0.6*L5,0)</f>
        <v>78</v>
      </c>
      <c r="M15" s="3">
        <f>ROUND(0.6*M5,0)</f>
        <v>84</v>
      </c>
      <c r="N15" s="3">
        <f>ROUND(0.6*N5,0)</f>
        <v>90</v>
      </c>
    </row>
    <row r="16" spans="1:14" x14ac:dyDescent="0.3">
      <c r="B16" s="3">
        <v>800</v>
      </c>
      <c r="C16" s="310">
        <v>30</v>
      </c>
      <c r="D16" s="3">
        <v>34</v>
      </c>
      <c r="E16" s="3">
        <v>41</v>
      </c>
      <c r="F16" s="3">
        <v>48</v>
      </c>
      <c r="G16" s="3">
        <v>54</v>
      </c>
      <c r="H16" s="3">
        <v>61</v>
      </c>
      <c r="I16" s="3">
        <v>68</v>
      </c>
      <c r="J16" s="3">
        <v>74</v>
      </c>
      <c r="K16" s="3">
        <v>81</v>
      </c>
      <c r="L16" s="3">
        <f>ROUND(0.68*L5,0)</f>
        <v>88</v>
      </c>
      <c r="M16" s="3">
        <f>ROUND(0.68*M5,0)</f>
        <v>95</v>
      </c>
      <c r="N16" s="3">
        <f>ROUND(0.68*N5,0)</f>
        <v>102</v>
      </c>
    </row>
    <row r="18" spans="3:14" x14ac:dyDescent="0.3">
      <c r="C18" s="3">
        <v>1</v>
      </c>
      <c r="D18" s="3">
        <v>2</v>
      </c>
      <c r="E18" s="3">
        <v>3</v>
      </c>
      <c r="F18" s="3">
        <v>4</v>
      </c>
      <c r="G18" s="3">
        <v>5</v>
      </c>
      <c r="H18" s="3">
        <v>6</v>
      </c>
      <c r="I18" s="3">
        <v>7</v>
      </c>
      <c r="J18" s="3">
        <v>8</v>
      </c>
      <c r="K18" s="3">
        <v>9</v>
      </c>
      <c r="L18" s="3">
        <v>10</v>
      </c>
      <c r="M18" s="3">
        <v>11</v>
      </c>
      <c r="N18" s="31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4.4" x14ac:dyDescent="0.3"/>
  <sheetData>
    <row r="2" spans="2:4" x14ac:dyDescent="0.3">
      <c r="B2" s="89" t="s">
        <v>140</v>
      </c>
      <c r="C2" s="89" t="s">
        <v>141</v>
      </c>
      <c r="D2" s="89" t="s">
        <v>139</v>
      </c>
    </row>
    <row r="3" spans="2:4" x14ac:dyDescent="0.3">
      <c r="B3" s="74">
        <v>0</v>
      </c>
      <c r="C3" s="74">
        <v>10</v>
      </c>
      <c r="D3" s="89" t="s">
        <v>142</v>
      </c>
    </row>
    <row r="4" spans="2:4" x14ac:dyDescent="0.3">
      <c r="B4" s="74">
        <v>10.1</v>
      </c>
      <c r="C4" s="74">
        <v>20</v>
      </c>
      <c r="D4" s="89" t="s">
        <v>143</v>
      </c>
    </row>
    <row r="5" spans="2:4" x14ac:dyDescent="0.3">
      <c r="B5" s="74">
        <v>20.100000000000001</v>
      </c>
      <c r="C5" s="74">
        <v>35</v>
      </c>
      <c r="D5" s="89" t="s">
        <v>144</v>
      </c>
    </row>
    <row r="6" spans="2:4" x14ac:dyDescent="0.3">
      <c r="B6" s="74">
        <v>35.1</v>
      </c>
      <c r="C6" s="74">
        <v>55</v>
      </c>
      <c r="D6" s="89" t="s">
        <v>145</v>
      </c>
    </row>
    <row r="7" spans="2:4" x14ac:dyDescent="0.3">
      <c r="B7" s="74">
        <v>55.1</v>
      </c>
      <c r="C7" s="74">
        <v>80</v>
      </c>
      <c r="D7" s="89" t="s">
        <v>146</v>
      </c>
    </row>
    <row r="8" spans="2:4" x14ac:dyDescent="0.3">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09375" defaultRowHeight="14.4" x14ac:dyDescent="0.3"/>
  <cols>
    <col min="1" max="1" width="9.109375" style="200"/>
    <col min="2" max="2" width="18.33203125" style="200" bestFit="1" customWidth="1"/>
    <col min="3" max="11" width="9.109375" style="200"/>
    <col min="12" max="13" width="9.109375" style="200" customWidth="1"/>
    <col min="14" max="14" width="15.5546875" style="200" customWidth="1"/>
    <col min="15" max="26" width="9.109375" style="200" customWidth="1"/>
    <col min="27" max="27" width="9.109375" style="371" customWidth="1"/>
    <col min="28" max="28" width="9.109375" style="200" customWidth="1"/>
    <col min="29" max="31" width="9.109375" style="200"/>
    <col min="32" max="32" width="13" style="200" bestFit="1" customWidth="1"/>
    <col min="33" max="16384" width="9.109375" style="200"/>
  </cols>
  <sheetData>
    <row r="1" spans="2:27" s="202" customFormat="1" x14ac:dyDescent="0.3">
      <c r="D1" s="202">
        <v>111</v>
      </c>
      <c r="E1" s="202">
        <v>112</v>
      </c>
      <c r="F1" s="202">
        <v>211</v>
      </c>
      <c r="G1" s="202">
        <v>212</v>
      </c>
      <c r="H1" s="202">
        <v>121</v>
      </c>
      <c r="I1" s="202">
        <v>122</v>
      </c>
      <c r="J1" s="202">
        <v>221</v>
      </c>
      <c r="K1" s="202">
        <v>222</v>
      </c>
      <c r="AA1" s="371"/>
    </row>
    <row r="2" spans="2:27" x14ac:dyDescent="0.3">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3">
      <c r="B3" s="200" t="s">
        <v>277</v>
      </c>
      <c r="D3" s="200">
        <f>'Phase calculation'!C83</f>
        <v>15.4</v>
      </c>
      <c r="E3" s="213">
        <f>'Phase calculation'!D83</f>
        <v>57.5</v>
      </c>
      <c r="F3" s="213">
        <f>'Phase calculation'!E83</f>
        <v>14.5</v>
      </c>
      <c r="G3" s="213">
        <f>'Phase calculation'!F83</f>
        <v>32.6</v>
      </c>
      <c r="H3" s="200">
        <f>'Phase calculation'!C84</f>
        <v>15.7</v>
      </c>
      <c r="I3" s="213">
        <f>'Phase calculation'!D84</f>
        <v>57.2</v>
      </c>
      <c r="J3" s="213">
        <f>'Phase calculation'!E84</f>
        <v>18.7</v>
      </c>
      <c r="K3" s="213">
        <f>'Phase calculation'!F84</f>
        <v>28.4</v>
      </c>
      <c r="N3" s="200" t="s">
        <v>279</v>
      </c>
      <c r="P3" s="200">
        <f>IF('Summary sheet'!T15=0,0,MAX(30,12*'Summary sheet'!T15+12))</f>
        <v>48</v>
      </c>
      <c r="R3" s="200">
        <f>IF('Summary sheet'!Z15=0,0,MAX(30,12*'Summary sheet'!Z15+12))</f>
        <v>60</v>
      </c>
      <c r="T3" s="200">
        <f>IF('Summary sheet'!Y17=0,0,MAX(30,12*'Summary sheet'!Y17+12))</f>
        <v>60</v>
      </c>
      <c r="V3" s="200">
        <f>IF('Summary sheet'!Y4=0,0,MAX(30,12*'Summary sheet'!Y4+12))</f>
        <v>60</v>
      </c>
    </row>
    <row r="4" spans="2:27" x14ac:dyDescent="0.3">
      <c r="B4" s="200" t="s">
        <v>73</v>
      </c>
      <c r="D4" s="200" t="str">
        <f>'Phase designation'!K41</f>
        <v>SBL</v>
      </c>
      <c r="E4" s="200" t="str">
        <f>'Phase designation'!L41</f>
        <v>NBT</v>
      </c>
      <c r="F4" s="200" t="str">
        <f>'Phase designation'!M41</f>
        <v>WBL</v>
      </c>
      <c r="G4" s="200" t="str">
        <f>'Phase designation'!N41</f>
        <v>EBT</v>
      </c>
      <c r="H4" s="200" t="str">
        <f>'Phase designation'!K42</f>
        <v>NBL</v>
      </c>
      <c r="I4" s="200" t="str">
        <f>'Phase designation'!L42</f>
        <v>SBT</v>
      </c>
      <c r="J4" s="200" t="str">
        <f>'Phase designation'!M42</f>
        <v>EBL</v>
      </c>
      <c r="K4" s="200" t="str">
        <f>'Phase designation'!N42</f>
        <v>WBT</v>
      </c>
      <c r="N4" s="204" t="s">
        <v>292</v>
      </c>
      <c r="P4" s="200">
        <f>MAX(Sheet1!N11:P11)</f>
        <v>30</v>
      </c>
      <c r="R4" s="200">
        <f>MAX(Sheet1!S11:U11)</f>
        <v>30</v>
      </c>
      <c r="T4" s="200">
        <f>MAX(Sheet1!C11:F11,Sheet1!W11:AB11)</f>
        <v>45</v>
      </c>
      <c r="V4" s="200">
        <f>MAX(Sheet1!I11:K11,Sheet1!AC11:AH11)</f>
        <v>45</v>
      </c>
    </row>
    <row r="5" spans="2:27" s="210" customFormat="1" x14ac:dyDescent="0.3">
      <c r="B5" s="210" t="s">
        <v>42</v>
      </c>
      <c r="E5" s="210">
        <f>IF(E4="",0,INDEX($O$6:$V$6,1,E6))</f>
        <v>45</v>
      </c>
      <c r="G5" s="210">
        <f>IF(G4="",0,INDEX($O$6:$V$6,1,G6))</f>
        <v>30</v>
      </c>
      <c r="I5" s="210">
        <f>IF(I4="",0,INDEX($O$6:$V$6,1,I6))</f>
        <v>45</v>
      </c>
      <c r="K5" s="210">
        <f>IF(K4="",0,INDEX($O$6:$V$6,1,K6))</f>
        <v>30</v>
      </c>
      <c r="AA5" s="371"/>
    </row>
    <row r="6" spans="2:27" x14ac:dyDescent="0.3">
      <c r="B6" s="210" t="s">
        <v>299</v>
      </c>
      <c r="D6" s="200">
        <f t="shared" ref="D6:K6" si="0">IF(D4="",0,MATCH(D4,$O$2:$V$2,0))</f>
        <v>7</v>
      </c>
      <c r="E6" s="200">
        <f t="shared" si="0"/>
        <v>6</v>
      </c>
      <c r="F6" s="200">
        <f t="shared" si="0"/>
        <v>3</v>
      </c>
      <c r="G6" s="200">
        <f t="shared" si="0"/>
        <v>2</v>
      </c>
      <c r="H6" s="200">
        <f t="shared" si="0"/>
        <v>5</v>
      </c>
      <c r="I6" s="200">
        <f t="shared" si="0"/>
        <v>8</v>
      </c>
      <c r="J6" s="200">
        <f t="shared" si="0"/>
        <v>1</v>
      </c>
      <c r="K6" s="200">
        <f t="shared" si="0"/>
        <v>4</v>
      </c>
      <c r="N6" s="204" t="s">
        <v>293</v>
      </c>
      <c r="P6" s="200">
        <f>IF(P4&lt;25,25,ROUNDDOWN(P4/5,0)*5)</f>
        <v>30</v>
      </c>
      <c r="R6" s="204">
        <f>IF(R4&lt;25,25,ROUNDDOWN(R4/5,0)*5)</f>
        <v>30</v>
      </c>
      <c r="T6" s="204">
        <f>IF(T4&lt;25,25,ROUNDDOWN(T4/5,0)*5)</f>
        <v>45</v>
      </c>
      <c r="V6" s="204">
        <f>IF(V4&lt;25,25,ROUNDDOWN(V4/5,0)*5)</f>
        <v>45</v>
      </c>
    </row>
    <row r="7" spans="2:27" x14ac:dyDescent="0.3">
      <c r="B7" s="200" t="s">
        <v>261</v>
      </c>
      <c r="D7" s="200">
        <f>D37</f>
        <v>4</v>
      </c>
      <c r="E7" s="492">
        <f t="shared" ref="E7:K7" si="1">E37</f>
        <v>5</v>
      </c>
      <c r="F7" s="492">
        <f t="shared" si="1"/>
        <v>4</v>
      </c>
      <c r="G7" s="492">
        <f t="shared" si="1"/>
        <v>5</v>
      </c>
      <c r="H7" s="492">
        <f t="shared" si="1"/>
        <v>4</v>
      </c>
      <c r="I7" s="492">
        <f t="shared" si="1"/>
        <v>5</v>
      </c>
      <c r="J7" s="492">
        <f t="shared" si="1"/>
        <v>4</v>
      </c>
      <c r="K7" s="492">
        <f t="shared" si="1"/>
        <v>5</v>
      </c>
      <c r="N7" s="200" t="s">
        <v>282</v>
      </c>
      <c r="P7" s="200">
        <f>IF(P6=0,0,MATCH(P6,'Y-AllRed'!$A:$A))</f>
        <v>5</v>
      </c>
      <c r="R7" s="200">
        <f>IF(R6=0,0,MATCH(R6,'Y-AllRed'!$A:$A))</f>
        <v>5</v>
      </c>
      <c r="T7" s="200">
        <f>IF(T6=0,0,MATCH(T6,'Y-AllRed'!$A:$A))</f>
        <v>8</v>
      </c>
      <c r="V7" s="200">
        <f>IF(V6=0,0,MATCH(V6,'Y-AllRed'!$A:$A))</f>
        <v>8</v>
      </c>
    </row>
    <row r="8" spans="2:27" x14ac:dyDescent="0.3">
      <c r="B8" s="200" t="s">
        <v>285</v>
      </c>
      <c r="D8" s="200">
        <f>D38</f>
        <v>2</v>
      </c>
      <c r="E8" s="492">
        <f t="shared" ref="E8:K8" si="2">E38</f>
        <v>2</v>
      </c>
      <c r="F8" s="492">
        <f t="shared" si="2"/>
        <v>2</v>
      </c>
      <c r="G8" s="492">
        <f t="shared" si="2"/>
        <v>2</v>
      </c>
      <c r="H8" s="492">
        <f t="shared" si="2"/>
        <v>2</v>
      </c>
      <c r="I8" s="492">
        <f t="shared" si="2"/>
        <v>2</v>
      </c>
      <c r="J8" s="492">
        <f t="shared" si="2"/>
        <v>2</v>
      </c>
      <c r="K8" s="492">
        <f t="shared" si="2"/>
        <v>2</v>
      </c>
      <c r="N8" s="201" t="s">
        <v>261</v>
      </c>
      <c r="O8" s="201">
        <f>IFERROR(INDEX($D$7:$K$7,1,MATCH(O2,$D$4:$K$4,0)),"")</f>
        <v>4</v>
      </c>
      <c r="P8" s="495">
        <f t="shared" ref="P8:V8" si="3">IFERROR(INDEX($D$7:$K$7,1,MATCH(P2,$D$4:$K$4,0)),"")</f>
        <v>5</v>
      </c>
      <c r="Q8" s="495">
        <f t="shared" si="3"/>
        <v>4</v>
      </c>
      <c r="R8" s="495">
        <f t="shared" si="3"/>
        <v>5</v>
      </c>
      <c r="S8" s="495">
        <f t="shared" si="3"/>
        <v>4</v>
      </c>
      <c r="T8" s="495">
        <f t="shared" si="3"/>
        <v>5</v>
      </c>
      <c r="U8" s="495">
        <f t="shared" si="3"/>
        <v>4</v>
      </c>
      <c r="V8" s="495">
        <f t="shared" si="3"/>
        <v>5</v>
      </c>
    </row>
    <row r="9" spans="2:27" x14ac:dyDescent="0.3">
      <c r="B9" s="200" t="s">
        <v>264</v>
      </c>
      <c r="D9" s="200">
        <f>D40</f>
        <v>0</v>
      </c>
      <c r="E9" s="492">
        <f t="shared" ref="E9:K9" si="4">E40</f>
        <v>0</v>
      </c>
      <c r="F9" s="492">
        <f t="shared" si="4"/>
        <v>0</v>
      </c>
      <c r="G9" s="492">
        <f t="shared" si="4"/>
        <v>0</v>
      </c>
      <c r="H9" s="492">
        <f t="shared" si="4"/>
        <v>0</v>
      </c>
      <c r="I9" s="492">
        <f t="shared" si="4"/>
        <v>0</v>
      </c>
      <c r="J9" s="492">
        <f t="shared" si="4"/>
        <v>0</v>
      </c>
      <c r="K9" s="492">
        <f t="shared" si="4"/>
        <v>0</v>
      </c>
      <c r="N9" s="200" t="s">
        <v>283</v>
      </c>
      <c r="P9" s="200">
        <f>P7</f>
        <v>5</v>
      </c>
      <c r="R9" s="200">
        <f>R7</f>
        <v>5</v>
      </c>
      <c r="T9" s="200">
        <f>T7</f>
        <v>8</v>
      </c>
      <c r="V9" s="200">
        <f>V7</f>
        <v>8</v>
      </c>
    </row>
    <row r="10" spans="2:27" x14ac:dyDescent="0.3">
      <c r="B10" s="200" t="s">
        <v>286</v>
      </c>
      <c r="D10" s="513">
        <f>D41</f>
        <v>0</v>
      </c>
      <c r="E10" s="513">
        <f t="shared" ref="E10:K10" si="5">E41</f>
        <v>0</v>
      </c>
      <c r="F10" s="513">
        <f t="shared" si="5"/>
        <v>0</v>
      </c>
      <c r="G10" s="513">
        <f t="shared" si="5"/>
        <v>0</v>
      </c>
      <c r="H10" s="513">
        <f t="shared" si="5"/>
        <v>0</v>
      </c>
      <c r="I10" s="513">
        <f t="shared" si="5"/>
        <v>0</v>
      </c>
      <c r="J10" s="513">
        <f t="shared" si="5"/>
        <v>0</v>
      </c>
      <c r="K10" s="513">
        <f t="shared" si="5"/>
        <v>0</v>
      </c>
      <c r="N10" s="200" t="s">
        <v>284</v>
      </c>
      <c r="P10" s="200">
        <f>IF(P3=0,0,1+MATCH(P3,'Y-AllRed'!$3:$3))</f>
        <v>4</v>
      </c>
      <c r="R10" s="200">
        <f>IF(R3=0,0,1+MATCH(R3,'Y-AllRed'!$3:$3))</f>
        <v>5</v>
      </c>
      <c r="T10" s="200">
        <f>IF(T3=0,0,1+MATCH(T3,'Y-AllRed'!$3:$3))</f>
        <v>5</v>
      </c>
      <c r="V10" s="200">
        <f>IF(V3=0,0,1+MATCH(V3,'Y-AllRed'!$3:$3))</f>
        <v>5</v>
      </c>
    </row>
    <row r="11" spans="2:27" x14ac:dyDescent="0.3">
      <c r="B11" s="200" t="s">
        <v>287</v>
      </c>
      <c r="D11" s="200">
        <f>D31</f>
        <v>8</v>
      </c>
      <c r="E11" s="492">
        <f t="shared" ref="E11:K11" si="6">E31</f>
        <v>15</v>
      </c>
      <c r="F11" s="492">
        <f t="shared" si="6"/>
        <v>8</v>
      </c>
      <c r="G11" s="492">
        <f t="shared" si="6"/>
        <v>8</v>
      </c>
      <c r="H11" s="492">
        <f t="shared" si="6"/>
        <v>8</v>
      </c>
      <c r="I11" s="492">
        <f t="shared" si="6"/>
        <v>15</v>
      </c>
      <c r="J11" s="492">
        <f t="shared" si="6"/>
        <v>8</v>
      </c>
      <c r="K11" s="492">
        <f t="shared" si="6"/>
        <v>8</v>
      </c>
      <c r="N11" s="76" t="s">
        <v>262</v>
      </c>
      <c r="O11" s="76">
        <f>IFERROR(INDEX($D$8:$K$8,1,MATCH(O2,$D$4:$K$4,0)),"")</f>
        <v>2</v>
      </c>
      <c r="P11" s="493">
        <f t="shared" ref="P11:V11" si="7">IFERROR(INDEX($D$8:$K$8,1,MATCH(P2,$D$4:$K$4,0)),"")</f>
        <v>2</v>
      </c>
      <c r="Q11" s="493">
        <f t="shared" si="7"/>
        <v>2</v>
      </c>
      <c r="R11" s="493">
        <f t="shared" si="7"/>
        <v>2</v>
      </c>
      <c r="S11" s="493">
        <f t="shared" si="7"/>
        <v>2</v>
      </c>
      <c r="T11" s="493">
        <f t="shared" si="7"/>
        <v>2</v>
      </c>
      <c r="U11" s="493">
        <f t="shared" si="7"/>
        <v>2</v>
      </c>
      <c r="V11" s="493">
        <f t="shared" si="7"/>
        <v>2</v>
      </c>
    </row>
    <row r="12" spans="2:27" x14ac:dyDescent="0.3">
      <c r="B12" s="200" t="s">
        <v>288</v>
      </c>
      <c r="D12" s="77">
        <f>D32</f>
        <v>9</v>
      </c>
      <c r="E12" s="496">
        <f t="shared" ref="E12:K12" si="8">E32</f>
        <v>51</v>
      </c>
      <c r="F12" s="496">
        <f t="shared" si="8"/>
        <v>25</v>
      </c>
      <c r="G12" s="496">
        <f t="shared" si="8"/>
        <v>9</v>
      </c>
      <c r="H12" s="496">
        <f t="shared" si="8"/>
        <v>14</v>
      </c>
      <c r="I12" s="496">
        <f t="shared" si="8"/>
        <v>46</v>
      </c>
      <c r="J12" s="496">
        <f t="shared" si="8"/>
        <v>14</v>
      </c>
      <c r="K12" s="496">
        <f t="shared" si="8"/>
        <v>20</v>
      </c>
      <c r="L12" s="77"/>
      <c r="N12" s="200" t="s">
        <v>255</v>
      </c>
      <c r="O12" s="200">
        <f>IFERROR(INDEX($D$11:$K$11,MATCH(O2,$D$4:$K$4,0)),"")</f>
        <v>8</v>
      </c>
      <c r="P12" s="482">
        <f t="shared" ref="P12:V12" si="9">IFERROR(INDEX($D$11:$K$11,MATCH(P2,$D$4:$K$4,0)),"")</f>
        <v>8</v>
      </c>
      <c r="Q12" s="482">
        <f t="shared" si="9"/>
        <v>8</v>
      </c>
      <c r="R12" s="482">
        <f t="shared" si="9"/>
        <v>8</v>
      </c>
      <c r="S12" s="482">
        <f t="shared" si="9"/>
        <v>8</v>
      </c>
      <c r="T12" s="482">
        <f t="shared" si="9"/>
        <v>15</v>
      </c>
      <c r="U12" s="482">
        <f t="shared" si="9"/>
        <v>8</v>
      </c>
      <c r="V12" s="482">
        <f t="shared" si="9"/>
        <v>15</v>
      </c>
    </row>
    <row r="13" spans="2:27" x14ac:dyDescent="0.3">
      <c r="N13" s="200" t="s">
        <v>256</v>
      </c>
      <c r="O13" s="200">
        <f>IFERROR(INDEX($D$12:$K$12,MATCH(O2,$D$4:$K$4,0)),"")</f>
        <v>14</v>
      </c>
      <c r="P13" s="492">
        <f t="shared" ref="P13:V13" si="10">IFERROR(INDEX($D$12:$K$12,MATCH(P2,$D$4:$K$4,0)),"")</f>
        <v>9</v>
      </c>
      <c r="Q13" s="492">
        <f t="shared" si="10"/>
        <v>25</v>
      </c>
      <c r="R13" s="492">
        <f t="shared" si="10"/>
        <v>20</v>
      </c>
      <c r="S13" s="492">
        <f t="shared" si="10"/>
        <v>14</v>
      </c>
      <c r="T13" s="492">
        <f t="shared" si="10"/>
        <v>51</v>
      </c>
      <c r="U13" s="492">
        <f t="shared" si="10"/>
        <v>9</v>
      </c>
      <c r="V13" s="492">
        <f t="shared" si="10"/>
        <v>46</v>
      </c>
      <c r="W13" s="200">
        <v>55</v>
      </c>
      <c r="X13" s="200">
        <v>60</v>
      </c>
      <c r="Y13" s="200">
        <v>65</v>
      </c>
      <c r="Z13" s="200">
        <v>70</v>
      </c>
    </row>
    <row r="14" spans="2:27" x14ac:dyDescent="0.3">
      <c r="B14" s="200" t="s">
        <v>258</v>
      </c>
      <c r="D14" s="200">
        <f>D34</f>
        <v>0</v>
      </c>
      <c r="E14" s="492">
        <f t="shared" ref="E14:K14" si="11">E34</f>
        <v>0</v>
      </c>
      <c r="F14" s="492">
        <f t="shared" si="11"/>
        <v>0</v>
      </c>
      <c r="G14" s="492">
        <f t="shared" si="11"/>
        <v>0</v>
      </c>
      <c r="H14" s="492">
        <f t="shared" si="11"/>
        <v>0</v>
      </c>
      <c r="I14" s="492">
        <f t="shared" si="11"/>
        <v>0</v>
      </c>
      <c r="J14" s="492">
        <f t="shared" si="11"/>
        <v>0</v>
      </c>
      <c r="K14" s="492">
        <f t="shared" si="11"/>
        <v>0</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3">
      <c r="B15" s="200" t="s">
        <v>259</v>
      </c>
      <c r="D15" s="492">
        <f t="shared" ref="D15:K15" si="12">D35</f>
        <v>0</v>
      </c>
      <c r="E15" s="492">
        <f t="shared" si="12"/>
        <v>0</v>
      </c>
      <c r="F15" s="492">
        <f t="shared" si="12"/>
        <v>0</v>
      </c>
      <c r="G15" s="492">
        <f t="shared" si="12"/>
        <v>0</v>
      </c>
      <c r="H15" s="492">
        <f t="shared" si="12"/>
        <v>0</v>
      </c>
      <c r="I15" s="492">
        <f t="shared" si="12"/>
        <v>0</v>
      </c>
      <c r="J15" s="492">
        <f t="shared" si="12"/>
        <v>0</v>
      </c>
      <c r="K15" s="492">
        <f t="shared" si="12"/>
        <v>0</v>
      </c>
      <c r="O15" s="200">
        <v>1</v>
      </c>
      <c r="P15" s="200">
        <v>2</v>
      </c>
      <c r="Q15" s="200">
        <v>3</v>
      </c>
      <c r="R15" s="200">
        <v>4</v>
      </c>
      <c r="S15" s="200">
        <v>5</v>
      </c>
      <c r="T15" s="200">
        <v>6</v>
      </c>
      <c r="U15" s="200">
        <v>7</v>
      </c>
      <c r="V15" s="200">
        <v>8</v>
      </c>
    </row>
    <row r="16" spans="2:27" x14ac:dyDescent="0.3">
      <c r="B16" s="200" t="s">
        <v>289</v>
      </c>
      <c r="D16" s="492">
        <f>D36</f>
        <v>3</v>
      </c>
      <c r="E16" s="492">
        <f t="shared" ref="E16:K16" si="13">E36</f>
        <v>3</v>
      </c>
      <c r="F16" s="492">
        <f t="shared" si="13"/>
        <v>3</v>
      </c>
      <c r="G16" s="492">
        <f t="shared" si="13"/>
        <v>3</v>
      </c>
      <c r="H16" s="492">
        <f t="shared" si="13"/>
        <v>3</v>
      </c>
      <c r="I16" s="492">
        <f t="shared" si="13"/>
        <v>3</v>
      </c>
      <c r="J16" s="492">
        <f t="shared" si="13"/>
        <v>3</v>
      </c>
      <c r="K16" s="492">
        <f t="shared" si="13"/>
        <v>3</v>
      </c>
      <c r="N16" s="200" t="s">
        <v>288</v>
      </c>
      <c r="O16" s="341">
        <f>'Phase calculation'!C29</f>
        <v>14</v>
      </c>
      <c r="P16" s="341">
        <f>'Phase calculation'!D29</f>
        <v>9</v>
      </c>
      <c r="Q16" s="341">
        <f>'Phase calculation'!F29</f>
        <v>25</v>
      </c>
      <c r="R16" s="341">
        <f>'Phase calculation'!G29</f>
        <v>20</v>
      </c>
      <c r="S16" s="341">
        <f>'Phase calculation'!I29</f>
        <v>14</v>
      </c>
      <c r="T16" s="341">
        <f>'Phase calculation'!J29</f>
        <v>51</v>
      </c>
      <c r="U16" s="341">
        <f>'Phase calculation'!L29</f>
        <v>9</v>
      </c>
      <c r="V16" s="341">
        <f>'Phase calculation'!M29</f>
        <v>46</v>
      </c>
    </row>
    <row r="17" spans="1:32" x14ac:dyDescent="0.3">
      <c r="B17" s="200" t="s">
        <v>257</v>
      </c>
      <c r="D17" s="200">
        <f>D33</f>
        <v>3</v>
      </c>
      <c r="E17" s="492">
        <f t="shared" ref="E17:K17" si="14">E33</f>
        <v>6</v>
      </c>
      <c r="F17" s="492">
        <f t="shared" si="14"/>
        <v>3</v>
      </c>
      <c r="G17" s="492">
        <f t="shared" si="14"/>
        <v>3</v>
      </c>
      <c r="H17" s="492">
        <f t="shared" si="14"/>
        <v>3</v>
      </c>
      <c r="I17" s="492">
        <f t="shared" si="14"/>
        <v>6</v>
      </c>
      <c r="J17" s="492">
        <f t="shared" si="14"/>
        <v>3</v>
      </c>
      <c r="K17" s="492">
        <f t="shared" si="14"/>
        <v>3</v>
      </c>
      <c r="P17" s="203"/>
      <c r="Q17" s="203"/>
      <c r="R17" s="203"/>
      <c r="S17" s="203"/>
      <c r="T17" s="203"/>
      <c r="U17" s="203"/>
      <c r="V17" s="203"/>
    </row>
    <row r="18" spans="1:32" x14ac:dyDescent="0.3">
      <c r="B18" s="200" t="s">
        <v>267</v>
      </c>
      <c r="D18" s="200">
        <f>D43</f>
        <v>15</v>
      </c>
      <c r="E18" s="492">
        <f t="shared" ref="E18:K18" si="15">E43</f>
        <v>22</v>
      </c>
      <c r="F18" s="492">
        <f t="shared" si="15"/>
        <v>15</v>
      </c>
      <c r="G18" s="492">
        <f t="shared" si="15"/>
        <v>15</v>
      </c>
      <c r="H18" s="492">
        <f t="shared" si="15"/>
        <v>15</v>
      </c>
      <c r="I18" s="492">
        <f t="shared" si="15"/>
        <v>22</v>
      </c>
      <c r="J18" s="492">
        <f t="shared" si="15"/>
        <v>15</v>
      </c>
      <c r="K18" s="492">
        <f t="shared" si="15"/>
        <v>15</v>
      </c>
      <c r="N18" s="203"/>
      <c r="P18" s="203"/>
      <c r="Q18" s="203"/>
      <c r="R18" s="203"/>
      <c r="S18" s="203"/>
      <c r="T18" s="203"/>
      <c r="U18" s="203"/>
      <c r="V18" s="203"/>
    </row>
    <row r="19" spans="1:32" x14ac:dyDescent="0.3">
      <c r="B19" s="200" t="s">
        <v>270</v>
      </c>
      <c r="D19" s="200">
        <f>D46</f>
        <v>25</v>
      </c>
      <c r="E19" s="492">
        <f t="shared" ref="E19:K19" si="16">E46</f>
        <v>40</v>
      </c>
      <c r="F19" s="492">
        <f t="shared" si="16"/>
        <v>98</v>
      </c>
      <c r="G19" s="492">
        <f t="shared" si="16"/>
        <v>9</v>
      </c>
      <c r="H19" s="492">
        <f t="shared" si="16"/>
        <v>25</v>
      </c>
      <c r="I19" s="492">
        <f t="shared" si="16"/>
        <v>45</v>
      </c>
      <c r="J19" s="492">
        <f t="shared" si="16"/>
        <v>98</v>
      </c>
      <c r="K19" s="492">
        <f t="shared" si="16"/>
        <v>118</v>
      </c>
      <c r="N19" s="512" t="s">
        <v>265</v>
      </c>
      <c r="O19" s="512"/>
      <c r="P19" s="512">
        <f>IFERROR(INDEX($D$10:$K$10,1,MATCH(P2,$D$4:$K$4,0)),"")</f>
        <v>0</v>
      </c>
      <c r="Q19" s="512"/>
      <c r="R19" s="512">
        <f>IFERROR(INDEX($D$10:$K$10,1,MATCH(R2,$D$4:$K$4,0)),"")</f>
        <v>0</v>
      </c>
      <c r="S19" s="512"/>
      <c r="T19" s="512">
        <f>IFERROR(INDEX($D$10:$K$10,1,MATCH(T2,$D$4:$K$4,0)),"")</f>
        <v>0</v>
      </c>
      <c r="U19" s="512"/>
      <c r="V19" s="512">
        <f>IFERROR(INDEX($D$10:$K$10,1,MATCH(V2,$D$4:$K$4,0)),"")</f>
        <v>0</v>
      </c>
    </row>
    <row r="20" spans="1:32" x14ac:dyDescent="0.3">
      <c r="B20" s="200" t="s">
        <v>271</v>
      </c>
      <c r="D20" s="200">
        <f>D47</f>
        <v>40</v>
      </c>
      <c r="E20" s="492">
        <f t="shared" ref="E20:K20" si="17">E47</f>
        <v>98</v>
      </c>
      <c r="F20" s="492">
        <f t="shared" si="17"/>
        <v>9</v>
      </c>
      <c r="G20" s="492">
        <f t="shared" si="17"/>
        <v>25</v>
      </c>
      <c r="H20" s="492">
        <f t="shared" si="17"/>
        <v>45</v>
      </c>
      <c r="I20" s="492">
        <f t="shared" si="17"/>
        <v>98</v>
      </c>
      <c r="J20" s="492">
        <f t="shared" si="17"/>
        <v>118</v>
      </c>
      <c r="K20" s="492">
        <f t="shared" si="17"/>
        <v>25</v>
      </c>
      <c r="N20" s="203" t="s">
        <v>290</v>
      </c>
      <c r="P20" s="200">
        <v>4</v>
      </c>
      <c r="R20" s="200">
        <v>4</v>
      </c>
      <c r="T20" s="200">
        <v>4</v>
      </c>
      <c r="V20" s="200">
        <v>4</v>
      </c>
    </row>
    <row r="21" spans="1:32" x14ac:dyDescent="0.3">
      <c r="B21" s="200" t="s">
        <v>272</v>
      </c>
      <c r="D21" s="200">
        <f>D48</f>
        <v>34</v>
      </c>
      <c r="E21" s="492">
        <f t="shared" ref="E21:K21" si="18">E48</f>
        <v>91</v>
      </c>
      <c r="F21" s="492">
        <f t="shared" si="18"/>
        <v>3</v>
      </c>
      <c r="G21" s="492">
        <f t="shared" si="18"/>
        <v>18</v>
      </c>
      <c r="H21" s="492">
        <f t="shared" si="18"/>
        <v>39</v>
      </c>
      <c r="I21" s="492">
        <f t="shared" si="18"/>
        <v>91</v>
      </c>
      <c r="J21" s="492">
        <f t="shared" si="18"/>
        <v>112</v>
      </c>
      <c r="K21" s="492">
        <f t="shared" si="18"/>
        <v>18</v>
      </c>
      <c r="N21" s="203" t="s">
        <v>291</v>
      </c>
      <c r="P21" s="203">
        <f>IFERROR(P22+P19+P11+P8,0)</f>
        <v>7</v>
      </c>
      <c r="Q21" s="203"/>
      <c r="R21" s="203">
        <f>IF(G9=0,0,MIN(ROUNDDOWN(G3-G7-G8-G9,0),ROUNDUP(G9+R19+G7+G8,0)))</f>
        <v>0</v>
      </c>
      <c r="S21" s="203"/>
      <c r="T21" s="203">
        <f>IF(I9=0,0,MIN(ROUNDDOWN(I3-I7-I8-I9,0),ROUNDUP(I9+T19+I7+I8,0)))</f>
        <v>0</v>
      </c>
      <c r="U21" s="203"/>
      <c r="V21" s="203">
        <f>IF(K9=0,0,MIN(ROUNDDOWN(K3-K7-K8-K9,0),ROUNDUP(K9+V19+K7+K8,0)))</f>
        <v>0</v>
      </c>
    </row>
    <row r="22" spans="1:32" x14ac:dyDescent="0.3">
      <c r="B22" s="200" t="s">
        <v>273</v>
      </c>
      <c r="D22" s="492">
        <f t="shared" ref="D22:K22" si="19">D49</f>
        <v>34</v>
      </c>
      <c r="E22" s="492">
        <f t="shared" si="19"/>
        <v>91</v>
      </c>
      <c r="F22" s="492">
        <f t="shared" si="19"/>
        <v>3</v>
      </c>
      <c r="G22" s="492">
        <f t="shared" si="19"/>
        <v>18</v>
      </c>
      <c r="H22" s="492">
        <f t="shared" si="19"/>
        <v>39</v>
      </c>
      <c r="I22" s="492">
        <f t="shared" si="19"/>
        <v>91</v>
      </c>
      <c r="J22" s="492">
        <f t="shared" si="19"/>
        <v>112</v>
      </c>
      <c r="K22" s="492">
        <f t="shared" si="19"/>
        <v>18</v>
      </c>
      <c r="N22" s="376" t="s">
        <v>264</v>
      </c>
      <c r="O22" s="376"/>
      <c r="P22" s="376">
        <f>IFERROR(INDEX($D$9:$K$9,1,MATCH(P2,$D$4:$K$4,0)),"")</f>
        <v>0</v>
      </c>
      <c r="Q22" s="376"/>
      <c r="R22" s="376">
        <f>IFERROR(INDEX($D$9:$K$9,1,MATCH(R2,$D$4:$K$4,0)),"")</f>
        <v>0</v>
      </c>
      <c r="S22" s="376"/>
      <c r="T22" s="376">
        <f>IFERROR(INDEX($D$9:$K$9,1,MATCH(T2,$D$4:$K$4,0)),"")</f>
        <v>0</v>
      </c>
      <c r="U22" s="376"/>
      <c r="V22" s="376">
        <f>IFERROR(INDEX($D$9:$K$9,1,MATCH(V2,$D$4:$K$4,0)),"")</f>
        <v>0</v>
      </c>
    </row>
    <row r="23" spans="1:32" x14ac:dyDescent="0.3">
      <c r="B23" s="200" t="s">
        <v>274</v>
      </c>
      <c r="D23" s="492">
        <f t="shared" ref="D23:K23" si="20">D50</f>
        <v>105</v>
      </c>
      <c r="E23" s="492">
        <f t="shared" si="20"/>
        <v>0</v>
      </c>
      <c r="F23" s="492">
        <f t="shared" si="20"/>
        <v>58</v>
      </c>
      <c r="G23" s="492">
        <f t="shared" si="20"/>
        <v>89</v>
      </c>
      <c r="H23" s="492">
        <f t="shared" si="20"/>
        <v>105</v>
      </c>
      <c r="I23" s="492">
        <f t="shared" si="20"/>
        <v>5</v>
      </c>
      <c r="J23" s="492">
        <f t="shared" si="20"/>
        <v>58</v>
      </c>
      <c r="K23" s="492">
        <f t="shared" si="20"/>
        <v>78</v>
      </c>
      <c r="N23" s="221" t="s">
        <v>307</v>
      </c>
      <c r="P23" s="200">
        <f>IF(P6&lt;=25,3,3.5)</f>
        <v>3.5</v>
      </c>
      <c r="Q23" s="210"/>
      <c r="R23" s="221">
        <f>IF(R6&lt;=25,3,3.5)</f>
        <v>3.5</v>
      </c>
      <c r="S23" s="210"/>
      <c r="T23" s="221">
        <f>IF(T6&lt;=25,3,3.5)</f>
        <v>3.5</v>
      </c>
      <c r="U23" s="210"/>
      <c r="V23" s="221">
        <f>IF(V6&lt;=25,3,3.5)</f>
        <v>3.5</v>
      </c>
    </row>
    <row r="24" spans="1:32" x14ac:dyDescent="0.3">
      <c r="B24" s="200" t="s">
        <v>275</v>
      </c>
      <c r="D24" s="492">
        <f t="shared" ref="D24:K24" si="21">D51</f>
        <v>114</v>
      </c>
      <c r="E24" s="492">
        <f t="shared" si="21"/>
        <v>51</v>
      </c>
      <c r="F24" s="492">
        <f t="shared" si="21"/>
        <v>83</v>
      </c>
      <c r="G24" s="492">
        <f t="shared" si="21"/>
        <v>98</v>
      </c>
      <c r="H24" s="492">
        <f t="shared" si="21"/>
        <v>119</v>
      </c>
      <c r="I24" s="492">
        <f t="shared" si="21"/>
        <v>51</v>
      </c>
      <c r="J24" s="492">
        <f t="shared" si="21"/>
        <v>72</v>
      </c>
      <c r="K24" s="492">
        <f t="shared" si="21"/>
        <v>98</v>
      </c>
      <c r="N24" s="210" t="s">
        <v>297</v>
      </c>
      <c r="P24" s="200">
        <f>VLOOKUP(P6,DetZone!$G$4:$H$10,2,FALSE)</f>
        <v>60</v>
      </c>
      <c r="Q24" s="210"/>
      <c r="R24" s="221">
        <f>VLOOKUP(R6,DetZone!$G$4:$H$10,2,FALSE)</f>
        <v>60</v>
      </c>
      <c r="S24" s="210"/>
      <c r="T24" s="221">
        <f>VLOOKUP(T6,DetZone!$G$4:$H$10,2,FALSE)</f>
        <v>75</v>
      </c>
      <c r="U24" s="210"/>
      <c r="V24" s="221">
        <f>VLOOKUP(V6,DetZone!$G$4:$H$10,2,FALSE)</f>
        <v>75</v>
      </c>
    </row>
    <row r="25" spans="1:32" x14ac:dyDescent="0.3">
      <c r="B25" s="200" t="s">
        <v>276</v>
      </c>
      <c r="D25" s="492">
        <f t="shared" ref="D25:K25" si="22">D52</f>
        <v>114</v>
      </c>
      <c r="E25" s="492">
        <f t="shared" si="22"/>
        <v>51</v>
      </c>
      <c r="F25" s="492">
        <f t="shared" si="22"/>
        <v>83</v>
      </c>
      <c r="G25" s="492">
        <f t="shared" si="22"/>
        <v>98</v>
      </c>
      <c r="H25" s="492">
        <f t="shared" si="22"/>
        <v>119</v>
      </c>
      <c r="I25" s="492">
        <f t="shared" si="22"/>
        <v>51</v>
      </c>
      <c r="J25" s="492">
        <f t="shared" si="22"/>
        <v>72</v>
      </c>
      <c r="K25" s="492">
        <f t="shared" si="22"/>
        <v>98</v>
      </c>
      <c r="N25" s="221" t="s">
        <v>314</v>
      </c>
      <c r="P25" s="200">
        <f>MATCH(P24,DetZone!$B$18:$B$22,0)</f>
        <v>2</v>
      </c>
      <c r="R25" s="221">
        <f>MATCH(R24,DetZone!$B$18:$B$22,0)</f>
        <v>2</v>
      </c>
      <c r="T25" s="221">
        <f>MATCH(T24,DetZone!$B$18:$B$22,0)</f>
        <v>5</v>
      </c>
      <c r="V25" s="221">
        <f>MATCH(V24,DetZone!$B$18:$B$22,0)</f>
        <v>5</v>
      </c>
    </row>
    <row r="26" spans="1:32" x14ac:dyDescent="0.3">
      <c r="G26" s="65" t="s">
        <v>301</v>
      </c>
      <c r="K26" s="65" t="s">
        <v>302</v>
      </c>
      <c r="L26" s="212" t="s">
        <v>300</v>
      </c>
      <c r="N26" s="221" t="s">
        <v>315</v>
      </c>
      <c r="P26" s="200">
        <f>MATCH(P6,DetZone!$C$17:$I$17,0)</f>
        <v>2</v>
      </c>
      <c r="R26" s="221">
        <f>MATCH(R6,DetZone!$C$17:$I$17,0)</f>
        <v>2</v>
      </c>
      <c r="T26" s="221">
        <f>MATCH(T6,DetZone!$C$17:$I$17,0)</f>
        <v>5</v>
      </c>
      <c r="V26" s="221">
        <f>MATCH(V6,DetZone!$C$17:$I$17,0)</f>
        <v>5</v>
      </c>
    </row>
    <row r="27" spans="1:32" s="210" customFormat="1" x14ac:dyDescent="0.3">
      <c r="G27" s="65">
        <f>MAX(D43+E43,H43+I43)</f>
        <v>37</v>
      </c>
      <c r="K27" s="65">
        <f>MAX(F43+G43,J43+K43)</f>
        <v>30</v>
      </c>
      <c r="L27" s="212">
        <f>G27+K27</f>
        <v>67</v>
      </c>
      <c r="N27" s="122" t="s">
        <v>257</v>
      </c>
      <c r="O27" s="122">
        <f>IFERROR(INDEX($D$17:$K$17,1,MATCH(O2,$D$4:$K$4,0)),"")</f>
        <v>3</v>
      </c>
      <c r="P27" s="122">
        <f t="shared" ref="P27:V27" si="23">IFERROR(INDEX($D$17:$K$17,1,MATCH(P2,$D$4:$K$4,0)),"")</f>
        <v>3</v>
      </c>
      <c r="Q27" s="122">
        <f t="shared" si="23"/>
        <v>3</v>
      </c>
      <c r="R27" s="122">
        <f t="shared" si="23"/>
        <v>3</v>
      </c>
      <c r="S27" s="122">
        <f t="shared" si="23"/>
        <v>3</v>
      </c>
      <c r="T27" s="122">
        <f t="shared" si="23"/>
        <v>6</v>
      </c>
      <c r="U27" s="122">
        <f t="shared" si="23"/>
        <v>3</v>
      </c>
      <c r="V27" s="122">
        <f t="shared" si="23"/>
        <v>6</v>
      </c>
      <c r="AA27" s="371"/>
    </row>
    <row r="28" spans="1:32" x14ac:dyDescent="0.3">
      <c r="A28" s="534" t="s">
        <v>204</v>
      </c>
      <c r="B28" s="534"/>
      <c r="C28" s="534"/>
      <c r="N28" s="223" t="s">
        <v>317</v>
      </c>
      <c r="O28" s="223">
        <f>IFERROR(INDEX($D$16:$K$16,1,MATCH(O2,$D$4:$K$4,0)),"")</f>
        <v>3</v>
      </c>
      <c r="P28" s="223">
        <f t="shared" ref="P28:V28" si="24">IFERROR(INDEX($D$16:$K$16,1,MATCH(P2,$D$4:$K$4,0)),"")</f>
        <v>3</v>
      </c>
      <c r="Q28" s="223">
        <f t="shared" si="24"/>
        <v>3</v>
      </c>
      <c r="R28" s="223">
        <f t="shared" si="24"/>
        <v>3</v>
      </c>
      <c r="S28" s="223">
        <f t="shared" si="24"/>
        <v>3</v>
      </c>
      <c r="T28" s="223">
        <f t="shared" si="24"/>
        <v>3</v>
      </c>
      <c r="U28" s="223">
        <f t="shared" si="24"/>
        <v>3</v>
      </c>
      <c r="V28" s="223">
        <f t="shared" si="24"/>
        <v>3</v>
      </c>
    </row>
    <row r="29" spans="1:32" x14ac:dyDescent="0.3">
      <c r="B29" s="251" t="s">
        <v>0</v>
      </c>
      <c r="C29" s="251" t="s">
        <v>1</v>
      </c>
      <c r="D29" s="251" t="s">
        <v>246</v>
      </c>
      <c r="E29" s="251" t="s">
        <v>247</v>
      </c>
      <c r="F29" s="251" t="s">
        <v>248</v>
      </c>
      <c r="G29" s="251" t="s">
        <v>249</v>
      </c>
      <c r="H29" s="251" t="s">
        <v>250</v>
      </c>
      <c r="I29" s="251" t="s">
        <v>251</v>
      </c>
      <c r="J29" s="251" t="s">
        <v>252</v>
      </c>
      <c r="K29" s="251" t="s">
        <v>253</v>
      </c>
      <c r="N29" s="200" t="s">
        <v>681</v>
      </c>
      <c r="O29" s="200">
        <f>IFERROR(INDEX($D$53:$K$53,1,MATCH(O2,$D$4:$K$4,0)),"")</f>
        <v>12.7</v>
      </c>
      <c r="P29" s="492">
        <f t="shared" ref="P29:V29" si="25">IFERROR(INDEX($D$53:$K$53,1,MATCH(P2,$D$4:$K$4,0)),"")</f>
        <v>25.6</v>
      </c>
      <c r="Q29" s="492">
        <f t="shared" si="25"/>
        <v>8.5</v>
      </c>
      <c r="R29" s="492">
        <f t="shared" si="25"/>
        <v>21.4</v>
      </c>
      <c r="S29" s="492">
        <f t="shared" si="25"/>
        <v>9.6999999999999993</v>
      </c>
      <c r="T29" s="492">
        <f t="shared" si="25"/>
        <v>50.5</v>
      </c>
      <c r="U29" s="492">
        <f t="shared" si="25"/>
        <v>9.4</v>
      </c>
      <c r="V29" s="492">
        <f t="shared" si="25"/>
        <v>50.2</v>
      </c>
    </row>
    <row r="30" spans="1:32" x14ac:dyDescent="0.3">
      <c r="B30" s="200" t="s">
        <v>254</v>
      </c>
      <c r="C30" s="200">
        <f>UTDF_input!B100</f>
        <v>1</v>
      </c>
      <c r="D30" s="492">
        <f>UTDF_input!C100</f>
        <v>111</v>
      </c>
      <c r="E30" s="492">
        <f>UTDF_input!D100</f>
        <v>112</v>
      </c>
      <c r="F30" s="492">
        <f>UTDF_input!E100</f>
        <v>211</v>
      </c>
      <c r="G30" s="492">
        <f>UTDF_input!F100</f>
        <v>212</v>
      </c>
      <c r="H30" s="492">
        <f>UTDF_input!G100</f>
        <v>121</v>
      </c>
      <c r="I30" s="492">
        <f>UTDF_input!H100</f>
        <v>122</v>
      </c>
      <c r="J30" s="492">
        <f>UTDF_input!I100</f>
        <v>221</v>
      </c>
      <c r="K30" s="492">
        <f>UTDF_input!J100</f>
        <v>222</v>
      </c>
      <c r="N30" s="65" t="s">
        <v>319</v>
      </c>
      <c r="O30" s="65">
        <f>IFERROR(O29+O11+O8,"")</f>
        <v>18.7</v>
      </c>
      <c r="P30" s="65">
        <f t="shared" ref="P30:V30" si="26">IFERROR(P29+P11+P8,"")</f>
        <v>32.6</v>
      </c>
      <c r="Q30" s="65">
        <f t="shared" si="26"/>
        <v>14.5</v>
      </c>
      <c r="R30" s="65">
        <f t="shared" si="26"/>
        <v>28.4</v>
      </c>
      <c r="S30" s="65">
        <f t="shared" si="26"/>
        <v>15.7</v>
      </c>
      <c r="T30" s="65">
        <f t="shared" si="26"/>
        <v>57.5</v>
      </c>
      <c r="U30" s="65">
        <f t="shared" si="26"/>
        <v>15.4</v>
      </c>
      <c r="V30" s="65">
        <f t="shared" si="26"/>
        <v>57.2</v>
      </c>
    </row>
    <row r="31" spans="1:32" x14ac:dyDescent="0.3">
      <c r="B31" s="251" t="s">
        <v>255</v>
      </c>
      <c r="C31" s="251">
        <f>UTDF_input!B101</f>
        <v>1</v>
      </c>
      <c r="D31" s="251">
        <f>UTDF_input!C101</f>
        <v>8</v>
      </c>
      <c r="E31" s="251">
        <f>UTDF_input!D101</f>
        <v>15</v>
      </c>
      <c r="F31" s="251">
        <f>UTDF_input!E101</f>
        <v>8</v>
      </c>
      <c r="G31" s="251">
        <f>UTDF_input!F101</f>
        <v>8</v>
      </c>
      <c r="H31" s="251">
        <f>UTDF_input!G101</f>
        <v>8</v>
      </c>
      <c r="I31" s="251">
        <f>UTDF_input!H101</f>
        <v>15</v>
      </c>
      <c r="J31" s="251">
        <f>UTDF_input!I101</f>
        <v>8</v>
      </c>
      <c r="K31" s="251">
        <f>UTDF_input!J101</f>
        <v>8</v>
      </c>
      <c r="W31" s="522" t="s">
        <v>459</v>
      </c>
      <c r="X31" s="522"/>
      <c r="Y31" s="522"/>
      <c r="Z31" s="522"/>
      <c r="AA31" s="522"/>
      <c r="AB31" s="522"/>
      <c r="AC31" s="522"/>
      <c r="AD31" s="522"/>
      <c r="AE31" s="522"/>
      <c r="AF31" s="522"/>
    </row>
    <row r="32" spans="1:32" x14ac:dyDescent="0.3">
      <c r="B32" s="200" t="s">
        <v>256</v>
      </c>
      <c r="C32" s="492">
        <f>UTDF_input!B102</f>
        <v>1</v>
      </c>
      <c r="D32" s="492">
        <f>UTDF_input!C102</f>
        <v>9</v>
      </c>
      <c r="E32" s="492">
        <f>UTDF_input!D102</f>
        <v>51</v>
      </c>
      <c r="F32" s="492">
        <f>UTDF_input!E102</f>
        <v>25</v>
      </c>
      <c r="G32" s="492">
        <f>UTDF_input!F102</f>
        <v>9</v>
      </c>
      <c r="H32" s="492">
        <f>UTDF_input!G102</f>
        <v>14</v>
      </c>
      <c r="I32" s="492">
        <f>UTDF_input!H102</f>
        <v>46</v>
      </c>
      <c r="J32" s="492">
        <f>UTDF_input!I102</f>
        <v>14</v>
      </c>
      <c r="K32" s="492">
        <f>UTDF_input!J102</f>
        <v>20</v>
      </c>
      <c r="W32" s="371" t="s">
        <v>124</v>
      </c>
      <c r="X32" s="371" t="s">
        <v>449</v>
      </c>
      <c r="Y32" s="371" t="s">
        <v>261</v>
      </c>
      <c r="Z32" s="371" t="s">
        <v>454</v>
      </c>
      <c r="AA32" s="371" t="s">
        <v>285</v>
      </c>
      <c r="AB32" s="371" t="s">
        <v>124</v>
      </c>
      <c r="AC32" s="371" t="s">
        <v>455</v>
      </c>
      <c r="AD32" s="371" t="s">
        <v>456</v>
      </c>
      <c r="AE32" s="371" t="s">
        <v>457</v>
      </c>
      <c r="AF32" s="371" t="s">
        <v>458</v>
      </c>
    </row>
    <row r="33" spans="2:32" x14ac:dyDescent="0.3">
      <c r="B33" s="251" t="s">
        <v>257</v>
      </c>
      <c r="C33" s="251">
        <f>UTDF_input!B103</f>
        <v>1</v>
      </c>
      <c r="D33" s="251">
        <f>UTDF_input!C103</f>
        <v>3</v>
      </c>
      <c r="E33" s="251">
        <f>UTDF_input!D103</f>
        <v>6</v>
      </c>
      <c r="F33" s="251">
        <f>UTDF_input!E103</f>
        <v>3</v>
      </c>
      <c r="G33" s="251">
        <f>UTDF_input!F103</f>
        <v>3</v>
      </c>
      <c r="H33" s="251">
        <f>UTDF_input!G103</f>
        <v>3</v>
      </c>
      <c r="I33" s="251">
        <f>UTDF_input!H103</f>
        <v>6</v>
      </c>
      <c r="J33" s="251">
        <f>UTDF_input!I103</f>
        <v>3</v>
      </c>
      <c r="K33" s="251">
        <f>UTDF_input!J103</f>
        <v>3</v>
      </c>
      <c r="W33" s="200">
        <v>8</v>
      </c>
      <c r="X33" s="296">
        <f>K58</f>
        <v>21.4</v>
      </c>
      <c r="Y33" s="370">
        <f>K56</f>
        <v>5</v>
      </c>
      <c r="Z33" s="372">
        <f>K59</f>
        <v>93.6</v>
      </c>
      <c r="AA33" s="65">
        <f>K57</f>
        <v>2</v>
      </c>
      <c r="AB33" s="371">
        <v>8</v>
      </c>
      <c r="AC33" s="200">
        <f>K62</f>
        <v>91.600000000000009</v>
      </c>
      <c r="AD33" s="200">
        <f>X33</f>
        <v>21.4</v>
      </c>
      <c r="AE33" s="200">
        <f>Y33</f>
        <v>5</v>
      </c>
      <c r="AF33" s="377">
        <f>$C$62-AE33-AD33-AC33</f>
        <v>1.9999999999999858</v>
      </c>
    </row>
    <row r="34" spans="2:32" x14ac:dyDescent="0.3">
      <c r="B34" s="200" t="s">
        <v>258</v>
      </c>
      <c r="C34" s="492">
        <f>UTDF_input!B104</f>
        <v>1</v>
      </c>
      <c r="D34" s="492">
        <f>UTDF_input!C104</f>
        <v>0</v>
      </c>
      <c r="E34" s="492">
        <f>UTDF_input!D104</f>
        <v>0</v>
      </c>
      <c r="F34" s="492">
        <f>UTDF_input!E104</f>
        <v>0</v>
      </c>
      <c r="G34" s="492">
        <f>UTDF_input!F104</f>
        <v>0</v>
      </c>
      <c r="H34" s="492">
        <f>UTDF_input!G104</f>
        <v>0</v>
      </c>
      <c r="I34" s="492">
        <f>UTDF_input!H104</f>
        <v>0</v>
      </c>
      <c r="J34" s="492">
        <f>UTDF_input!I104</f>
        <v>0</v>
      </c>
      <c r="K34" s="492">
        <f>UTDF_input!J104</f>
        <v>0</v>
      </c>
      <c r="W34" s="200">
        <v>7</v>
      </c>
      <c r="X34" s="296">
        <f>J58</f>
        <v>12.7</v>
      </c>
      <c r="Y34" s="370">
        <f>J56</f>
        <v>4</v>
      </c>
      <c r="Z34" s="372">
        <f>J59</f>
        <v>103.3</v>
      </c>
      <c r="AA34" s="65">
        <f>J57</f>
        <v>2</v>
      </c>
      <c r="AB34" s="371">
        <v>7</v>
      </c>
      <c r="AC34" s="200">
        <f>J62</f>
        <v>72.900000000000006</v>
      </c>
      <c r="AD34" s="371">
        <f t="shared" ref="AD34:AD40" si="27">X34</f>
        <v>12.7</v>
      </c>
      <c r="AE34" s="371">
        <f t="shared" ref="AE34:AE40" si="28">Y34</f>
        <v>4</v>
      </c>
      <c r="AF34" s="377">
        <f t="shared" ref="AF34:AF40" si="29">$C$62-AE34-AD34-AC34</f>
        <v>30.399999999999991</v>
      </c>
    </row>
    <row r="35" spans="2:32" x14ac:dyDescent="0.3">
      <c r="B35" s="251" t="s">
        <v>259</v>
      </c>
      <c r="C35" s="251">
        <f>UTDF_input!B105</f>
        <v>1</v>
      </c>
      <c r="D35" s="251">
        <f>UTDF_input!C105</f>
        <v>0</v>
      </c>
      <c r="E35" s="251">
        <f>UTDF_input!D105</f>
        <v>0</v>
      </c>
      <c r="F35" s="251">
        <f>UTDF_input!E105</f>
        <v>0</v>
      </c>
      <c r="G35" s="251">
        <f>UTDF_input!F105</f>
        <v>0</v>
      </c>
      <c r="H35" s="251">
        <f>UTDF_input!G105</f>
        <v>0</v>
      </c>
      <c r="I35" s="251">
        <f>UTDF_input!H105</f>
        <v>0</v>
      </c>
      <c r="J35" s="251">
        <f>UTDF_input!I105</f>
        <v>0</v>
      </c>
      <c r="K35" s="251">
        <f>UTDF_input!J105</f>
        <v>0</v>
      </c>
      <c r="W35" s="200">
        <v>6</v>
      </c>
      <c r="X35" s="296">
        <f>I58</f>
        <v>50.2</v>
      </c>
      <c r="Y35" s="370">
        <f>I56</f>
        <v>5</v>
      </c>
      <c r="Z35" s="372">
        <f>I59</f>
        <v>64.8</v>
      </c>
      <c r="AA35" s="65">
        <f>I57</f>
        <v>2</v>
      </c>
      <c r="AB35" s="371">
        <v>6</v>
      </c>
      <c r="AC35" s="200">
        <f>I62</f>
        <v>15.7</v>
      </c>
      <c r="AD35" s="371">
        <f t="shared" si="27"/>
        <v>50.2</v>
      </c>
      <c r="AE35" s="371">
        <f t="shared" si="28"/>
        <v>5</v>
      </c>
      <c r="AF35" s="377">
        <f t="shared" si="29"/>
        <v>49.099999999999994</v>
      </c>
    </row>
    <row r="36" spans="2:32" x14ac:dyDescent="0.3">
      <c r="B36" s="200" t="s">
        <v>260</v>
      </c>
      <c r="C36" s="492">
        <f>UTDF_input!B106</f>
        <v>1</v>
      </c>
      <c r="D36" s="492">
        <f>UTDF_input!C106</f>
        <v>3</v>
      </c>
      <c r="E36" s="492">
        <f>UTDF_input!D106</f>
        <v>3</v>
      </c>
      <c r="F36" s="492">
        <f>UTDF_input!E106</f>
        <v>3</v>
      </c>
      <c r="G36" s="492">
        <f>UTDF_input!F106</f>
        <v>3</v>
      </c>
      <c r="H36" s="492">
        <f>UTDF_input!G106</f>
        <v>3</v>
      </c>
      <c r="I36" s="492">
        <f>UTDF_input!H106</f>
        <v>3</v>
      </c>
      <c r="J36" s="492">
        <f>UTDF_input!I106</f>
        <v>3</v>
      </c>
      <c r="K36" s="492">
        <f>UTDF_input!J106</f>
        <v>3</v>
      </c>
      <c r="W36" s="200">
        <v>5</v>
      </c>
      <c r="X36" s="296">
        <f>H58</f>
        <v>9.6999999999999993</v>
      </c>
      <c r="Y36" s="370">
        <f>H56</f>
        <v>4</v>
      </c>
      <c r="Z36" s="372">
        <f>H59</f>
        <v>106.3</v>
      </c>
      <c r="AA36" s="65">
        <f>H57</f>
        <v>2</v>
      </c>
      <c r="AB36" s="371">
        <v>5</v>
      </c>
      <c r="AC36" s="200">
        <f>H62</f>
        <v>0</v>
      </c>
      <c r="AD36" s="371">
        <f t="shared" si="27"/>
        <v>9.6999999999999993</v>
      </c>
      <c r="AE36" s="371">
        <f t="shared" si="28"/>
        <v>4</v>
      </c>
      <c r="AF36" s="377">
        <f t="shared" si="29"/>
        <v>106.3</v>
      </c>
    </row>
    <row r="37" spans="2:32" x14ac:dyDescent="0.3">
      <c r="B37" s="251" t="s">
        <v>261</v>
      </c>
      <c r="C37" s="251">
        <f>UTDF_input!B107</f>
        <v>1</v>
      </c>
      <c r="D37" s="251">
        <f>UTDF_input!C107</f>
        <v>4</v>
      </c>
      <c r="E37" s="251">
        <f>UTDF_input!D107</f>
        <v>5</v>
      </c>
      <c r="F37" s="251">
        <f>UTDF_input!E107</f>
        <v>4</v>
      </c>
      <c r="G37" s="251">
        <f>UTDF_input!F107</f>
        <v>5</v>
      </c>
      <c r="H37" s="251">
        <f>UTDF_input!G107</f>
        <v>4</v>
      </c>
      <c r="I37" s="251">
        <f>UTDF_input!H107</f>
        <v>5</v>
      </c>
      <c r="J37" s="251">
        <f>UTDF_input!I107</f>
        <v>4</v>
      </c>
      <c r="K37" s="251">
        <f>UTDF_input!J107</f>
        <v>5</v>
      </c>
      <c r="W37" s="200">
        <v>4</v>
      </c>
      <c r="X37" s="296">
        <f>G58</f>
        <v>25.6</v>
      </c>
      <c r="Y37" s="370">
        <f>G56</f>
        <v>5</v>
      </c>
      <c r="Z37" s="372">
        <f>G59</f>
        <v>89.4</v>
      </c>
      <c r="AA37" s="65">
        <f>G57</f>
        <v>2</v>
      </c>
      <c r="AB37" s="371">
        <v>4</v>
      </c>
      <c r="AC37" s="200">
        <f>G62</f>
        <v>87.4</v>
      </c>
      <c r="AD37" s="371">
        <f t="shared" si="27"/>
        <v>25.6</v>
      </c>
      <c r="AE37" s="371">
        <f t="shared" si="28"/>
        <v>5</v>
      </c>
      <c r="AF37" s="377">
        <f t="shared" si="29"/>
        <v>2</v>
      </c>
    </row>
    <row r="38" spans="2:32" x14ac:dyDescent="0.3">
      <c r="B38" s="200" t="s">
        <v>262</v>
      </c>
      <c r="C38" s="492">
        <f>UTDF_input!B108</f>
        <v>1</v>
      </c>
      <c r="D38" s="492">
        <f>UTDF_input!C108</f>
        <v>2</v>
      </c>
      <c r="E38" s="492">
        <f>UTDF_input!D108</f>
        <v>2</v>
      </c>
      <c r="F38" s="492">
        <f>UTDF_input!E108</f>
        <v>2</v>
      </c>
      <c r="G38" s="492">
        <f>UTDF_input!F108</f>
        <v>2</v>
      </c>
      <c r="H38" s="492">
        <f>UTDF_input!G108</f>
        <v>2</v>
      </c>
      <c r="I38" s="492">
        <f>UTDF_input!H108</f>
        <v>2</v>
      </c>
      <c r="J38" s="492">
        <f>UTDF_input!I108</f>
        <v>2</v>
      </c>
      <c r="K38" s="492">
        <f>UTDF_input!J108</f>
        <v>2</v>
      </c>
      <c r="W38" s="200">
        <v>3</v>
      </c>
      <c r="X38" s="296">
        <f>F58</f>
        <v>8.5</v>
      </c>
      <c r="Y38" s="370">
        <f>F56</f>
        <v>4</v>
      </c>
      <c r="Z38" s="372">
        <f>F59</f>
        <v>107.5</v>
      </c>
      <c r="AA38" s="65">
        <f>F57</f>
        <v>2</v>
      </c>
      <c r="AB38" s="371">
        <v>3</v>
      </c>
      <c r="AC38" s="200">
        <f>F62</f>
        <v>72.900000000000006</v>
      </c>
      <c r="AD38" s="371">
        <f t="shared" si="27"/>
        <v>8.5</v>
      </c>
      <c r="AE38" s="371">
        <f t="shared" si="28"/>
        <v>4</v>
      </c>
      <c r="AF38" s="377">
        <f t="shared" si="29"/>
        <v>34.599999999999994</v>
      </c>
    </row>
    <row r="39" spans="2:32" x14ac:dyDescent="0.3">
      <c r="B39" s="251" t="s">
        <v>263</v>
      </c>
      <c r="C39" s="251">
        <f>UTDF_input!B109</f>
        <v>1</v>
      </c>
      <c r="D39" s="251">
        <f>UTDF_input!C109</f>
        <v>0</v>
      </c>
      <c r="E39" s="251">
        <f>UTDF_input!D109</f>
        <v>3</v>
      </c>
      <c r="F39" s="251">
        <f>UTDF_input!E109</f>
        <v>0</v>
      </c>
      <c r="G39" s="251">
        <f>UTDF_input!F109</f>
        <v>0</v>
      </c>
      <c r="H39" s="251">
        <f>UTDF_input!G109</f>
        <v>0</v>
      </c>
      <c r="I39" s="251">
        <f>UTDF_input!H109</f>
        <v>3</v>
      </c>
      <c r="J39" s="251">
        <f>UTDF_input!I109</f>
        <v>0</v>
      </c>
      <c r="K39" s="251">
        <f>UTDF_input!J109</f>
        <v>0</v>
      </c>
      <c r="W39" s="200">
        <v>2</v>
      </c>
      <c r="X39" s="296">
        <f>E58</f>
        <v>50.5</v>
      </c>
      <c r="Y39" s="370">
        <f>E56</f>
        <v>5</v>
      </c>
      <c r="Z39" s="372">
        <f>E59</f>
        <v>64.5</v>
      </c>
      <c r="AA39" s="65">
        <f>E57</f>
        <v>2</v>
      </c>
      <c r="AB39" s="371">
        <v>2</v>
      </c>
      <c r="AC39" s="200">
        <f>E62</f>
        <v>15.4</v>
      </c>
      <c r="AD39" s="371">
        <f t="shared" si="27"/>
        <v>50.5</v>
      </c>
      <c r="AE39" s="371">
        <f t="shared" si="28"/>
        <v>5</v>
      </c>
      <c r="AF39" s="377">
        <f t="shared" si="29"/>
        <v>49.1</v>
      </c>
    </row>
    <row r="40" spans="2:32" x14ac:dyDescent="0.3">
      <c r="B40" s="200" t="s">
        <v>264</v>
      </c>
      <c r="C40" s="492">
        <f>UTDF_input!B110</f>
        <v>1</v>
      </c>
      <c r="D40" s="492">
        <f>UTDF_input!C110</f>
        <v>0</v>
      </c>
      <c r="E40" s="492">
        <f>UTDF_input!D110</f>
        <v>0</v>
      </c>
      <c r="F40" s="492">
        <f>UTDF_input!E110</f>
        <v>0</v>
      </c>
      <c r="G40" s="492">
        <f>UTDF_input!F110</f>
        <v>0</v>
      </c>
      <c r="H40" s="492">
        <f>UTDF_input!G110</f>
        <v>0</v>
      </c>
      <c r="I40" s="492">
        <f>UTDF_input!H110</f>
        <v>0</v>
      </c>
      <c r="J40" s="492">
        <f>UTDF_input!I110</f>
        <v>0</v>
      </c>
      <c r="K40" s="492">
        <f>UTDF_input!J110</f>
        <v>0</v>
      </c>
      <c r="W40" s="200">
        <v>1</v>
      </c>
      <c r="X40" s="296">
        <f>D58</f>
        <v>9.4</v>
      </c>
      <c r="Y40" s="370">
        <f>D56</f>
        <v>4</v>
      </c>
      <c r="Z40" s="372">
        <f>D59</f>
        <v>106.6</v>
      </c>
      <c r="AA40" s="65">
        <f>D57</f>
        <v>2</v>
      </c>
      <c r="AB40" s="371">
        <v>1</v>
      </c>
      <c r="AC40" s="200">
        <f>D62</f>
        <v>0</v>
      </c>
      <c r="AD40" s="371">
        <f t="shared" si="27"/>
        <v>9.4</v>
      </c>
      <c r="AE40" s="371">
        <f t="shared" si="28"/>
        <v>4</v>
      </c>
      <c r="AF40" s="377">
        <f t="shared" si="29"/>
        <v>106.6</v>
      </c>
    </row>
    <row r="41" spans="2:32" x14ac:dyDescent="0.3">
      <c r="B41" s="251" t="s">
        <v>265</v>
      </c>
      <c r="C41" s="251">
        <f>UTDF_input!B111</f>
        <v>1</v>
      </c>
      <c r="D41" s="251">
        <f>UTDF_input!C111</f>
        <v>0</v>
      </c>
      <c r="E41" s="251">
        <f>UTDF_input!D111</f>
        <v>0</v>
      </c>
      <c r="F41" s="251">
        <f>UTDF_input!E111</f>
        <v>0</v>
      </c>
      <c r="G41" s="251">
        <f>UTDF_input!F111</f>
        <v>0</v>
      </c>
      <c r="H41" s="251">
        <f>UTDF_input!G111</f>
        <v>0</v>
      </c>
      <c r="I41" s="251">
        <f>UTDF_input!H111</f>
        <v>0</v>
      </c>
      <c r="J41" s="251">
        <f>UTDF_input!I111</f>
        <v>0</v>
      </c>
      <c r="K41" s="251">
        <f>UTDF_input!J111</f>
        <v>0</v>
      </c>
    </row>
    <row r="42" spans="2:32" x14ac:dyDescent="0.3">
      <c r="B42" s="200" t="s">
        <v>266</v>
      </c>
      <c r="C42" s="492">
        <f>UTDF_input!B112</f>
        <v>1</v>
      </c>
      <c r="D42" s="492">
        <f>UTDF_input!C112</f>
        <v>0</v>
      </c>
      <c r="E42" s="492">
        <f>UTDF_input!D112</f>
        <v>0</v>
      </c>
      <c r="F42" s="492">
        <f>UTDF_input!E112</f>
        <v>0</v>
      </c>
      <c r="G42" s="492">
        <f>UTDF_input!F112</f>
        <v>0</v>
      </c>
      <c r="H42" s="492">
        <f>UTDF_input!G112</f>
        <v>0</v>
      </c>
      <c r="I42" s="492">
        <f>UTDF_input!H112</f>
        <v>0</v>
      </c>
      <c r="J42" s="492">
        <f>UTDF_input!I112</f>
        <v>0</v>
      </c>
      <c r="K42" s="492">
        <f>UTDF_input!J112</f>
        <v>0</v>
      </c>
      <c r="AD42" s="371"/>
      <c r="AE42" s="371"/>
      <c r="AF42" s="377"/>
    </row>
    <row r="43" spans="2:32" x14ac:dyDescent="0.3">
      <c r="B43" s="251" t="s">
        <v>267</v>
      </c>
      <c r="C43" s="251">
        <f>UTDF_input!B113</f>
        <v>1</v>
      </c>
      <c r="D43" s="251">
        <f>UTDF_input!C113</f>
        <v>15</v>
      </c>
      <c r="E43" s="251">
        <f>UTDF_input!D113</f>
        <v>22</v>
      </c>
      <c r="F43" s="251">
        <f>UTDF_input!E113</f>
        <v>15</v>
      </c>
      <c r="G43" s="251">
        <f>UTDF_input!F113</f>
        <v>15</v>
      </c>
      <c r="H43" s="251">
        <f>UTDF_input!G113</f>
        <v>15</v>
      </c>
      <c r="I43" s="251">
        <f>UTDF_input!H113</f>
        <v>22</v>
      </c>
      <c r="J43" s="251">
        <f>UTDF_input!I113</f>
        <v>15</v>
      </c>
      <c r="K43" s="251">
        <f>UTDF_input!J113</f>
        <v>15</v>
      </c>
      <c r="AD43" s="371"/>
      <c r="AE43" s="371"/>
      <c r="AF43" s="377"/>
    </row>
    <row r="44" spans="2:32" x14ac:dyDescent="0.3">
      <c r="B44" s="200" t="s">
        <v>268</v>
      </c>
      <c r="C44" s="492">
        <f>UTDF_input!B114</f>
        <v>1</v>
      </c>
      <c r="D44" s="492">
        <f>UTDF_input!C114</f>
        <v>0</v>
      </c>
      <c r="E44" s="492">
        <f>UTDF_input!D114</f>
        <v>1</v>
      </c>
      <c r="F44" s="492">
        <f>UTDF_input!E114</f>
        <v>0</v>
      </c>
      <c r="G44" s="492">
        <f>UTDF_input!F114</f>
        <v>1</v>
      </c>
      <c r="H44" s="492">
        <f>UTDF_input!G114</f>
        <v>0</v>
      </c>
      <c r="I44" s="492">
        <f>UTDF_input!H114</f>
        <v>1</v>
      </c>
      <c r="J44" s="492">
        <f>UTDF_input!I114</f>
        <v>0</v>
      </c>
      <c r="K44" s="492">
        <f>UTDF_input!J114</f>
        <v>1</v>
      </c>
      <c r="AD44" s="371"/>
      <c r="AE44" s="371"/>
      <c r="AF44" s="377"/>
    </row>
    <row r="45" spans="2:32" x14ac:dyDescent="0.3">
      <c r="B45" s="251" t="s">
        <v>269</v>
      </c>
      <c r="C45" s="251">
        <f>UTDF_input!B115</f>
        <v>1</v>
      </c>
      <c r="D45" s="251">
        <f>UTDF_input!C115</f>
        <v>1</v>
      </c>
      <c r="E45" s="251">
        <f>UTDF_input!D115</f>
        <v>1</v>
      </c>
      <c r="F45" s="251">
        <f>UTDF_input!E115</f>
        <v>1</v>
      </c>
      <c r="G45" s="251">
        <f>UTDF_input!F115</f>
        <v>1</v>
      </c>
      <c r="H45" s="251">
        <f>UTDF_input!G115</f>
        <v>1</v>
      </c>
      <c r="I45" s="251">
        <f>UTDF_input!H115</f>
        <v>1</v>
      </c>
      <c r="J45" s="251">
        <f>UTDF_input!I115</f>
        <v>1</v>
      </c>
      <c r="K45" s="251">
        <f>UTDF_input!J115</f>
        <v>1</v>
      </c>
      <c r="AD45" s="371"/>
      <c r="AE45" s="371"/>
      <c r="AF45" s="377"/>
    </row>
    <row r="46" spans="2:32" x14ac:dyDescent="0.3">
      <c r="B46" s="200" t="s">
        <v>270</v>
      </c>
      <c r="C46" s="492">
        <f>UTDF_input!B116</f>
        <v>1</v>
      </c>
      <c r="D46" s="492">
        <f>UTDF_input!C116</f>
        <v>25</v>
      </c>
      <c r="E46" s="492">
        <f>UTDF_input!D116</f>
        <v>40</v>
      </c>
      <c r="F46" s="492">
        <f>UTDF_input!E116</f>
        <v>98</v>
      </c>
      <c r="G46" s="492">
        <f>UTDF_input!F116</f>
        <v>9</v>
      </c>
      <c r="H46" s="492">
        <f>UTDF_input!G116</f>
        <v>25</v>
      </c>
      <c r="I46" s="492">
        <f>UTDF_input!H116</f>
        <v>45</v>
      </c>
      <c r="J46" s="492">
        <f>UTDF_input!I116</f>
        <v>98</v>
      </c>
      <c r="K46" s="492">
        <f>UTDF_input!J116</f>
        <v>118</v>
      </c>
      <c r="AD46" s="371"/>
      <c r="AE46" s="371"/>
      <c r="AF46" s="377"/>
    </row>
    <row r="47" spans="2:32" x14ac:dyDescent="0.3">
      <c r="B47" s="251" t="s">
        <v>271</v>
      </c>
      <c r="C47" s="251">
        <f>UTDF_input!B117</f>
        <v>1</v>
      </c>
      <c r="D47" s="251">
        <f>UTDF_input!C117</f>
        <v>40</v>
      </c>
      <c r="E47" s="251">
        <f>UTDF_input!D117</f>
        <v>98</v>
      </c>
      <c r="F47" s="251">
        <f>UTDF_input!E117</f>
        <v>9</v>
      </c>
      <c r="G47" s="251">
        <f>UTDF_input!F117</f>
        <v>25</v>
      </c>
      <c r="H47" s="251">
        <f>UTDF_input!G117</f>
        <v>45</v>
      </c>
      <c r="I47" s="251">
        <f>UTDF_input!H117</f>
        <v>98</v>
      </c>
      <c r="J47" s="251">
        <f>UTDF_input!I117</f>
        <v>118</v>
      </c>
      <c r="K47" s="251">
        <f>UTDF_input!J117</f>
        <v>25</v>
      </c>
      <c r="AD47" s="371"/>
      <c r="AE47" s="371"/>
      <c r="AF47" s="377"/>
    </row>
    <row r="48" spans="2:32" x14ac:dyDescent="0.3">
      <c r="B48" s="200" t="s">
        <v>272</v>
      </c>
      <c r="C48" s="492">
        <f>UTDF_input!B118</f>
        <v>1</v>
      </c>
      <c r="D48" s="492">
        <f>UTDF_input!C118</f>
        <v>34</v>
      </c>
      <c r="E48" s="492">
        <f>UTDF_input!D118</f>
        <v>91</v>
      </c>
      <c r="F48" s="492">
        <f>UTDF_input!E118</f>
        <v>3</v>
      </c>
      <c r="G48" s="492">
        <f>UTDF_input!F118</f>
        <v>18</v>
      </c>
      <c r="H48" s="492">
        <f>UTDF_input!G118</f>
        <v>39</v>
      </c>
      <c r="I48" s="492">
        <f>UTDF_input!H118</f>
        <v>91</v>
      </c>
      <c r="J48" s="492">
        <f>UTDF_input!I118</f>
        <v>112</v>
      </c>
      <c r="K48" s="492">
        <f>UTDF_input!J118</f>
        <v>18</v>
      </c>
      <c r="AD48" s="371"/>
      <c r="AE48" s="371"/>
      <c r="AF48" s="377"/>
    </row>
    <row r="49" spans="2:32" x14ac:dyDescent="0.3">
      <c r="B49" s="251" t="s">
        <v>273</v>
      </c>
      <c r="C49" s="251">
        <f>UTDF_input!B119</f>
        <v>1</v>
      </c>
      <c r="D49" s="251">
        <f>UTDF_input!C119</f>
        <v>34</v>
      </c>
      <c r="E49" s="251">
        <f>UTDF_input!D119</f>
        <v>91</v>
      </c>
      <c r="F49" s="251">
        <f>UTDF_input!E119</f>
        <v>3</v>
      </c>
      <c r="G49" s="251">
        <f>UTDF_input!F119</f>
        <v>18</v>
      </c>
      <c r="H49" s="251">
        <f>UTDF_input!G119</f>
        <v>39</v>
      </c>
      <c r="I49" s="251">
        <f>UTDF_input!H119</f>
        <v>91</v>
      </c>
      <c r="J49" s="251">
        <f>UTDF_input!I119</f>
        <v>112</v>
      </c>
      <c r="K49" s="251">
        <f>UTDF_input!J119</f>
        <v>18</v>
      </c>
      <c r="AD49" s="371"/>
      <c r="AE49" s="371"/>
      <c r="AF49" s="377"/>
    </row>
    <row r="50" spans="2:32" x14ac:dyDescent="0.3">
      <c r="B50" s="200" t="s">
        <v>274</v>
      </c>
      <c r="C50" s="492">
        <f>UTDF_input!B120</f>
        <v>1</v>
      </c>
      <c r="D50" s="492">
        <f>UTDF_input!C120</f>
        <v>105</v>
      </c>
      <c r="E50" s="492">
        <f>UTDF_input!D120</f>
        <v>0</v>
      </c>
      <c r="F50" s="492">
        <f>UTDF_input!E120</f>
        <v>58</v>
      </c>
      <c r="G50" s="492">
        <f>UTDF_input!F120</f>
        <v>89</v>
      </c>
      <c r="H50" s="492">
        <f>UTDF_input!G120</f>
        <v>105</v>
      </c>
      <c r="I50" s="492">
        <f>UTDF_input!H120</f>
        <v>5</v>
      </c>
      <c r="J50" s="492">
        <f>UTDF_input!I120</f>
        <v>58</v>
      </c>
      <c r="K50" s="492">
        <f>UTDF_input!J120</f>
        <v>78</v>
      </c>
    </row>
    <row r="51" spans="2:32" x14ac:dyDescent="0.3">
      <c r="B51" s="251" t="s">
        <v>275</v>
      </c>
      <c r="C51" s="251">
        <f>UTDF_input!B121</f>
        <v>1</v>
      </c>
      <c r="D51" s="251">
        <f>UTDF_input!C121</f>
        <v>114</v>
      </c>
      <c r="E51" s="251">
        <f>UTDF_input!D121</f>
        <v>51</v>
      </c>
      <c r="F51" s="251">
        <f>UTDF_input!E121</f>
        <v>83</v>
      </c>
      <c r="G51" s="251">
        <f>UTDF_input!F121</f>
        <v>98</v>
      </c>
      <c r="H51" s="251">
        <f>UTDF_input!G121</f>
        <v>119</v>
      </c>
      <c r="I51" s="251">
        <f>UTDF_input!H121</f>
        <v>51</v>
      </c>
      <c r="J51" s="251">
        <f>UTDF_input!I121</f>
        <v>72</v>
      </c>
      <c r="K51" s="251">
        <f>UTDF_input!J121</f>
        <v>98</v>
      </c>
    </row>
    <row r="52" spans="2:32" x14ac:dyDescent="0.3">
      <c r="B52" s="200" t="s">
        <v>276</v>
      </c>
      <c r="C52" s="492">
        <f>UTDF_input!B122</f>
        <v>1</v>
      </c>
      <c r="D52" s="492">
        <f>UTDF_input!C122</f>
        <v>114</v>
      </c>
      <c r="E52" s="492">
        <f>UTDF_input!D122</f>
        <v>51</v>
      </c>
      <c r="F52" s="492">
        <f>UTDF_input!E122</f>
        <v>83</v>
      </c>
      <c r="G52" s="492">
        <f>UTDF_input!F122</f>
        <v>98</v>
      </c>
      <c r="H52" s="492">
        <f>UTDF_input!G122</f>
        <v>119</v>
      </c>
      <c r="I52" s="492">
        <f>UTDF_input!H122</f>
        <v>51</v>
      </c>
      <c r="J52" s="492">
        <f>UTDF_input!I122</f>
        <v>72</v>
      </c>
      <c r="K52" s="492">
        <f>UTDF_input!J122</f>
        <v>98</v>
      </c>
    </row>
    <row r="53" spans="2:32" x14ac:dyDescent="0.3">
      <c r="B53" s="251" t="s">
        <v>681</v>
      </c>
      <c r="C53" s="251">
        <f>UTDF_input!B123</f>
        <v>1</v>
      </c>
      <c r="D53" s="251">
        <f>UTDF_input!C123</f>
        <v>9.4</v>
      </c>
      <c r="E53" s="251">
        <f>UTDF_input!D123</f>
        <v>50.5</v>
      </c>
      <c r="F53" s="251">
        <f>UTDF_input!E123</f>
        <v>8.5</v>
      </c>
      <c r="G53" s="251">
        <f>UTDF_input!F123</f>
        <v>25.6</v>
      </c>
      <c r="H53" s="251">
        <f>UTDF_input!G123</f>
        <v>9.6999999999999993</v>
      </c>
      <c r="I53" s="251">
        <f>UTDF_input!H123</f>
        <v>50.2</v>
      </c>
      <c r="J53" s="251">
        <f>UTDF_input!I123</f>
        <v>12.7</v>
      </c>
      <c r="K53" s="251">
        <f>UTDF_input!J123</f>
        <v>21.4</v>
      </c>
    </row>
    <row r="54" spans="2:32" x14ac:dyDescent="0.3">
      <c r="D54" s="200">
        <v>1</v>
      </c>
      <c r="E54" s="200">
        <v>2</v>
      </c>
      <c r="F54" s="200">
        <v>3</v>
      </c>
      <c r="G54" s="200">
        <v>4</v>
      </c>
      <c r="H54" s="200">
        <v>5</v>
      </c>
      <c r="I54" s="200">
        <v>6</v>
      </c>
      <c r="J54" s="200">
        <v>7</v>
      </c>
      <c r="K54" s="200">
        <v>8</v>
      </c>
    </row>
    <row r="55" spans="2:32" x14ac:dyDescent="0.3">
      <c r="B55" s="251" t="s">
        <v>319</v>
      </c>
      <c r="C55" s="251"/>
      <c r="D55" s="251">
        <f>D3</f>
        <v>15.4</v>
      </c>
      <c r="E55" s="251">
        <f t="shared" ref="E55:K55" si="30">E3</f>
        <v>57.5</v>
      </c>
      <c r="F55" s="251">
        <f t="shared" si="30"/>
        <v>14.5</v>
      </c>
      <c r="G55" s="251">
        <f t="shared" si="30"/>
        <v>32.6</v>
      </c>
      <c r="H55" s="251">
        <f t="shared" si="30"/>
        <v>15.7</v>
      </c>
      <c r="I55" s="251">
        <f t="shared" si="30"/>
        <v>57.2</v>
      </c>
      <c r="J55" s="251">
        <f t="shared" si="30"/>
        <v>18.7</v>
      </c>
      <c r="K55" s="251">
        <f t="shared" si="30"/>
        <v>28.4</v>
      </c>
    </row>
    <row r="56" spans="2:32" x14ac:dyDescent="0.3">
      <c r="B56" s="368" t="s">
        <v>261</v>
      </c>
      <c r="D56" s="370">
        <f>D7</f>
        <v>4</v>
      </c>
      <c r="E56" s="370">
        <f t="shared" ref="E56:K56" si="31">E7</f>
        <v>5</v>
      </c>
      <c r="F56" s="370">
        <f t="shared" si="31"/>
        <v>4</v>
      </c>
      <c r="G56" s="370">
        <f t="shared" si="31"/>
        <v>5</v>
      </c>
      <c r="H56" s="370">
        <f t="shared" si="31"/>
        <v>4</v>
      </c>
      <c r="I56" s="370">
        <f t="shared" si="31"/>
        <v>5</v>
      </c>
      <c r="J56" s="370">
        <f t="shared" si="31"/>
        <v>4</v>
      </c>
      <c r="K56" s="370">
        <f t="shared" si="31"/>
        <v>5</v>
      </c>
    </row>
    <row r="57" spans="2:32" x14ac:dyDescent="0.3">
      <c r="B57" s="251" t="s">
        <v>285</v>
      </c>
      <c r="C57" s="251"/>
      <c r="D57" s="251">
        <f>D8</f>
        <v>2</v>
      </c>
      <c r="E57" s="251">
        <f t="shared" ref="E57:K57" si="32">E8</f>
        <v>2</v>
      </c>
      <c r="F57" s="251">
        <f t="shared" si="32"/>
        <v>2</v>
      </c>
      <c r="G57" s="251">
        <f t="shared" si="32"/>
        <v>2</v>
      </c>
      <c r="H57" s="251">
        <f t="shared" si="32"/>
        <v>2</v>
      </c>
      <c r="I57" s="251">
        <f t="shared" si="32"/>
        <v>2</v>
      </c>
      <c r="J57" s="251">
        <f t="shared" si="32"/>
        <v>2</v>
      </c>
      <c r="K57" s="251">
        <f t="shared" si="32"/>
        <v>2</v>
      </c>
    </row>
    <row r="58" spans="2:32" x14ac:dyDescent="0.3">
      <c r="B58" s="368" t="s">
        <v>449</v>
      </c>
      <c r="D58" s="296">
        <f>D55-D56-D57</f>
        <v>9.4</v>
      </c>
      <c r="E58" s="296">
        <f t="shared" ref="E58:K58" si="33">E55-E56-E57</f>
        <v>50.5</v>
      </c>
      <c r="F58" s="296">
        <f t="shared" si="33"/>
        <v>8.5</v>
      </c>
      <c r="G58" s="296">
        <f t="shared" si="33"/>
        <v>25.6</v>
      </c>
      <c r="H58" s="296">
        <f t="shared" si="33"/>
        <v>9.6999999999999993</v>
      </c>
      <c r="I58" s="296">
        <f t="shared" si="33"/>
        <v>50.2</v>
      </c>
      <c r="J58" s="296">
        <f t="shared" si="33"/>
        <v>12.7</v>
      </c>
      <c r="K58" s="296">
        <f t="shared" si="33"/>
        <v>21.4</v>
      </c>
    </row>
    <row r="59" spans="2:32" s="368" customFormat="1" x14ac:dyDescent="0.3">
      <c r="B59" s="371" t="s">
        <v>454</v>
      </c>
      <c r="D59" s="368">
        <f>$C$62-D55+D57</f>
        <v>106.6</v>
      </c>
      <c r="E59" s="371">
        <f t="shared" ref="E59:K59" si="34">$C$62-E55+E57</f>
        <v>64.5</v>
      </c>
      <c r="F59" s="371">
        <f t="shared" si="34"/>
        <v>107.5</v>
      </c>
      <c r="G59" s="371">
        <f t="shared" si="34"/>
        <v>89.4</v>
      </c>
      <c r="H59" s="371">
        <f t="shared" si="34"/>
        <v>106.3</v>
      </c>
      <c r="I59" s="371">
        <f t="shared" si="34"/>
        <v>64.8</v>
      </c>
      <c r="J59" s="371">
        <f t="shared" si="34"/>
        <v>103.3</v>
      </c>
      <c r="K59" s="371">
        <f t="shared" si="34"/>
        <v>93.6</v>
      </c>
      <c r="AA59" s="371"/>
    </row>
    <row r="60" spans="2:32" s="371" customFormat="1" x14ac:dyDescent="0.3"/>
    <row r="61" spans="2:32" x14ac:dyDescent="0.3">
      <c r="C61" s="371" t="s">
        <v>144</v>
      </c>
      <c r="D61" s="327">
        <v>1</v>
      </c>
      <c r="E61" s="327">
        <v>2</v>
      </c>
      <c r="F61" s="327">
        <v>3</v>
      </c>
      <c r="G61" s="327">
        <v>4</v>
      </c>
      <c r="H61" s="326">
        <v>5</v>
      </c>
      <c r="I61" s="327">
        <v>6</v>
      </c>
      <c r="J61" s="327">
        <v>7</v>
      </c>
      <c r="K61" s="327">
        <v>8</v>
      </c>
    </row>
    <row r="62" spans="2:32" x14ac:dyDescent="0.3">
      <c r="B62" s="251" t="s">
        <v>450</v>
      </c>
      <c r="C62" s="376">
        <f>'Phase calculation'!C25</f>
        <v>120</v>
      </c>
      <c r="D62" s="296">
        <v>0</v>
      </c>
      <c r="E62" s="296">
        <f>D65</f>
        <v>15.4</v>
      </c>
      <c r="F62" s="296">
        <f>E65</f>
        <v>72.900000000000006</v>
      </c>
      <c r="G62" s="296">
        <f>F65</f>
        <v>87.4</v>
      </c>
      <c r="H62" s="373">
        <v>0</v>
      </c>
      <c r="I62" s="334">
        <f>H65</f>
        <v>15.7</v>
      </c>
      <c r="J62" s="334">
        <f>I65</f>
        <v>72.900000000000006</v>
      </c>
      <c r="K62" s="334">
        <f>J65</f>
        <v>91.600000000000009</v>
      </c>
    </row>
    <row r="63" spans="2:32" x14ac:dyDescent="0.3">
      <c r="B63" s="368" t="s">
        <v>451</v>
      </c>
      <c r="D63" s="370">
        <f t="shared" ref="D63:K63" si="35">D62+D58</f>
        <v>9.4</v>
      </c>
      <c r="E63" s="370">
        <f t="shared" si="35"/>
        <v>65.900000000000006</v>
      </c>
      <c r="F63" s="370">
        <f t="shared" si="35"/>
        <v>81.400000000000006</v>
      </c>
      <c r="G63" s="370">
        <f t="shared" si="35"/>
        <v>113</v>
      </c>
      <c r="H63" s="374">
        <f t="shared" si="35"/>
        <v>9.6999999999999993</v>
      </c>
      <c r="I63" s="167">
        <f t="shared" si="35"/>
        <v>65.900000000000006</v>
      </c>
      <c r="J63" s="167">
        <f t="shared" si="35"/>
        <v>85.600000000000009</v>
      </c>
      <c r="K63" s="167">
        <f t="shared" si="35"/>
        <v>113</v>
      </c>
    </row>
    <row r="64" spans="2:32" x14ac:dyDescent="0.3">
      <c r="B64" s="251" t="s">
        <v>452</v>
      </c>
      <c r="C64" s="251"/>
      <c r="D64" s="372">
        <f t="shared" ref="D64:K65" si="36">D63+D56</f>
        <v>13.4</v>
      </c>
      <c r="E64" s="372">
        <f t="shared" si="36"/>
        <v>70.900000000000006</v>
      </c>
      <c r="F64" s="372">
        <f t="shared" si="36"/>
        <v>85.4</v>
      </c>
      <c r="G64" s="372">
        <f t="shared" si="36"/>
        <v>118</v>
      </c>
      <c r="H64" s="375">
        <f t="shared" si="36"/>
        <v>13.7</v>
      </c>
      <c r="I64" s="218">
        <f t="shared" si="36"/>
        <v>70.900000000000006</v>
      </c>
      <c r="J64" s="218">
        <f t="shared" si="36"/>
        <v>89.600000000000009</v>
      </c>
      <c r="K64" s="218">
        <f t="shared" si="36"/>
        <v>118</v>
      </c>
    </row>
    <row r="65" spans="2:11" x14ac:dyDescent="0.3">
      <c r="B65" s="368" t="s">
        <v>453</v>
      </c>
      <c r="D65" s="200">
        <f t="shared" si="36"/>
        <v>15.4</v>
      </c>
      <c r="E65" s="200">
        <f t="shared" si="36"/>
        <v>72.900000000000006</v>
      </c>
      <c r="F65" s="200">
        <f t="shared" si="36"/>
        <v>87.4</v>
      </c>
      <c r="G65" s="200">
        <f t="shared" si="36"/>
        <v>120</v>
      </c>
      <c r="H65" s="325">
        <f t="shared" si="36"/>
        <v>15.7</v>
      </c>
      <c r="I65" s="168">
        <f t="shared" si="36"/>
        <v>72.900000000000006</v>
      </c>
      <c r="J65" s="168">
        <f t="shared" si="36"/>
        <v>91.600000000000009</v>
      </c>
      <c r="K65" s="168">
        <f t="shared" si="36"/>
        <v>120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abSelected="1" topLeftCell="A13" zoomScale="70" zoomScaleNormal="70" workbookViewId="0">
      <selection activeCell="L27" sqref="L27"/>
    </sheetView>
  </sheetViews>
  <sheetFormatPr defaultRowHeight="14.4" x14ac:dyDescent="0.3"/>
  <cols>
    <col min="1" max="5" width="10.6640625" customWidth="1"/>
    <col min="6" max="6" width="13.88671875" bestFit="1" customWidth="1"/>
    <col min="7" max="18" width="10.6640625" customWidth="1"/>
    <col min="19" max="27" width="9.109375" customWidth="1"/>
    <col min="29" max="36" width="0" hidden="1" customWidth="1"/>
    <col min="48" max="49" width="0" hidden="1" customWidth="1"/>
  </cols>
  <sheetData>
    <row r="1" spans="1:36" x14ac:dyDescent="0.3">
      <c r="AC1" s="91" t="str">
        <f>'Phase designation'!B26</f>
        <v>EBL</v>
      </c>
      <c r="AD1" s="91" t="str">
        <f>'Phase designation'!C26</f>
        <v>EBT</v>
      </c>
      <c r="AE1" s="91" t="str">
        <f>'Phase designation'!D26</f>
        <v>WBL</v>
      </c>
      <c r="AF1" s="91" t="str">
        <f>'Phase designation'!E26</f>
        <v>WBT</v>
      </c>
      <c r="AG1" s="91" t="str">
        <f>'Phase designation'!F26</f>
        <v>NBL</v>
      </c>
      <c r="AH1" s="91" t="str">
        <f>'Phase designation'!G26</f>
        <v>NBT</v>
      </c>
      <c r="AI1" s="91" t="str">
        <f>'Phase designation'!H26</f>
        <v>SBL</v>
      </c>
      <c r="AJ1" s="91" t="str">
        <f>'Phase designation'!I26</f>
        <v>SBT</v>
      </c>
    </row>
    <row r="2" spans="1:36" x14ac:dyDescent="0.3">
      <c r="B2" s="559" t="s">
        <v>216</v>
      </c>
      <c r="C2" s="559"/>
      <c r="D2" s="559"/>
      <c r="E2" s="559"/>
      <c r="F2" s="559"/>
      <c r="G2" s="559"/>
      <c r="H2" s="559"/>
      <c r="I2" s="116"/>
      <c r="L2" s="561" t="s">
        <v>217</v>
      </c>
      <c r="M2" s="561"/>
      <c r="N2" s="561"/>
      <c r="O2" s="561"/>
      <c r="P2" s="561"/>
      <c r="Q2" s="561"/>
      <c r="R2" s="116"/>
      <c r="T2" s="559" t="s">
        <v>240</v>
      </c>
      <c r="U2" s="559"/>
      <c r="V2" s="559"/>
      <c r="W2" s="559"/>
      <c r="X2" s="559"/>
      <c r="Y2" s="559"/>
      <c r="Z2" s="559"/>
      <c r="AC2" s="91">
        <f>'Phase designation'!B27</f>
        <v>7</v>
      </c>
      <c r="AD2" s="91">
        <f>'Phase designation'!C27</f>
        <v>4</v>
      </c>
      <c r="AE2" s="91">
        <f>'Phase designation'!D27</f>
        <v>3</v>
      </c>
      <c r="AF2" s="91">
        <f>'Phase designation'!E27</f>
        <v>8</v>
      </c>
      <c r="AG2" s="91">
        <f>'Phase designation'!F27</f>
        <v>5</v>
      </c>
      <c r="AH2" s="91">
        <f>'Phase designation'!G27</f>
        <v>2</v>
      </c>
      <c r="AI2" s="91">
        <f>'Phase designation'!H27</f>
        <v>1</v>
      </c>
      <c r="AJ2" s="91">
        <f>'Phase designation'!I27</f>
        <v>6</v>
      </c>
    </row>
    <row r="3" spans="1:36" x14ac:dyDescent="0.3">
      <c r="D3" s="560" t="str">
        <f>Sheet1!J38</f>
        <v>SR 85</v>
      </c>
      <c r="E3" s="560"/>
      <c r="F3" s="560"/>
      <c r="N3" s="560" t="str">
        <f>D3</f>
        <v>SR 85</v>
      </c>
      <c r="O3" s="560"/>
      <c r="P3" s="560"/>
      <c r="AC3" s="91">
        <f>'Phase designation'!B28</f>
        <v>4</v>
      </c>
      <c r="AD3" s="91">
        <f>'Phase designation'!C28</f>
        <v>0</v>
      </c>
      <c r="AE3" s="91">
        <f>'Phase designation'!D28</f>
        <v>8</v>
      </c>
      <c r="AF3" s="91">
        <f>'Phase designation'!E28</f>
        <v>0</v>
      </c>
      <c r="AG3" s="91">
        <f>'Phase designation'!F28</f>
        <v>2</v>
      </c>
      <c r="AH3" s="91">
        <f>'Phase designation'!G28</f>
        <v>0</v>
      </c>
      <c r="AI3" s="91">
        <f>'Phase designation'!H28</f>
        <v>6</v>
      </c>
      <c r="AJ3" s="91">
        <f>'Phase designation'!I28</f>
        <v>0</v>
      </c>
    </row>
    <row r="4" spans="1:36" x14ac:dyDescent="0.3">
      <c r="C4" s="5"/>
      <c r="D4" s="117">
        <f>IF(Y4=0,0,Sheet1!K4+Sheet1!AE4+Sheet1!AH4)</f>
        <v>100</v>
      </c>
      <c r="E4" s="117">
        <f>IF(Y4=0,0,Sheet1!J4+Sheet1!AD4+Sheet1!AG4)</f>
        <v>350</v>
      </c>
      <c r="F4" s="117">
        <f>IF(Y4=0,0,Sheet1!I4+Sheet1!AC4+Sheet1!AF4)</f>
        <v>150</v>
      </c>
      <c r="G4" s="5"/>
      <c r="H4" s="5"/>
      <c r="I4" s="5"/>
      <c r="L4" s="5"/>
      <c r="M4" s="5"/>
      <c r="N4" s="299">
        <f>'Phase calculation'!N33</f>
        <v>6</v>
      </c>
      <c r="O4" s="130">
        <f>IF(W4=0,"N/A",AJ5)</f>
        <v>6</v>
      </c>
      <c r="P4" s="130" t="str">
        <f>IF(X4=0,"N/A",AI5)</f>
        <v>1+6</v>
      </c>
      <c r="Q4" s="5"/>
      <c r="R4" s="5"/>
      <c r="U4" s="5"/>
      <c r="V4" s="117">
        <f>Sheet1!K5+Sheet1!AE5+Sheet1!AH5</f>
        <v>1</v>
      </c>
      <c r="W4" s="117">
        <f>Sheet1!J5+Sheet1!AD5+Sheet1!AG5</f>
        <v>1</v>
      </c>
      <c r="X4" s="117">
        <f>Sheet1!I5+Sheet1!AC5+Sheet1!AF5</f>
        <v>1</v>
      </c>
      <c r="Y4" s="186">
        <f>SUM(V4:X4)+W17</f>
        <v>4</v>
      </c>
      <c r="Z4" s="5"/>
    </row>
    <row r="5" spans="1:36" x14ac:dyDescent="0.3">
      <c r="C5" s="5"/>
      <c r="D5" s="5"/>
      <c r="E5" s="5"/>
      <c r="F5" s="5"/>
      <c r="G5" s="5"/>
      <c r="H5" s="5"/>
      <c r="I5" s="5"/>
      <c r="L5" s="5"/>
      <c r="M5" s="5"/>
      <c r="N5" s="5"/>
      <c r="O5" s="5"/>
      <c r="P5" s="5"/>
      <c r="Q5" s="5"/>
      <c r="R5" s="5"/>
      <c r="S5" s="237"/>
      <c r="U5" s="5"/>
      <c r="V5" s="5"/>
      <c r="W5" s="5"/>
      <c r="X5" s="5"/>
      <c r="Y5" s="5"/>
      <c r="Z5" s="5"/>
      <c r="AC5" s="91" t="str">
        <f>IF(AC2=0,AC3,AC2&amp;"+"&amp;AC3)</f>
        <v>7+4</v>
      </c>
      <c r="AD5" s="91">
        <f>AD2</f>
        <v>4</v>
      </c>
      <c r="AE5" s="91" t="str">
        <f>IF(AE2=0,AE3,AE2&amp;"+"&amp;AE3)</f>
        <v>3+8</v>
      </c>
      <c r="AF5" s="91">
        <f>AF2</f>
        <v>8</v>
      </c>
      <c r="AG5" s="91" t="str">
        <f>IF(AG2=0,AG3,AG2&amp;"+"&amp;AG3)</f>
        <v>5+2</v>
      </c>
      <c r="AH5" s="91">
        <f>AH2</f>
        <v>2</v>
      </c>
      <c r="AI5" s="91" t="str">
        <f>IF(AI2=0,AI3,AI2&amp;"+"&amp;AI3)</f>
        <v>1+6</v>
      </c>
      <c r="AJ5" s="91">
        <f>AJ2</f>
        <v>6</v>
      </c>
    </row>
    <row r="6" spans="1:36" x14ac:dyDescent="0.3">
      <c r="C6" s="5"/>
      <c r="D6" s="5"/>
      <c r="E6" s="5"/>
      <c r="F6" s="5"/>
      <c r="G6" s="5"/>
      <c r="H6" s="5"/>
      <c r="I6" s="17" t="s">
        <v>76</v>
      </c>
      <c r="L6" s="5"/>
      <c r="M6" s="5"/>
      <c r="N6" s="5"/>
      <c r="O6" s="5"/>
      <c r="P6" s="5"/>
      <c r="Q6" s="5"/>
      <c r="S6" s="237"/>
      <c r="U6" s="5"/>
      <c r="V6" s="5"/>
      <c r="W6" s="5"/>
      <c r="X6" s="5"/>
      <c r="Y6" s="5"/>
      <c r="Z6" s="5"/>
    </row>
    <row r="7" spans="1:36" x14ac:dyDescent="0.3">
      <c r="C7" s="5"/>
      <c r="D7" s="5"/>
      <c r="E7" s="5"/>
      <c r="F7" s="5"/>
      <c r="G7" s="5"/>
      <c r="H7" s="5"/>
      <c r="I7" s="5"/>
      <c r="L7" s="5"/>
      <c r="M7" s="5"/>
      <c r="N7" s="5"/>
      <c r="O7" s="5"/>
      <c r="P7" s="5"/>
      <c r="Q7" s="5"/>
      <c r="R7" s="5"/>
      <c r="S7" s="237"/>
      <c r="U7" s="5"/>
      <c r="V7" s="5"/>
      <c r="W7" s="5"/>
      <c r="X7" s="5"/>
      <c r="Y7" s="5"/>
      <c r="Z7" s="5"/>
    </row>
    <row r="8" spans="1:36" x14ac:dyDescent="0.3">
      <c r="C8" s="5"/>
      <c r="D8" s="5"/>
      <c r="E8" s="5"/>
      <c r="F8" s="5"/>
      <c r="G8" s="5"/>
      <c r="H8" s="5"/>
      <c r="I8" s="5"/>
      <c r="L8" s="5"/>
      <c r="M8" s="5"/>
      <c r="N8" s="5"/>
      <c r="O8" s="5"/>
      <c r="P8" s="5"/>
      <c r="Q8" s="5"/>
      <c r="R8" s="5"/>
      <c r="U8" s="5"/>
      <c r="V8" s="5"/>
      <c r="W8" s="5"/>
      <c r="X8" s="5"/>
      <c r="Y8" s="5"/>
      <c r="Z8" s="5"/>
    </row>
    <row r="9" spans="1:36" x14ac:dyDescent="0.3">
      <c r="B9" s="94">
        <f>IF(T15=0,0,Sheet1!N4)</f>
        <v>150</v>
      </c>
      <c r="C9" s="83"/>
      <c r="D9" s="5"/>
      <c r="E9" s="5"/>
      <c r="F9" s="5"/>
      <c r="G9" s="5"/>
      <c r="H9" s="118">
        <f>IF(Z15=0,0,Sheet1!U4)</f>
        <v>150</v>
      </c>
      <c r="I9" s="5"/>
      <c r="L9" s="131" t="str">
        <f>IF(T9=0,"N/A",AC5)</f>
        <v>7+4</v>
      </c>
      <c r="M9" s="5"/>
      <c r="N9" s="5"/>
      <c r="O9" s="5"/>
      <c r="P9" s="5"/>
      <c r="R9" s="298">
        <f>'Phase calculation'!H33</f>
        <v>8</v>
      </c>
      <c r="S9" s="237"/>
      <c r="T9" s="94">
        <f>Sheet1!N5</f>
        <v>1</v>
      </c>
      <c r="U9" s="83"/>
      <c r="V9" s="5"/>
      <c r="W9" s="5"/>
      <c r="X9" s="5"/>
      <c r="Y9" s="5"/>
      <c r="Z9" s="118">
        <f>Sheet1!U5</f>
        <v>1</v>
      </c>
    </row>
    <row r="10" spans="1:36" x14ac:dyDescent="0.3">
      <c r="C10" s="81"/>
      <c r="D10" s="11"/>
      <c r="E10" s="11"/>
      <c r="F10" s="11"/>
      <c r="G10" s="11"/>
      <c r="H10" s="103"/>
      <c r="I10" s="10"/>
      <c r="L10" s="5"/>
      <c r="M10" s="11"/>
      <c r="N10" s="11"/>
      <c r="O10" s="11"/>
      <c r="P10" s="11"/>
      <c r="U10" s="81"/>
      <c r="V10" s="11"/>
      <c r="W10" s="11"/>
      <c r="X10" s="11"/>
      <c r="Y10" s="11"/>
      <c r="Z10" s="103"/>
    </row>
    <row r="11" spans="1:36" x14ac:dyDescent="0.3">
      <c r="A11" s="206" t="str">
        <f>Sheet1!O38</f>
        <v>Ramah Road</v>
      </c>
      <c r="B11" s="94">
        <f>IF(T15=0,0,Sheet1!O4)</f>
        <v>100</v>
      </c>
      <c r="C11" s="81"/>
      <c r="D11" s="26"/>
      <c r="E11" s="12" t="str">
        <f>Sheet1!B2</f>
        <v>SR 85 &amp; Ramah Road</v>
      </c>
      <c r="F11" s="11"/>
      <c r="G11" s="11"/>
      <c r="H11" s="119">
        <f>IF(Z15=0,0,Sheet1!T4)</f>
        <v>200</v>
      </c>
      <c r="I11" s="205" t="str">
        <f>Sheet1!T38</f>
        <v>SR 92</v>
      </c>
      <c r="K11" s="206" t="str">
        <f>A11</f>
        <v>Ramah Road</v>
      </c>
      <c r="L11" s="131">
        <f>IF(T11=0,"N/A",AD5)</f>
        <v>4</v>
      </c>
      <c r="M11" s="26"/>
      <c r="N11" s="11"/>
      <c r="O11" s="11"/>
      <c r="P11" s="11"/>
      <c r="R11" s="134">
        <f>IF(Z11=0,"N/A",AF5)</f>
        <v>8</v>
      </c>
      <c r="T11" s="94">
        <f>Sheet1!O5</f>
        <v>1</v>
      </c>
      <c r="U11" s="81"/>
      <c r="V11" s="26"/>
      <c r="W11" s="11"/>
      <c r="X11" s="11"/>
      <c r="Y11" s="11"/>
      <c r="Z11" s="119">
        <f>Sheet1!T5</f>
        <v>1</v>
      </c>
    </row>
    <row r="12" spans="1:36" x14ac:dyDescent="0.3">
      <c r="C12" s="5"/>
      <c r="D12" s="30"/>
      <c r="E12" s="15"/>
      <c r="F12" s="15"/>
      <c r="G12" s="15"/>
      <c r="H12" s="120"/>
      <c r="I12" s="14"/>
      <c r="L12" s="5"/>
      <c r="M12" s="30"/>
      <c r="N12" s="15"/>
      <c r="O12" s="15"/>
      <c r="P12" s="15"/>
      <c r="R12" s="24"/>
      <c r="U12" s="5"/>
      <c r="V12" s="30"/>
      <c r="W12" s="15"/>
      <c r="X12" s="15"/>
      <c r="Y12" s="15"/>
      <c r="Z12" s="120"/>
    </row>
    <row r="13" spans="1:36" x14ac:dyDescent="0.3">
      <c r="B13" s="94">
        <f>IF(T15=0,0,Sheet1!P4)</f>
        <v>75</v>
      </c>
      <c r="C13" s="5"/>
      <c r="D13" s="31"/>
      <c r="E13" s="32"/>
      <c r="F13" s="32"/>
      <c r="G13" s="33"/>
      <c r="H13" s="121">
        <f>IF(Z15=0,0,Sheet1!S4)</f>
        <v>75</v>
      </c>
      <c r="I13" s="16"/>
      <c r="L13" s="297">
        <f>'Phase calculation'!E33</f>
        <v>4</v>
      </c>
      <c r="M13" s="31"/>
      <c r="N13" s="32"/>
      <c r="O13" s="32"/>
      <c r="P13" s="33"/>
      <c r="R13" s="135" t="str">
        <f>IF(Z13=0,"N/A",AE5)</f>
        <v>3+8</v>
      </c>
      <c r="T13" s="94">
        <f>Sheet1!P5</f>
        <v>0</v>
      </c>
      <c r="U13" s="5"/>
      <c r="V13" s="31"/>
      <c r="W13" s="32"/>
      <c r="X13" s="32"/>
      <c r="Y13" s="33"/>
      <c r="Z13" s="121">
        <f>Sheet1!S5</f>
        <v>1</v>
      </c>
    </row>
    <row r="14" spans="1:36" x14ac:dyDescent="0.3">
      <c r="C14" s="5"/>
      <c r="D14" s="34"/>
      <c r="E14" s="15"/>
      <c r="F14" s="15"/>
      <c r="G14" s="15"/>
      <c r="H14" s="90"/>
      <c r="I14" s="90"/>
      <c r="L14" s="5"/>
      <c r="M14" s="34"/>
      <c r="N14" s="15"/>
      <c r="O14" s="15"/>
      <c r="P14" s="15"/>
      <c r="Q14" s="90"/>
      <c r="R14" s="90"/>
      <c r="U14" s="5"/>
      <c r="V14" s="34"/>
      <c r="W14" s="15"/>
      <c r="X14" s="15"/>
      <c r="Y14" s="15"/>
      <c r="Z14" s="165"/>
    </row>
    <row r="15" spans="1:36" x14ac:dyDescent="0.3">
      <c r="C15" s="5"/>
      <c r="D15" s="35"/>
      <c r="E15" s="15"/>
      <c r="F15" s="15" t="s">
        <v>77</v>
      </c>
      <c r="G15" s="15"/>
      <c r="H15" s="15"/>
      <c r="I15" s="15"/>
      <c r="L15" s="5"/>
      <c r="M15" s="35"/>
      <c r="N15" s="15"/>
      <c r="O15" s="15" t="s">
        <v>77</v>
      </c>
      <c r="P15" s="15"/>
      <c r="Q15" s="15"/>
      <c r="R15" s="15"/>
      <c r="T15" s="185">
        <f>SUM(T9:T13)+Z11</f>
        <v>3</v>
      </c>
      <c r="U15" s="5"/>
      <c r="V15" s="35"/>
      <c r="W15" s="15"/>
      <c r="X15" s="15" t="s">
        <v>77</v>
      </c>
      <c r="Y15" s="15"/>
      <c r="Z15" s="187">
        <f>SUM(Z9:Z13)+T11</f>
        <v>4</v>
      </c>
    </row>
    <row r="16" spans="1:36" x14ac:dyDescent="0.3">
      <c r="C16" s="5"/>
      <c r="D16" s="23"/>
      <c r="E16" s="25"/>
      <c r="F16" s="29"/>
      <c r="G16" s="15"/>
      <c r="H16" s="15"/>
      <c r="I16" s="15"/>
      <c r="L16" s="5"/>
      <c r="M16" s="23"/>
      <c r="P16" s="15"/>
      <c r="Q16" s="15"/>
      <c r="R16" s="15"/>
      <c r="U16" s="5"/>
      <c r="V16" s="23"/>
      <c r="W16" s="25"/>
      <c r="X16" s="29"/>
      <c r="Y16" s="15"/>
      <c r="Z16" s="15"/>
    </row>
    <row r="17" spans="1:25" x14ac:dyDescent="0.3">
      <c r="D17" s="122">
        <f>IF(Y17=0,0,Sheet1!D4+Sheet1!Z4+Sheet1!W4)</f>
        <v>100</v>
      </c>
      <c r="E17" s="122">
        <f>IF(Y17=0,0,Sheet1!E4+Sheet1!X4+Sheet1!AA4)</f>
        <v>750</v>
      </c>
      <c r="F17" s="122">
        <f>IF(Y17=0,0,Sheet1!F4+Sheet1!Y4+Sheet1!AB4)</f>
        <v>130</v>
      </c>
      <c r="N17" s="132" t="str">
        <f>IF(V17=0,"N/A",AG5)</f>
        <v>5+2</v>
      </c>
      <c r="O17" s="133">
        <f>IF(W17=0,"N/A",AH5)</f>
        <v>2</v>
      </c>
      <c r="P17" s="299">
        <f>'Phase calculation'!K33</f>
        <v>2</v>
      </c>
      <c r="V17" s="122">
        <f>Sheet1!D5+Sheet1!W5+Sheet1!Z5</f>
        <v>1</v>
      </c>
      <c r="W17" s="122">
        <f>Sheet1!E5+Sheet1!X5+Sheet1!AA5</f>
        <v>1</v>
      </c>
      <c r="X17" s="122">
        <f>Sheet1!F5+Sheet1!Y5+Sheet1!AB5</f>
        <v>1</v>
      </c>
      <c r="Y17" s="185">
        <f>SUM(V17:X17)+W4</f>
        <v>4</v>
      </c>
    </row>
    <row r="18" spans="1:25" x14ac:dyDescent="0.3">
      <c r="D18" s="560" t="str">
        <f>Sheet1!E38</f>
        <v>SR 85</v>
      </c>
      <c r="E18" s="560"/>
      <c r="F18" s="560"/>
      <c r="N18" s="560" t="str">
        <f>D18</f>
        <v>SR 85</v>
      </c>
      <c r="O18" s="560"/>
      <c r="P18" s="560"/>
    </row>
    <row r="20" spans="1:25" x14ac:dyDescent="0.3">
      <c r="B20" s="562" t="s">
        <v>215</v>
      </c>
      <c r="C20" s="562"/>
      <c r="D20" s="562"/>
      <c r="E20" s="562"/>
      <c r="F20" s="562"/>
      <c r="G20" s="562"/>
      <c r="H20" s="116"/>
      <c r="L20" s="521" t="s">
        <v>214</v>
      </c>
      <c r="M20" s="521"/>
      <c r="N20" s="521"/>
      <c r="O20" s="521"/>
      <c r="P20" s="521"/>
      <c r="Q20" s="521"/>
    </row>
    <row r="21" spans="1:25" x14ac:dyDescent="0.3">
      <c r="D21" s="560" t="str">
        <f>D3</f>
        <v>SR 85</v>
      </c>
      <c r="E21" s="560"/>
      <c r="F21" s="560"/>
      <c r="N21" s="560" t="str">
        <f>D3</f>
        <v>SR 85</v>
      </c>
      <c r="O21" s="560"/>
      <c r="P21" s="560"/>
    </row>
    <row r="22" spans="1:25" x14ac:dyDescent="0.3">
      <c r="B22" s="5"/>
      <c r="C22" s="5"/>
      <c r="D22" s="296">
        <f>'Phase calculation'!N34</f>
        <v>57.2</v>
      </c>
      <c r="E22" s="79">
        <f>IF(W4=0,0,'Phase calculation'!M34)</f>
        <v>57.2</v>
      </c>
      <c r="F22" s="79">
        <f>IF(Y17=0,'Phase calculation'!M34,'Phase calculation'!L34)</f>
        <v>15.4</v>
      </c>
      <c r="G22" s="5"/>
      <c r="H22" s="5"/>
      <c r="I22" s="5"/>
      <c r="L22" s="5"/>
      <c r="M22" s="5"/>
      <c r="N22" s="240">
        <f>'Phase calculation'!N41</f>
        <v>596</v>
      </c>
      <c r="O22" s="92">
        <f>IF(W4=0,0,'Phase calculation'!M41)</f>
        <v>701.1</v>
      </c>
      <c r="P22" s="92">
        <f>IF(X4=0,0,'Phase calculation'!L41)</f>
        <v>180.8</v>
      </c>
      <c r="Q22" s="5"/>
    </row>
    <row r="23" spans="1:25" x14ac:dyDescent="0.3">
      <c r="B23" s="5"/>
      <c r="C23" s="5"/>
      <c r="D23" s="5"/>
      <c r="E23" s="5"/>
      <c r="G23" s="5"/>
      <c r="H23" s="5"/>
      <c r="I23" s="5"/>
      <c r="L23" s="5"/>
      <c r="M23" s="5"/>
      <c r="N23" s="5"/>
      <c r="O23" s="5"/>
      <c r="P23" s="5"/>
      <c r="Q23" s="5"/>
    </row>
    <row r="24" spans="1:25" x14ac:dyDescent="0.3">
      <c r="B24" s="5"/>
      <c r="C24" s="5"/>
      <c r="D24" s="5"/>
      <c r="E24" s="5"/>
      <c r="G24" s="5"/>
      <c r="H24" s="5"/>
      <c r="I24" s="17" t="s">
        <v>76</v>
      </c>
      <c r="L24" s="5"/>
      <c r="M24" s="5"/>
      <c r="N24" s="5"/>
      <c r="O24" s="5"/>
      <c r="P24" s="5"/>
      <c r="Q24" s="5"/>
    </row>
    <row r="25" spans="1:25" x14ac:dyDescent="0.3">
      <c r="B25" s="5"/>
      <c r="C25" s="5"/>
      <c r="D25" s="5"/>
      <c r="E25" s="5"/>
      <c r="G25" s="5"/>
      <c r="H25" s="5"/>
      <c r="I25" s="5"/>
      <c r="L25" s="5"/>
      <c r="M25" s="5"/>
      <c r="N25" s="5"/>
      <c r="O25" s="5"/>
      <c r="P25" s="5"/>
      <c r="Q25" s="5"/>
    </row>
    <row r="26" spans="1:25" x14ac:dyDescent="0.3">
      <c r="B26" s="5"/>
      <c r="C26" s="5"/>
      <c r="D26" s="5"/>
      <c r="E26" s="5"/>
      <c r="G26" s="5"/>
      <c r="H26" s="5"/>
      <c r="I26" s="5"/>
      <c r="L26" s="5"/>
      <c r="M26" s="5"/>
      <c r="N26" s="5"/>
      <c r="O26" s="5"/>
      <c r="P26" s="5"/>
      <c r="Q26" s="5"/>
    </row>
    <row r="27" spans="1:25" x14ac:dyDescent="0.3">
      <c r="B27" s="123">
        <f>IF(Z15=0,'Phase calculation'!D34,'Phase calculation'!C34)</f>
        <v>18.7</v>
      </c>
      <c r="C27" s="5"/>
      <c r="E27" s="129"/>
      <c r="G27" s="5"/>
      <c r="H27" s="125">
        <f>'Phase calculation'!H34</f>
        <v>28.4</v>
      </c>
      <c r="L27" s="44">
        <f>IF(T9=0,0,'Phase calculation'!C41)</f>
        <v>298.10000000000002</v>
      </c>
      <c r="M27" s="5"/>
      <c r="N27" s="129"/>
      <c r="O27" s="129"/>
      <c r="P27" s="5"/>
      <c r="R27" s="300">
        <f>'Phase calculation'!H41</f>
        <v>254</v>
      </c>
    </row>
    <row r="28" spans="1:25" x14ac:dyDescent="0.3">
      <c r="B28" s="5"/>
      <c r="C28" s="11"/>
      <c r="D28" s="129"/>
      <c r="E28" s="564" t="str">
        <f>IF(E22+F22+H27+H29+E35+D35+B29+B27=0,0,"C = "&amp;'Phase calculation'!C25&amp;" s")</f>
        <v>C = 120 s</v>
      </c>
      <c r="G28" s="11"/>
      <c r="H28" s="24"/>
      <c r="I28" s="10"/>
      <c r="L28" s="192"/>
      <c r="M28" s="11"/>
      <c r="N28" s="129"/>
      <c r="O28" s="129"/>
      <c r="P28" s="11"/>
    </row>
    <row r="29" spans="1:25" x14ac:dyDescent="0.3">
      <c r="A29" s="206" t="str">
        <f>A11</f>
        <v>Ramah Road</v>
      </c>
      <c r="B29" s="124">
        <f>IF(T11=0,0,'Phase calculation'!D34)</f>
        <v>32.6</v>
      </c>
      <c r="C29" s="26"/>
      <c r="D29" s="11"/>
      <c r="E29" s="564"/>
      <c r="G29" s="11"/>
      <c r="H29" s="126">
        <f>IF(Z11=0,0,'Phase calculation'!G34)</f>
        <v>28.4</v>
      </c>
      <c r="I29" s="207" t="str">
        <f>I11</f>
        <v>SR 92</v>
      </c>
      <c r="K29" s="206" t="str">
        <f>A11</f>
        <v>Ramah Road</v>
      </c>
      <c r="L29" s="44">
        <f>IF(T11=0,0,'Phase calculation'!D41)</f>
        <v>334.7</v>
      </c>
      <c r="M29" s="26"/>
      <c r="N29" s="11"/>
      <c r="O29" s="11"/>
      <c r="P29" s="11"/>
      <c r="R29" s="9">
        <f>IF(Z11=0,0,'Phase calculation'!G41)</f>
        <v>298.89999999999998</v>
      </c>
    </row>
    <row r="30" spans="1:25" x14ac:dyDescent="0.3">
      <c r="B30" s="5"/>
      <c r="C30" s="30"/>
      <c r="D30" s="15"/>
      <c r="E30" s="564"/>
      <c r="G30" s="15"/>
      <c r="H30" s="26"/>
      <c r="I30" s="14"/>
      <c r="L30" s="5"/>
      <c r="M30" s="30"/>
      <c r="N30" s="15"/>
      <c r="O30" s="15"/>
      <c r="P30" s="15"/>
      <c r="Q30" s="26"/>
      <c r="R30" s="24"/>
    </row>
    <row r="31" spans="1:25" x14ac:dyDescent="0.3">
      <c r="B31" s="124">
        <f>'Phase calculation'!E34</f>
        <v>32.6</v>
      </c>
      <c r="C31" s="31"/>
      <c r="D31" s="32"/>
      <c r="E31" s="32"/>
      <c r="F31" s="33"/>
      <c r="G31" s="15"/>
      <c r="H31" s="295">
        <f>IF(T15=0,'Phase calculation'!G34,'Phase calculation'!F34)</f>
        <v>14.5</v>
      </c>
      <c r="L31" s="7">
        <f>'Phase calculation'!E41</f>
        <v>0</v>
      </c>
      <c r="M31" s="31"/>
      <c r="N31" s="32"/>
      <c r="O31" s="32"/>
      <c r="P31" s="33"/>
      <c r="Q31" s="15"/>
      <c r="R31" s="27">
        <f>IF(Z13=0,0,'Phase calculation'!F41)</f>
        <v>303.3</v>
      </c>
    </row>
    <row r="32" spans="1:25" x14ac:dyDescent="0.3">
      <c r="B32" s="5"/>
      <c r="C32" s="34"/>
      <c r="D32" s="15"/>
      <c r="E32" s="15"/>
      <c r="F32" s="15"/>
      <c r="G32" s="90"/>
      <c r="H32" s="90"/>
      <c r="L32" s="5"/>
      <c r="M32" s="34"/>
      <c r="N32" s="15"/>
      <c r="O32" s="15"/>
      <c r="P32" s="15"/>
      <c r="Q32" s="90"/>
    </row>
    <row r="33" spans="2:19" x14ac:dyDescent="0.3">
      <c r="B33" s="5"/>
      <c r="C33" s="35"/>
      <c r="D33" s="15"/>
      <c r="E33" s="15" t="s">
        <v>77</v>
      </c>
      <c r="F33" s="15"/>
      <c r="G33" s="15"/>
      <c r="H33" s="15"/>
      <c r="L33" s="5"/>
      <c r="M33" s="35"/>
      <c r="N33" s="15"/>
      <c r="O33" s="15" t="s">
        <v>77</v>
      </c>
      <c r="P33" s="15"/>
      <c r="Q33" s="15"/>
    </row>
    <row r="34" spans="2:19" x14ac:dyDescent="0.3">
      <c r="B34" s="5"/>
      <c r="C34" s="23"/>
      <c r="F34" s="15"/>
      <c r="G34" s="15"/>
      <c r="H34" s="15"/>
      <c r="L34" s="5"/>
      <c r="M34" s="23"/>
      <c r="P34" s="15"/>
      <c r="Q34" s="15"/>
    </row>
    <row r="35" spans="2:19" x14ac:dyDescent="0.3">
      <c r="D35" s="127">
        <f>IF(Y4=0,'Phase calculation'!J34,'Phase calculation'!I34)</f>
        <v>15.7</v>
      </c>
      <c r="E35" s="128">
        <f>IF(W17=0,0,'Phase calculation'!J34)</f>
        <v>57.5</v>
      </c>
      <c r="F35" s="296">
        <f>'Phase calculation'!K34</f>
        <v>57.5</v>
      </c>
      <c r="N35" s="36">
        <f>IF(V17=0,0,'Phase calculation'!I41)</f>
        <v>417.5</v>
      </c>
      <c r="O35" s="37">
        <f>IF(W17=0,0,'Phase calculation'!J41)</f>
        <v>705.3</v>
      </c>
      <c r="P35" s="240">
        <f>'Phase calculation'!K41</f>
        <v>600</v>
      </c>
    </row>
    <row r="36" spans="2:19" x14ac:dyDescent="0.3">
      <c r="D36" s="560" t="str">
        <f>D18</f>
        <v>SR 85</v>
      </c>
      <c r="E36" s="560"/>
      <c r="F36" s="560"/>
      <c r="G36" s="62"/>
      <c r="H36" s="62"/>
      <c r="I36" s="62"/>
      <c r="J36" s="62"/>
      <c r="K36" s="62"/>
      <c r="L36" s="62"/>
      <c r="M36" s="62"/>
      <c r="N36" s="560" t="str">
        <f>D18</f>
        <v>SR 85</v>
      </c>
      <c r="O36" s="560"/>
      <c r="P36" s="560"/>
    </row>
    <row r="37" spans="2:19" x14ac:dyDescent="0.3">
      <c r="D37" s="283"/>
      <c r="E37" s="283"/>
      <c r="F37" s="62"/>
      <c r="G37" s="62"/>
      <c r="H37" s="62"/>
      <c r="I37" s="62"/>
      <c r="J37" s="62"/>
      <c r="K37" s="62"/>
      <c r="L37" s="62"/>
      <c r="M37" s="62"/>
    </row>
    <row r="39" spans="2:19" x14ac:dyDescent="0.3">
      <c r="M39" s="571" t="s">
        <v>219</v>
      </c>
      <c r="N39" s="571"/>
      <c r="O39" s="571"/>
      <c r="P39" s="571"/>
      <c r="Q39" s="571"/>
      <c r="R39" s="571"/>
    </row>
    <row r="40" spans="2:19" x14ac:dyDescent="0.3">
      <c r="B40" s="567" t="s">
        <v>218</v>
      </c>
      <c r="C40" s="567"/>
      <c r="D40" s="567"/>
      <c r="E40" s="567"/>
      <c r="F40" s="567"/>
      <c r="G40" s="567"/>
      <c r="L40" s="314"/>
      <c r="M40" s="314"/>
      <c r="O40" s="560" t="str">
        <f>D3</f>
        <v>SR 85</v>
      </c>
      <c r="P40" s="560"/>
      <c r="Q40" s="560"/>
    </row>
    <row r="41" spans="2:19" x14ac:dyDescent="0.3">
      <c r="D41" s="560" t="str">
        <f>D3</f>
        <v>SR 85</v>
      </c>
      <c r="E41" s="560"/>
      <c r="F41" s="560"/>
      <c r="O41" s="565">
        <f>'Phase calculation'!L46</f>
        <v>45.519166666666663</v>
      </c>
      <c r="P41" s="565"/>
      <c r="Q41" s="565"/>
    </row>
    <row r="42" spans="2:19" x14ac:dyDescent="0.3">
      <c r="B42" s="136"/>
      <c r="C42" s="136"/>
      <c r="D42" s="303">
        <f>'Phase calculation'!N40</f>
        <v>9.0604026845637578E-2</v>
      </c>
      <c r="E42" s="137">
        <f>IF(W4=0,"N/A",'Phase calculation'!M40)</f>
        <v>0.54</v>
      </c>
      <c r="F42" s="137">
        <f>IF(X4=0,"N/A",'Phase calculation'!L40)</f>
        <v>0.9</v>
      </c>
      <c r="G42" s="136"/>
      <c r="M42" s="254"/>
      <c r="N42" s="254"/>
      <c r="O42" s="308">
        <f>'Phase calculation'!N44</f>
        <v>21.400000000000002</v>
      </c>
      <c r="P42" s="255">
        <f>IF(W4=0,"N/A",'Phase calculation'!M44)</f>
        <v>29.189999999999998</v>
      </c>
      <c r="Q42" s="255">
        <f>IF(X4=0,"N/A",'Phase calculation'!L44)</f>
        <v>99.699999999999989</v>
      </c>
      <c r="R42" s="254"/>
    </row>
    <row r="43" spans="2:19" x14ac:dyDescent="0.3">
      <c r="B43" s="136"/>
      <c r="C43" s="136"/>
      <c r="D43" s="136"/>
      <c r="E43" s="136"/>
      <c r="F43" s="136"/>
      <c r="G43" s="136"/>
      <c r="M43" s="254"/>
      <c r="N43" s="254"/>
      <c r="O43" s="254"/>
      <c r="P43" s="254"/>
      <c r="Q43" s="254"/>
      <c r="R43" s="254"/>
    </row>
    <row r="44" spans="2:19" x14ac:dyDescent="0.3">
      <c r="B44" s="136"/>
      <c r="C44" s="136"/>
      <c r="D44" s="136"/>
      <c r="E44" s="136"/>
      <c r="F44" s="136"/>
      <c r="G44" s="136"/>
      <c r="I44" s="17" t="s">
        <v>76</v>
      </c>
      <c r="M44" s="254"/>
      <c r="N44" s="254"/>
      <c r="O44" s="254"/>
      <c r="P44" s="254"/>
      <c r="Q44" s="254"/>
      <c r="R44" s="254"/>
      <c r="S44" s="17" t="s">
        <v>76</v>
      </c>
    </row>
    <row r="45" spans="2:19" x14ac:dyDescent="0.3">
      <c r="B45" s="136"/>
      <c r="C45" s="136"/>
      <c r="D45" s="136"/>
      <c r="E45" s="136"/>
      <c r="F45" s="136"/>
      <c r="G45" s="136"/>
      <c r="M45" s="254"/>
      <c r="N45" s="254"/>
      <c r="O45" s="254"/>
      <c r="P45" s="254"/>
      <c r="Q45" s="254"/>
      <c r="R45" s="254"/>
    </row>
    <row r="46" spans="2:19" x14ac:dyDescent="0.3">
      <c r="B46" s="136"/>
      <c r="C46" s="136"/>
      <c r="D46" s="136"/>
      <c r="E46" s="136"/>
      <c r="F46" s="136"/>
      <c r="G46" s="136"/>
      <c r="M46" s="254"/>
      <c r="N46" s="254"/>
      <c r="O46" s="254"/>
      <c r="P46" s="254"/>
      <c r="Q46" s="254"/>
      <c r="R46" s="254"/>
    </row>
    <row r="47" spans="2:19" x14ac:dyDescent="0.3">
      <c r="B47" s="138">
        <f>IF(T9=0,"N/A",'Phase calculation'!C40)</f>
        <v>0.55000000000000004</v>
      </c>
      <c r="C47" s="136"/>
      <c r="H47" s="302">
        <f>'Phase calculation'!H40</f>
        <v>0.31889763779527558</v>
      </c>
      <c r="M47" s="256">
        <f>IF(T9=0,"N/A",'Phase calculation'!C44)</f>
        <v>58.07</v>
      </c>
      <c r="N47" s="254"/>
      <c r="P47" s="305"/>
      <c r="Q47" s="254"/>
    </row>
    <row r="48" spans="2:19" x14ac:dyDescent="0.3">
      <c r="B48" s="136"/>
      <c r="C48" s="140"/>
      <c r="D48" s="570">
        <f>'Phase calculation'!T82</f>
        <v>0.87</v>
      </c>
      <c r="E48" s="570"/>
      <c r="F48" s="570"/>
      <c r="M48" s="254"/>
      <c r="N48" s="257"/>
      <c r="O48" s="563">
        <f>'Phase calculation'!T84</f>
        <v>74.650000000000006</v>
      </c>
      <c r="P48" s="563"/>
      <c r="Q48" s="563"/>
    </row>
    <row r="49" spans="1:20" x14ac:dyDescent="0.3">
      <c r="A49" s="206" t="str">
        <f>A11</f>
        <v>Ramah Road</v>
      </c>
      <c r="B49" s="138">
        <f>IF(T11=0,"N/A",'Phase calculation'!D40)</f>
        <v>0.56999999999999995</v>
      </c>
      <c r="C49" s="142"/>
      <c r="D49" s="570" t="str">
        <f>'Phase calculation'!C52</f>
        <v>Near Capacity</v>
      </c>
      <c r="E49" s="570"/>
      <c r="F49" s="570"/>
      <c r="H49" s="139">
        <f>IF(Z11=0,"N/A",'Phase calculation'!G40)</f>
        <v>0.73</v>
      </c>
      <c r="I49" s="206" t="str">
        <f>I11</f>
        <v>SR 92</v>
      </c>
      <c r="K49" s="206" t="str">
        <f>A11</f>
        <v>Ramah Road</v>
      </c>
      <c r="L49" s="357">
        <f>'Phase calculation'!C46</f>
        <v>43.279375000000002</v>
      </c>
      <c r="M49" s="256">
        <f>IF(T11=0,"N/A",'Phase calculation'!D44)</f>
        <v>49.150000000000006</v>
      </c>
      <c r="N49" s="258"/>
      <c r="O49" s="563"/>
      <c r="P49" s="563"/>
      <c r="Q49" s="563"/>
      <c r="S49" s="357">
        <f>'Phase calculation'!F46</f>
        <v>54.77823529411765</v>
      </c>
      <c r="T49" s="206" t="str">
        <f>I11</f>
        <v>SR 92</v>
      </c>
    </row>
    <row r="50" spans="1:20" x14ac:dyDescent="0.3">
      <c r="B50" s="136"/>
      <c r="C50" s="144"/>
      <c r="D50" s="145"/>
      <c r="E50" s="145"/>
      <c r="F50" s="145"/>
      <c r="G50" s="142"/>
      <c r="H50" s="141"/>
      <c r="M50" s="254"/>
      <c r="N50" s="259"/>
      <c r="O50" s="563"/>
      <c r="P50" s="563"/>
      <c r="Q50" s="563"/>
      <c r="R50" s="258"/>
    </row>
    <row r="51" spans="1:20" x14ac:dyDescent="0.3">
      <c r="B51" s="301">
        <f>'Phase calculation'!E40</f>
        <v>0</v>
      </c>
      <c r="C51" s="31"/>
      <c r="D51" s="146"/>
      <c r="E51" s="146"/>
      <c r="F51" s="147"/>
      <c r="G51" s="145"/>
      <c r="H51" s="143">
        <f>IF(Z13=0,"N/A",'Phase calculation'!F40)</f>
        <v>0.27</v>
      </c>
      <c r="M51" s="304">
        <f>'Phase calculation'!E44</f>
        <v>0</v>
      </c>
      <c r="N51" s="261"/>
      <c r="O51" s="262"/>
      <c r="P51" s="262"/>
      <c r="Q51" s="263"/>
      <c r="R51" s="260"/>
    </row>
    <row r="52" spans="1:20" x14ac:dyDescent="0.3">
      <c r="B52" s="136"/>
      <c r="C52" s="148"/>
      <c r="D52" s="145"/>
      <c r="E52" s="145"/>
      <c r="F52" s="145"/>
      <c r="G52" s="149"/>
      <c r="M52" s="254"/>
      <c r="N52" s="264"/>
      <c r="O52" s="260"/>
      <c r="P52" s="260"/>
      <c r="Q52" s="260"/>
      <c r="R52" s="265"/>
    </row>
    <row r="53" spans="1:20" x14ac:dyDescent="0.3">
      <c r="B53" s="136"/>
      <c r="C53" s="150"/>
      <c r="D53" s="145"/>
      <c r="E53" s="145" t="s">
        <v>77</v>
      </c>
      <c r="F53" s="145"/>
      <c r="G53" s="145"/>
      <c r="M53" s="254"/>
      <c r="N53" s="266"/>
      <c r="O53" s="260"/>
      <c r="P53" s="260" t="s">
        <v>77</v>
      </c>
      <c r="Q53" s="260"/>
      <c r="R53" s="260"/>
    </row>
    <row r="54" spans="1:20" x14ac:dyDescent="0.3">
      <c r="B54" s="136"/>
      <c r="C54" s="151"/>
      <c r="G54" s="145"/>
      <c r="M54" s="254"/>
      <c r="N54" s="267"/>
      <c r="Q54" s="260"/>
      <c r="R54" s="260"/>
    </row>
    <row r="55" spans="1:20" x14ac:dyDescent="0.3">
      <c r="D55" s="152">
        <f>IF(V17=0,"N/A",'Phase calculation'!I40)</f>
        <v>0.26</v>
      </c>
      <c r="E55" s="153">
        <f>IF(W17=0,"N/A",'Phase calculation'!J40)</f>
        <v>1.1599999999999999</v>
      </c>
      <c r="F55" s="152">
        <f>'Phase calculation'!K40</f>
        <v>0.11666666666666667</v>
      </c>
      <c r="O55" s="268">
        <f>IF(V17=0,"N/A",'Phase calculation'!I44)</f>
        <v>53.29</v>
      </c>
      <c r="P55" s="269">
        <f>IF(W17=0,"N/A",'Phase calculation'!J44)</f>
        <v>122.02</v>
      </c>
      <c r="Q55" s="308">
        <f>'Phase calculation'!K44</f>
        <v>21.57</v>
      </c>
    </row>
    <row r="56" spans="1:20" x14ac:dyDescent="0.3">
      <c r="D56" s="560" t="str">
        <f>D18</f>
        <v>SR 85</v>
      </c>
      <c r="E56" s="560"/>
      <c r="F56" s="560"/>
      <c r="O56" s="565">
        <f>'Phase calculation'!I46</f>
        <v>101.68173469387756</v>
      </c>
      <c r="P56" s="565"/>
      <c r="Q56" s="565"/>
    </row>
    <row r="57" spans="1:20" x14ac:dyDescent="0.3">
      <c r="D57" s="88"/>
      <c r="E57" s="88"/>
      <c r="O57" s="560" t="str">
        <f>D18</f>
        <v>SR 85</v>
      </c>
      <c r="P57" s="560"/>
      <c r="Q57" s="560"/>
    </row>
    <row r="58" spans="1:20" x14ac:dyDescent="0.3">
      <c r="G58" s="568" t="s">
        <v>220</v>
      </c>
      <c r="H58" s="568"/>
      <c r="I58" s="568"/>
      <c r="J58" s="568"/>
      <c r="K58" s="568"/>
      <c r="L58" s="568"/>
      <c r="M58" s="116"/>
    </row>
    <row r="59" spans="1:20" x14ac:dyDescent="0.3">
      <c r="I59" s="560" t="str">
        <f>D3</f>
        <v>SR 85</v>
      </c>
      <c r="J59" s="560"/>
      <c r="K59" s="560"/>
    </row>
    <row r="60" spans="1:20" s="62" customFormat="1" x14ac:dyDescent="0.3">
      <c r="I60" s="315"/>
      <c r="J60" s="159" t="str">
        <f>'Phase calculation'!L47</f>
        <v>D</v>
      </c>
      <c r="K60" s="315"/>
    </row>
    <row r="61" spans="1:20" x14ac:dyDescent="0.3">
      <c r="G61" s="81"/>
      <c r="H61" s="81"/>
      <c r="I61" s="280" t="str">
        <f>'Phase calculation'!N45</f>
        <v>C</v>
      </c>
      <c r="J61" s="158" t="str">
        <f>'Phase calculation'!M45</f>
        <v>C</v>
      </c>
      <c r="K61" s="158" t="str">
        <f>'Phase calculation'!L45</f>
        <v>F</v>
      </c>
      <c r="L61" s="81"/>
      <c r="M61" s="5"/>
      <c r="P61" s="91" t="s">
        <v>139</v>
      </c>
      <c r="Q61" s="91" t="s">
        <v>221</v>
      </c>
    </row>
    <row r="62" spans="1:20" x14ac:dyDescent="0.3">
      <c r="G62" s="81"/>
      <c r="H62" s="81"/>
      <c r="I62" s="81"/>
      <c r="J62" s="81"/>
      <c r="K62" s="81"/>
      <c r="L62" s="81"/>
      <c r="M62" s="5"/>
      <c r="P62" s="91" t="s">
        <v>142</v>
      </c>
      <c r="Q62" s="67"/>
    </row>
    <row r="63" spans="1:20" x14ac:dyDescent="0.3">
      <c r="G63" s="81"/>
      <c r="H63" s="81"/>
      <c r="I63" s="81"/>
      <c r="J63" s="81"/>
      <c r="K63" s="81"/>
      <c r="L63" s="81"/>
      <c r="N63" s="17" t="s">
        <v>76</v>
      </c>
      <c r="P63" s="91" t="s">
        <v>143</v>
      </c>
      <c r="Q63" s="156"/>
    </row>
    <row r="64" spans="1:20" x14ac:dyDescent="0.3">
      <c r="G64" s="81"/>
      <c r="H64" s="81"/>
      <c r="I64" s="81"/>
      <c r="J64" s="81"/>
      <c r="K64" s="81"/>
      <c r="L64" s="81"/>
      <c r="M64" s="5"/>
      <c r="P64" s="91" t="s">
        <v>144</v>
      </c>
      <c r="Q64" s="157"/>
    </row>
    <row r="65" spans="5:17" x14ac:dyDescent="0.3">
      <c r="G65" s="81"/>
      <c r="H65" s="81"/>
      <c r="I65" s="81"/>
      <c r="J65" s="81"/>
      <c r="K65" s="81"/>
      <c r="L65" s="81"/>
      <c r="M65" s="5"/>
      <c r="P65" s="91" t="s">
        <v>145</v>
      </c>
      <c r="Q65" s="1"/>
    </row>
    <row r="66" spans="5:17" ht="15" customHeight="1" x14ac:dyDescent="0.3">
      <c r="G66" s="307" t="str">
        <f>'Phase calculation'!C45</f>
        <v>E</v>
      </c>
      <c r="H66" s="81"/>
      <c r="J66" s="306"/>
      <c r="K66" s="81"/>
      <c r="M66" s="161" t="str">
        <f>'Phase calculation'!H45</f>
        <v>D</v>
      </c>
      <c r="P66" s="91" t="s">
        <v>146</v>
      </c>
      <c r="Q66" s="155"/>
    </row>
    <row r="67" spans="5:17" ht="15" customHeight="1" x14ac:dyDescent="0.3">
      <c r="G67" s="82"/>
      <c r="H67" s="10"/>
      <c r="I67" s="569" t="str">
        <f>'Phase calculation'!U84</f>
        <v>E</v>
      </c>
      <c r="J67" s="569"/>
      <c r="K67" s="569"/>
      <c r="P67" s="91" t="s">
        <v>147</v>
      </c>
      <c r="Q67" s="59"/>
    </row>
    <row r="68" spans="5:17" ht="15" customHeight="1" x14ac:dyDescent="0.3">
      <c r="E68" s="206" t="str">
        <f>A11</f>
        <v>Ramah Road</v>
      </c>
      <c r="F68" s="159" t="str">
        <f>'Phase calculation'!C47</f>
        <v>D</v>
      </c>
      <c r="G68" s="82" t="str">
        <f>'Phase calculation'!D45</f>
        <v>D</v>
      </c>
      <c r="H68" s="13"/>
      <c r="I68" s="569"/>
      <c r="J68" s="569"/>
      <c r="K68" s="569"/>
      <c r="M68" s="161" t="str">
        <f>'Phase calculation'!G45</f>
        <v>E</v>
      </c>
      <c r="N68" s="159" t="str">
        <f>'Phase calculation'!F47</f>
        <v>D</v>
      </c>
      <c r="O68" s="207" t="str">
        <f>I11</f>
        <v>SR 92</v>
      </c>
    </row>
    <row r="69" spans="5:17" ht="15" customHeight="1" x14ac:dyDescent="0.3">
      <c r="G69" s="81"/>
      <c r="H69" s="104"/>
      <c r="I69" s="569"/>
      <c r="J69" s="569"/>
      <c r="K69" s="569"/>
      <c r="L69" s="13"/>
      <c r="M69" s="162"/>
      <c r="N69" s="10"/>
    </row>
    <row r="70" spans="5:17" x14ac:dyDescent="0.3">
      <c r="G70" s="82" t="str">
        <f>'Phase calculation'!E45</f>
        <v>N/A</v>
      </c>
      <c r="H70" s="31"/>
      <c r="I70" s="32"/>
      <c r="J70" s="32"/>
      <c r="K70" s="154"/>
      <c r="L70" s="16"/>
      <c r="M70" s="162" t="str">
        <f>'Phase calculation'!F45</f>
        <v>D</v>
      </c>
      <c r="N70" s="10"/>
    </row>
    <row r="71" spans="5:17" x14ac:dyDescent="0.3">
      <c r="G71" s="81"/>
      <c r="H71" s="35"/>
      <c r="I71" s="16"/>
      <c r="J71" s="16"/>
      <c r="K71" s="16"/>
      <c r="L71" s="105"/>
      <c r="M71" s="90"/>
    </row>
    <row r="72" spans="5:17" x14ac:dyDescent="0.3">
      <c r="G72" s="81"/>
      <c r="H72" s="35"/>
      <c r="I72" s="16"/>
      <c r="J72" s="16" t="s">
        <v>77</v>
      </c>
      <c r="K72" s="16"/>
      <c r="L72" s="16"/>
      <c r="M72" s="15"/>
    </row>
    <row r="73" spans="5:17" x14ac:dyDescent="0.3">
      <c r="G73" s="81"/>
      <c r="H73" s="23"/>
      <c r="K73" s="16"/>
      <c r="L73" s="16"/>
      <c r="M73" s="15"/>
    </row>
    <row r="74" spans="5:17" x14ac:dyDescent="0.3">
      <c r="I74" s="159" t="str">
        <f>'Phase calculation'!I45</f>
        <v>D</v>
      </c>
      <c r="J74" s="160" t="str">
        <f>'Phase calculation'!J45</f>
        <v>F</v>
      </c>
      <c r="K74" s="280" t="str">
        <f>'Phase calculation'!K45</f>
        <v>C</v>
      </c>
    </row>
    <row r="75" spans="5:17" x14ac:dyDescent="0.3">
      <c r="J75" s="159" t="str">
        <f>'Phase calculation'!I47</f>
        <v>F</v>
      </c>
    </row>
    <row r="76" spans="5:17" s="62" customFormat="1" x14ac:dyDescent="0.3">
      <c r="I76" s="560" t="str">
        <f>D18</f>
        <v>SR 85</v>
      </c>
      <c r="J76" s="560"/>
      <c r="K76" s="560"/>
    </row>
    <row r="79" spans="5:17" s="224" customFormat="1" x14ac:dyDescent="0.3"/>
    <row r="80" spans="5:17" s="224" customFormat="1" x14ac:dyDescent="0.3"/>
    <row r="81" spans="6:19" s="224" customFormat="1" x14ac:dyDescent="0.3"/>
    <row r="82" spans="6:19" s="224" customFormat="1" x14ac:dyDescent="0.3">
      <c r="F82" s="225" t="s">
        <v>73</v>
      </c>
      <c r="G82" s="225" t="str">
        <f>'Phase calculation'!C32</f>
        <v>EBL</v>
      </c>
      <c r="H82" s="225" t="str">
        <f>'Phase calculation'!D32</f>
        <v>EBT</v>
      </c>
      <c r="I82" s="225" t="str">
        <f>'Phase calculation'!F32</f>
        <v>WBL</v>
      </c>
      <c r="J82" s="225" t="str">
        <f>'Phase calculation'!G32</f>
        <v>WBT</v>
      </c>
      <c r="K82" s="225" t="str">
        <f>'Phase calculation'!I32</f>
        <v>NBL</v>
      </c>
      <c r="L82" s="225" t="str">
        <f>'Phase calculation'!J32</f>
        <v>NBT</v>
      </c>
      <c r="M82" s="225" t="str">
        <f>'Phase calculation'!L32</f>
        <v>SBL</v>
      </c>
      <c r="N82" s="225" t="str">
        <f>'Phase calculation'!M32</f>
        <v>SBT</v>
      </c>
    </row>
    <row r="83" spans="6:19" s="224" customFormat="1" x14ac:dyDescent="0.3">
      <c r="F83" s="225" t="s">
        <v>124</v>
      </c>
      <c r="G83" s="225">
        <f>'Phase calculation'!C33</f>
        <v>7</v>
      </c>
      <c r="H83" s="225">
        <f>'Phase calculation'!D33</f>
        <v>4</v>
      </c>
      <c r="I83" s="225">
        <f>'Phase calculation'!F33</f>
        <v>3</v>
      </c>
      <c r="J83" s="225">
        <f>'Phase calculation'!G33</f>
        <v>8</v>
      </c>
      <c r="K83" s="225">
        <f>'Phase calculation'!I33</f>
        <v>5</v>
      </c>
      <c r="L83" s="225">
        <f>'Phase calculation'!J33</f>
        <v>2</v>
      </c>
      <c r="M83" s="225">
        <f>'Phase calculation'!L33</f>
        <v>1</v>
      </c>
      <c r="N83" s="225">
        <f>'Phase calculation'!M33</f>
        <v>6</v>
      </c>
    </row>
    <row r="84" spans="6:19" s="224" customFormat="1" x14ac:dyDescent="0.3">
      <c r="F84" s="225" t="s">
        <v>319</v>
      </c>
      <c r="G84" s="225">
        <f>'Phase calculation'!C34</f>
        <v>18.7</v>
      </c>
      <c r="H84" s="225">
        <f>'Phase calculation'!D34</f>
        <v>32.6</v>
      </c>
      <c r="I84" s="225">
        <f>'Phase calculation'!F34</f>
        <v>14.5</v>
      </c>
      <c r="J84" s="225">
        <f>'Phase calculation'!G34</f>
        <v>28.4</v>
      </c>
      <c r="K84" s="225">
        <f>'Phase calculation'!I34</f>
        <v>15.7</v>
      </c>
      <c r="L84" s="225">
        <f>'Phase calculation'!J34</f>
        <v>57.5</v>
      </c>
      <c r="M84" s="225">
        <f>'Phase calculation'!L34</f>
        <v>15.4</v>
      </c>
      <c r="N84" s="225">
        <f>'Phase calculation'!M34</f>
        <v>57.2</v>
      </c>
    </row>
    <row r="85" spans="6:19" s="224" customFormat="1" x14ac:dyDescent="0.3">
      <c r="F85" s="225" t="s">
        <v>149</v>
      </c>
      <c r="G85" s="225">
        <f>'Phase calculation'!C41</f>
        <v>298.10000000000002</v>
      </c>
      <c r="H85" s="225">
        <f>'Phase calculation'!D41</f>
        <v>334.7</v>
      </c>
      <c r="I85" s="225">
        <f>'Phase calculation'!F41</f>
        <v>303.3</v>
      </c>
      <c r="J85" s="225">
        <f>'Phase calculation'!G41</f>
        <v>298.89999999999998</v>
      </c>
      <c r="K85" s="225">
        <f>'Phase calculation'!I41</f>
        <v>417.5</v>
      </c>
      <c r="L85" s="225">
        <f>'Phase calculation'!J41</f>
        <v>705.3</v>
      </c>
      <c r="M85" s="225">
        <f>'Phase calculation'!L41</f>
        <v>180.8</v>
      </c>
      <c r="N85" s="225">
        <f>'Phase calculation'!M41</f>
        <v>701.1</v>
      </c>
    </row>
    <row r="86" spans="6:19" s="224" customFormat="1" x14ac:dyDescent="0.3">
      <c r="F86" s="225" t="s">
        <v>135</v>
      </c>
      <c r="G86" s="225">
        <f>'Phase calculation'!C40</f>
        <v>0.55000000000000004</v>
      </c>
      <c r="H86" s="225">
        <f>'Phase calculation'!D40</f>
        <v>0.56999999999999995</v>
      </c>
      <c r="I86" s="225">
        <f>'Phase calculation'!F40</f>
        <v>0.27</v>
      </c>
      <c r="J86" s="225">
        <f>'Phase calculation'!G40</f>
        <v>0.73</v>
      </c>
      <c r="K86" s="225">
        <f>'Phase calculation'!I40</f>
        <v>0.26</v>
      </c>
      <c r="L86" s="225">
        <f>'Phase calculation'!J40</f>
        <v>1.1599999999999999</v>
      </c>
      <c r="M86" s="225">
        <f>'Phase calculation'!L40</f>
        <v>0.9</v>
      </c>
      <c r="N86" s="225">
        <f>'Phase calculation'!M40</f>
        <v>0.54</v>
      </c>
    </row>
    <row r="87" spans="6:19" s="224" customFormat="1" x14ac:dyDescent="0.3">
      <c r="F87" s="225" t="s">
        <v>150</v>
      </c>
      <c r="G87" s="225">
        <f>'Phase calculation'!C44</f>
        <v>58.07</v>
      </c>
      <c r="H87" s="225">
        <f>'Phase calculation'!D44</f>
        <v>49.150000000000006</v>
      </c>
      <c r="I87" s="225">
        <f>'Phase calculation'!F44</f>
        <v>54.99</v>
      </c>
      <c r="J87" s="225">
        <f>'Phase calculation'!G44</f>
        <v>61.11</v>
      </c>
      <c r="K87" s="225">
        <f>'Phase calculation'!I44</f>
        <v>53.29</v>
      </c>
      <c r="L87" s="225">
        <f>'Phase calculation'!J44</f>
        <v>122.02</v>
      </c>
      <c r="M87" s="225">
        <f>'Phase calculation'!L44</f>
        <v>99.699999999999989</v>
      </c>
      <c r="N87" s="225">
        <f>'Phase calculation'!M44</f>
        <v>29.189999999999998</v>
      </c>
    </row>
    <row r="88" spans="6:19" s="224" customFormat="1" x14ac:dyDescent="0.3">
      <c r="F88" s="225" t="s">
        <v>139</v>
      </c>
      <c r="G88" s="225" t="str">
        <f>'Phase calculation'!C45</f>
        <v>E</v>
      </c>
      <c r="H88" s="225" t="str">
        <f>'Phase calculation'!D45</f>
        <v>D</v>
      </c>
      <c r="I88" s="225" t="str">
        <f>'Phase calculation'!F45</f>
        <v>D</v>
      </c>
      <c r="J88" s="225" t="str">
        <f>'Phase calculation'!G45</f>
        <v>E</v>
      </c>
      <c r="K88" s="225" t="str">
        <f>'Phase calculation'!I45</f>
        <v>D</v>
      </c>
      <c r="L88" s="225" t="str">
        <f>'Phase calculation'!J45</f>
        <v>F</v>
      </c>
      <c r="M88" s="225" t="str">
        <f>'Phase calculation'!L45</f>
        <v>F</v>
      </c>
      <c r="N88" s="225" t="str">
        <f>'Phase calculation'!M45</f>
        <v>C</v>
      </c>
    </row>
    <row r="89" spans="6:19" s="224" customFormat="1" ht="21" thickBot="1" x14ac:dyDescent="0.4">
      <c r="G89" s="486" t="s">
        <v>564</v>
      </c>
      <c r="H89" s="486" t="s">
        <v>560</v>
      </c>
      <c r="I89" s="486" t="s">
        <v>565</v>
      </c>
      <c r="J89" s="486" t="s">
        <v>559</v>
      </c>
      <c r="K89" s="486" t="s">
        <v>563</v>
      </c>
      <c r="L89" s="486" t="s">
        <v>561</v>
      </c>
      <c r="M89" s="486">
        <v>9</v>
      </c>
      <c r="N89" s="486" t="s">
        <v>562</v>
      </c>
    </row>
    <row r="90" spans="6:19" s="225" customFormat="1" ht="20.399999999999999" x14ac:dyDescent="0.35">
      <c r="F90" s="226" t="s">
        <v>124</v>
      </c>
      <c r="G90" s="226">
        <v>1</v>
      </c>
      <c r="H90" s="227">
        <v>2</v>
      </c>
      <c r="I90" s="227">
        <v>3</v>
      </c>
      <c r="J90" s="227">
        <v>4</v>
      </c>
      <c r="K90" s="227">
        <v>5</v>
      </c>
      <c r="L90" s="227">
        <v>6</v>
      </c>
      <c r="M90" s="227">
        <v>7</v>
      </c>
      <c r="N90" s="228">
        <v>8</v>
      </c>
      <c r="P90" s="225">
        <v>8</v>
      </c>
      <c r="Q90" s="486" t="str">
        <f>INDEX($G$93:$N$93,1,P90)</f>
        <v>!</v>
      </c>
      <c r="R90" s="486"/>
      <c r="S90" s="486"/>
    </row>
    <row r="91" spans="6:19" s="225" customFormat="1" ht="21" hidden="1" x14ac:dyDescent="0.4">
      <c r="F91" s="229" t="s">
        <v>318</v>
      </c>
      <c r="G91" s="229">
        <f>IFERROR(MATCH(G90,$G$83:$N$83,0),0)</f>
        <v>7</v>
      </c>
      <c r="H91" s="230">
        <f t="shared" ref="H91:N91" si="0">IFERROR(MATCH(H90,$G$83:$N$83,0),0)</f>
        <v>6</v>
      </c>
      <c r="I91" s="230">
        <f t="shared" si="0"/>
        <v>3</v>
      </c>
      <c r="J91" s="230">
        <f t="shared" si="0"/>
        <v>2</v>
      </c>
      <c r="K91" s="230">
        <f t="shared" si="0"/>
        <v>5</v>
      </c>
      <c r="L91" s="230">
        <f t="shared" si="0"/>
        <v>8</v>
      </c>
      <c r="M91" s="230">
        <f t="shared" si="0"/>
        <v>1</v>
      </c>
      <c r="N91" s="231">
        <f t="shared" si="0"/>
        <v>4</v>
      </c>
      <c r="Q91" s="487" t="e">
        <f t="shared" ref="Q91:Q98" si="1">INDEX($G$93:$N$93,1,P91)</f>
        <v>#VALUE!</v>
      </c>
      <c r="R91" s="487"/>
      <c r="S91" s="487"/>
    </row>
    <row r="92" spans="6:19" s="225" customFormat="1" ht="20.399999999999999" x14ac:dyDescent="0.35">
      <c r="F92" s="566" t="s">
        <v>73</v>
      </c>
      <c r="G92" s="229" t="str">
        <f>IF(G91=0,"Not used",INDEX($G$82:$N$82,G91))</f>
        <v>SBL</v>
      </c>
      <c r="H92" s="230" t="str">
        <f t="shared" ref="H92:N92" si="2">IF(H91=0,"Not used",INDEX($G$82:$N$82,H91))</f>
        <v>NBT</v>
      </c>
      <c r="I92" s="230" t="str">
        <f t="shared" si="2"/>
        <v>WBL</v>
      </c>
      <c r="J92" s="230" t="str">
        <f t="shared" si="2"/>
        <v>EBT</v>
      </c>
      <c r="K92" s="230" t="str">
        <f t="shared" si="2"/>
        <v>NBL</v>
      </c>
      <c r="L92" s="230" t="str">
        <f t="shared" si="2"/>
        <v>SBT</v>
      </c>
      <c r="M92" s="230" t="str">
        <f t="shared" si="2"/>
        <v>EBL</v>
      </c>
      <c r="N92" s="231" t="str">
        <f t="shared" si="2"/>
        <v>WBT</v>
      </c>
      <c r="P92" s="225">
        <v>7</v>
      </c>
      <c r="Q92" s="486" t="str">
        <f t="shared" si="1"/>
        <v>=</v>
      </c>
      <c r="R92" s="486"/>
      <c r="S92" s="486"/>
    </row>
    <row r="93" spans="6:19" s="225" customFormat="1" ht="25.2" x14ac:dyDescent="0.45">
      <c r="F93" s="566"/>
      <c r="G93" s="488">
        <f t="shared" ref="G93:N93" si="3">IF(G91=0,"",INDEX($G$89:$N$89,G91))</f>
        <v>9</v>
      </c>
      <c r="H93" s="489" t="str">
        <f t="shared" si="3"/>
        <v>#</v>
      </c>
      <c r="I93" s="489" t="str">
        <f t="shared" si="3"/>
        <v>&gt;</v>
      </c>
      <c r="J93" s="489" t="str">
        <f t="shared" si="3"/>
        <v>"</v>
      </c>
      <c r="K93" s="489" t="str">
        <f t="shared" si="3"/>
        <v>:</v>
      </c>
      <c r="L93" s="489" t="str">
        <f t="shared" si="3"/>
        <v>$</v>
      </c>
      <c r="M93" s="489" t="str">
        <f t="shared" si="3"/>
        <v>=</v>
      </c>
      <c r="N93" s="490" t="str">
        <f t="shared" si="3"/>
        <v>!</v>
      </c>
      <c r="P93" s="225">
        <v>6</v>
      </c>
      <c r="Q93" s="486" t="str">
        <f t="shared" si="1"/>
        <v>$</v>
      </c>
      <c r="R93" s="486"/>
      <c r="S93" s="486"/>
    </row>
    <row r="94" spans="6:19" s="225" customFormat="1" ht="20.399999999999999" x14ac:dyDescent="0.35">
      <c r="F94" s="229" t="s">
        <v>320</v>
      </c>
      <c r="G94" s="229">
        <f>IF(G91=0,"Not used",INDEX($G$84:$N$84,G91))</f>
        <v>15.4</v>
      </c>
      <c r="H94" s="230">
        <f t="shared" ref="H94:N94" si="4">IF(H91=0,"Not used",INDEX($G$84:$N$84,H91))</f>
        <v>57.5</v>
      </c>
      <c r="I94" s="230">
        <f t="shared" si="4"/>
        <v>14.5</v>
      </c>
      <c r="J94" s="230">
        <f t="shared" si="4"/>
        <v>32.6</v>
      </c>
      <c r="K94" s="230">
        <f t="shared" si="4"/>
        <v>15.7</v>
      </c>
      <c r="L94" s="230">
        <f t="shared" si="4"/>
        <v>57.2</v>
      </c>
      <c r="M94" s="230">
        <f t="shared" si="4"/>
        <v>18.7</v>
      </c>
      <c r="N94" s="231">
        <f t="shared" si="4"/>
        <v>28.4</v>
      </c>
      <c r="P94" s="225">
        <v>5</v>
      </c>
      <c r="Q94" s="486" t="str">
        <f t="shared" si="1"/>
        <v>:</v>
      </c>
      <c r="R94" s="486"/>
      <c r="S94" s="486"/>
    </row>
    <row r="95" spans="6:19" s="225" customFormat="1" ht="20.399999999999999" x14ac:dyDescent="0.35">
      <c r="F95" s="229" t="s">
        <v>321</v>
      </c>
      <c r="G95" s="229">
        <f>IF(G91=0,"Not used",INDEX($G$85:$N$85,G91))</f>
        <v>180.8</v>
      </c>
      <c r="H95" s="230">
        <f t="shared" ref="H95:N95" si="5">IF(H91=0,"Not used",INDEX($G$85:$N$85,H91))</f>
        <v>705.3</v>
      </c>
      <c r="I95" s="230">
        <f t="shared" si="5"/>
        <v>303.3</v>
      </c>
      <c r="J95" s="230">
        <f t="shared" si="5"/>
        <v>334.7</v>
      </c>
      <c r="K95" s="230">
        <f t="shared" si="5"/>
        <v>417.5</v>
      </c>
      <c r="L95" s="230">
        <f t="shared" si="5"/>
        <v>701.1</v>
      </c>
      <c r="M95" s="230">
        <f t="shared" si="5"/>
        <v>298.10000000000002</v>
      </c>
      <c r="N95" s="231">
        <f t="shared" si="5"/>
        <v>298.89999999999998</v>
      </c>
      <c r="P95" s="225">
        <v>4</v>
      </c>
      <c r="Q95" s="486" t="str">
        <f t="shared" si="1"/>
        <v>"</v>
      </c>
      <c r="R95" s="486"/>
      <c r="S95" s="486"/>
    </row>
    <row r="96" spans="6:19" s="225" customFormat="1" ht="20.399999999999999" x14ac:dyDescent="0.35">
      <c r="F96" s="229" t="s">
        <v>135</v>
      </c>
      <c r="G96" s="229">
        <f>IF(G91=0,"Not used",INDEX($G$86:$N$86,G91))</f>
        <v>0.9</v>
      </c>
      <c r="H96" s="230">
        <f t="shared" ref="H96:N96" si="6">IF(H91=0,"Not used",INDEX($G$86:$N$86,H91))</f>
        <v>1.1599999999999999</v>
      </c>
      <c r="I96" s="230">
        <f t="shared" si="6"/>
        <v>0.27</v>
      </c>
      <c r="J96" s="230">
        <f t="shared" si="6"/>
        <v>0.56999999999999995</v>
      </c>
      <c r="K96" s="230">
        <f t="shared" si="6"/>
        <v>0.26</v>
      </c>
      <c r="L96" s="230">
        <f t="shared" si="6"/>
        <v>0.54</v>
      </c>
      <c r="M96" s="230">
        <f t="shared" si="6"/>
        <v>0.55000000000000004</v>
      </c>
      <c r="N96" s="231">
        <f t="shared" si="6"/>
        <v>0.73</v>
      </c>
      <c r="P96" s="225">
        <v>3</v>
      </c>
      <c r="Q96" s="486" t="str">
        <f t="shared" si="1"/>
        <v>&gt;</v>
      </c>
      <c r="R96" s="486"/>
      <c r="S96" s="486"/>
    </row>
    <row r="97" spans="6:19" s="225" customFormat="1" ht="20.399999999999999" x14ac:dyDescent="0.35">
      <c r="F97" s="229" t="s">
        <v>322</v>
      </c>
      <c r="G97" s="229">
        <f>IF(G91=0,"Not used",INDEX($G$87:$N$87,G91))</f>
        <v>99.699999999999989</v>
      </c>
      <c r="H97" s="230">
        <f t="shared" ref="H97:N97" si="7">IF(H91=0,"Not used",INDEX($G$87:$N$87,H91))</f>
        <v>122.02</v>
      </c>
      <c r="I97" s="230">
        <f t="shared" si="7"/>
        <v>54.99</v>
      </c>
      <c r="J97" s="230">
        <f t="shared" si="7"/>
        <v>49.150000000000006</v>
      </c>
      <c r="K97" s="230">
        <f t="shared" si="7"/>
        <v>53.29</v>
      </c>
      <c r="L97" s="230">
        <f t="shared" si="7"/>
        <v>29.189999999999998</v>
      </c>
      <c r="M97" s="230">
        <f t="shared" si="7"/>
        <v>58.07</v>
      </c>
      <c r="N97" s="231">
        <f t="shared" si="7"/>
        <v>61.11</v>
      </c>
      <c r="P97" s="225">
        <v>2</v>
      </c>
      <c r="Q97" s="486" t="str">
        <f t="shared" si="1"/>
        <v>#</v>
      </c>
      <c r="R97" s="486"/>
      <c r="S97" s="486"/>
    </row>
    <row r="98" spans="6:19" s="225" customFormat="1" ht="21" thickBot="1" x14ac:dyDescent="0.4">
      <c r="F98" s="232" t="s">
        <v>139</v>
      </c>
      <c r="G98" s="232" t="str">
        <f>IF(G91=0,"Not used",INDEX($G$88:$N$88,G91))</f>
        <v>F</v>
      </c>
      <c r="H98" s="233" t="str">
        <f t="shared" ref="H98:N98" si="8">IF(H91=0,"Not used",INDEX($G$88:$N$88,H91))</f>
        <v>F</v>
      </c>
      <c r="I98" s="233" t="str">
        <f t="shared" si="8"/>
        <v>D</v>
      </c>
      <c r="J98" s="233" t="str">
        <f t="shared" si="8"/>
        <v>D</v>
      </c>
      <c r="K98" s="233" t="str">
        <f t="shared" si="8"/>
        <v>D</v>
      </c>
      <c r="L98" s="233" t="str">
        <f t="shared" si="8"/>
        <v>C</v>
      </c>
      <c r="M98" s="233" t="str">
        <f t="shared" si="8"/>
        <v>E</v>
      </c>
      <c r="N98" s="234" t="str">
        <f t="shared" si="8"/>
        <v>E</v>
      </c>
      <c r="P98" s="225">
        <v>1</v>
      </c>
      <c r="Q98" s="486">
        <f t="shared" si="1"/>
        <v>9</v>
      </c>
      <c r="R98" s="486"/>
      <c r="S98" s="486"/>
    </row>
    <row r="99" spans="6:19" s="225" customFormat="1" x14ac:dyDescent="0.3"/>
    <row r="100" spans="6:19" s="225" customFormat="1" x14ac:dyDescent="0.3"/>
    <row r="101" spans="6:19" s="225" customFormat="1" x14ac:dyDescent="0.3"/>
    <row r="102" spans="6:19" s="225" customFormat="1" x14ac:dyDescent="0.3"/>
    <row r="103" spans="6:19" s="225" customFormat="1" x14ac:dyDescent="0.3"/>
    <row r="104" spans="6:19" s="225" customFormat="1" x14ac:dyDescent="0.3"/>
    <row r="105" spans="6:19" s="225" customFormat="1" x14ac:dyDescent="0.3"/>
    <row r="106" spans="6:19" s="225" customFormat="1" x14ac:dyDescent="0.3"/>
    <row r="107" spans="6:19" s="225" customFormat="1" x14ac:dyDescent="0.3"/>
    <row r="108" spans="6:19" s="225" customFormat="1" x14ac:dyDescent="0.3"/>
    <row r="109" spans="6:19" s="225" customFormat="1" x14ac:dyDescent="0.3"/>
    <row r="110" spans="6:19" s="225" customFormat="1" x14ac:dyDescent="0.3"/>
    <row r="111" spans="6:19" s="225" customFormat="1" x14ac:dyDescent="0.3"/>
    <row r="112" spans="6:19" s="225" customFormat="1" x14ac:dyDescent="0.3"/>
    <row r="113" s="225" customFormat="1" x14ac:dyDescent="0.3"/>
    <row r="114" s="224" customFormat="1" x14ac:dyDescent="0.3"/>
    <row r="115" s="224" customFormat="1" x14ac:dyDescent="0.3"/>
    <row r="116" s="224" customFormat="1" x14ac:dyDescent="0.3"/>
    <row r="117" s="224" customFormat="1" x14ac:dyDescent="0.3"/>
    <row r="118" s="224" customFormat="1" x14ac:dyDescent="0.3"/>
    <row r="119" s="224" customFormat="1" x14ac:dyDescent="0.3"/>
    <row r="120" s="224" customFormat="1" x14ac:dyDescent="0.3"/>
    <row r="121" s="224" customFormat="1" x14ac:dyDescent="0.3"/>
    <row r="122" s="224" customFormat="1" x14ac:dyDescent="0.3"/>
    <row r="123" s="224" customFormat="1" x14ac:dyDescent="0.3"/>
    <row r="124" s="224" customFormat="1" x14ac:dyDescent="0.3"/>
    <row r="125" s="224" customFormat="1" x14ac:dyDescent="0.3"/>
    <row r="126" s="224" customFormat="1" x14ac:dyDescent="0.3"/>
    <row r="127" s="224" customFormat="1" x14ac:dyDescent="0.3"/>
    <row r="128" s="224" customFormat="1" x14ac:dyDescent="0.3"/>
    <row r="129" s="224" customFormat="1" x14ac:dyDescent="0.3"/>
    <row r="130" s="224" customFormat="1" x14ac:dyDescent="0.3"/>
    <row r="131" s="224" customFormat="1" x14ac:dyDescent="0.3"/>
    <row r="132" s="224" customFormat="1" x14ac:dyDescent="0.3"/>
    <row r="133" s="224" customFormat="1" x14ac:dyDescent="0.3"/>
    <row r="134" s="224" customFormat="1" x14ac:dyDescent="0.3"/>
    <row r="135" s="224" customFormat="1" x14ac:dyDescent="0.3"/>
    <row r="136" s="224" customFormat="1" x14ac:dyDescent="0.3"/>
    <row r="137" s="224" customFormat="1" x14ac:dyDescent="0.3"/>
    <row r="138" s="224" customFormat="1" x14ac:dyDescent="0.3"/>
    <row r="139" s="224" customFormat="1" x14ac:dyDescent="0.3"/>
    <row r="140" s="224" customFormat="1" x14ac:dyDescent="0.3"/>
    <row r="141" s="224" customFormat="1" x14ac:dyDescent="0.3"/>
    <row r="142" s="224" customFormat="1" x14ac:dyDescent="0.3"/>
    <row r="143" s="224" customFormat="1" x14ac:dyDescent="0.3"/>
    <row r="144" s="224" customFormat="1" x14ac:dyDescent="0.3"/>
    <row r="145" s="224" customFormat="1" x14ac:dyDescent="0.3"/>
    <row r="146" s="224" customFormat="1" x14ac:dyDescent="0.3"/>
    <row r="147" s="224" customFormat="1" x14ac:dyDescent="0.3"/>
    <row r="148" s="224" customFormat="1" x14ac:dyDescent="0.3"/>
    <row r="149" s="224" customFormat="1" x14ac:dyDescent="0.3"/>
    <row r="150" s="224" customFormat="1" x14ac:dyDescent="0.3"/>
    <row r="151" s="224" customFormat="1" x14ac:dyDescent="0.3"/>
    <row r="152" s="224" customFormat="1" x14ac:dyDescent="0.3"/>
    <row r="153" s="224" customFormat="1" x14ac:dyDescent="0.3"/>
    <row r="154" s="224" customFormat="1" x14ac:dyDescent="0.3"/>
    <row r="155" s="224" customFormat="1" x14ac:dyDescent="0.3"/>
    <row r="156" s="224" customFormat="1" x14ac:dyDescent="0.3"/>
    <row r="157" s="224" customFormat="1" x14ac:dyDescent="0.3"/>
    <row r="158" s="224" customFormat="1" x14ac:dyDescent="0.3"/>
    <row r="159" s="224" customFormat="1" x14ac:dyDescent="0.3"/>
    <row r="160" s="224" customFormat="1" x14ac:dyDescent="0.3"/>
    <row r="161" s="224" customFormat="1" x14ac:dyDescent="0.3"/>
    <row r="162" s="224" customFormat="1" x14ac:dyDescent="0.3"/>
    <row r="163" s="224" customFormat="1" x14ac:dyDescent="0.3"/>
    <row r="164" s="224" customFormat="1" x14ac:dyDescent="0.3"/>
    <row r="165" s="224" customFormat="1" x14ac:dyDescent="0.3"/>
    <row r="166" s="224" customFormat="1" x14ac:dyDescent="0.3"/>
    <row r="167" s="224" customFormat="1" x14ac:dyDescent="0.3"/>
    <row r="168" s="224" customFormat="1" x14ac:dyDescent="0.3"/>
    <row r="169" s="224" customFormat="1" x14ac:dyDescent="0.3"/>
    <row r="170" s="224" customFormat="1" x14ac:dyDescent="0.3"/>
    <row r="171" s="224" customFormat="1" x14ac:dyDescent="0.3"/>
    <row r="172" s="224" customFormat="1" x14ac:dyDescent="0.3"/>
    <row r="173" s="224" customFormat="1" x14ac:dyDescent="0.3"/>
    <row r="174" s="224" customFormat="1" x14ac:dyDescent="0.3"/>
    <row r="175" s="224" customFormat="1" x14ac:dyDescent="0.3"/>
    <row r="176" s="224" customFormat="1" x14ac:dyDescent="0.3"/>
    <row r="177" s="224" customFormat="1" x14ac:dyDescent="0.3"/>
    <row r="178" s="224" customFormat="1" x14ac:dyDescent="0.3"/>
    <row r="179" s="224" customFormat="1" x14ac:dyDescent="0.3"/>
    <row r="180" s="224" customFormat="1" x14ac:dyDescent="0.3"/>
    <row r="181" s="224" customFormat="1" x14ac:dyDescent="0.3"/>
    <row r="182" s="224" customFormat="1" x14ac:dyDescent="0.3"/>
    <row r="183" s="224" customFormat="1" x14ac:dyDescent="0.3"/>
    <row r="184" s="224" customFormat="1" x14ac:dyDescent="0.3"/>
    <row r="185" s="224" customFormat="1" x14ac:dyDescent="0.3"/>
    <row r="186" s="224" customFormat="1" x14ac:dyDescent="0.3"/>
    <row r="187" s="224" customFormat="1" x14ac:dyDescent="0.3"/>
    <row r="188" s="224" customFormat="1" x14ac:dyDescent="0.3"/>
    <row r="189" s="224" customFormat="1" x14ac:dyDescent="0.3"/>
    <row r="190" s="224" customFormat="1" x14ac:dyDescent="0.3"/>
    <row r="191" s="224" customFormat="1" x14ac:dyDescent="0.3"/>
    <row r="192" s="224" customFormat="1" x14ac:dyDescent="0.3"/>
    <row r="193" s="224" customFormat="1" x14ac:dyDescent="0.3"/>
    <row r="194" s="224" customFormat="1" x14ac:dyDescent="0.3"/>
    <row r="195" s="224" customFormat="1" x14ac:dyDescent="0.3"/>
    <row r="196" s="224" customFormat="1" x14ac:dyDescent="0.3"/>
    <row r="197" s="224" customFormat="1" x14ac:dyDescent="0.3"/>
    <row r="198" s="224" customFormat="1" x14ac:dyDescent="0.3"/>
    <row r="199" s="224" customFormat="1" x14ac:dyDescent="0.3"/>
    <row r="200" s="224" customFormat="1" x14ac:dyDescent="0.3"/>
    <row r="201" s="224" customFormat="1" x14ac:dyDescent="0.3"/>
    <row r="202" s="224" customFormat="1" x14ac:dyDescent="0.3"/>
    <row r="203" s="224" customFormat="1" x14ac:dyDescent="0.3"/>
    <row r="204" s="224" customFormat="1" x14ac:dyDescent="0.3"/>
    <row r="205" s="224" customFormat="1" x14ac:dyDescent="0.3"/>
    <row r="206" s="224" customFormat="1" x14ac:dyDescent="0.3"/>
    <row r="207" s="224" customFormat="1" x14ac:dyDescent="0.3"/>
    <row r="208" s="224" customFormat="1" x14ac:dyDescent="0.3"/>
    <row r="209" s="224" customFormat="1" x14ac:dyDescent="0.3"/>
    <row r="210" s="224" customFormat="1" x14ac:dyDescent="0.3"/>
    <row r="211" s="224" customFormat="1" x14ac:dyDescent="0.3"/>
    <row r="212" s="224" customFormat="1" x14ac:dyDescent="0.3"/>
    <row r="213" s="224" customFormat="1" x14ac:dyDescent="0.3"/>
    <row r="214" s="224" customFormat="1" x14ac:dyDescent="0.3"/>
    <row r="215" s="224" customFormat="1" x14ac:dyDescent="0.3"/>
    <row r="216" s="224" customFormat="1" x14ac:dyDescent="0.3"/>
    <row r="217" s="224" customFormat="1" x14ac:dyDescent="0.3"/>
    <row r="218" s="224" customFormat="1" x14ac:dyDescent="0.3"/>
    <row r="219" s="224" customFormat="1" x14ac:dyDescent="0.3"/>
    <row r="220" s="224" customFormat="1" x14ac:dyDescent="0.3"/>
    <row r="221" s="224" customFormat="1" x14ac:dyDescent="0.3"/>
    <row r="222" s="224" customFormat="1" x14ac:dyDescent="0.3"/>
    <row r="223" s="224" customFormat="1" x14ac:dyDescent="0.3"/>
    <row r="224" s="224" customFormat="1" x14ac:dyDescent="0.3"/>
    <row r="225" s="224" customFormat="1" x14ac:dyDescent="0.3"/>
    <row r="226" s="224" customFormat="1" x14ac:dyDescent="0.3"/>
    <row r="227" s="224" customFormat="1" x14ac:dyDescent="0.3"/>
    <row r="228" s="224" customFormat="1" x14ac:dyDescent="0.3"/>
    <row r="229" s="224" customFormat="1" x14ac:dyDescent="0.3"/>
    <row r="230" s="224" customFormat="1" x14ac:dyDescent="0.3"/>
    <row r="231" s="224" customFormat="1" x14ac:dyDescent="0.3"/>
    <row r="232" s="224" customFormat="1" x14ac:dyDescent="0.3"/>
    <row r="233" s="224" customFormat="1" x14ac:dyDescent="0.3"/>
    <row r="234" s="224" customFormat="1" x14ac:dyDescent="0.3"/>
    <row r="235" s="224" customFormat="1" x14ac:dyDescent="0.3"/>
    <row r="236" s="224" customFormat="1" x14ac:dyDescent="0.3"/>
    <row r="237" s="224" customFormat="1" x14ac:dyDescent="0.3"/>
    <row r="238" s="224" customFormat="1" x14ac:dyDescent="0.3"/>
    <row r="239" s="224" customFormat="1" x14ac:dyDescent="0.3"/>
    <row r="240" s="224" customFormat="1" x14ac:dyDescent="0.3"/>
    <row r="241" s="224" customFormat="1" x14ac:dyDescent="0.3"/>
    <row r="242" s="224" customFormat="1" x14ac:dyDescent="0.3"/>
    <row r="243" s="224" customFormat="1" x14ac:dyDescent="0.3"/>
    <row r="244" s="224" customFormat="1" x14ac:dyDescent="0.3"/>
    <row r="245" s="224" customFormat="1" x14ac:dyDescent="0.3"/>
    <row r="246" s="224" customFormat="1" x14ac:dyDescent="0.3"/>
    <row r="247" s="224" customFormat="1" x14ac:dyDescent="0.3"/>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4020"/>
  <sheetViews>
    <sheetView workbookViewId="0"/>
  </sheetViews>
  <sheetFormatPr defaultRowHeight="14.4" x14ac:dyDescent="0.3"/>
  <sheetData>
    <row r="1" spans="1:8" x14ac:dyDescent="0.3">
      <c r="A1" t="s">
        <v>566</v>
      </c>
    </row>
    <row r="2" spans="1:8" x14ac:dyDescent="0.3">
      <c r="A2" t="s">
        <v>567</v>
      </c>
    </row>
    <row r="3" spans="1:8" x14ac:dyDescent="0.3">
      <c r="A3" t="s">
        <v>0</v>
      </c>
      <c r="B3" t="s">
        <v>1</v>
      </c>
      <c r="C3" t="s">
        <v>402</v>
      </c>
      <c r="D3" t="s">
        <v>403</v>
      </c>
      <c r="E3" t="s">
        <v>400</v>
      </c>
      <c r="F3" t="s">
        <v>401</v>
      </c>
      <c r="G3" t="s">
        <v>568</v>
      </c>
      <c r="H3" t="s">
        <v>569</v>
      </c>
    </row>
    <row r="4" spans="1:8" x14ac:dyDescent="0.3">
      <c r="A4" t="s">
        <v>570</v>
      </c>
      <c r="B4">
        <v>1</v>
      </c>
      <c r="C4">
        <v>101</v>
      </c>
      <c r="D4">
        <v>2</v>
      </c>
      <c r="E4">
        <v>102</v>
      </c>
      <c r="F4">
        <v>103</v>
      </c>
    </row>
    <row r="5" spans="1:8" x14ac:dyDescent="0.3">
      <c r="A5" t="s">
        <v>36</v>
      </c>
      <c r="B5">
        <v>1</v>
      </c>
      <c r="C5">
        <v>3</v>
      </c>
      <c r="D5">
        <v>3</v>
      </c>
      <c r="E5">
        <v>2</v>
      </c>
      <c r="F5">
        <v>3</v>
      </c>
    </row>
    <row r="6" spans="1:8" x14ac:dyDescent="0.3">
      <c r="A6" t="s">
        <v>506</v>
      </c>
      <c r="B6">
        <v>1</v>
      </c>
      <c r="C6" t="s">
        <v>571</v>
      </c>
      <c r="D6" t="s">
        <v>571</v>
      </c>
      <c r="E6" t="s">
        <v>572</v>
      </c>
      <c r="F6" t="s">
        <v>573</v>
      </c>
    </row>
    <row r="7" spans="1:8" x14ac:dyDescent="0.3">
      <c r="A7" t="s">
        <v>574</v>
      </c>
      <c r="B7">
        <v>1</v>
      </c>
      <c r="C7">
        <v>620</v>
      </c>
      <c r="D7">
        <v>1609</v>
      </c>
      <c r="E7">
        <v>980</v>
      </c>
      <c r="F7">
        <v>1124</v>
      </c>
    </row>
    <row r="8" spans="1:8" x14ac:dyDescent="0.3">
      <c r="A8" t="s">
        <v>42</v>
      </c>
      <c r="B8">
        <v>1</v>
      </c>
      <c r="C8">
        <v>45</v>
      </c>
      <c r="D8">
        <v>45</v>
      </c>
      <c r="E8">
        <v>30</v>
      </c>
      <c r="F8">
        <v>30</v>
      </c>
    </row>
    <row r="9" spans="1:8" x14ac:dyDescent="0.3">
      <c r="A9" t="s">
        <v>575</v>
      </c>
      <c r="B9">
        <v>1</v>
      </c>
      <c r="C9">
        <v>9.4</v>
      </c>
      <c r="D9">
        <v>24.4</v>
      </c>
      <c r="E9">
        <v>22.3</v>
      </c>
      <c r="F9">
        <v>25.5</v>
      </c>
    </row>
    <row r="10" spans="1:8" x14ac:dyDescent="0.3">
      <c r="A10" t="s">
        <v>41</v>
      </c>
      <c r="B10">
        <v>1</v>
      </c>
      <c r="C10">
        <v>0</v>
      </c>
      <c r="D10">
        <v>0</v>
      </c>
      <c r="E10">
        <v>0</v>
      </c>
      <c r="F10">
        <v>0</v>
      </c>
    </row>
    <row r="11" spans="1:8" x14ac:dyDescent="0.3">
      <c r="A11" t="s">
        <v>576</v>
      </c>
      <c r="B11">
        <v>1</v>
      </c>
      <c r="C11">
        <v>12</v>
      </c>
      <c r="D11">
        <v>12</v>
      </c>
      <c r="E11">
        <v>12</v>
      </c>
      <c r="F11">
        <v>12</v>
      </c>
    </row>
    <row r="12" spans="1:8" x14ac:dyDescent="0.3">
      <c r="A12" t="s">
        <v>577</v>
      </c>
      <c r="B12">
        <v>1</v>
      </c>
      <c r="C12">
        <v>0</v>
      </c>
      <c r="D12">
        <v>0</v>
      </c>
      <c r="E12">
        <v>0</v>
      </c>
      <c r="F12">
        <v>0</v>
      </c>
    </row>
    <row r="13" spans="1:8" x14ac:dyDescent="0.3">
      <c r="A13" t="s">
        <v>578</v>
      </c>
      <c r="B13">
        <v>1</v>
      </c>
      <c r="C13">
        <v>0</v>
      </c>
      <c r="D13">
        <v>0</v>
      </c>
      <c r="E13">
        <v>0</v>
      </c>
      <c r="F13">
        <v>0</v>
      </c>
    </row>
    <row r="14" spans="1:8" x14ac:dyDescent="0.3">
      <c r="A14" t="s">
        <v>579</v>
      </c>
      <c r="B14">
        <v>1</v>
      </c>
      <c r="C14">
        <v>16</v>
      </c>
      <c r="D14">
        <v>16</v>
      </c>
      <c r="E14">
        <v>16</v>
      </c>
      <c r="F14">
        <v>16</v>
      </c>
    </row>
    <row r="15" spans="1:8" x14ac:dyDescent="0.3">
      <c r="A15" t="s">
        <v>580</v>
      </c>
      <c r="B15">
        <v>1</v>
      </c>
      <c r="C15">
        <v>500</v>
      </c>
      <c r="D15">
        <v>500</v>
      </c>
      <c r="E15">
        <v>500</v>
      </c>
      <c r="F15">
        <v>500</v>
      </c>
    </row>
    <row r="16" spans="1:8" x14ac:dyDescent="0.3">
      <c r="A16" t="s">
        <v>581</v>
      </c>
      <c r="B16">
        <v>1</v>
      </c>
      <c r="C16">
        <v>1980</v>
      </c>
      <c r="D16">
        <v>1980</v>
      </c>
      <c r="E16">
        <v>1320</v>
      </c>
      <c r="F16">
        <v>1320</v>
      </c>
    </row>
    <row r="17" spans="1:6" x14ac:dyDescent="0.3">
      <c r="A17" t="s">
        <v>582</v>
      </c>
      <c r="B17">
        <v>1</v>
      </c>
      <c r="C17">
        <v>1320</v>
      </c>
      <c r="D17">
        <v>1320</v>
      </c>
      <c r="E17">
        <v>880</v>
      </c>
      <c r="F17">
        <v>880</v>
      </c>
    </row>
    <row r="18" spans="1:6" x14ac:dyDescent="0.3">
      <c r="A18" t="s">
        <v>583</v>
      </c>
      <c r="B18">
        <v>1</v>
      </c>
      <c r="C18">
        <v>2640</v>
      </c>
      <c r="D18">
        <v>2640</v>
      </c>
      <c r="E18">
        <v>1760</v>
      </c>
      <c r="F18">
        <v>1760</v>
      </c>
    </row>
    <row r="19" spans="1:6" x14ac:dyDescent="0.3">
      <c r="A19" t="s">
        <v>584</v>
      </c>
      <c r="B19">
        <v>1</v>
      </c>
    </row>
    <row r="20" spans="1:6" x14ac:dyDescent="0.3">
      <c r="A20" t="s">
        <v>585</v>
      </c>
      <c r="B20">
        <v>1</v>
      </c>
    </row>
    <row r="21" spans="1:6" x14ac:dyDescent="0.3">
      <c r="A21" t="s">
        <v>586</v>
      </c>
      <c r="B21">
        <v>1</v>
      </c>
    </row>
    <row r="22" spans="1:6" x14ac:dyDescent="0.3">
      <c r="A22" t="s">
        <v>587</v>
      </c>
      <c r="B22">
        <v>1</v>
      </c>
      <c r="C22" t="b">
        <v>0</v>
      </c>
      <c r="D22" t="b">
        <v>0</v>
      </c>
      <c r="E22" t="b">
        <v>0</v>
      </c>
      <c r="F22" t="b">
        <v>0</v>
      </c>
    </row>
    <row r="23" spans="1:6" x14ac:dyDescent="0.3">
      <c r="A23" t="s">
        <v>588</v>
      </c>
      <c r="B23">
        <v>1</v>
      </c>
      <c r="C23" t="b">
        <v>0</v>
      </c>
      <c r="D23" t="b">
        <v>0</v>
      </c>
      <c r="E23" t="b">
        <v>0</v>
      </c>
      <c r="F23" t="b">
        <v>0</v>
      </c>
    </row>
    <row r="24" spans="1:6" x14ac:dyDescent="0.3">
      <c r="A24" t="s">
        <v>570</v>
      </c>
      <c r="B24">
        <v>2</v>
      </c>
      <c r="C24">
        <v>1</v>
      </c>
      <c r="D24">
        <v>18</v>
      </c>
      <c r="E24">
        <v>104</v>
      </c>
      <c r="F24">
        <v>105</v>
      </c>
    </row>
    <row r="25" spans="1:6" x14ac:dyDescent="0.3">
      <c r="A25" t="s">
        <v>36</v>
      </c>
      <c r="B25">
        <v>2</v>
      </c>
      <c r="C25">
        <v>3</v>
      </c>
      <c r="D25">
        <v>3</v>
      </c>
      <c r="E25">
        <v>2</v>
      </c>
      <c r="F25">
        <v>2</v>
      </c>
    </row>
    <row r="26" spans="1:6" x14ac:dyDescent="0.3">
      <c r="A26" t="s">
        <v>506</v>
      </c>
      <c r="B26">
        <v>2</v>
      </c>
      <c r="C26" t="s">
        <v>571</v>
      </c>
      <c r="D26" t="s">
        <v>571</v>
      </c>
      <c r="E26" t="s">
        <v>589</v>
      </c>
      <c r="F26" t="s">
        <v>589</v>
      </c>
    </row>
    <row r="27" spans="1:6" x14ac:dyDescent="0.3">
      <c r="A27" t="s">
        <v>574</v>
      </c>
      <c r="B27">
        <v>2</v>
      </c>
      <c r="C27">
        <v>1609</v>
      </c>
      <c r="D27">
        <v>1993</v>
      </c>
      <c r="E27">
        <v>776</v>
      </c>
      <c r="F27">
        <v>828</v>
      </c>
    </row>
    <row r="28" spans="1:6" x14ac:dyDescent="0.3">
      <c r="A28" t="s">
        <v>42</v>
      </c>
      <c r="B28">
        <v>2</v>
      </c>
      <c r="C28">
        <v>45</v>
      </c>
      <c r="D28">
        <v>45</v>
      </c>
      <c r="E28">
        <v>30</v>
      </c>
      <c r="F28">
        <v>30</v>
      </c>
    </row>
    <row r="29" spans="1:6" x14ac:dyDescent="0.3">
      <c r="A29" t="s">
        <v>575</v>
      </c>
      <c r="B29">
        <v>2</v>
      </c>
      <c r="C29">
        <v>24.4</v>
      </c>
      <c r="D29">
        <v>30.2</v>
      </c>
      <c r="E29">
        <v>17.600000000000001</v>
      </c>
      <c r="F29">
        <v>18.8</v>
      </c>
    </row>
    <row r="30" spans="1:6" x14ac:dyDescent="0.3">
      <c r="A30" t="s">
        <v>41</v>
      </c>
      <c r="B30">
        <v>2</v>
      </c>
      <c r="C30">
        <v>0</v>
      </c>
      <c r="D30">
        <v>0</v>
      </c>
      <c r="E30">
        <v>0</v>
      </c>
      <c r="F30">
        <v>0</v>
      </c>
    </row>
    <row r="31" spans="1:6" x14ac:dyDescent="0.3">
      <c r="A31" t="s">
        <v>576</v>
      </c>
      <c r="B31">
        <v>2</v>
      </c>
      <c r="C31">
        <v>12</v>
      </c>
      <c r="D31">
        <v>12</v>
      </c>
      <c r="E31">
        <v>12</v>
      </c>
      <c r="F31">
        <v>12</v>
      </c>
    </row>
    <row r="32" spans="1:6" x14ac:dyDescent="0.3">
      <c r="A32" t="s">
        <v>577</v>
      </c>
      <c r="B32">
        <v>2</v>
      </c>
      <c r="C32">
        <v>0</v>
      </c>
      <c r="D32">
        <v>0</v>
      </c>
      <c r="E32">
        <v>0</v>
      </c>
      <c r="F32">
        <v>0</v>
      </c>
    </row>
    <row r="33" spans="1:8" x14ac:dyDescent="0.3">
      <c r="A33" t="s">
        <v>578</v>
      </c>
      <c r="B33">
        <v>2</v>
      </c>
      <c r="C33">
        <v>0</v>
      </c>
      <c r="D33">
        <v>0</v>
      </c>
      <c r="E33">
        <v>0</v>
      </c>
      <c r="F33">
        <v>0</v>
      </c>
    </row>
    <row r="34" spans="1:8" x14ac:dyDescent="0.3">
      <c r="A34" t="s">
        <v>579</v>
      </c>
      <c r="B34">
        <v>2</v>
      </c>
      <c r="C34">
        <v>16</v>
      </c>
      <c r="D34">
        <v>16</v>
      </c>
      <c r="E34">
        <v>16</v>
      </c>
      <c r="F34">
        <v>16</v>
      </c>
    </row>
    <row r="35" spans="1:8" x14ac:dyDescent="0.3">
      <c r="A35" t="s">
        <v>580</v>
      </c>
      <c r="B35">
        <v>2</v>
      </c>
      <c r="C35">
        <v>500</v>
      </c>
      <c r="D35">
        <v>500</v>
      </c>
      <c r="E35">
        <v>500</v>
      </c>
      <c r="F35">
        <v>500</v>
      </c>
    </row>
    <row r="36" spans="1:8" x14ac:dyDescent="0.3">
      <c r="A36" t="s">
        <v>581</v>
      </c>
      <c r="B36">
        <v>2</v>
      </c>
      <c r="C36">
        <v>1980</v>
      </c>
      <c r="D36">
        <v>1980</v>
      </c>
      <c r="E36">
        <v>1320</v>
      </c>
      <c r="F36">
        <v>1320</v>
      </c>
    </row>
    <row r="37" spans="1:8" x14ac:dyDescent="0.3">
      <c r="A37" t="s">
        <v>582</v>
      </c>
      <c r="B37">
        <v>2</v>
      </c>
      <c r="C37">
        <v>1320</v>
      </c>
      <c r="D37">
        <v>1320</v>
      </c>
      <c r="E37">
        <v>880</v>
      </c>
      <c r="F37">
        <v>880</v>
      </c>
    </row>
    <row r="38" spans="1:8" x14ac:dyDescent="0.3">
      <c r="A38" t="s">
        <v>583</v>
      </c>
      <c r="B38">
        <v>2</v>
      </c>
      <c r="C38">
        <v>2640</v>
      </c>
      <c r="D38">
        <v>2640</v>
      </c>
      <c r="E38">
        <v>1760</v>
      </c>
      <c r="F38">
        <v>1760</v>
      </c>
    </row>
    <row r="39" spans="1:8" x14ac:dyDescent="0.3">
      <c r="A39" t="s">
        <v>584</v>
      </c>
      <c r="B39">
        <v>2</v>
      </c>
    </row>
    <row r="40" spans="1:8" x14ac:dyDescent="0.3">
      <c r="A40" t="s">
        <v>585</v>
      </c>
      <c r="B40">
        <v>2</v>
      </c>
    </row>
    <row r="41" spans="1:8" x14ac:dyDescent="0.3">
      <c r="A41" t="s">
        <v>586</v>
      </c>
      <c r="B41">
        <v>2</v>
      </c>
    </row>
    <row r="42" spans="1:8" x14ac:dyDescent="0.3">
      <c r="A42" t="s">
        <v>587</v>
      </c>
      <c r="B42">
        <v>2</v>
      </c>
      <c r="C42" t="b">
        <v>0</v>
      </c>
      <c r="D42" t="b">
        <v>0</v>
      </c>
      <c r="E42" t="b">
        <v>0</v>
      </c>
      <c r="F42" t="b">
        <v>0</v>
      </c>
    </row>
    <row r="43" spans="1:8" x14ac:dyDescent="0.3">
      <c r="A43" t="s">
        <v>588</v>
      </c>
      <c r="B43">
        <v>2</v>
      </c>
      <c r="C43" t="b">
        <v>0</v>
      </c>
      <c r="D43" t="b">
        <v>0</v>
      </c>
      <c r="E43" t="b">
        <v>0</v>
      </c>
      <c r="F43" t="b">
        <v>0</v>
      </c>
    </row>
    <row r="44" spans="1:8" x14ac:dyDescent="0.3">
      <c r="A44" t="s">
        <v>570</v>
      </c>
      <c r="B44">
        <v>3</v>
      </c>
      <c r="C44">
        <v>18</v>
      </c>
      <c r="D44">
        <v>4</v>
      </c>
      <c r="G44">
        <v>107</v>
      </c>
      <c r="H44">
        <v>106</v>
      </c>
    </row>
    <row r="45" spans="1:8" x14ac:dyDescent="0.3">
      <c r="A45" t="s">
        <v>36</v>
      </c>
      <c r="B45">
        <v>3</v>
      </c>
      <c r="C45">
        <v>3</v>
      </c>
      <c r="D45">
        <v>4</v>
      </c>
      <c r="G45">
        <v>3</v>
      </c>
      <c r="H45">
        <v>2</v>
      </c>
    </row>
    <row r="46" spans="1:8" x14ac:dyDescent="0.3">
      <c r="A46" t="s">
        <v>506</v>
      </c>
      <c r="B46">
        <v>3</v>
      </c>
      <c r="C46" t="s">
        <v>571</v>
      </c>
      <c r="D46" t="s">
        <v>571</v>
      </c>
      <c r="G46" t="s">
        <v>590</v>
      </c>
      <c r="H46" t="s">
        <v>591</v>
      </c>
    </row>
    <row r="47" spans="1:8" x14ac:dyDescent="0.3">
      <c r="A47" t="s">
        <v>574</v>
      </c>
      <c r="B47">
        <v>3</v>
      </c>
      <c r="C47">
        <v>434</v>
      </c>
      <c r="D47">
        <v>2890</v>
      </c>
      <c r="G47">
        <v>1381</v>
      </c>
      <c r="H47">
        <v>1438</v>
      </c>
    </row>
    <row r="48" spans="1:8" x14ac:dyDescent="0.3">
      <c r="A48" t="s">
        <v>42</v>
      </c>
      <c r="B48">
        <v>3</v>
      </c>
      <c r="C48">
        <v>45</v>
      </c>
      <c r="D48">
        <v>45</v>
      </c>
      <c r="G48">
        <v>30</v>
      </c>
      <c r="H48">
        <v>30</v>
      </c>
    </row>
    <row r="49" spans="1:8" x14ac:dyDescent="0.3">
      <c r="A49" t="s">
        <v>575</v>
      </c>
      <c r="B49">
        <v>3</v>
      </c>
      <c r="C49">
        <v>6.6</v>
      </c>
      <c r="D49">
        <v>43.8</v>
      </c>
      <c r="G49">
        <v>31.4</v>
      </c>
      <c r="H49">
        <v>32.700000000000003</v>
      </c>
    </row>
    <row r="50" spans="1:8" x14ac:dyDescent="0.3">
      <c r="A50" t="s">
        <v>41</v>
      </c>
      <c r="B50">
        <v>3</v>
      </c>
      <c r="C50">
        <v>0</v>
      </c>
      <c r="D50">
        <v>0</v>
      </c>
      <c r="G50">
        <v>0</v>
      </c>
      <c r="H50">
        <v>0</v>
      </c>
    </row>
    <row r="51" spans="1:8" x14ac:dyDescent="0.3">
      <c r="A51" t="s">
        <v>576</v>
      </c>
      <c r="B51">
        <v>3</v>
      </c>
      <c r="C51">
        <v>12</v>
      </c>
      <c r="D51">
        <v>12</v>
      </c>
      <c r="G51">
        <v>12</v>
      </c>
      <c r="H51">
        <v>12</v>
      </c>
    </row>
    <row r="52" spans="1:8" x14ac:dyDescent="0.3">
      <c r="A52" t="s">
        <v>577</v>
      </c>
      <c r="B52">
        <v>3</v>
      </c>
      <c r="C52">
        <v>0</v>
      </c>
      <c r="D52">
        <v>0</v>
      </c>
      <c r="G52">
        <v>0</v>
      </c>
      <c r="H52">
        <v>0</v>
      </c>
    </row>
    <row r="53" spans="1:8" x14ac:dyDescent="0.3">
      <c r="A53" t="s">
        <v>578</v>
      </c>
      <c r="B53">
        <v>3</v>
      </c>
      <c r="C53">
        <v>0</v>
      </c>
      <c r="D53">
        <v>0</v>
      </c>
      <c r="G53">
        <v>0</v>
      </c>
      <c r="H53">
        <v>0</v>
      </c>
    </row>
    <row r="54" spans="1:8" x14ac:dyDescent="0.3">
      <c r="A54" t="s">
        <v>579</v>
      </c>
      <c r="B54">
        <v>3</v>
      </c>
      <c r="C54">
        <v>16</v>
      </c>
      <c r="D54">
        <v>16</v>
      </c>
      <c r="G54">
        <v>16</v>
      </c>
      <c r="H54">
        <v>16</v>
      </c>
    </row>
    <row r="55" spans="1:8" x14ac:dyDescent="0.3">
      <c r="A55" t="s">
        <v>580</v>
      </c>
      <c r="B55">
        <v>3</v>
      </c>
      <c r="C55">
        <v>500</v>
      </c>
      <c r="D55">
        <v>500</v>
      </c>
      <c r="G55">
        <v>500</v>
      </c>
      <c r="H55">
        <v>500</v>
      </c>
    </row>
    <row r="56" spans="1:8" x14ac:dyDescent="0.3">
      <c r="A56" t="s">
        <v>581</v>
      </c>
      <c r="B56">
        <v>3</v>
      </c>
      <c r="C56">
        <v>1980</v>
      </c>
      <c r="D56">
        <v>1980</v>
      </c>
      <c r="G56">
        <v>1320</v>
      </c>
      <c r="H56">
        <v>1320</v>
      </c>
    </row>
    <row r="57" spans="1:8" x14ac:dyDescent="0.3">
      <c r="A57" t="s">
        <v>582</v>
      </c>
      <c r="B57">
        <v>3</v>
      </c>
      <c r="C57">
        <v>1320</v>
      </c>
      <c r="D57">
        <v>1320</v>
      </c>
      <c r="G57">
        <v>880</v>
      </c>
      <c r="H57">
        <v>880</v>
      </c>
    </row>
    <row r="58" spans="1:8" x14ac:dyDescent="0.3">
      <c r="A58" t="s">
        <v>583</v>
      </c>
      <c r="B58">
        <v>3</v>
      </c>
      <c r="C58">
        <v>2640</v>
      </c>
      <c r="D58">
        <v>2640</v>
      </c>
      <c r="G58">
        <v>1760</v>
      </c>
      <c r="H58">
        <v>1760</v>
      </c>
    </row>
    <row r="59" spans="1:8" x14ac:dyDescent="0.3">
      <c r="A59" t="s">
        <v>584</v>
      </c>
      <c r="B59">
        <v>3</v>
      </c>
    </row>
    <row r="60" spans="1:8" x14ac:dyDescent="0.3">
      <c r="A60" t="s">
        <v>585</v>
      </c>
      <c r="B60">
        <v>3</v>
      </c>
    </row>
    <row r="61" spans="1:8" x14ac:dyDescent="0.3">
      <c r="A61" t="s">
        <v>586</v>
      </c>
      <c r="B61">
        <v>3</v>
      </c>
    </row>
    <row r="62" spans="1:8" x14ac:dyDescent="0.3">
      <c r="A62" t="s">
        <v>587</v>
      </c>
      <c r="B62">
        <v>3</v>
      </c>
      <c r="C62" t="b">
        <v>0</v>
      </c>
      <c r="D62" t="b">
        <v>0</v>
      </c>
      <c r="G62" t="b">
        <v>0</v>
      </c>
      <c r="H62" t="b">
        <v>0</v>
      </c>
    </row>
    <row r="63" spans="1:8" x14ac:dyDescent="0.3">
      <c r="A63" t="s">
        <v>588</v>
      </c>
      <c r="B63">
        <v>3</v>
      </c>
      <c r="C63" t="b">
        <v>0</v>
      </c>
      <c r="D63" t="b">
        <v>0</v>
      </c>
      <c r="G63" t="b">
        <v>0</v>
      </c>
      <c r="H63" t="b">
        <v>0</v>
      </c>
    </row>
    <row r="64" spans="1:8" x14ac:dyDescent="0.3">
      <c r="A64" t="s">
        <v>570</v>
      </c>
      <c r="B64">
        <v>4</v>
      </c>
      <c r="C64">
        <v>3</v>
      </c>
      <c r="D64">
        <v>5</v>
      </c>
      <c r="E64">
        <v>108</v>
      </c>
      <c r="F64">
        <v>6</v>
      </c>
    </row>
    <row r="65" spans="1:6" x14ac:dyDescent="0.3">
      <c r="A65" t="s">
        <v>36</v>
      </c>
      <c r="B65">
        <v>4</v>
      </c>
      <c r="C65">
        <v>2</v>
      </c>
      <c r="D65">
        <v>3</v>
      </c>
      <c r="E65">
        <v>3</v>
      </c>
      <c r="F65">
        <v>0</v>
      </c>
    </row>
    <row r="66" spans="1:6" x14ac:dyDescent="0.3">
      <c r="A66" t="s">
        <v>506</v>
      </c>
      <c r="B66">
        <v>4</v>
      </c>
      <c r="C66" t="s">
        <v>571</v>
      </c>
      <c r="D66" t="s">
        <v>571</v>
      </c>
      <c r="E66" t="s">
        <v>592</v>
      </c>
      <c r="F66" t="s">
        <v>592</v>
      </c>
    </row>
    <row r="67" spans="1:6" x14ac:dyDescent="0.3">
      <c r="A67" t="s">
        <v>574</v>
      </c>
      <c r="B67">
        <v>4</v>
      </c>
      <c r="C67">
        <v>2890</v>
      </c>
      <c r="D67">
        <v>326</v>
      </c>
      <c r="E67">
        <v>955</v>
      </c>
      <c r="F67">
        <v>1509</v>
      </c>
    </row>
    <row r="68" spans="1:6" x14ac:dyDescent="0.3">
      <c r="A68" t="s">
        <v>42</v>
      </c>
      <c r="B68">
        <v>4</v>
      </c>
      <c r="C68">
        <v>45</v>
      </c>
      <c r="D68">
        <v>35</v>
      </c>
      <c r="E68">
        <v>30</v>
      </c>
      <c r="F68">
        <v>30</v>
      </c>
    </row>
    <row r="69" spans="1:6" x14ac:dyDescent="0.3">
      <c r="A69" t="s">
        <v>575</v>
      </c>
      <c r="B69">
        <v>4</v>
      </c>
      <c r="C69">
        <v>43.8</v>
      </c>
      <c r="D69">
        <v>6.4</v>
      </c>
      <c r="E69">
        <v>21.7</v>
      </c>
      <c r="F69">
        <v>34.299999999999997</v>
      </c>
    </row>
    <row r="70" spans="1:6" x14ac:dyDescent="0.3">
      <c r="A70" t="s">
        <v>41</v>
      </c>
      <c r="B70">
        <v>4</v>
      </c>
      <c r="C70">
        <v>0</v>
      </c>
      <c r="D70">
        <v>0</v>
      </c>
      <c r="E70">
        <v>0</v>
      </c>
      <c r="F70">
        <v>0</v>
      </c>
    </row>
    <row r="71" spans="1:6" x14ac:dyDescent="0.3">
      <c r="A71" t="s">
        <v>576</v>
      </c>
      <c r="B71">
        <v>4</v>
      </c>
      <c r="C71">
        <v>12</v>
      </c>
      <c r="D71">
        <v>12</v>
      </c>
      <c r="E71">
        <v>12</v>
      </c>
      <c r="F71">
        <v>12</v>
      </c>
    </row>
    <row r="72" spans="1:6" x14ac:dyDescent="0.3">
      <c r="A72" t="s">
        <v>577</v>
      </c>
      <c r="B72">
        <v>4</v>
      </c>
      <c r="C72">
        <v>0</v>
      </c>
      <c r="D72">
        <v>0</v>
      </c>
      <c r="E72">
        <v>0</v>
      </c>
      <c r="F72">
        <v>0</v>
      </c>
    </row>
    <row r="73" spans="1:6" x14ac:dyDescent="0.3">
      <c r="A73" t="s">
        <v>578</v>
      </c>
      <c r="B73">
        <v>4</v>
      </c>
      <c r="C73">
        <v>0</v>
      </c>
      <c r="D73">
        <v>0</v>
      </c>
      <c r="E73">
        <v>0</v>
      </c>
      <c r="F73">
        <v>0</v>
      </c>
    </row>
    <row r="74" spans="1:6" x14ac:dyDescent="0.3">
      <c r="A74" t="s">
        <v>579</v>
      </c>
      <c r="B74">
        <v>4</v>
      </c>
      <c r="C74">
        <v>16</v>
      </c>
      <c r="D74">
        <v>16</v>
      </c>
      <c r="E74">
        <v>16</v>
      </c>
      <c r="F74">
        <v>16</v>
      </c>
    </row>
    <row r="75" spans="1:6" x14ac:dyDescent="0.3">
      <c r="A75" t="s">
        <v>580</v>
      </c>
      <c r="B75">
        <v>4</v>
      </c>
      <c r="C75">
        <v>500</v>
      </c>
      <c r="D75">
        <v>500</v>
      </c>
      <c r="E75">
        <v>500</v>
      </c>
      <c r="F75">
        <v>500</v>
      </c>
    </row>
    <row r="76" spans="1:6" x14ac:dyDescent="0.3">
      <c r="A76" t="s">
        <v>581</v>
      </c>
      <c r="B76">
        <v>4</v>
      </c>
      <c r="C76">
        <v>1980</v>
      </c>
      <c r="D76">
        <v>1539</v>
      </c>
      <c r="E76">
        <v>1320</v>
      </c>
      <c r="F76">
        <v>1320</v>
      </c>
    </row>
    <row r="77" spans="1:6" x14ac:dyDescent="0.3">
      <c r="A77" t="s">
        <v>582</v>
      </c>
      <c r="B77">
        <v>4</v>
      </c>
      <c r="C77">
        <v>1320</v>
      </c>
      <c r="D77">
        <v>1026</v>
      </c>
      <c r="E77">
        <v>880</v>
      </c>
      <c r="F77">
        <v>880</v>
      </c>
    </row>
    <row r="78" spans="1:6" x14ac:dyDescent="0.3">
      <c r="A78" t="s">
        <v>583</v>
      </c>
      <c r="B78">
        <v>4</v>
      </c>
      <c r="C78">
        <v>2640</v>
      </c>
      <c r="D78">
        <v>2052</v>
      </c>
      <c r="E78">
        <v>1760</v>
      </c>
      <c r="F78">
        <v>1760</v>
      </c>
    </row>
    <row r="79" spans="1:6" x14ac:dyDescent="0.3">
      <c r="A79" t="s">
        <v>584</v>
      </c>
      <c r="B79">
        <v>4</v>
      </c>
    </row>
    <row r="80" spans="1:6" x14ac:dyDescent="0.3">
      <c r="A80" t="s">
        <v>585</v>
      </c>
      <c r="B80">
        <v>4</v>
      </c>
    </row>
    <row r="81" spans="1:6" x14ac:dyDescent="0.3">
      <c r="A81" t="s">
        <v>586</v>
      </c>
      <c r="B81">
        <v>4</v>
      </c>
    </row>
    <row r="82" spans="1:6" x14ac:dyDescent="0.3">
      <c r="A82" t="s">
        <v>587</v>
      </c>
      <c r="B82">
        <v>4</v>
      </c>
      <c r="C82" t="b">
        <v>0</v>
      </c>
      <c r="D82" t="b">
        <v>0</v>
      </c>
      <c r="E82" t="b">
        <v>0</v>
      </c>
      <c r="F82" t="b">
        <v>0</v>
      </c>
    </row>
    <row r="83" spans="1:6" x14ac:dyDescent="0.3">
      <c r="A83" t="s">
        <v>588</v>
      </c>
      <c r="B83">
        <v>4</v>
      </c>
      <c r="C83" t="b">
        <v>0</v>
      </c>
      <c r="D83" t="b">
        <v>0</v>
      </c>
      <c r="E83" t="b">
        <v>0</v>
      </c>
      <c r="F83" t="b">
        <v>0</v>
      </c>
    </row>
    <row r="84" spans="1:6" x14ac:dyDescent="0.3">
      <c r="A84" t="s">
        <v>570</v>
      </c>
      <c r="B84">
        <v>5</v>
      </c>
      <c r="C84">
        <v>4</v>
      </c>
      <c r="D84">
        <v>9</v>
      </c>
      <c r="E84">
        <v>109</v>
      </c>
      <c r="F84">
        <v>7</v>
      </c>
    </row>
    <row r="85" spans="1:6" x14ac:dyDescent="0.3">
      <c r="A85" t="s">
        <v>36</v>
      </c>
      <c r="B85">
        <v>5</v>
      </c>
      <c r="C85">
        <v>3</v>
      </c>
      <c r="D85">
        <v>3</v>
      </c>
      <c r="E85">
        <v>0</v>
      </c>
      <c r="F85">
        <v>3</v>
      </c>
    </row>
    <row r="86" spans="1:6" x14ac:dyDescent="0.3">
      <c r="A86" t="s">
        <v>506</v>
      </c>
      <c r="B86">
        <v>5</v>
      </c>
      <c r="C86" t="s">
        <v>571</v>
      </c>
      <c r="D86" t="s">
        <v>571</v>
      </c>
      <c r="E86" t="s">
        <v>593</v>
      </c>
      <c r="F86" t="s">
        <v>593</v>
      </c>
    </row>
    <row r="87" spans="1:6" x14ac:dyDescent="0.3">
      <c r="A87" t="s">
        <v>574</v>
      </c>
      <c r="B87">
        <v>5</v>
      </c>
      <c r="C87">
        <v>326</v>
      </c>
      <c r="D87">
        <v>2995</v>
      </c>
      <c r="E87">
        <v>693</v>
      </c>
      <c r="F87">
        <v>1424</v>
      </c>
    </row>
    <row r="88" spans="1:6" x14ac:dyDescent="0.3">
      <c r="A88" t="s">
        <v>42</v>
      </c>
      <c r="B88">
        <v>5</v>
      </c>
      <c r="C88">
        <v>35</v>
      </c>
      <c r="D88">
        <v>35</v>
      </c>
      <c r="E88">
        <v>30</v>
      </c>
      <c r="F88">
        <v>30</v>
      </c>
    </row>
    <row r="89" spans="1:6" x14ac:dyDescent="0.3">
      <c r="A89" t="s">
        <v>575</v>
      </c>
      <c r="B89">
        <v>5</v>
      </c>
      <c r="C89">
        <v>6.4</v>
      </c>
      <c r="D89">
        <v>58.3</v>
      </c>
      <c r="E89">
        <v>15.8</v>
      </c>
      <c r="F89">
        <v>32.4</v>
      </c>
    </row>
    <row r="90" spans="1:6" x14ac:dyDescent="0.3">
      <c r="A90" t="s">
        <v>41</v>
      </c>
      <c r="B90">
        <v>5</v>
      </c>
      <c r="C90">
        <v>0</v>
      </c>
      <c r="D90">
        <v>0</v>
      </c>
      <c r="E90">
        <v>0</v>
      </c>
      <c r="F90">
        <v>0</v>
      </c>
    </row>
    <row r="91" spans="1:6" x14ac:dyDescent="0.3">
      <c r="A91" t="s">
        <v>576</v>
      </c>
      <c r="B91">
        <v>5</v>
      </c>
      <c r="C91">
        <v>12</v>
      </c>
      <c r="D91">
        <v>12</v>
      </c>
      <c r="E91">
        <v>12</v>
      </c>
      <c r="F91">
        <v>12</v>
      </c>
    </row>
    <row r="92" spans="1:6" x14ac:dyDescent="0.3">
      <c r="A92" t="s">
        <v>577</v>
      </c>
      <c r="B92">
        <v>5</v>
      </c>
      <c r="C92">
        <v>0</v>
      </c>
      <c r="D92">
        <v>0</v>
      </c>
      <c r="E92">
        <v>0</v>
      </c>
      <c r="F92">
        <v>0</v>
      </c>
    </row>
    <row r="93" spans="1:6" x14ac:dyDescent="0.3">
      <c r="A93" t="s">
        <v>578</v>
      </c>
      <c r="B93">
        <v>5</v>
      </c>
      <c r="C93">
        <v>0</v>
      </c>
      <c r="D93">
        <v>0</v>
      </c>
      <c r="E93">
        <v>0</v>
      </c>
      <c r="F93">
        <v>0</v>
      </c>
    </row>
    <row r="94" spans="1:6" x14ac:dyDescent="0.3">
      <c r="A94" t="s">
        <v>579</v>
      </c>
      <c r="B94">
        <v>5</v>
      </c>
      <c r="C94">
        <v>16</v>
      </c>
      <c r="D94">
        <v>16</v>
      </c>
      <c r="E94">
        <v>16</v>
      </c>
      <c r="F94">
        <v>16</v>
      </c>
    </row>
    <row r="95" spans="1:6" x14ac:dyDescent="0.3">
      <c r="A95" t="s">
        <v>580</v>
      </c>
      <c r="B95">
        <v>5</v>
      </c>
      <c r="C95">
        <v>500</v>
      </c>
      <c r="D95">
        <v>500</v>
      </c>
      <c r="E95">
        <v>500</v>
      </c>
      <c r="F95">
        <v>500</v>
      </c>
    </row>
    <row r="96" spans="1:6" x14ac:dyDescent="0.3">
      <c r="A96" t="s">
        <v>581</v>
      </c>
      <c r="B96">
        <v>5</v>
      </c>
      <c r="C96">
        <v>1539</v>
      </c>
      <c r="D96">
        <v>1539</v>
      </c>
      <c r="E96">
        <v>1320</v>
      </c>
      <c r="F96">
        <v>1320</v>
      </c>
    </row>
    <row r="97" spans="1:6" x14ac:dyDescent="0.3">
      <c r="A97" t="s">
        <v>582</v>
      </c>
      <c r="B97">
        <v>5</v>
      </c>
      <c r="C97">
        <v>1026</v>
      </c>
      <c r="D97">
        <v>1026</v>
      </c>
      <c r="E97">
        <v>880</v>
      </c>
      <c r="F97">
        <v>880</v>
      </c>
    </row>
    <row r="98" spans="1:6" x14ac:dyDescent="0.3">
      <c r="A98" t="s">
        <v>583</v>
      </c>
      <c r="B98">
        <v>5</v>
      </c>
      <c r="C98">
        <v>2052</v>
      </c>
      <c r="D98">
        <v>2052</v>
      </c>
      <c r="E98">
        <v>1760</v>
      </c>
      <c r="F98">
        <v>1760</v>
      </c>
    </row>
    <row r="99" spans="1:6" x14ac:dyDescent="0.3">
      <c r="A99" t="s">
        <v>584</v>
      </c>
      <c r="B99">
        <v>5</v>
      </c>
    </row>
    <row r="100" spans="1:6" x14ac:dyDescent="0.3">
      <c r="A100" t="s">
        <v>585</v>
      </c>
      <c r="B100">
        <v>5</v>
      </c>
    </row>
    <row r="101" spans="1:6" x14ac:dyDescent="0.3">
      <c r="A101" t="s">
        <v>586</v>
      </c>
      <c r="B101">
        <v>5</v>
      </c>
    </row>
    <row r="102" spans="1:6" x14ac:dyDescent="0.3">
      <c r="A102" t="s">
        <v>587</v>
      </c>
      <c r="B102">
        <v>5</v>
      </c>
      <c r="C102" t="b">
        <v>0</v>
      </c>
      <c r="D102" t="b">
        <v>0</v>
      </c>
      <c r="E102" t="b">
        <v>0</v>
      </c>
      <c r="F102" t="b">
        <v>0</v>
      </c>
    </row>
    <row r="103" spans="1:6" x14ac:dyDescent="0.3">
      <c r="A103" t="s">
        <v>588</v>
      </c>
      <c r="B103">
        <v>5</v>
      </c>
      <c r="C103" t="b">
        <v>0</v>
      </c>
      <c r="D103" t="b">
        <v>0</v>
      </c>
      <c r="E103" t="b">
        <v>0</v>
      </c>
      <c r="F103" t="b">
        <v>0</v>
      </c>
    </row>
    <row r="104" spans="1:6" x14ac:dyDescent="0.3">
      <c r="A104" t="s">
        <v>570</v>
      </c>
      <c r="B104">
        <v>6</v>
      </c>
      <c r="C104">
        <v>110</v>
      </c>
      <c r="D104">
        <v>7</v>
      </c>
      <c r="E104">
        <v>4</v>
      </c>
      <c r="F104">
        <v>111</v>
      </c>
    </row>
    <row r="105" spans="1:6" x14ac:dyDescent="0.3">
      <c r="A105" t="s">
        <v>36</v>
      </c>
      <c r="B105">
        <v>6</v>
      </c>
      <c r="C105">
        <v>2</v>
      </c>
      <c r="D105">
        <v>3</v>
      </c>
      <c r="E105">
        <v>3</v>
      </c>
      <c r="F105">
        <v>0</v>
      </c>
    </row>
    <row r="106" spans="1:6" x14ac:dyDescent="0.3">
      <c r="A106" t="s">
        <v>506</v>
      </c>
      <c r="B106">
        <v>6</v>
      </c>
      <c r="C106" t="s">
        <v>594</v>
      </c>
      <c r="D106" t="s">
        <v>594</v>
      </c>
      <c r="E106" t="s">
        <v>592</v>
      </c>
      <c r="F106" t="s">
        <v>592</v>
      </c>
    </row>
    <row r="107" spans="1:6" x14ac:dyDescent="0.3">
      <c r="A107" t="s">
        <v>574</v>
      </c>
      <c r="B107">
        <v>6</v>
      </c>
      <c r="C107">
        <v>738</v>
      </c>
      <c r="D107">
        <v>335</v>
      </c>
      <c r="E107">
        <v>1509</v>
      </c>
      <c r="F107">
        <v>708</v>
      </c>
    </row>
    <row r="108" spans="1:6" x14ac:dyDescent="0.3">
      <c r="A108" t="s">
        <v>42</v>
      </c>
      <c r="B108">
        <v>6</v>
      </c>
      <c r="C108">
        <v>30</v>
      </c>
      <c r="D108">
        <v>30</v>
      </c>
      <c r="E108">
        <v>30</v>
      </c>
      <c r="F108">
        <v>30</v>
      </c>
    </row>
    <row r="109" spans="1:6" x14ac:dyDescent="0.3">
      <c r="A109" t="s">
        <v>575</v>
      </c>
      <c r="B109">
        <v>6</v>
      </c>
      <c r="C109">
        <v>16.8</v>
      </c>
      <c r="D109">
        <v>7.6</v>
      </c>
      <c r="E109">
        <v>34.299999999999997</v>
      </c>
      <c r="F109">
        <v>16.100000000000001</v>
      </c>
    </row>
    <row r="110" spans="1:6" x14ac:dyDescent="0.3">
      <c r="A110" t="s">
        <v>41</v>
      </c>
      <c r="B110">
        <v>6</v>
      </c>
      <c r="C110">
        <v>0</v>
      </c>
      <c r="D110">
        <v>0</v>
      </c>
      <c r="E110">
        <v>0</v>
      </c>
      <c r="F110">
        <v>0</v>
      </c>
    </row>
    <row r="111" spans="1:6" x14ac:dyDescent="0.3">
      <c r="A111" t="s">
        <v>576</v>
      </c>
      <c r="B111">
        <v>6</v>
      </c>
      <c r="C111">
        <v>12</v>
      </c>
      <c r="D111">
        <v>12</v>
      </c>
      <c r="E111">
        <v>12</v>
      </c>
      <c r="F111">
        <v>12</v>
      </c>
    </row>
    <row r="112" spans="1:6" x14ac:dyDescent="0.3">
      <c r="A112" t="s">
        <v>577</v>
      </c>
      <c r="B112">
        <v>6</v>
      </c>
      <c r="C112">
        <v>0</v>
      </c>
      <c r="D112">
        <v>0</v>
      </c>
      <c r="E112">
        <v>0</v>
      </c>
      <c r="F112">
        <v>0</v>
      </c>
    </row>
    <row r="113" spans="1:6" x14ac:dyDescent="0.3">
      <c r="A113" t="s">
        <v>578</v>
      </c>
      <c r="B113">
        <v>6</v>
      </c>
      <c r="C113">
        <v>0</v>
      </c>
      <c r="D113">
        <v>0</v>
      </c>
      <c r="E113">
        <v>0</v>
      </c>
      <c r="F113">
        <v>0</v>
      </c>
    </row>
    <row r="114" spans="1:6" x14ac:dyDescent="0.3">
      <c r="A114" t="s">
        <v>579</v>
      </c>
      <c r="B114">
        <v>6</v>
      </c>
      <c r="C114">
        <v>16</v>
      </c>
      <c r="D114">
        <v>16</v>
      </c>
      <c r="E114">
        <v>16</v>
      </c>
      <c r="F114">
        <v>16</v>
      </c>
    </row>
    <row r="115" spans="1:6" x14ac:dyDescent="0.3">
      <c r="A115" t="s">
        <v>580</v>
      </c>
      <c r="B115">
        <v>6</v>
      </c>
      <c r="C115">
        <v>500</v>
      </c>
      <c r="D115">
        <v>500</v>
      </c>
      <c r="E115">
        <v>500</v>
      </c>
      <c r="F115">
        <v>500</v>
      </c>
    </row>
    <row r="116" spans="1:6" x14ac:dyDescent="0.3">
      <c r="A116" t="s">
        <v>581</v>
      </c>
      <c r="B116">
        <v>6</v>
      </c>
      <c r="C116">
        <v>1320</v>
      </c>
      <c r="D116">
        <v>1320</v>
      </c>
      <c r="E116">
        <v>1320</v>
      </c>
      <c r="F116">
        <v>1320</v>
      </c>
    </row>
    <row r="117" spans="1:6" x14ac:dyDescent="0.3">
      <c r="A117" t="s">
        <v>582</v>
      </c>
      <c r="B117">
        <v>6</v>
      </c>
      <c r="C117">
        <v>880</v>
      </c>
      <c r="D117">
        <v>880</v>
      </c>
      <c r="E117">
        <v>880</v>
      </c>
      <c r="F117">
        <v>880</v>
      </c>
    </row>
    <row r="118" spans="1:6" x14ac:dyDescent="0.3">
      <c r="A118" t="s">
        <v>583</v>
      </c>
      <c r="B118">
        <v>6</v>
      </c>
      <c r="C118">
        <v>1760</v>
      </c>
      <c r="D118">
        <v>1760</v>
      </c>
      <c r="E118">
        <v>1760</v>
      </c>
      <c r="F118">
        <v>1760</v>
      </c>
    </row>
    <row r="119" spans="1:6" x14ac:dyDescent="0.3">
      <c r="A119" t="s">
        <v>584</v>
      </c>
      <c r="B119">
        <v>6</v>
      </c>
    </row>
    <row r="120" spans="1:6" x14ac:dyDescent="0.3">
      <c r="A120" t="s">
        <v>585</v>
      </c>
      <c r="B120">
        <v>6</v>
      </c>
    </row>
    <row r="121" spans="1:6" x14ac:dyDescent="0.3">
      <c r="A121" t="s">
        <v>586</v>
      </c>
      <c r="B121">
        <v>6</v>
      </c>
    </row>
    <row r="122" spans="1:6" x14ac:dyDescent="0.3">
      <c r="A122" t="s">
        <v>587</v>
      </c>
      <c r="B122">
        <v>6</v>
      </c>
      <c r="C122" t="b">
        <v>0</v>
      </c>
      <c r="D122" t="b">
        <v>0</v>
      </c>
      <c r="E122" t="b">
        <v>0</v>
      </c>
      <c r="F122" t="b">
        <v>0</v>
      </c>
    </row>
    <row r="123" spans="1:6" x14ac:dyDescent="0.3">
      <c r="A123" t="s">
        <v>588</v>
      </c>
      <c r="B123">
        <v>6</v>
      </c>
      <c r="C123" t="b">
        <v>0</v>
      </c>
      <c r="D123" t="b">
        <v>0</v>
      </c>
      <c r="E123" t="b">
        <v>0</v>
      </c>
      <c r="F123" t="b">
        <v>0</v>
      </c>
    </row>
    <row r="124" spans="1:6" x14ac:dyDescent="0.3">
      <c r="A124" t="s">
        <v>570</v>
      </c>
      <c r="B124">
        <v>7</v>
      </c>
      <c r="C124">
        <v>6</v>
      </c>
      <c r="D124">
        <v>60</v>
      </c>
      <c r="E124">
        <v>5</v>
      </c>
      <c r="F124">
        <v>112</v>
      </c>
    </row>
    <row r="125" spans="1:6" x14ac:dyDescent="0.3">
      <c r="A125" t="s">
        <v>36</v>
      </c>
      <c r="B125">
        <v>7</v>
      </c>
      <c r="C125">
        <v>3</v>
      </c>
      <c r="D125">
        <v>2</v>
      </c>
      <c r="E125">
        <v>0</v>
      </c>
      <c r="F125">
        <v>3</v>
      </c>
    </row>
    <row r="126" spans="1:6" x14ac:dyDescent="0.3">
      <c r="A126" t="s">
        <v>506</v>
      </c>
      <c r="B126">
        <v>7</v>
      </c>
      <c r="C126" t="s">
        <v>594</v>
      </c>
      <c r="E126" t="s">
        <v>593</v>
      </c>
      <c r="F126" t="s">
        <v>593</v>
      </c>
    </row>
    <row r="127" spans="1:6" x14ac:dyDescent="0.3">
      <c r="A127" t="s">
        <v>574</v>
      </c>
      <c r="B127">
        <v>7</v>
      </c>
      <c r="C127">
        <v>335</v>
      </c>
      <c r="D127">
        <v>5914</v>
      </c>
      <c r="E127">
        <v>1424</v>
      </c>
      <c r="F127">
        <v>794</v>
      </c>
    </row>
    <row r="128" spans="1:6" x14ac:dyDescent="0.3">
      <c r="A128" t="s">
        <v>42</v>
      </c>
      <c r="B128">
        <v>7</v>
      </c>
      <c r="C128">
        <v>30</v>
      </c>
      <c r="D128">
        <v>30</v>
      </c>
      <c r="E128">
        <v>30</v>
      </c>
      <c r="F128">
        <v>30</v>
      </c>
    </row>
    <row r="129" spans="1:6" x14ac:dyDescent="0.3">
      <c r="A129" t="s">
        <v>575</v>
      </c>
      <c r="B129">
        <v>7</v>
      </c>
      <c r="C129">
        <v>7.6</v>
      </c>
      <c r="D129">
        <v>134.4</v>
      </c>
      <c r="E129">
        <v>32.4</v>
      </c>
      <c r="F129">
        <v>18</v>
      </c>
    </row>
    <row r="130" spans="1:6" x14ac:dyDescent="0.3">
      <c r="A130" t="s">
        <v>41</v>
      </c>
      <c r="B130">
        <v>7</v>
      </c>
      <c r="C130">
        <v>0</v>
      </c>
      <c r="D130">
        <v>0</v>
      </c>
      <c r="E130">
        <v>0</v>
      </c>
      <c r="F130">
        <v>0</v>
      </c>
    </row>
    <row r="131" spans="1:6" x14ac:dyDescent="0.3">
      <c r="A131" t="s">
        <v>576</v>
      </c>
      <c r="B131">
        <v>7</v>
      </c>
      <c r="C131">
        <v>12</v>
      </c>
      <c r="D131">
        <v>12</v>
      </c>
      <c r="E131">
        <v>12</v>
      </c>
      <c r="F131">
        <v>12</v>
      </c>
    </row>
    <row r="132" spans="1:6" x14ac:dyDescent="0.3">
      <c r="A132" t="s">
        <v>577</v>
      </c>
      <c r="B132">
        <v>7</v>
      </c>
      <c r="C132">
        <v>0</v>
      </c>
      <c r="D132">
        <v>0</v>
      </c>
      <c r="E132">
        <v>0</v>
      </c>
      <c r="F132">
        <v>0</v>
      </c>
    </row>
    <row r="133" spans="1:6" x14ac:dyDescent="0.3">
      <c r="A133" t="s">
        <v>578</v>
      </c>
      <c r="B133">
        <v>7</v>
      </c>
      <c r="C133">
        <v>0</v>
      </c>
      <c r="D133">
        <v>0</v>
      </c>
      <c r="E133">
        <v>0</v>
      </c>
      <c r="F133">
        <v>0</v>
      </c>
    </row>
    <row r="134" spans="1:6" x14ac:dyDescent="0.3">
      <c r="A134" t="s">
        <v>579</v>
      </c>
      <c r="B134">
        <v>7</v>
      </c>
      <c r="C134">
        <v>16</v>
      </c>
      <c r="D134">
        <v>16</v>
      </c>
      <c r="E134">
        <v>16</v>
      </c>
      <c r="F134">
        <v>16</v>
      </c>
    </row>
    <row r="135" spans="1:6" x14ac:dyDescent="0.3">
      <c r="A135" t="s">
        <v>580</v>
      </c>
      <c r="B135">
        <v>7</v>
      </c>
      <c r="C135">
        <v>500</v>
      </c>
      <c r="D135">
        <v>500</v>
      </c>
      <c r="E135">
        <v>500</v>
      </c>
      <c r="F135">
        <v>500</v>
      </c>
    </row>
    <row r="136" spans="1:6" x14ac:dyDescent="0.3">
      <c r="A136" t="s">
        <v>581</v>
      </c>
      <c r="B136">
        <v>7</v>
      </c>
      <c r="C136">
        <v>1320</v>
      </c>
      <c r="D136">
        <v>1320</v>
      </c>
      <c r="E136">
        <v>1320</v>
      </c>
      <c r="F136">
        <v>1320</v>
      </c>
    </row>
    <row r="137" spans="1:6" x14ac:dyDescent="0.3">
      <c r="A137" t="s">
        <v>582</v>
      </c>
      <c r="B137">
        <v>7</v>
      </c>
      <c r="C137">
        <v>880</v>
      </c>
      <c r="D137">
        <v>880</v>
      </c>
      <c r="E137">
        <v>880</v>
      </c>
      <c r="F137">
        <v>880</v>
      </c>
    </row>
    <row r="138" spans="1:6" x14ac:dyDescent="0.3">
      <c r="A138" t="s">
        <v>583</v>
      </c>
      <c r="B138">
        <v>7</v>
      </c>
      <c r="C138">
        <v>1760</v>
      </c>
      <c r="D138">
        <v>1760</v>
      </c>
      <c r="E138">
        <v>1760</v>
      </c>
      <c r="F138">
        <v>1760</v>
      </c>
    </row>
    <row r="139" spans="1:6" x14ac:dyDescent="0.3">
      <c r="A139" t="s">
        <v>584</v>
      </c>
      <c r="B139">
        <v>7</v>
      </c>
    </row>
    <row r="140" spans="1:6" x14ac:dyDescent="0.3">
      <c r="A140" t="s">
        <v>585</v>
      </c>
      <c r="B140">
        <v>7</v>
      </c>
    </row>
    <row r="141" spans="1:6" x14ac:dyDescent="0.3">
      <c r="A141" t="s">
        <v>586</v>
      </c>
      <c r="B141">
        <v>7</v>
      </c>
    </row>
    <row r="142" spans="1:6" x14ac:dyDescent="0.3">
      <c r="A142" t="s">
        <v>587</v>
      </c>
      <c r="B142">
        <v>7</v>
      </c>
      <c r="C142" t="b">
        <v>0</v>
      </c>
      <c r="D142" t="b">
        <v>0</v>
      </c>
      <c r="E142" t="b">
        <v>0</v>
      </c>
      <c r="F142" t="b">
        <v>0</v>
      </c>
    </row>
    <row r="143" spans="1:6" x14ac:dyDescent="0.3">
      <c r="A143" t="s">
        <v>588</v>
      </c>
      <c r="B143">
        <v>7</v>
      </c>
      <c r="C143" t="b">
        <v>0</v>
      </c>
      <c r="D143" t="b">
        <v>0</v>
      </c>
      <c r="E143" t="b">
        <v>0</v>
      </c>
      <c r="F143" t="b">
        <v>0</v>
      </c>
    </row>
    <row r="144" spans="1:6" x14ac:dyDescent="0.3">
      <c r="A144" t="s">
        <v>570</v>
      </c>
      <c r="B144">
        <v>8</v>
      </c>
      <c r="C144">
        <v>31</v>
      </c>
      <c r="D144">
        <v>32</v>
      </c>
    </row>
    <row r="145" spans="1:4" x14ac:dyDescent="0.3">
      <c r="A145" t="s">
        <v>36</v>
      </c>
      <c r="B145">
        <v>8</v>
      </c>
      <c r="C145" t="s">
        <v>595</v>
      </c>
      <c r="D145">
        <v>2</v>
      </c>
    </row>
    <row r="146" spans="1:4" x14ac:dyDescent="0.3">
      <c r="A146" t="s">
        <v>506</v>
      </c>
      <c r="B146">
        <v>8</v>
      </c>
      <c r="C146" t="s">
        <v>571</v>
      </c>
      <c r="D146" t="s">
        <v>571</v>
      </c>
    </row>
    <row r="147" spans="1:4" x14ac:dyDescent="0.3">
      <c r="A147" t="s">
        <v>574</v>
      </c>
      <c r="B147">
        <v>8</v>
      </c>
      <c r="C147">
        <v>410</v>
      </c>
      <c r="D147">
        <v>809</v>
      </c>
    </row>
    <row r="148" spans="1:4" x14ac:dyDescent="0.3">
      <c r="A148" t="s">
        <v>42</v>
      </c>
      <c r="B148">
        <v>8</v>
      </c>
      <c r="C148">
        <v>55</v>
      </c>
      <c r="D148">
        <v>55</v>
      </c>
    </row>
    <row r="149" spans="1:4" x14ac:dyDescent="0.3">
      <c r="A149" t="s">
        <v>575</v>
      </c>
      <c r="B149">
        <v>8</v>
      </c>
      <c r="C149">
        <v>5.0999999999999996</v>
      </c>
      <c r="D149">
        <v>10</v>
      </c>
    </row>
    <row r="150" spans="1:4" x14ac:dyDescent="0.3">
      <c r="A150" t="s">
        <v>41</v>
      </c>
      <c r="B150">
        <v>8</v>
      </c>
      <c r="C150">
        <v>2</v>
      </c>
      <c r="D150">
        <v>-3</v>
      </c>
    </row>
    <row r="151" spans="1:4" x14ac:dyDescent="0.3">
      <c r="A151" t="s">
        <v>576</v>
      </c>
      <c r="B151">
        <v>8</v>
      </c>
      <c r="C151">
        <v>24</v>
      </c>
      <c r="D151">
        <v>24</v>
      </c>
    </row>
    <row r="152" spans="1:4" x14ac:dyDescent="0.3">
      <c r="A152" t="s">
        <v>577</v>
      </c>
      <c r="B152">
        <v>8</v>
      </c>
      <c r="C152">
        <v>0</v>
      </c>
      <c r="D152">
        <v>0</v>
      </c>
    </row>
    <row r="153" spans="1:4" x14ac:dyDescent="0.3">
      <c r="A153" t="s">
        <v>578</v>
      </c>
      <c r="B153">
        <v>8</v>
      </c>
      <c r="C153">
        <v>0</v>
      </c>
      <c r="D153">
        <v>0</v>
      </c>
    </row>
    <row r="154" spans="1:4" x14ac:dyDescent="0.3">
      <c r="A154" t="s">
        <v>579</v>
      </c>
      <c r="B154">
        <v>8</v>
      </c>
      <c r="C154">
        <v>16</v>
      </c>
      <c r="D154">
        <v>16</v>
      </c>
    </row>
    <row r="155" spans="1:4" x14ac:dyDescent="0.3">
      <c r="A155" t="s">
        <v>580</v>
      </c>
      <c r="B155">
        <v>8</v>
      </c>
      <c r="C155">
        <v>100</v>
      </c>
      <c r="D155">
        <v>100</v>
      </c>
    </row>
    <row r="156" spans="1:4" x14ac:dyDescent="0.3">
      <c r="A156" t="s">
        <v>581</v>
      </c>
      <c r="B156">
        <v>8</v>
      </c>
      <c r="C156">
        <v>2421</v>
      </c>
      <c r="D156">
        <v>2421</v>
      </c>
    </row>
    <row r="157" spans="1:4" x14ac:dyDescent="0.3">
      <c r="A157" t="s">
        <v>582</v>
      </c>
      <c r="B157">
        <v>8</v>
      </c>
      <c r="C157">
        <v>1614</v>
      </c>
      <c r="D157">
        <v>1614</v>
      </c>
    </row>
    <row r="158" spans="1:4" x14ac:dyDescent="0.3">
      <c r="A158" t="s">
        <v>583</v>
      </c>
      <c r="B158">
        <v>8</v>
      </c>
      <c r="C158">
        <v>3228</v>
      </c>
      <c r="D158">
        <v>3228</v>
      </c>
    </row>
    <row r="159" spans="1:4" x14ac:dyDescent="0.3">
      <c r="A159" t="s">
        <v>584</v>
      </c>
      <c r="B159">
        <v>8</v>
      </c>
    </row>
    <row r="160" spans="1:4" x14ac:dyDescent="0.3">
      <c r="A160" t="s">
        <v>585</v>
      </c>
      <c r="B160">
        <v>8</v>
      </c>
    </row>
    <row r="161" spans="1:6" x14ac:dyDescent="0.3">
      <c r="A161" t="s">
        <v>586</v>
      </c>
      <c r="B161">
        <v>8</v>
      </c>
    </row>
    <row r="162" spans="1:6" x14ac:dyDescent="0.3">
      <c r="A162" t="s">
        <v>587</v>
      </c>
      <c r="B162">
        <v>8</v>
      </c>
      <c r="C162" t="b">
        <v>0</v>
      </c>
      <c r="D162" t="b">
        <v>0</v>
      </c>
    </row>
    <row r="163" spans="1:6" x14ac:dyDescent="0.3">
      <c r="A163" t="s">
        <v>588</v>
      </c>
      <c r="B163">
        <v>8</v>
      </c>
      <c r="C163" t="b">
        <v>0</v>
      </c>
      <c r="D163" t="b">
        <v>0</v>
      </c>
    </row>
    <row r="164" spans="1:6" x14ac:dyDescent="0.3">
      <c r="A164" t="s">
        <v>570</v>
      </c>
      <c r="B164">
        <v>9</v>
      </c>
      <c r="C164">
        <v>5</v>
      </c>
      <c r="D164">
        <v>10</v>
      </c>
      <c r="E164">
        <v>113</v>
      </c>
      <c r="F164">
        <v>114</v>
      </c>
    </row>
    <row r="165" spans="1:6" x14ac:dyDescent="0.3">
      <c r="A165" t="s">
        <v>36</v>
      </c>
      <c r="B165">
        <v>9</v>
      </c>
      <c r="C165">
        <v>4</v>
      </c>
      <c r="D165">
        <v>4</v>
      </c>
      <c r="E165">
        <v>2</v>
      </c>
      <c r="F165">
        <v>1</v>
      </c>
    </row>
    <row r="166" spans="1:6" x14ac:dyDescent="0.3">
      <c r="A166" t="s">
        <v>506</v>
      </c>
      <c r="B166">
        <v>9</v>
      </c>
      <c r="C166" t="s">
        <v>571</v>
      </c>
      <c r="D166" t="s">
        <v>571</v>
      </c>
      <c r="E166" t="s">
        <v>596</v>
      </c>
      <c r="F166" t="s">
        <v>597</v>
      </c>
    </row>
    <row r="167" spans="1:6" x14ac:dyDescent="0.3">
      <c r="A167" t="s">
        <v>574</v>
      </c>
      <c r="B167">
        <v>9</v>
      </c>
      <c r="C167">
        <v>2995</v>
      </c>
      <c r="D167">
        <v>2827</v>
      </c>
      <c r="E167">
        <v>714</v>
      </c>
      <c r="F167">
        <v>597</v>
      </c>
    </row>
    <row r="168" spans="1:6" x14ac:dyDescent="0.3">
      <c r="A168" t="s">
        <v>42</v>
      </c>
      <c r="B168">
        <v>9</v>
      </c>
      <c r="C168">
        <v>35</v>
      </c>
      <c r="D168">
        <v>40</v>
      </c>
      <c r="E168">
        <v>30</v>
      </c>
      <c r="F168">
        <v>30</v>
      </c>
    </row>
    <row r="169" spans="1:6" x14ac:dyDescent="0.3">
      <c r="A169" t="s">
        <v>575</v>
      </c>
      <c r="B169">
        <v>9</v>
      </c>
      <c r="C169">
        <v>58.3</v>
      </c>
      <c r="D169">
        <v>48.2</v>
      </c>
      <c r="E169">
        <v>16.2</v>
      </c>
      <c r="F169">
        <v>13.6</v>
      </c>
    </row>
    <row r="170" spans="1:6" x14ac:dyDescent="0.3">
      <c r="A170" t="s">
        <v>41</v>
      </c>
      <c r="B170">
        <v>9</v>
      </c>
      <c r="C170">
        <v>0</v>
      </c>
      <c r="D170">
        <v>0</v>
      </c>
      <c r="E170">
        <v>0</v>
      </c>
      <c r="F170">
        <v>0</v>
      </c>
    </row>
    <row r="171" spans="1:6" x14ac:dyDescent="0.3">
      <c r="A171" t="s">
        <v>576</v>
      </c>
      <c r="B171">
        <v>9</v>
      </c>
      <c r="C171">
        <v>12</v>
      </c>
      <c r="D171">
        <v>12</v>
      </c>
      <c r="E171">
        <v>12</v>
      </c>
      <c r="F171">
        <v>12</v>
      </c>
    </row>
    <row r="172" spans="1:6" x14ac:dyDescent="0.3">
      <c r="A172" t="s">
        <v>577</v>
      </c>
      <c r="B172">
        <v>9</v>
      </c>
      <c r="C172">
        <v>0</v>
      </c>
      <c r="D172">
        <v>0</v>
      </c>
      <c r="E172">
        <v>0</v>
      </c>
      <c r="F172">
        <v>0</v>
      </c>
    </row>
    <row r="173" spans="1:6" x14ac:dyDescent="0.3">
      <c r="A173" t="s">
        <v>578</v>
      </c>
      <c r="B173">
        <v>9</v>
      </c>
      <c r="C173">
        <v>0</v>
      </c>
      <c r="D173">
        <v>0</v>
      </c>
      <c r="E173">
        <v>0</v>
      </c>
      <c r="F173">
        <v>0</v>
      </c>
    </row>
    <row r="174" spans="1:6" x14ac:dyDescent="0.3">
      <c r="A174" t="s">
        <v>579</v>
      </c>
      <c r="B174">
        <v>9</v>
      </c>
      <c r="C174">
        <v>16</v>
      </c>
      <c r="D174">
        <v>16</v>
      </c>
      <c r="E174">
        <v>16</v>
      </c>
      <c r="F174">
        <v>16</v>
      </c>
    </row>
    <row r="175" spans="1:6" x14ac:dyDescent="0.3">
      <c r="A175" t="s">
        <v>580</v>
      </c>
      <c r="B175">
        <v>9</v>
      </c>
      <c r="C175">
        <v>500</v>
      </c>
      <c r="D175">
        <v>500</v>
      </c>
      <c r="E175">
        <v>500</v>
      </c>
      <c r="F175">
        <v>500</v>
      </c>
    </row>
    <row r="176" spans="1:6" x14ac:dyDescent="0.3">
      <c r="A176" t="s">
        <v>581</v>
      </c>
      <c r="B176">
        <v>9</v>
      </c>
      <c r="C176">
        <v>1539</v>
      </c>
      <c r="D176">
        <v>1761</v>
      </c>
      <c r="E176">
        <v>1320</v>
      </c>
      <c r="F176">
        <v>1320</v>
      </c>
    </row>
    <row r="177" spans="1:6" x14ac:dyDescent="0.3">
      <c r="A177" t="s">
        <v>582</v>
      </c>
      <c r="B177">
        <v>9</v>
      </c>
      <c r="C177">
        <v>1026</v>
      </c>
      <c r="D177">
        <v>1174</v>
      </c>
      <c r="E177">
        <v>880</v>
      </c>
      <c r="F177">
        <v>880</v>
      </c>
    </row>
    <row r="178" spans="1:6" x14ac:dyDescent="0.3">
      <c r="A178" t="s">
        <v>583</v>
      </c>
      <c r="B178">
        <v>9</v>
      </c>
      <c r="C178">
        <v>2052</v>
      </c>
      <c r="D178">
        <v>2348</v>
      </c>
      <c r="E178">
        <v>1760</v>
      </c>
      <c r="F178">
        <v>1760</v>
      </c>
    </row>
    <row r="179" spans="1:6" x14ac:dyDescent="0.3">
      <c r="A179" t="s">
        <v>584</v>
      </c>
      <c r="B179">
        <v>9</v>
      </c>
    </row>
    <row r="180" spans="1:6" x14ac:dyDescent="0.3">
      <c r="A180" t="s">
        <v>585</v>
      </c>
      <c r="B180">
        <v>9</v>
      </c>
    </row>
    <row r="181" spans="1:6" x14ac:dyDescent="0.3">
      <c r="A181" t="s">
        <v>586</v>
      </c>
      <c r="B181">
        <v>9</v>
      </c>
    </row>
    <row r="182" spans="1:6" x14ac:dyDescent="0.3">
      <c r="A182" t="s">
        <v>587</v>
      </c>
      <c r="B182">
        <v>9</v>
      </c>
      <c r="C182" t="b">
        <v>0</v>
      </c>
      <c r="D182" t="b">
        <v>0</v>
      </c>
      <c r="E182" t="b">
        <v>0</v>
      </c>
      <c r="F182" t="b">
        <v>0</v>
      </c>
    </row>
    <row r="183" spans="1:6" x14ac:dyDescent="0.3">
      <c r="A183" t="s">
        <v>588</v>
      </c>
      <c r="B183">
        <v>9</v>
      </c>
      <c r="C183" t="b">
        <v>0</v>
      </c>
      <c r="D183" t="b">
        <v>0</v>
      </c>
      <c r="E183" t="b">
        <v>0</v>
      </c>
      <c r="F183" t="b">
        <v>0</v>
      </c>
    </row>
    <row r="184" spans="1:6" x14ac:dyDescent="0.3">
      <c r="A184" t="s">
        <v>570</v>
      </c>
      <c r="B184">
        <v>10</v>
      </c>
      <c r="C184">
        <v>9</v>
      </c>
      <c r="D184">
        <v>11</v>
      </c>
      <c r="E184">
        <v>46</v>
      </c>
      <c r="F184">
        <v>60</v>
      </c>
    </row>
    <row r="185" spans="1:6" x14ac:dyDescent="0.3">
      <c r="A185" t="s">
        <v>36</v>
      </c>
      <c r="B185">
        <v>10</v>
      </c>
      <c r="C185">
        <v>3</v>
      </c>
      <c r="D185">
        <v>4</v>
      </c>
      <c r="E185">
        <v>4</v>
      </c>
      <c r="F185">
        <v>3</v>
      </c>
    </row>
    <row r="186" spans="1:6" x14ac:dyDescent="0.3">
      <c r="A186" t="s">
        <v>506</v>
      </c>
      <c r="B186">
        <v>10</v>
      </c>
      <c r="C186" t="s">
        <v>571</v>
      </c>
      <c r="D186" t="s">
        <v>571</v>
      </c>
      <c r="E186" t="s">
        <v>598</v>
      </c>
      <c r="F186" t="s">
        <v>598</v>
      </c>
    </row>
    <row r="187" spans="1:6" x14ac:dyDescent="0.3">
      <c r="A187" t="s">
        <v>574</v>
      </c>
      <c r="B187">
        <v>10</v>
      </c>
      <c r="C187">
        <v>2827</v>
      </c>
      <c r="D187">
        <v>979</v>
      </c>
      <c r="E187">
        <v>529</v>
      </c>
      <c r="F187">
        <v>308</v>
      </c>
    </row>
    <row r="188" spans="1:6" x14ac:dyDescent="0.3">
      <c r="A188" t="s">
        <v>42</v>
      </c>
      <c r="B188">
        <v>10</v>
      </c>
      <c r="C188">
        <v>40</v>
      </c>
      <c r="D188">
        <v>30</v>
      </c>
      <c r="E188">
        <v>30</v>
      </c>
      <c r="F188">
        <v>30</v>
      </c>
    </row>
    <row r="189" spans="1:6" x14ac:dyDescent="0.3">
      <c r="A189" t="s">
        <v>575</v>
      </c>
      <c r="B189">
        <v>10</v>
      </c>
      <c r="C189">
        <v>48.2</v>
      </c>
      <c r="D189">
        <v>22.3</v>
      </c>
      <c r="E189">
        <v>12</v>
      </c>
      <c r="F189">
        <v>7</v>
      </c>
    </row>
    <row r="190" spans="1:6" x14ac:dyDescent="0.3">
      <c r="A190" t="s">
        <v>41</v>
      </c>
      <c r="B190">
        <v>10</v>
      </c>
      <c r="C190">
        <v>0</v>
      </c>
      <c r="D190">
        <v>0</v>
      </c>
      <c r="E190">
        <v>0</v>
      </c>
      <c r="F190">
        <v>0</v>
      </c>
    </row>
    <row r="191" spans="1:6" x14ac:dyDescent="0.3">
      <c r="A191" t="s">
        <v>576</v>
      </c>
      <c r="B191">
        <v>10</v>
      </c>
      <c r="C191">
        <v>12</v>
      </c>
      <c r="D191">
        <v>12</v>
      </c>
      <c r="E191">
        <v>12</v>
      </c>
      <c r="F191">
        <v>12</v>
      </c>
    </row>
    <row r="192" spans="1:6" x14ac:dyDescent="0.3">
      <c r="A192" t="s">
        <v>577</v>
      </c>
      <c r="B192">
        <v>10</v>
      </c>
      <c r="C192">
        <v>0</v>
      </c>
      <c r="D192">
        <v>0</v>
      </c>
      <c r="E192">
        <v>0</v>
      </c>
      <c r="F192">
        <v>0</v>
      </c>
    </row>
    <row r="193" spans="1:6" x14ac:dyDescent="0.3">
      <c r="A193" t="s">
        <v>578</v>
      </c>
      <c r="B193">
        <v>10</v>
      </c>
      <c r="C193">
        <v>0</v>
      </c>
      <c r="D193">
        <v>0</v>
      </c>
      <c r="E193">
        <v>0</v>
      </c>
      <c r="F193">
        <v>0</v>
      </c>
    </row>
    <row r="194" spans="1:6" x14ac:dyDescent="0.3">
      <c r="A194" t="s">
        <v>579</v>
      </c>
      <c r="B194">
        <v>10</v>
      </c>
      <c r="C194">
        <v>16</v>
      </c>
      <c r="D194">
        <v>16</v>
      </c>
      <c r="E194">
        <v>16</v>
      </c>
      <c r="F194">
        <v>16</v>
      </c>
    </row>
    <row r="195" spans="1:6" x14ac:dyDescent="0.3">
      <c r="A195" t="s">
        <v>580</v>
      </c>
      <c r="B195">
        <v>10</v>
      </c>
      <c r="C195">
        <v>500</v>
      </c>
      <c r="D195">
        <v>500</v>
      </c>
      <c r="E195">
        <v>500</v>
      </c>
      <c r="F195">
        <v>500</v>
      </c>
    </row>
    <row r="196" spans="1:6" x14ac:dyDescent="0.3">
      <c r="A196" t="s">
        <v>581</v>
      </c>
      <c r="B196">
        <v>10</v>
      </c>
      <c r="C196">
        <v>1761</v>
      </c>
      <c r="D196">
        <v>1320</v>
      </c>
      <c r="E196">
        <v>1320</v>
      </c>
      <c r="F196">
        <v>1320</v>
      </c>
    </row>
    <row r="197" spans="1:6" x14ac:dyDescent="0.3">
      <c r="A197" t="s">
        <v>582</v>
      </c>
      <c r="B197">
        <v>10</v>
      </c>
      <c r="C197">
        <v>1174</v>
      </c>
      <c r="D197">
        <v>880</v>
      </c>
      <c r="E197">
        <v>880</v>
      </c>
      <c r="F197">
        <v>880</v>
      </c>
    </row>
    <row r="198" spans="1:6" x14ac:dyDescent="0.3">
      <c r="A198" t="s">
        <v>583</v>
      </c>
      <c r="B198">
        <v>10</v>
      </c>
      <c r="C198">
        <v>2348</v>
      </c>
      <c r="D198">
        <v>1760</v>
      </c>
      <c r="E198">
        <v>1760</v>
      </c>
      <c r="F198">
        <v>1760</v>
      </c>
    </row>
    <row r="199" spans="1:6" x14ac:dyDescent="0.3">
      <c r="A199" t="s">
        <v>584</v>
      </c>
      <c r="B199">
        <v>10</v>
      </c>
    </row>
    <row r="200" spans="1:6" x14ac:dyDescent="0.3">
      <c r="A200" t="s">
        <v>585</v>
      </c>
      <c r="B200">
        <v>10</v>
      </c>
    </row>
    <row r="201" spans="1:6" x14ac:dyDescent="0.3">
      <c r="A201" t="s">
        <v>586</v>
      </c>
      <c r="B201">
        <v>10</v>
      </c>
    </row>
    <row r="202" spans="1:6" x14ac:dyDescent="0.3">
      <c r="A202" t="s">
        <v>587</v>
      </c>
      <c r="B202">
        <v>10</v>
      </c>
      <c r="C202" t="b">
        <v>0</v>
      </c>
      <c r="D202" t="b">
        <v>0</v>
      </c>
      <c r="E202" t="b">
        <v>0</v>
      </c>
      <c r="F202" t="b">
        <v>0</v>
      </c>
    </row>
    <row r="203" spans="1:6" x14ac:dyDescent="0.3">
      <c r="A203" t="s">
        <v>588</v>
      </c>
      <c r="B203">
        <v>10</v>
      </c>
      <c r="C203" t="b">
        <v>0</v>
      </c>
      <c r="D203" t="b">
        <v>0</v>
      </c>
      <c r="E203" t="b">
        <v>0</v>
      </c>
      <c r="F203" t="b">
        <v>0</v>
      </c>
    </row>
    <row r="204" spans="1:6" x14ac:dyDescent="0.3">
      <c r="A204" t="s">
        <v>570</v>
      </c>
      <c r="B204">
        <v>11</v>
      </c>
      <c r="C204">
        <v>10</v>
      </c>
      <c r="D204">
        <v>12</v>
      </c>
      <c r="E204">
        <v>22</v>
      </c>
      <c r="F204">
        <v>116</v>
      </c>
    </row>
    <row r="205" spans="1:6" x14ac:dyDescent="0.3">
      <c r="A205" t="s">
        <v>36</v>
      </c>
      <c r="B205">
        <v>11</v>
      </c>
      <c r="C205">
        <v>4</v>
      </c>
      <c r="D205">
        <v>4</v>
      </c>
      <c r="E205">
        <v>3</v>
      </c>
      <c r="F205">
        <v>2</v>
      </c>
    </row>
    <row r="206" spans="1:6" x14ac:dyDescent="0.3">
      <c r="A206" t="s">
        <v>506</v>
      </c>
      <c r="B206">
        <v>11</v>
      </c>
      <c r="C206" t="s">
        <v>571</v>
      </c>
      <c r="D206" t="s">
        <v>571</v>
      </c>
      <c r="E206" t="s">
        <v>599</v>
      </c>
      <c r="F206" t="s">
        <v>599</v>
      </c>
    </row>
    <row r="207" spans="1:6" x14ac:dyDescent="0.3">
      <c r="A207" t="s">
        <v>574</v>
      </c>
      <c r="B207">
        <v>11</v>
      </c>
      <c r="C207">
        <v>979</v>
      </c>
      <c r="D207">
        <v>855</v>
      </c>
      <c r="E207">
        <v>713</v>
      </c>
      <c r="F207">
        <v>764</v>
      </c>
    </row>
    <row r="208" spans="1:6" x14ac:dyDescent="0.3">
      <c r="A208" t="s">
        <v>42</v>
      </c>
      <c r="B208">
        <v>11</v>
      </c>
      <c r="C208">
        <v>45</v>
      </c>
      <c r="D208">
        <v>45</v>
      </c>
      <c r="E208">
        <v>30</v>
      </c>
      <c r="F208">
        <v>30</v>
      </c>
    </row>
    <row r="209" spans="1:6" x14ac:dyDescent="0.3">
      <c r="A209" t="s">
        <v>575</v>
      </c>
      <c r="B209">
        <v>11</v>
      </c>
      <c r="C209">
        <v>14.8</v>
      </c>
      <c r="D209">
        <v>13</v>
      </c>
      <c r="E209">
        <v>16.2</v>
      </c>
      <c r="F209">
        <v>17.399999999999999</v>
      </c>
    </row>
    <row r="210" spans="1:6" x14ac:dyDescent="0.3">
      <c r="A210" t="s">
        <v>41</v>
      </c>
      <c r="B210">
        <v>11</v>
      </c>
      <c r="C210">
        <v>0</v>
      </c>
      <c r="D210">
        <v>0</v>
      </c>
      <c r="E210">
        <v>0</v>
      </c>
      <c r="F210">
        <v>0</v>
      </c>
    </row>
    <row r="211" spans="1:6" x14ac:dyDescent="0.3">
      <c r="A211" t="s">
        <v>576</v>
      </c>
      <c r="B211">
        <v>11</v>
      </c>
      <c r="C211">
        <v>24</v>
      </c>
      <c r="D211">
        <v>24</v>
      </c>
      <c r="E211">
        <v>12</v>
      </c>
      <c r="F211">
        <v>12</v>
      </c>
    </row>
    <row r="212" spans="1:6" x14ac:dyDescent="0.3">
      <c r="A212" t="s">
        <v>577</v>
      </c>
      <c r="B212">
        <v>11</v>
      </c>
      <c r="C212">
        <v>0</v>
      </c>
      <c r="D212">
        <v>0</v>
      </c>
      <c r="E212">
        <v>0</v>
      </c>
      <c r="F212">
        <v>0</v>
      </c>
    </row>
    <row r="213" spans="1:6" x14ac:dyDescent="0.3">
      <c r="A213" t="s">
        <v>578</v>
      </c>
      <c r="B213">
        <v>11</v>
      </c>
      <c r="C213">
        <v>0</v>
      </c>
      <c r="D213">
        <v>0</v>
      </c>
      <c r="E213">
        <v>0</v>
      </c>
      <c r="F213">
        <v>0</v>
      </c>
    </row>
    <row r="214" spans="1:6" x14ac:dyDescent="0.3">
      <c r="A214" t="s">
        <v>579</v>
      </c>
      <c r="B214">
        <v>11</v>
      </c>
      <c r="C214">
        <v>16</v>
      </c>
      <c r="D214">
        <v>16</v>
      </c>
      <c r="E214">
        <v>16</v>
      </c>
      <c r="F214">
        <v>16</v>
      </c>
    </row>
    <row r="215" spans="1:6" x14ac:dyDescent="0.3">
      <c r="A215" t="s">
        <v>580</v>
      </c>
      <c r="B215">
        <v>11</v>
      </c>
      <c r="C215">
        <v>500</v>
      </c>
      <c r="D215">
        <v>500</v>
      </c>
      <c r="E215">
        <v>500</v>
      </c>
      <c r="F215">
        <v>500</v>
      </c>
    </row>
    <row r="216" spans="1:6" x14ac:dyDescent="0.3">
      <c r="A216" t="s">
        <v>581</v>
      </c>
      <c r="B216">
        <v>11</v>
      </c>
      <c r="C216">
        <v>1980</v>
      </c>
      <c r="D216">
        <v>1980</v>
      </c>
      <c r="E216">
        <v>1320</v>
      </c>
      <c r="F216">
        <v>1320</v>
      </c>
    </row>
    <row r="217" spans="1:6" x14ac:dyDescent="0.3">
      <c r="A217" t="s">
        <v>582</v>
      </c>
      <c r="B217">
        <v>11</v>
      </c>
      <c r="C217">
        <v>1320</v>
      </c>
      <c r="D217">
        <v>1320</v>
      </c>
      <c r="E217">
        <v>880</v>
      </c>
      <c r="F217">
        <v>880</v>
      </c>
    </row>
    <row r="218" spans="1:6" x14ac:dyDescent="0.3">
      <c r="A218" t="s">
        <v>583</v>
      </c>
      <c r="B218">
        <v>11</v>
      </c>
      <c r="C218">
        <v>2640</v>
      </c>
      <c r="D218">
        <v>2640</v>
      </c>
      <c r="E218">
        <v>1760</v>
      </c>
      <c r="F218">
        <v>1760</v>
      </c>
    </row>
    <row r="219" spans="1:6" x14ac:dyDescent="0.3">
      <c r="A219" t="s">
        <v>584</v>
      </c>
      <c r="B219">
        <v>11</v>
      </c>
    </row>
    <row r="220" spans="1:6" x14ac:dyDescent="0.3">
      <c r="A220" t="s">
        <v>585</v>
      </c>
      <c r="B220">
        <v>11</v>
      </c>
    </row>
    <row r="221" spans="1:6" x14ac:dyDescent="0.3">
      <c r="A221" t="s">
        <v>586</v>
      </c>
      <c r="B221">
        <v>11</v>
      </c>
    </row>
    <row r="222" spans="1:6" x14ac:dyDescent="0.3">
      <c r="A222" t="s">
        <v>587</v>
      </c>
      <c r="B222">
        <v>11</v>
      </c>
      <c r="C222" t="b">
        <v>0</v>
      </c>
      <c r="D222" t="b">
        <v>0</v>
      </c>
      <c r="E222" t="b">
        <v>0</v>
      </c>
      <c r="F222" t="b">
        <v>0</v>
      </c>
    </row>
    <row r="223" spans="1:6" x14ac:dyDescent="0.3">
      <c r="A223" t="s">
        <v>588</v>
      </c>
      <c r="B223">
        <v>11</v>
      </c>
      <c r="C223" t="b">
        <v>0</v>
      </c>
      <c r="D223" t="b">
        <v>0</v>
      </c>
      <c r="E223" t="b">
        <v>0</v>
      </c>
      <c r="F223" t="b">
        <v>0</v>
      </c>
    </row>
    <row r="224" spans="1:6" x14ac:dyDescent="0.3">
      <c r="A224" t="s">
        <v>570</v>
      </c>
      <c r="B224">
        <v>12</v>
      </c>
      <c r="C224">
        <v>11</v>
      </c>
      <c r="D224">
        <v>13</v>
      </c>
      <c r="E224">
        <v>17</v>
      </c>
      <c r="F224">
        <v>118</v>
      </c>
    </row>
    <row r="225" spans="1:6" x14ac:dyDescent="0.3">
      <c r="A225" t="s">
        <v>36</v>
      </c>
      <c r="B225">
        <v>12</v>
      </c>
      <c r="C225">
        <v>5</v>
      </c>
      <c r="D225">
        <v>4</v>
      </c>
      <c r="E225">
        <v>3</v>
      </c>
      <c r="F225">
        <v>3</v>
      </c>
    </row>
    <row r="226" spans="1:6" x14ac:dyDescent="0.3">
      <c r="A226" t="s">
        <v>506</v>
      </c>
      <c r="B226">
        <v>12</v>
      </c>
      <c r="C226" t="s">
        <v>571</v>
      </c>
      <c r="D226" t="s">
        <v>571</v>
      </c>
      <c r="E226" t="s">
        <v>600</v>
      </c>
      <c r="F226" t="s">
        <v>600</v>
      </c>
    </row>
    <row r="227" spans="1:6" x14ac:dyDescent="0.3">
      <c r="A227" t="s">
        <v>574</v>
      </c>
      <c r="B227">
        <v>12</v>
      </c>
      <c r="C227">
        <v>855</v>
      </c>
      <c r="D227">
        <v>1532</v>
      </c>
      <c r="E227">
        <v>433</v>
      </c>
      <c r="F227">
        <v>732</v>
      </c>
    </row>
    <row r="228" spans="1:6" x14ac:dyDescent="0.3">
      <c r="A228" t="s">
        <v>42</v>
      </c>
      <c r="B228">
        <v>12</v>
      </c>
      <c r="C228">
        <v>45</v>
      </c>
      <c r="D228">
        <v>45</v>
      </c>
      <c r="E228">
        <v>30</v>
      </c>
      <c r="F228">
        <v>30</v>
      </c>
    </row>
    <row r="229" spans="1:6" x14ac:dyDescent="0.3">
      <c r="A229" t="s">
        <v>575</v>
      </c>
      <c r="B229">
        <v>12</v>
      </c>
      <c r="C229">
        <v>13</v>
      </c>
      <c r="D229">
        <v>23.2</v>
      </c>
      <c r="E229">
        <v>9.8000000000000007</v>
      </c>
      <c r="F229">
        <v>16.600000000000001</v>
      </c>
    </row>
    <row r="230" spans="1:6" x14ac:dyDescent="0.3">
      <c r="A230" t="s">
        <v>41</v>
      </c>
      <c r="B230">
        <v>12</v>
      </c>
      <c r="C230">
        <v>0</v>
      </c>
      <c r="D230">
        <v>0</v>
      </c>
      <c r="E230">
        <v>0</v>
      </c>
      <c r="F230">
        <v>0</v>
      </c>
    </row>
    <row r="231" spans="1:6" x14ac:dyDescent="0.3">
      <c r="A231" t="s">
        <v>576</v>
      </c>
      <c r="B231">
        <v>12</v>
      </c>
      <c r="C231">
        <v>24</v>
      </c>
      <c r="D231">
        <v>24</v>
      </c>
      <c r="E231">
        <v>12</v>
      </c>
      <c r="F231">
        <v>12</v>
      </c>
    </row>
    <row r="232" spans="1:6" x14ac:dyDescent="0.3">
      <c r="A232" t="s">
        <v>577</v>
      </c>
      <c r="B232">
        <v>12</v>
      </c>
      <c r="C232">
        <v>0</v>
      </c>
      <c r="D232">
        <v>0</v>
      </c>
      <c r="E232">
        <v>0</v>
      </c>
      <c r="F232">
        <v>0</v>
      </c>
    </row>
    <row r="233" spans="1:6" x14ac:dyDescent="0.3">
      <c r="A233" t="s">
        <v>578</v>
      </c>
      <c r="B233">
        <v>12</v>
      </c>
      <c r="C233">
        <v>0</v>
      </c>
      <c r="D233">
        <v>0</v>
      </c>
      <c r="E233">
        <v>0</v>
      </c>
      <c r="F233">
        <v>0</v>
      </c>
    </row>
    <row r="234" spans="1:6" x14ac:dyDescent="0.3">
      <c r="A234" t="s">
        <v>579</v>
      </c>
      <c r="B234">
        <v>12</v>
      </c>
      <c r="C234">
        <v>16</v>
      </c>
      <c r="D234">
        <v>16</v>
      </c>
      <c r="E234">
        <v>16</v>
      </c>
      <c r="F234">
        <v>16</v>
      </c>
    </row>
    <row r="235" spans="1:6" x14ac:dyDescent="0.3">
      <c r="A235" t="s">
        <v>580</v>
      </c>
      <c r="B235">
        <v>12</v>
      </c>
      <c r="C235">
        <v>500</v>
      </c>
      <c r="D235">
        <v>500</v>
      </c>
      <c r="E235">
        <v>500</v>
      </c>
      <c r="F235">
        <v>500</v>
      </c>
    </row>
    <row r="236" spans="1:6" x14ac:dyDescent="0.3">
      <c r="A236" t="s">
        <v>581</v>
      </c>
      <c r="B236">
        <v>12</v>
      </c>
      <c r="C236">
        <v>1980</v>
      </c>
      <c r="D236">
        <v>1980</v>
      </c>
      <c r="E236">
        <v>1320</v>
      </c>
      <c r="F236">
        <v>1320</v>
      </c>
    </row>
    <row r="237" spans="1:6" x14ac:dyDescent="0.3">
      <c r="A237" t="s">
        <v>582</v>
      </c>
      <c r="B237">
        <v>12</v>
      </c>
      <c r="C237">
        <v>1320</v>
      </c>
      <c r="D237">
        <v>1320</v>
      </c>
      <c r="E237">
        <v>880</v>
      </c>
      <c r="F237">
        <v>880</v>
      </c>
    </row>
    <row r="238" spans="1:6" x14ac:dyDescent="0.3">
      <c r="A238" t="s">
        <v>583</v>
      </c>
      <c r="B238">
        <v>12</v>
      </c>
      <c r="C238">
        <v>2640</v>
      </c>
      <c r="D238">
        <v>2640</v>
      </c>
      <c r="E238">
        <v>1760</v>
      </c>
      <c r="F238">
        <v>1760</v>
      </c>
    </row>
    <row r="239" spans="1:6" x14ac:dyDescent="0.3">
      <c r="A239" t="s">
        <v>584</v>
      </c>
      <c r="B239">
        <v>12</v>
      </c>
    </row>
    <row r="240" spans="1:6" x14ac:dyDescent="0.3">
      <c r="A240" t="s">
        <v>585</v>
      </c>
      <c r="B240">
        <v>12</v>
      </c>
    </row>
    <row r="241" spans="1:6" x14ac:dyDescent="0.3">
      <c r="A241" t="s">
        <v>586</v>
      </c>
      <c r="B241">
        <v>12</v>
      </c>
    </row>
    <row r="242" spans="1:6" x14ac:dyDescent="0.3">
      <c r="A242" t="s">
        <v>587</v>
      </c>
      <c r="B242">
        <v>12</v>
      </c>
      <c r="C242" t="b">
        <v>0</v>
      </c>
      <c r="D242" t="b">
        <v>0</v>
      </c>
      <c r="E242" t="b">
        <v>0</v>
      </c>
      <c r="F242" t="b">
        <v>0</v>
      </c>
    </row>
    <row r="243" spans="1:6" x14ac:dyDescent="0.3">
      <c r="A243" t="s">
        <v>588</v>
      </c>
      <c r="B243">
        <v>12</v>
      </c>
      <c r="C243" t="b">
        <v>0</v>
      </c>
      <c r="D243" t="b">
        <v>0</v>
      </c>
      <c r="E243" t="b">
        <v>0</v>
      </c>
      <c r="F243" t="b">
        <v>0</v>
      </c>
    </row>
    <row r="244" spans="1:6" x14ac:dyDescent="0.3">
      <c r="A244" t="s">
        <v>570</v>
      </c>
      <c r="B244">
        <v>13</v>
      </c>
      <c r="C244">
        <v>12</v>
      </c>
      <c r="D244">
        <v>14</v>
      </c>
      <c r="E244">
        <v>24</v>
      </c>
      <c r="F244">
        <v>120</v>
      </c>
    </row>
    <row r="245" spans="1:6" x14ac:dyDescent="0.3">
      <c r="A245" t="s">
        <v>36</v>
      </c>
      <c r="B245">
        <v>13</v>
      </c>
      <c r="C245">
        <v>3</v>
      </c>
      <c r="D245">
        <v>4</v>
      </c>
      <c r="E245">
        <v>2</v>
      </c>
      <c r="F245">
        <v>1</v>
      </c>
    </row>
    <row r="246" spans="1:6" x14ac:dyDescent="0.3">
      <c r="A246" t="s">
        <v>506</v>
      </c>
      <c r="B246">
        <v>13</v>
      </c>
      <c r="C246" t="s">
        <v>571</v>
      </c>
      <c r="D246" t="s">
        <v>571</v>
      </c>
      <c r="E246" t="s">
        <v>601</v>
      </c>
      <c r="F246" t="s">
        <v>597</v>
      </c>
    </row>
    <row r="247" spans="1:6" x14ac:dyDescent="0.3">
      <c r="A247" t="s">
        <v>574</v>
      </c>
      <c r="B247">
        <v>13</v>
      </c>
      <c r="C247">
        <v>1532</v>
      </c>
      <c r="D247">
        <v>2033</v>
      </c>
      <c r="E247">
        <v>1247</v>
      </c>
      <c r="F247">
        <v>731</v>
      </c>
    </row>
    <row r="248" spans="1:6" x14ac:dyDescent="0.3">
      <c r="A248" t="s">
        <v>42</v>
      </c>
      <c r="B248">
        <v>13</v>
      </c>
      <c r="C248">
        <v>45</v>
      </c>
      <c r="D248">
        <v>45</v>
      </c>
      <c r="E248">
        <v>30</v>
      </c>
      <c r="F248">
        <v>30</v>
      </c>
    </row>
    <row r="249" spans="1:6" x14ac:dyDescent="0.3">
      <c r="A249" t="s">
        <v>575</v>
      </c>
      <c r="B249">
        <v>13</v>
      </c>
      <c r="C249">
        <v>23.2</v>
      </c>
      <c r="D249">
        <v>30.8</v>
      </c>
      <c r="E249">
        <v>28.3</v>
      </c>
      <c r="F249">
        <v>16.600000000000001</v>
      </c>
    </row>
    <row r="250" spans="1:6" x14ac:dyDescent="0.3">
      <c r="A250" t="s">
        <v>41</v>
      </c>
      <c r="B250">
        <v>13</v>
      </c>
      <c r="C250">
        <v>0</v>
      </c>
      <c r="D250">
        <v>0</v>
      </c>
      <c r="E250">
        <v>0</v>
      </c>
      <c r="F250">
        <v>0</v>
      </c>
    </row>
    <row r="251" spans="1:6" x14ac:dyDescent="0.3">
      <c r="A251" t="s">
        <v>576</v>
      </c>
      <c r="B251">
        <v>13</v>
      </c>
      <c r="C251">
        <v>12</v>
      </c>
      <c r="D251">
        <v>12</v>
      </c>
      <c r="E251">
        <v>0</v>
      </c>
      <c r="F251">
        <v>0</v>
      </c>
    </row>
    <row r="252" spans="1:6" x14ac:dyDescent="0.3">
      <c r="A252" t="s">
        <v>577</v>
      </c>
      <c r="B252">
        <v>13</v>
      </c>
      <c r="C252">
        <v>0</v>
      </c>
      <c r="D252">
        <v>0</v>
      </c>
      <c r="E252">
        <v>0</v>
      </c>
      <c r="F252">
        <v>0</v>
      </c>
    </row>
    <row r="253" spans="1:6" x14ac:dyDescent="0.3">
      <c r="A253" t="s">
        <v>578</v>
      </c>
      <c r="B253">
        <v>13</v>
      </c>
      <c r="C253">
        <v>0</v>
      </c>
      <c r="D253">
        <v>0</v>
      </c>
      <c r="E253">
        <v>0</v>
      </c>
      <c r="F253">
        <v>0</v>
      </c>
    </row>
    <row r="254" spans="1:6" x14ac:dyDescent="0.3">
      <c r="A254" t="s">
        <v>579</v>
      </c>
      <c r="B254">
        <v>13</v>
      </c>
      <c r="C254">
        <v>16</v>
      </c>
      <c r="D254">
        <v>16</v>
      </c>
      <c r="E254">
        <v>16</v>
      </c>
      <c r="F254">
        <v>16</v>
      </c>
    </row>
    <row r="255" spans="1:6" x14ac:dyDescent="0.3">
      <c r="A255" t="s">
        <v>580</v>
      </c>
      <c r="B255">
        <v>13</v>
      </c>
      <c r="C255">
        <v>500</v>
      </c>
      <c r="D255">
        <v>500</v>
      </c>
      <c r="E255">
        <v>500</v>
      </c>
      <c r="F255">
        <v>500</v>
      </c>
    </row>
    <row r="256" spans="1:6" x14ac:dyDescent="0.3">
      <c r="A256" t="s">
        <v>581</v>
      </c>
      <c r="B256">
        <v>13</v>
      </c>
      <c r="C256">
        <v>1980</v>
      </c>
      <c r="D256">
        <v>1980</v>
      </c>
      <c r="E256">
        <v>1320</v>
      </c>
      <c r="F256">
        <v>1320</v>
      </c>
    </row>
    <row r="257" spans="1:6" x14ac:dyDescent="0.3">
      <c r="A257" t="s">
        <v>582</v>
      </c>
      <c r="B257">
        <v>13</v>
      </c>
      <c r="C257">
        <v>1320</v>
      </c>
      <c r="D257">
        <v>1320</v>
      </c>
      <c r="E257">
        <v>880</v>
      </c>
      <c r="F257">
        <v>880</v>
      </c>
    </row>
    <row r="258" spans="1:6" x14ac:dyDescent="0.3">
      <c r="A258" t="s">
        <v>583</v>
      </c>
      <c r="B258">
        <v>13</v>
      </c>
      <c r="C258">
        <v>2640</v>
      </c>
      <c r="D258">
        <v>2640</v>
      </c>
      <c r="E258">
        <v>1760</v>
      </c>
      <c r="F258">
        <v>1760</v>
      </c>
    </row>
    <row r="259" spans="1:6" x14ac:dyDescent="0.3">
      <c r="A259" t="s">
        <v>584</v>
      </c>
      <c r="B259">
        <v>13</v>
      </c>
    </row>
    <row r="260" spans="1:6" x14ac:dyDescent="0.3">
      <c r="A260" t="s">
        <v>585</v>
      </c>
      <c r="B260">
        <v>13</v>
      </c>
    </row>
    <row r="261" spans="1:6" x14ac:dyDescent="0.3">
      <c r="A261" t="s">
        <v>586</v>
      </c>
      <c r="B261">
        <v>13</v>
      </c>
    </row>
    <row r="262" spans="1:6" x14ac:dyDescent="0.3">
      <c r="A262" t="s">
        <v>587</v>
      </c>
      <c r="B262">
        <v>13</v>
      </c>
      <c r="C262" t="b">
        <v>0</v>
      </c>
      <c r="D262" t="b">
        <v>0</v>
      </c>
      <c r="E262" t="b">
        <v>0</v>
      </c>
      <c r="F262" t="b">
        <v>0</v>
      </c>
    </row>
    <row r="263" spans="1:6" x14ac:dyDescent="0.3">
      <c r="A263" t="s">
        <v>588</v>
      </c>
      <c r="B263">
        <v>13</v>
      </c>
      <c r="C263" t="b">
        <v>0</v>
      </c>
      <c r="D263" t="b">
        <v>0</v>
      </c>
      <c r="E263" t="b">
        <v>0</v>
      </c>
      <c r="F263" t="b">
        <v>0</v>
      </c>
    </row>
    <row r="264" spans="1:6" x14ac:dyDescent="0.3">
      <c r="A264" t="s">
        <v>570</v>
      </c>
      <c r="B264">
        <v>14</v>
      </c>
      <c r="C264">
        <v>13</v>
      </c>
      <c r="D264">
        <v>15</v>
      </c>
      <c r="E264">
        <v>123</v>
      </c>
      <c r="F264">
        <v>124</v>
      </c>
    </row>
    <row r="265" spans="1:6" x14ac:dyDescent="0.3">
      <c r="A265" t="s">
        <v>36</v>
      </c>
      <c r="B265">
        <v>14</v>
      </c>
      <c r="C265">
        <v>4</v>
      </c>
      <c r="D265">
        <v>4</v>
      </c>
      <c r="E265">
        <v>2</v>
      </c>
      <c r="F265">
        <v>2</v>
      </c>
    </row>
    <row r="266" spans="1:6" x14ac:dyDescent="0.3">
      <c r="A266" t="s">
        <v>506</v>
      </c>
      <c r="B266">
        <v>14</v>
      </c>
      <c r="C266" t="s">
        <v>571</v>
      </c>
      <c r="D266" t="s">
        <v>571</v>
      </c>
      <c r="E266" t="s">
        <v>602</v>
      </c>
      <c r="F266" t="s">
        <v>602</v>
      </c>
    </row>
    <row r="267" spans="1:6" x14ac:dyDescent="0.3">
      <c r="A267" t="s">
        <v>574</v>
      </c>
      <c r="B267">
        <v>14</v>
      </c>
      <c r="C267">
        <v>2033</v>
      </c>
      <c r="D267">
        <v>1896</v>
      </c>
      <c r="E267">
        <v>667</v>
      </c>
      <c r="F267">
        <v>1308</v>
      </c>
    </row>
    <row r="268" spans="1:6" x14ac:dyDescent="0.3">
      <c r="A268" t="s">
        <v>42</v>
      </c>
      <c r="B268">
        <v>14</v>
      </c>
      <c r="C268">
        <v>45</v>
      </c>
      <c r="D268">
        <v>45</v>
      </c>
      <c r="E268">
        <v>30</v>
      </c>
      <c r="F268">
        <v>30</v>
      </c>
    </row>
    <row r="269" spans="1:6" x14ac:dyDescent="0.3">
      <c r="A269" t="s">
        <v>575</v>
      </c>
      <c r="B269">
        <v>14</v>
      </c>
      <c r="C269">
        <v>30.8</v>
      </c>
      <c r="D269">
        <v>28.7</v>
      </c>
      <c r="E269">
        <v>15.2</v>
      </c>
      <c r="F269">
        <v>29.7</v>
      </c>
    </row>
    <row r="270" spans="1:6" x14ac:dyDescent="0.3">
      <c r="A270" t="s">
        <v>41</v>
      </c>
      <c r="B270">
        <v>14</v>
      </c>
      <c r="C270">
        <v>0</v>
      </c>
      <c r="D270">
        <v>0</v>
      </c>
      <c r="E270">
        <v>0</v>
      </c>
      <c r="F270">
        <v>0</v>
      </c>
    </row>
    <row r="271" spans="1:6" x14ac:dyDescent="0.3">
      <c r="A271" t="s">
        <v>576</v>
      </c>
      <c r="B271">
        <v>14</v>
      </c>
      <c r="C271">
        <v>24</v>
      </c>
      <c r="D271">
        <v>24</v>
      </c>
      <c r="E271">
        <v>0</v>
      </c>
      <c r="F271">
        <v>0</v>
      </c>
    </row>
    <row r="272" spans="1:6" x14ac:dyDescent="0.3">
      <c r="A272" t="s">
        <v>577</v>
      </c>
      <c r="B272">
        <v>14</v>
      </c>
      <c r="C272">
        <v>0</v>
      </c>
      <c r="D272">
        <v>0</v>
      </c>
      <c r="E272">
        <v>0</v>
      </c>
      <c r="F272">
        <v>0</v>
      </c>
    </row>
    <row r="273" spans="1:6" x14ac:dyDescent="0.3">
      <c r="A273" t="s">
        <v>578</v>
      </c>
      <c r="B273">
        <v>14</v>
      </c>
      <c r="C273">
        <v>0</v>
      </c>
      <c r="D273">
        <v>0</v>
      </c>
      <c r="E273">
        <v>0</v>
      </c>
      <c r="F273">
        <v>0</v>
      </c>
    </row>
    <row r="274" spans="1:6" x14ac:dyDescent="0.3">
      <c r="A274" t="s">
        <v>579</v>
      </c>
      <c r="B274">
        <v>14</v>
      </c>
      <c r="C274">
        <v>16</v>
      </c>
      <c r="D274">
        <v>16</v>
      </c>
      <c r="E274">
        <v>16</v>
      </c>
      <c r="F274">
        <v>16</v>
      </c>
    </row>
    <row r="275" spans="1:6" x14ac:dyDescent="0.3">
      <c r="A275" t="s">
        <v>580</v>
      </c>
      <c r="B275">
        <v>14</v>
      </c>
      <c r="C275">
        <v>500</v>
      </c>
      <c r="D275">
        <v>500</v>
      </c>
      <c r="E275">
        <v>500</v>
      </c>
      <c r="F275">
        <v>500</v>
      </c>
    </row>
    <row r="276" spans="1:6" x14ac:dyDescent="0.3">
      <c r="A276" t="s">
        <v>581</v>
      </c>
      <c r="B276">
        <v>14</v>
      </c>
      <c r="C276">
        <v>1980</v>
      </c>
      <c r="D276">
        <v>1980</v>
      </c>
      <c r="E276">
        <v>1320</v>
      </c>
      <c r="F276">
        <v>1320</v>
      </c>
    </row>
    <row r="277" spans="1:6" x14ac:dyDescent="0.3">
      <c r="A277" t="s">
        <v>582</v>
      </c>
      <c r="B277">
        <v>14</v>
      </c>
      <c r="C277">
        <v>1320</v>
      </c>
      <c r="D277">
        <v>1320</v>
      </c>
      <c r="E277">
        <v>880</v>
      </c>
      <c r="F277">
        <v>880</v>
      </c>
    </row>
    <row r="278" spans="1:6" x14ac:dyDescent="0.3">
      <c r="A278" t="s">
        <v>583</v>
      </c>
      <c r="B278">
        <v>14</v>
      </c>
      <c r="C278">
        <v>2640</v>
      </c>
      <c r="D278">
        <v>2640</v>
      </c>
      <c r="E278">
        <v>1760</v>
      </c>
      <c r="F278">
        <v>1760</v>
      </c>
    </row>
    <row r="279" spans="1:6" x14ac:dyDescent="0.3">
      <c r="A279" t="s">
        <v>584</v>
      </c>
      <c r="B279">
        <v>14</v>
      </c>
    </row>
    <row r="280" spans="1:6" x14ac:dyDescent="0.3">
      <c r="A280" t="s">
        <v>585</v>
      </c>
      <c r="B280">
        <v>14</v>
      </c>
    </row>
    <row r="281" spans="1:6" x14ac:dyDescent="0.3">
      <c r="A281" t="s">
        <v>586</v>
      </c>
      <c r="B281">
        <v>14</v>
      </c>
    </row>
    <row r="282" spans="1:6" x14ac:dyDescent="0.3">
      <c r="A282" t="s">
        <v>587</v>
      </c>
      <c r="B282">
        <v>14</v>
      </c>
      <c r="C282" t="b">
        <v>0</v>
      </c>
      <c r="D282" t="b">
        <v>0</v>
      </c>
      <c r="E282" t="b">
        <v>0</v>
      </c>
      <c r="F282" t="b">
        <v>0</v>
      </c>
    </row>
    <row r="283" spans="1:6" x14ac:dyDescent="0.3">
      <c r="A283" t="s">
        <v>588</v>
      </c>
      <c r="B283">
        <v>14</v>
      </c>
      <c r="C283" t="b">
        <v>0</v>
      </c>
      <c r="D283" t="b">
        <v>0</v>
      </c>
      <c r="E283" t="b">
        <v>0</v>
      </c>
      <c r="F283" t="b">
        <v>0</v>
      </c>
    </row>
    <row r="284" spans="1:6" x14ac:dyDescent="0.3">
      <c r="A284" t="s">
        <v>570</v>
      </c>
      <c r="B284">
        <v>15</v>
      </c>
      <c r="C284">
        <v>14</v>
      </c>
      <c r="D284">
        <v>16</v>
      </c>
      <c r="E284">
        <v>128</v>
      </c>
      <c r="F284">
        <v>129</v>
      </c>
    </row>
    <row r="285" spans="1:6" x14ac:dyDescent="0.3">
      <c r="A285" t="s">
        <v>36</v>
      </c>
      <c r="B285">
        <v>15</v>
      </c>
      <c r="C285">
        <v>5</v>
      </c>
      <c r="D285">
        <v>4</v>
      </c>
      <c r="E285">
        <v>3</v>
      </c>
      <c r="F285">
        <v>3</v>
      </c>
    </row>
    <row r="286" spans="1:6" x14ac:dyDescent="0.3">
      <c r="A286" t="s">
        <v>506</v>
      </c>
      <c r="B286">
        <v>15</v>
      </c>
      <c r="C286" t="s">
        <v>571</v>
      </c>
      <c r="D286" t="s">
        <v>571</v>
      </c>
      <c r="E286" t="s">
        <v>603</v>
      </c>
      <c r="F286" t="s">
        <v>604</v>
      </c>
    </row>
    <row r="287" spans="1:6" x14ac:dyDescent="0.3">
      <c r="A287" t="s">
        <v>574</v>
      </c>
      <c r="B287">
        <v>15</v>
      </c>
      <c r="C287">
        <v>1896</v>
      </c>
      <c r="D287">
        <v>1304</v>
      </c>
      <c r="E287">
        <v>1000</v>
      </c>
      <c r="F287">
        <v>1155</v>
      </c>
    </row>
    <row r="288" spans="1:6" x14ac:dyDescent="0.3">
      <c r="A288" t="s">
        <v>42</v>
      </c>
      <c r="B288">
        <v>15</v>
      </c>
      <c r="C288">
        <v>45</v>
      </c>
      <c r="D288">
        <v>45</v>
      </c>
      <c r="E288">
        <v>30</v>
      </c>
      <c r="F288">
        <v>30</v>
      </c>
    </row>
    <row r="289" spans="1:6" x14ac:dyDescent="0.3">
      <c r="A289" t="s">
        <v>575</v>
      </c>
      <c r="B289">
        <v>15</v>
      </c>
      <c r="C289">
        <v>28.7</v>
      </c>
      <c r="D289">
        <v>19.8</v>
      </c>
      <c r="E289">
        <v>22.7</v>
      </c>
      <c r="F289">
        <v>26.3</v>
      </c>
    </row>
    <row r="290" spans="1:6" x14ac:dyDescent="0.3">
      <c r="A290" t="s">
        <v>41</v>
      </c>
      <c r="B290">
        <v>15</v>
      </c>
      <c r="C290">
        <v>0</v>
      </c>
      <c r="D290">
        <v>0</v>
      </c>
      <c r="E290">
        <v>0</v>
      </c>
      <c r="F290">
        <v>0</v>
      </c>
    </row>
    <row r="291" spans="1:6" x14ac:dyDescent="0.3">
      <c r="A291" t="s">
        <v>576</v>
      </c>
      <c r="B291">
        <v>15</v>
      </c>
      <c r="C291">
        <v>24</v>
      </c>
      <c r="D291">
        <v>24</v>
      </c>
      <c r="E291">
        <v>12</v>
      </c>
      <c r="F291">
        <v>12</v>
      </c>
    </row>
    <row r="292" spans="1:6" x14ac:dyDescent="0.3">
      <c r="A292" t="s">
        <v>577</v>
      </c>
      <c r="B292">
        <v>15</v>
      </c>
      <c r="C292">
        <v>0</v>
      </c>
      <c r="D292">
        <v>0</v>
      </c>
      <c r="E292">
        <v>0</v>
      </c>
      <c r="F292">
        <v>0</v>
      </c>
    </row>
    <row r="293" spans="1:6" x14ac:dyDescent="0.3">
      <c r="A293" t="s">
        <v>578</v>
      </c>
      <c r="B293">
        <v>15</v>
      </c>
      <c r="C293">
        <v>0</v>
      </c>
      <c r="D293">
        <v>0</v>
      </c>
      <c r="E293">
        <v>0</v>
      </c>
      <c r="F293">
        <v>0</v>
      </c>
    </row>
    <row r="294" spans="1:6" x14ac:dyDescent="0.3">
      <c r="A294" t="s">
        <v>579</v>
      </c>
      <c r="B294">
        <v>15</v>
      </c>
      <c r="C294">
        <v>16</v>
      </c>
      <c r="D294">
        <v>16</v>
      </c>
      <c r="E294">
        <v>16</v>
      </c>
      <c r="F294">
        <v>16</v>
      </c>
    </row>
    <row r="295" spans="1:6" x14ac:dyDescent="0.3">
      <c r="A295" t="s">
        <v>580</v>
      </c>
      <c r="B295">
        <v>15</v>
      </c>
      <c r="C295">
        <v>500</v>
      </c>
      <c r="D295">
        <v>500</v>
      </c>
      <c r="E295">
        <v>500</v>
      </c>
      <c r="F295">
        <v>500</v>
      </c>
    </row>
    <row r="296" spans="1:6" x14ac:dyDescent="0.3">
      <c r="A296" t="s">
        <v>581</v>
      </c>
      <c r="B296">
        <v>15</v>
      </c>
      <c r="C296">
        <v>1980</v>
      </c>
      <c r="D296">
        <v>1980</v>
      </c>
      <c r="E296">
        <v>1320</v>
      </c>
      <c r="F296">
        <v>1320</v>
      </c>
    </row>
    <row r="297" spans="1:6" x14ac:dyDescent="0.3">
      <c r="A297" t="s">
        <v>582</v>
      </c>
      <c r="B297">
        <v>15</v>
      </c>
      <c r="C297">
        <v>1320</v>
      </c>
      <c r="D297">
        <v>1320</v>
      </c>
      <c r="E297">
        <v>880</v>
      </c>
      <c r="F297">
        <v>880</v>
      </c>
    </row>
    <row r="298" spans="1:6" x14ac:dyDescent="0.3">
      <c r="A298" t="s">
        <v>583</v>
      </c>
      <c r="B298">
        <v>15</v>
      </c>
      <c r="C298">
        <v>2640</v>
      </c>
      <c r="D298">
        <v>2640</v>
      </c>
      <c r="E298">
        <v>1760</v>
      </c>
      <c r="F298">
        <v>1760</v>
      </c>
    </row>
    <row r="299" spans="1:6" x14ac:dyDescent="0.3">
      <c r="A299" t="s">
        <v>584</v>
      </c>
      <c r="B299">
        <v>15</v>
      </c>
    </row>
    <row r="300" spans="1:6" x14ac:dyDescent="0.3">
      <c r="A300" t="s">
        <v>585</v>
      </c>
      <c r="B300">
        <v>15</v>
      </c>
    </row>
    <row r="301" spans="1:6" x14ac:dyDescent="0.3">
      <c r="A301" t="s">
        <v>586</v>
      </c>
      <c r="B301">
        <v>15</v>
      </c>
    </row>
    <row r="302" spans="1:6" x14ac:dyDescent="0.3">
      <c r="A302" t="s">
        <v>587</v>
      </c>
      <c r="B302">
        <v>15</v>
      </c>
      <c r="C302" t="b">
        <v>0</v>
      </c>
      <c r="D302" t="b">
        <v>0</v>
      </c>
      <c r="E302" t="b">
        <v>0</v>
      </c>
      <c r="F302" t="b">
        <v>0</v>
      </c>
    </row>
    <row r="303" spans="1:6" x14ac:dyDescent="0.3">
      <c r="A303" t="s">
        <v>588</v>
      </c>
      <c r="B303">
        <v>15</v>
      </c>
      <c r="C303" t="b">
        <v>0</v>
      </c>
      <c r="D303" t="b">
        <v>0</v>
      </c>
      <c r="E303" t="b">
        <v>0</v>
      </c>
      <c r="F303" t="b">
        <v>0</v>
      </c>
    </row>
    <row r="304" spans="1:6" x14ac:dyDescent="0.3">
      <c r="A304" t="s">
        <v>570</v>
      </c>
      <c r="B304">
        <v>16</v>
      </c>
      <c r="C304">
        <v>15</v>
      </c>
      <c r="D304">
        <v>19</v>
      </c>
      <c r="E304">
        <v>130</v>
      </c>
      <c r="F304">
        <v>131</v>
      </c>
    </row>
    <row r="305" spans="1:6" x14ac:dyDescent="0.3">
      <c r="A305" t="s">
        <v>36</v>
      </c>
      <c r="B305">
        <v>16</v>
      </c>
      <c r="C305">
        <v>4</v>
      </c>
      <c r="D305">
        <v>4</v>
      </c>
      <c r="E305">
        <v>2</v>
      </c>
      <c r="F305">
        <v>2</v>
      </c>
    </row>
    <row r="306" spans="1:6" x14ac:dyDescent="0.3">
      <c r="A306" t="s">
        <v>506</v>
      </c>
      <c r="B306">
        <v>16</v>
      </c>
      <c r="C306" t="s">
        <v>571</v>
      </c>
      <c r="D306" t="s">
        <v>571</v>
      </c>
      <c r="E306" t="s">
        <v>605</v>
      </c>
      <c r="F306" t="s">
        <v>606</v>
      </c>
    </row>
    <row r="307" spans="1:6" x14ac:dyDescent="0.3">
      <c r="A307" t="s">
        <v>574</v>
      </c>
      <c r="B307">
        <v>16</v>
      </c>
      <c r="C307">
        <v>1304</v>
      </c>
      <c r="D307">
        <v>7582</v>
      </c>
      <c r="E307">
        <v>832</v>
      </c>
      <c r="F307">
        <v>1238</v>
      </c>
    </row>
    <row r="308" spans="1:6" x14ac:dyDescent="0.3">
      <c r="A308" t="s">
        <v>42</v>
      </c>
      <c r="B308">
        <v>16</v>
      </c>
      <c r="C308">
        <v>45</v>
      </c>
      <c r="D308">
        <v>55</v>
      </c>
      <c r="E308">
        <v>30</v>
      </c>
      <c r="F308">
        <v>30</v>
      </c>
    </row>
    <row r="309" spans="1:6" x14ac:dyDescent="0.3">
      <c r="A309" t="s">
        <v>575</v>
      </c>
      <c r="B309">
        <v>16</v>
      </c>
      <c r="C309">
        <v>19.8</v>
      </c>
      <c r="D309">
        <v>94</v>
      </c>
      <c r="E309">
        <v>18.899999999999999</v>
      </c>
      <c r="F309">
        <v>28.1</v>
      </c>
    </row>
    <row r="310" spans="1:6" x14ac:dyDescent="0.3">
      <c r="A310" t="s">
        <v>41</v>
      </c>
      <c r="B310">
        <v>16</v>
      </c>
      <c r="C310">
        <v>0</v>
      </c>
      <c r="D310">
        <v>0</v>
      </c>
      <c r="E310">
        <v>0</v>
      </c>
      <c r="F310">
        <v>0</v>
      </c>
    </row>
    <row r="311" spans="1:6" x14ac:dyDescent="0.3">
      <c r="A311" t="s">
        <v>576</v>
      </c>
      <c r="B311">
        <v>16</v>
      </c>
      <c r="C311">
        <v>12</v>
      </c>
      <c r="D311">
        <v>12</v>
      </c>
      <c r="E311">
        <v>0</v>
      </c>
      <c r="F311">
        <v>0</v>
      </c>
    </row>
    <row r="312" spans="1:6" x14ac:dyDescent="0.3">
      <c r="A312" t="s">
        <v>577</v>
      </c>
      <c r="B312">
        <v>16</v>
      </c>
      <c r="C312">
        <v>0</v>
      </c>
      <c r="D312">
        <v>0</v>
      </c>
      <c r="E312">
        <v>0</v>
      </c>
      <c r="F312">
        <v>0</v>
      </c>
    </row>
    <row r="313" spans="1:6" x14ac:dyDescent="0.3">
      <c r="A313" t="s">
        <v>578</v>
      </c>
      <c r="B313">
        <v>16</v>
      </c>
      <c r="C313">
        <v>0</v>
      </c>
      <c r="D313">
        <v>0</v>
      </c>
      <c r="E313">
        <v>0</v>
      </c>
      <c r="F313">
        <v>0</v>
      </c>
    </row>
    <row r="314" spans="1:6" x14ac:dyDescent="0.3">
      <c r="A314" t="s">
        <v>579</v>
      </c>
      <c r="B314">
        <v>16</v>
      </c>
      <c r="C314">
        <v>16</v>
      </c>
      <c r="D314">
        <v>16</v>
      </c>
      <c r="E314">
        <v>16</v>
      </c>
      <c r="F314">
        <v>16</v>
      </c>
    </row>
    <row r="315" spans="1:6" x14ac:dyDescent="0.3">
      <c r="A315" t="s">
        <v>580</v>
      </c>
      <c r="B315">
        <v>16</v>
      </c>
      <c r="C315">
        <v>500</v>
      </c>
      <c r="D315">
        <v>500</v>
      </c>
      <c r="E315">
        <v>500</v>
      </c>
      <c r="F315">
        <v>500</v>
      </c>
    </row>
    <row r="316" spans="1:6" x14ac:dyDescent="0.3">
      <c r="A316" t="s">
        <v>581</v>
      </c>
      <c r="B316">
        <v>16</v>
      </c>
      <c r="C316">
        <v>1980</v>
      </c>
      <c r="D316">
        <v>2421</v>
      </c>
      <c r="E316">
        <v>1320</v>
      </c>
      <c r="F316">
        <v>1320</v>
      </c>
    </row>
    <row r="317" spans="1:6" x14ac:dyDescent="0.3">
      <c r="A317" t="s">
        <v>582</v>
      </c>
      <c r="B317">
        <v>16</v>
      </c>
      <c r="C317">
        <v>1320</v>
      </c>
      <c r="D317">
        <v>1614</v>
      </c>
      <c r="E317">
        <v>880</v>
      </c>
      <c r="F317">
        <v>880</v>
      </c>
    </row>
    <row r="318" spans="1:6" x14ac:dyDescent="0.3">
      <c r="A318" t="s">
        <v>583</v>
      </c>
      <c r="B318">
        <v>16</v>
      </c>
      <c r="C318">
        <v>2640</v>
      </c>
      <c r="D318">
        <v>3228</v>
      </c>
      <c r="E318">
        <v>1760</v>
      </c>
      <c r="F318">
        <v>1760</v>
      </c>
    </row>
    <row r="319" spans="1:6" x14ac:dyDescent="0.3">
      <c r="A319" t="s">
        <v>584</v>
      </c>
      <c r="B319">
        <v>16</v>
      </c>
    </row>
    <row r="320" spans="1:6" x14ac:dyDescent="0.3">
      <c r="A320" t="s">
        <v>585</v>
      </c>
      <c r="B320">
        <v>16</v>
      </c>
    </row>
    <row r="321" spans="1:6" x14ac:dyDescent="0.3">
      <c r="A321" t="s">
        <v>586</v>
      </c>
      <c r="B321">
        <v>16</v>
      </c>
    </row>
    <row r="322" spans="1:6" x14ac:dyDescent="0.3">
      <c r="A322" t="s">
        <v>587</v>
      </c>
      <c r="B322">
        <v>16</v>
      </c>
      <c r="C322" t="b">
        <v>0</v>
      </c>
      <c r="D322" t="b">
        <v>0</v>
      </c>
      <c r="E322" t="b">
        <v>0</v>
      </c>
      <c r="F322" t="b">
        <v>0</v>
      </c>
    </row>
    <row r="323" spans="1:6" x14ac:dyDescent="0.3">
      <c r="A323" t="s">
        <v>588</v>
      </c>
      <c r="B323">
        <v>16</v>
      </c>
      <c r="C323" t="b">
        <v>0</v>
      </c>
      <c r="D323" t="b">
        <v>0</v>
      </c>
      <c r="E323" t="b">
        <v>0</v>
      </c>
      <c r="F323" t="b">
        <v>0</v>
      </c>
    </row>
    <row r="324" spans="1:6" x14ac:dyDescent="0.3">
      <c r="A324" t="s">
        <v>570</v>
      </c>
      <c r="B324">
        <v>17</v>
      </c>
      <c r="E324">
        <v>23</v>
      </c>
      <c r="F324">
        <v>12</v>
      </c>
    </row>
    <row r="325" spans="1:6" x14ac:dyDescent="0.3">
      <c r="A325" t="s">
        <v>36</v>
      </c>
      <c r="B325">
        <v>17</v>
      </c>
      <c r="E325">
        <v>2</v>
      </c>
      <c r="F325" t="s">
        <v>607</v>
      </c>
    </row>
    <row r="326" spans="1:6" x14ac:dyDescent="0.3">
      <c r="A326" t="s">
        <v>506</v>
      </c>
      <c r="B326">
        <v>17</v>
      </c>
      <c r="E326" t="s">
        <v>600</v>
      </c>
      <c r="F326" t="s">
        <v>600</v>
      </c>
    </row>
    <row r="327" spans="1:6" x14ac:dyDescent="0.3">
      <c r="A327" t="s">
        <v>574</v>
      </c>
      <c r="B327">
        <v>17</v>
      </c>
      <c r="E327">
        <v>523</v>
      </c>
      <c r="F327">
        <v>433</v>
      </c>
    </row>
    <row r="328" spans="1:6" x14ac:dyDescent="0.3">
      <c r="A328" t="s">
        <v>42</v>
      </c>
      <c r="B328">
        <v>17</v>
      </c>
      <c r="E328">
        <v>30</v>
      </c>
      <c r="F328">
        <v>30</v>
      </c>
    </row>
    <row r="329" spans="1:6" x14ac:dyDescent="0.3">
      <c r="A329" t="s">
        <v>575</v>
      </c>
      <c r="B329">
        <v>17</v>
      </c>
      <c r="E329">
        <v>11.9</v>
      </c>
      <c r="F329">
        <v>9.8000000000000007</v>
      </c>
    </row>
    <row r="330" spans="1:6" x14ac:dyDescent="0.3">
      <c r="A330" t="s">
        <v>41</v>
      </c>
      <c r="B330">
        <v>17</v>
      </c>
      <c r="E330">
        <v>0</v>
      </c>
      <c r="F330">
        <v>0</v>
      </c>
    </row>
    <row r="331" spans="1:6" x14ac:dyDescent="0.3">
      <c r="A331" t="s">
        <v>576</v>
      </c>
      <c r="B331">
        <v>17</v>
      </c>
      <c r="E331">
        <v>12</v>
      </c>
      <c r="F331">
        <v>12</v>
      </c>
    </row>
    <row r="332" spans="1:6" x14ac:dyDescent="0.3">
      <c r="A332" t="s">
        <v>577</v>
      </c>
      <c r="B332">
        <v>17</v>
      </c>
      <c r="E332">
        <v>0</v>
      </c>
      <c r="F332">
        <v>0</v>
      </c>
    </row>
    <row r="333" spans="1:6" x14ac:dyDescent="0.3">
      <c r="A333" t="s">
        <v>578</v>
      </c>
      <c r="B333">
        <v>17</v>
      </c>
      <c r="E333">
        <v>0</v>
      </c>
      <c r="F333">
        <v>0</v>
      </c>
    </row>
    <row r="334" spans="1:6" x14ac:dyDescent="0.3">
      <c r="A334" t="s">
        <v>579</v>
      </c>
      <c r="B334">
        <v>17</v>
      </c>
      <c r="E334">
        <v>16</v>
      </c>
      <c r="F334">
        <v>16</v>
      </c>
    </row>
    <row r="335" spans="1:6" x14ac:dyDescent="0.3">
      <c r="A335" t="s">
        <v>580</v>
      </c>
      <c r="B335">
        <v>17</v>
      </c>
      <c r="E335">
        <v>100</v>
      </c>
      <c r="F335">
        <v>100</v>
      </c>
    </row>
    <row r="336" spans="1:6" x14ac:dyDescent="0.3">
      <c r="A336" t="s">
        <v>581</v>
      </c>
      <c r="B336">
        <v>17</v>
      </c>
      <c r="E336">
        <v>1320</v>
      </c>
      <c r="F336">
        <v>1320</v>
      </c>
    </row>
    <row r="337" spans="1:6" x14ac:dyDescent="0.3">
      <c r="A337" t="s">
        <v>582</v>
      </c>
      <c r="B337">
        <v>17</v>
      </c>
      <c r="E337">
        <v>880</v>
      </c>
      <c r="F337">
        <v>880</v>
      </c>
    </row>
    <row r="338" spans="1:6" x14ac:dyDescent="0.3">
      <c r="A338" t="s">
        <v>583</v>
      </c>
      <c r="B338">
        <v>17</v>
      </c>
      <c r="E338">
        <v>1760</v>
      </c>
      <c r="F338">
        <v>1760</v>
      </c>
    </row>
    <row r="339" spans="1:6" x14ac:dyDescent="0.3">
      <c r="A339" t="s">
        <v>584</v>
      </c>
      <c r="B339">
        <v>17</v>
      </c>
    </row>
    <row r="340" spans="1:6" x14ac:dyDescent="0.3">
      <c r="A340" t="s">
        <v>585</v>
      </c>
      <c r="B340">
        <v>17</v>
      </c>
    </row>
    <row r="341" spans="1:6" x14ac:dyDescent="0.3">
      <c r="A341" t="s">
        <v>586</v>
      </c>
      <c r="B341">
        <v>17</v>
      </c>
    </row>
    <row r="342" spans="1:6" x14ac:dyDescent="0.3">
      <c r="A342" t="s">
        <v>587</v>
      </c>
      <c r="B342">
        <v>17</v>
      </c>
      <c r="E342" t="b">
        <v>0</v>
      </c>
      <c r="F342" t="b">
        <v>0</v>
      </c>
    </row>
    <row r="343" spans="1:6" x14ac:dyDescent="0.3">
      <c r="A343" t="s">
        <v>588</v>
      </c>
      <c r="B343">
        <v>17</v>
      </c>
      <c r="E343" t="b">
        <v>0</v>
      </c>
      <c r="F343" t="b">
        <v>0</v>
      </c>
    </row>
    <row r="344" spans="1:6" x14ac:dyDescent="0.3">
      <c r="A344" t="s">
        <v>570</v>
      </c>
      <c r="B344">
        <v>18</v>
      </c>
      <c r="C344">
        <v>2</v>
      </c>
      <c r="D344">
        <v>3</v>
      </c>
    </row>
    <row r="345" spans="1:6" x14ac:dyDescent="0.3">
      <c r="A345" t="s">
        <v>36</v>
      </c>
      <c r="B345">
        <v>18</v>
      </c>
      <c r="C345" t="s">
        <v>608</v>
      </c>
      <c r="D345" t="s">
        <v>607</v>
      </c>
    </row>
    <row r="346" spans="1:6" x14ac:dyDescent="0.3">
      <c r="A346" t="s">
        <v>506</v>
      </c>
      <c r="B346">
        <v>18</v>
      </c>
      <c r="C346" t="s">
        <v>571</v>
      </c>
      <c r="D346" t="s">
        <v>571</v>
      </c>
    </row>
    <row r="347" spans="1:6" x14ac:dyDescent="0.3">
      <c r="A347" t="s">
        <v>574</v>
      </c>
      <c r="B347">
        <v>18</v>
      </c>
      <c r="C347">
        <v>1993</v>
      </c>
      <c r="D347">
        <v>434</v>
      </c>
    </row>
    <row r="348" spans="1:6" x14ac:dyDescent="0.3">
      <c r="A348" t="s">
        <v>42</v>
      </c>
      <c r="B348">
        <v>18</v>
      </c>
      <c r="C348">
        <v>45</v>
      </c>
      <c r="D348">
        <v>45</v>
      </c>
    </row>
    <row r="349" spans="1:6" x14ac:dyDescent="0.3">
      <c r="A349" t="s">
        <v>575</v>
      </c>
      <c r="B349">
        <v>18</v>
      </c>
      <c r="C349">
        <v>30.2</v>
      </c>
      <c r="D349">
        <v>6.6</v>
      </c>
    </row>
    <row r="350" spans="1:6" x14ac:dyDescent="0.3">
      <c r="A350" t="s">
        <v>41</v>
      </c>
      <c r="B350">
        <v>18</v>
      </c>
      <c r="C350">
        <v>0</v>
      </c>
      <c r="D350">
        <v>0</v>
      </c>
    </row>
    <row r="351" spans="1:6" x14ac:dyDescent="0.3">
      <c r="A351" t="s">
        <v>576</v>
      </c>
      <c r="B351">
        <v>18</v>
      </c>
      <c r="C351">
        <v>12</v>
      </c>
      <c r="D351">
        <v>12</v>
      </c>
    </row>
    <row r="352" spans="1:6" x14ac:dyDescent="0.3">
      <c r="A352" t="s">
        <v>577</v>
      </c>
      <c r="B352">
        <v>18</v>
      </c>
      <c r="C352">
        <v>0</v>
      </c>
      <c r="D352">
        <v>0</v>
      </c>
    </row>
    <row r="353" spans="1:6" x14ac:dyDescent="0.3">
      <c r="A353" t="s">
        <v>578</v>
      </c>
      <c r="B353">
        <v>18</v>
      </c>
      <c r="C353">
        <v>0</v>
      </c>
      <c r="D353">
        <v>0</v>
      </c>
    </row>
    <row r="354" spans="1:6" x14ac:dyDescent="0.3">
      <c r="A354" t="s">
        <v>579</v>
      </c>
      <c r="B354">
        <v>18</v>
      </c>
      <c r="C354">
        <v>16</v>
      </c>
      <c r="D354">
        <v>16</v>
      </c>
    </row>
    <row r="355" spans="1:6" x14ac:dyDescent="0.3">
      <c r="A355" t="s">
        <v>580</v>
      </c>
      <c r="B355">
        <v>18</v>
      </c>
      <c r="C355">
        <v>100</v>
      </c>
      <c r="D355">
        <v>100</v>
      </c>
    </row>
    <row r="356" spans="1:6" x14ac:dyDescent="0.3">
      <c r="A356" t="s">
        <v>581</v>
      </c>
      <c r="B356">
        <v>18</v>
      </c>
      <c r="C356">
        <v>1980</v>
      </c>
      <c r="D356">
        <v>1980</v>
      </c>
    </row>
    <row r="357" spans="1:6" x14ac:dyDescent="0.3">
      <c r="A357" t="s">
        <v>582</v>
      </c>
      <c r="B357">
        <v>18</v>
      </c>
      <c r="C357">
        <v>1320</v>
      </c>
      <c r="D357">
        <v>1320</v>
      </c>
    </row>
    <row r="358" spans="1:6" x14ac:dyDescent="0.3">
      <c r="A358" t="s">
        <v>583</v>
      </c>
      <c r="B358">
        <v>18</v>
      </c>
      <c r="C358">
        <v>2640</v>
      </c>
      <c r="D358">
        <v>2640</v>
      </c>
    </row>
    <row r="359" spans="1:6" x14ac:dyDescent="0.3">
      <c r="A359" t="s">
        <v>584</v>
      </c>
      <c r="B359">
        <v>18</v>
      </c>
    </row>
    <row r="360" spans="1:6" x14ac:dyDescent="0.3">
      <c r="A360" t="s">
        <v>585</v>
      </c>
      <c r="B360">
        <v>18</v>
      </c>
    </row>
    <row r="361" spans="1:6" x14ac:dyDescent="0.3">
      <c r="A361" t="s">
        <v>586</v>
      </c>
      <c r="B361">
        <v>18</v>
      </c>
    </row>
    <row r="362" spans="1:6" x14ac:dyDescent="0.3">
      <c r="A362" t="s">
        <v>587</v>
      </c>
      <c r="B362">
        <v>18</v>
      </c>
      <c r="C362" t="b">
        <v>0</v>
      </c>
      <c r="D362" t="b">
        <v>0</v>
      </c>
    </row>
    <row r="363" spans="1:6" x14ac:dyDescent="0.3">
      <c r="A363" t="s">
        <v>588</v>
      </c>
      <c r="B363">
        <v>18</v>
      </c>
      <c r="C363" t="b">
        <v>0</v>
      </c>
      <c r="D363" t="b">
        <v>0</v>
      </c>
    </row>
    <row r="364" spans="1:6" x14ac:dyDescent="0.3">
      <c r="A364" t="s">
        <v>570</v>
      </c>
      <c r="B364">
        <v>19</v>
      </c>
      <c r="C364">
        <v>16</v>
      </c>
      <c r="D364">
        <v>21</v>
      </c>
      <c r="F364">
        <v>132</v>
      </c>
    </row>
    <row r="365" spans="1:6" x14ac:dyDescent="0.3">
      <c r="A365" t="s">
        <v>36</v>
      </c>
      <c r="B365">
        <v>19</v>
      </c>
      <c r="C365">
        <v>4</v>
      </c>
      <c r="D365">
        <v>3</v>
      </c>
      <c r="F365">
        <v>2</v>
      </c>
    </row>
    <row r="366" spans="1:6" x14ac:dyDescent="0.3">
      <c r="A366" t="s">
        <v>506</v>
      </c>
      <c r="B366">
        <v>19</v>
      </c>
      <c r="C366" t="s">
        <v>571</v>
      </c>
      <c r="D366" t="s">
        <v>571</v>
      </c>
      <c r="F366" t="s">
        <v>609</v>
      </c>
    </row>
    <row r="367" spans="1:6" x14ac:dyDescent="0.3">
      <c r="A367" t="s">
        <v>574</v>
      </c>
      <c r="B367">
        <v>19</v>
      </c>
      <c r="C367">
        <v>7582</v>
      </c>
      <c r="D367">
        <v>2522</v>
      </c>
      <c r="F367">
        <v>1265</v>
      </c>
    </row>
    <row r="368" spans="1:6" x14ac:dyDescent="0.3">
      <c r="A368" t="s">
        <v>42</v>
      </c>
      <c r="B368">
        <v>19</v>
      </c>
      <c r="C368">
        <v>55</v>
      </c>
      <c r="D368">
        <v>55</v>
      </c>
      <c r="F368">
        <v>30</v>
      </c>
    </row>
    <row r="369" spans="1:6" x14ac:dyDescent="0.3">
      <c r="A369" t="s">
        <v>575</v>
      </c>
      <c r="B369">
        <v>19</v>
      </c>
      <c r="C369">
        <v>94</v>
      </c>
      <c r="D369">
        <v>31.3</v>
      </c>
      <c r="F369">
        <v>28.8</v>
      </c>
    </row>
    <row r="370" spans="1:6" x14ac:dyDescent="0.3">
      <c r="A370" t="s">
        <v>41</v>
      </c>
      <c r="B370">
        <v>19</v>
      </c>
      <c r="C370">
        <v>0</v>
      </c>
      <c r="D370">
        <v>0</v>
      </c>
      <c r="F370">
        <v>3</v>
      </c>
    </row>
    <row r="371" spans="1:6" x14ac:dyDescent="0.3">
      <c r="A371" t="s">
        <v>576</v>
      </c>
      <c r="B371">
        <v>19</v>
      </c>
      <c r="C371">
        <v>12</v>
      </c>
      <c r="D371">
        <v>12</v>
      </c>
      <c r="F371">
        <v>12</v>
      </c>
    </row>
    <row r="372" spans="1:6" x14ac:dyDescent="0.3">
      <c r="A372" t="s">
        <v>577</v>
      </c>
      <c r="B372">
        <v>19</v>
      </c>
      <c r="C372">
        <v>0</v>
      </c>
      <c r="D372">
        <v>0</v>
      </c>
      <c r="F372">
        <v>0</v>
      </c>
    </row>
    <row r="373" spans="1:6" x14ac:dyDescent="0.3">
      <c r="A373" t="s">
        <v>578</v>
      </c>
      <c r="B373">
        <v>19</v>
      </c>
      <c r="C373">
        <v>0</v>
      </c>
      <c r="D373">
        <v>0</v>
      </c>
      <c r="F373">
        <v>0</v>
      </c>
    </row>
    <row r="374" spans="1:6" x14ac:dyDescent="0.3">
      <c r="A374" t="s">
        <v>579</v>
      </c>
      <c r="B374">
        <v>19</v>
      </c>
      <c r="C374">
        <v>16</v>
      </c>
      <c r="D374">
        <v>16</v>
      </c>
      <c r="F374">
        <v>16</v>
      </c>
    </row>
    <row r="375" spans="1:6" x14ac:dyDescent="0.3">
      <c r="A375" t="s">
        <v>580</v>
      </c>
      <c r="B375">
        <v>19</v>
      </c>
      <c r="C375">
        <v>500</v>
      </c>
      <c r="D375">
        <v>500</v>
      </c>
      <c r="F375">
        <v>500</v>
      </c>
    </row>
    <row r="376" spans="1:6" x14ac:dyDescent="0.3">
      <c r="A376" t="s">
        <v>581</v>
      </c>
      <c r="B376">
        <v>19</v>
      </c>
      <c r="C376">
        <v>2421</v>
      </c>
      <c r="D376">
        <v>2421</v>
      </c>
      <c r="F376">
        <v>1320</v>
      </c>
    </row>
    <row r="377" spans="1:6" x14ac:dyDescent="0.3">
      <c r="A377" t="s">
        <v>582</v>
      </c>
      <c r="B377">
        <v>19</v>
      </c>
      <c r="C377">
        <v>1614</v>
      </c>
      <c r="D377">
        <v>1614</v>
      </c>
      <c r="F377">
        <v>880</v>
      </c>
    </row>
    <row r="378" spans="1:6" x14ac:dyDescent="0.3">
      <c r="A378" t="s">
        <v>583</v>
      </c>
      <c r="B378">
        <v>19</v>
      </c>
      <c r="C378">
        <v>3228</v>
      </c>
      <c r="D378">
        <v>3228</v>
      </c>
      <c r="F378">
        <v>1760</v>
      </c>
    </row>
    <row r="379" spans="1:6" x14ac:dyDescent="0.3">
      <c r="A379" t="s">
        <v>584</v>
      </c>
      <c r="B379">
        <v>19</v>
      </c>
    </row>
    <row r="380" spans="1:6" x14ac:dyDescent="0.3">
      <c r="A380" t="s">
        <v>585</v>
      </c>
      <c r="B380">
        <v>19</v>
      </c>
    </row>
    <row r="381" spans="1:6" x14ac:dyDescent="0.3">
      <c r="A381" t="s">
        <v>586</v>
      </c>
      <c r="B381">
        <v>19</v>
      </c>
    </row>
    <row r="382" spans="1:6" x14ac:dyDescent="0.3">
      <c r="A382" t="s">
        <v>587</v>
      </c>
      <c r="B382">
        <v>19</v>
      </c>
      <c r="C382" t="b">
        <v>0</v>
      </c>
      <c r="D382" t="b">
        <v>0</v>
      </c>
      <c r="F382" t="b">
        <v>0</v>
      </c>
    </row>
    <row r="383" spans="1:6" x14ac:dyDescent="0.3">
      <c r="A383" t="s">
        <v>588</v>
      </c>
      <c r="B383">
        <v>19</v>
      </c>
      <c r="C383" t="b">
        <v>0</v>
      </c>
      <c r="D383" t="b">
        <v>0</v>
      </c>
      <c r="F383" t="b">
        <v>0</v>
      </c>
    </row>
    <row r="384" spans="1:6" x14ac:dyDescent="0.3">
      <c r="A384" t="s">
        <v>570</v>
      </c>
      <c r="B384">
        <v>21</v>
      </c>
      <c r="C384">
        <v>19</v>
      </c>
      <c r="D384">
        <v>61</v>
      </c>
      <c r="E384">
        <v>133</v>
      </c>
      <c r="F384">
        <v>134</v>
      </c>
    </row>
    <row r="385" spans="1:6" x14ac:dyDescent="0.3">
      <c r="A385" t="s">
        <v>36</v>
      </c>
      <c r="B385">
        <v>21</v>
      </c>
      <c r="C385">
        <v>4</v>
      </c>
      <c r="D385">
        <v>4</v>
      </c>
      <c r="E385">
        <v>2</v>
      </c>
      <c r="F385">
        <v>1</v>
      </c>
    </row>
    <row r="386" spans="1:6" x14ac:dyDescent="0.3">
      <c r="A386" t="s">
        <v>506</v>
      </c>
      <c r="B386">
        <v>21</v>
      </c>
      <c r="C386" t="s">
        <v>571</v>
      </c>
      <c r="D386" t="s">
        <v>571</v>
      </c>
      <c r="E386" t="s">
        <v>610</v>
      </c>
      <c r="F386" t="s">
        <v>611</v>
      </c>
    </row>
    <row r="387" spans="1:6" x14ac:dyDescent="0.3">
      <c r="A387" t="s">
        <v>574</v>
      </c>
      <c r="B387">
        <v>21</v>
      </c>
      <c r="C387">
        <v>2522</v>
      </c>
      <c r="D387">
        <v>875</v>
      </c>
      <c r="E387">
        <v>1474</v>
      </c>
      <c r="F387">
        <v>760</v>
      </c>
    </row>
    <row r="388" spans="1:6" x14ac:dyDescent="0.3">
      <c r="A388" t="s">
        <v>42</v>
      </c>
      <c r="B388">
        <v>21</v>
      </c>
      <c r="C388">
        <v>55</v>
      </c>
      <c r="D388">
        <v>55</v>
      </c>
      <c r="E388">
        <v>30</v>
      </c>
      <c r="F388">
        <v>30</v>
      </c>
    </row>
    <row r="389" spans="1:6" x14ac:dyDescent="0.3">
      <c r="A389" t="s">
        <v>575</v>
      </c>
      <c r="B389">
        <v>21</v>
      </c>
      <c r="C389">
        <v>31.3</v>
      </c>
      <c r="D389">
        <v>10.8</v>
      </c>
      <c r="E389">
        <v>33.5</v>
      </c>
      <c r="F389">
        <v>17.3</v>
      </c>
    </row>
    <row r="390" spans="1:6" x14ac:dyDescent="0.3">
      <c r="A390" t="s">
        <v>41</v>
      </c>
      <c r="B390">
        <v>21</v>
      </c>
      <c r="C390">
        <v>0</v>
      </c>
      <c r="D390">
        <v>0</v>
      </c>
      <c r="E390">
        <v>0</v>
      </c>
      <c r="F390">
        <v>3</v>
      </c>
    </row>
    <row r="391" spans="1:6" x14ac:dyDescent="0.3">
      <c r="A391" t="s">
        <v>576</v>
      </c>
      <c r="B391">
        <v>21</v>
      </c>
      <c r="C391">
        <v>12</v>
      </c>
      <c r="D391">
        <v>12</v>
      </c>
      <c r="E391">
        <v>0</v>
      </c>
      <c r="F391">
        <v>0</v>
      </c>
    </row>
    <row r="392" spans="1:6" x14ac:dyDescent="0.3">
      <c r="A392" t="s">
        <v>577</v>
      </c>
      <c r="B392">
        <v>21</v>
      </c>
      <c r="C392">
        <v>0</v>
      </c>
      <c r="D392">
        <v>0</v>
      </c>
      <c r="E392">
        <v>0</v>
      </c>
      <c r="F392">
        <v>0</v>
      </c>
    </row>
    <row r="393" spans="1:6" x14ac:dyDescent="0.3">
      <c r="A393" t="s">
        <v>578</v>
      </c>
      <c r="B393">
        <v>21</v>
      </c>
      <c r="C393">
        <v>0</v>
      </c>
      <c r="D393">
        <v>0</v>
      </c>
      <c r="E393">
        <v>0</v>
      </c>
      <c r="F393">
        <v>0</v>
      </c>
    </row>
    <row r="394" spans="1:6" x14ac:dyDescent="0.3">
      <c r="A394" t="s">
        <v>579</v>
      </c>
      <c r="B394">
        <v>21</v>
      </c>
      <c r="C394">
        <v>16</v>
      </c>
      <c r="D394">
        <v>16</v>
      </c>
      <c r="E394">
        <v>16</v>
      </c>
      <c r="F394">
        <v>16</v>
      </c>
    </row>
    <row r="395" spans="1:6" x14ac:dyDescent="0.3">
      <c r="A395" t="s">
        <v>580</v>
      </c>
      <c r="B395">
        <v>21</v>
      </c>
      <c r="C395">
        <v>500</v>
      </c>
      <c r="D395">
        <v>500</v>
      </c>
      <c r="E395">
        <v>500</v>
      </c>
      <c r="F395">
        <v>500</v>
      </c>
    </row>
    <row r="396" spans="1:6" x14ac:dyDescent="0.3">
      <c r="A396" t="s">
        <v>581</v>
      </c>
      <c r="B396">
        <v>21</v>
      </c>
      <c r="C396">
        <v>2421</v>
      </c>
      <c r="D396">
        <v>2421</v>
      </c>
      <c r="E396">
        <v>1320</v>
      </c>
      <c r="F396">
        <v>1320</v>
      </c>
    </row>
    <row r="397" spans="1:6" x14ac:dyDescent="0.3">
      <c r="A397" t="s">
        <v>582</v>
      </c>
      <c r="B397">
        <v>21</v>
      </c>
      <c r="C397">
        <v>1614</v>
      </c>
      <c r="D397">
        <v>1614</v>
      </c>
      <c r="E397">
        <v>880</v>
      </c>
      <c r="F397">
        <v>880</v>
      </c>
    </row>
    <row r="398" spans="1:6" x14ac:dyDescent="0.3">
      <c r="A398" t="s">
        <v>583</v>
      </c>
      <c r="B398">
        <v>21</v>
      </c>
      <c r="C398">
        <v>3228</v>
      </c>
      <c r="D398">
        <v>3228</v>
      </c>
      <c r="E398">
        <v>1760</v>
      </c>
      <c r="F398">
        <v>1760</v>
      </c>
    </row>
    <row r="399" spans="1:6" x14ac:dyDescent="0.3">
      <c r="A399" t="s">
        <v>584</v>
      </c>
      <c r="B399">
        <v>21</v>
      </c>
    </row>
    <row r="400" spans="1:6" x14ac:dyDescent="0.3">
      <c r="A400" t="s">
        <v>585</v>
      </c>
      <c r="B400">
        <v>21</v>
      </c>
    </row>
    <row r="401" spans="1:6" x14ac:dyDescent="0.3">
      <c r="A401" t="s">
        <v>586</v>
      </c>
      <c r="B401">
        <v>21</v>
      </c>
    </row>
    <row r="402" spans="1:6" x14ac:dyDescent="0.3">
      <c r="A402" t="s">
        <v>587</v>
      </c>
      <c r="B402">
        <v>21</v>
      </c>
      <c r="C402" t="b">
        <v>0</v>
      </c>
      <c r="D402" t="b">
        <v>0</v>
      </c>
      <c r="E402" t="b">
        <v>0</v>
      </c>
      <c r="F402" t="b">
        <v>0</v>
      </c>
    </row>
    <row r="403" spans="1:6" x14ac:dyDescent="0.3">
      <c r="A403" t="s">
        <v>588</v>
      </c>
      <c r="B403">
        <v>21</v>
      </c>
      <c r="C403" t="b">
        <v>0</v>
      </c>
      <c r="D403" t="b">
        <v>0</v>
      </c>
      <c r="E403" t="b">
        <v>0</v>
      </c>
      <c r="F403" t="b">
        <v>0</v>
      </c>
    </row>
    <row r="404" spans="1:6" x14ac:dyDescent="0.3">
      <c r="A404" t="s">
        <v>570</v>
      </c>
      <c r="B404">
        <v>22</v>
      </c>
      <c r="C404">
        <v>46</v>
      </c>
      <c r="D404">
        <v>23</v>
      </c>
      <c r="E404">
        <v>115</v>
      </c>
      <c r="F404">
        <v>11</v>
      </c>
    </row>
    <row r="405" spans="1:6" x14ac:dyDescent="0.3">
      <c r="A405" t="s">
        <v>36</v>
      </c>
      <c r="B405">
        <v>22</v>
      </c>
      <c r="C405">
        <v>4</v>
      </c>
      <c r="D405">
        <v>4</v>
      </c>
      <c r="E405">
        <v>1</v>
      </c>
      <c r="F405">
        <v>2</v>
      </c>
    </row>
    <row r="406" spans="1:6" x14ac:dyDescent="0.3">
      <c r="A406" t="s">
        <v>506</v>
      </c>
      <c r="B406">
        <v>22</v>
      </c>
      <c r="C406" t="s">
        <v>598</v>
      </c>
      <c r="D406" t="s">
        <v>598</v>
      </c>
      <c r="E406" t="s">
        <v>599</v>
      </c>
      <c r="F406" t="s">
        <v>599</v>
      </c>
    </row>
    <row r="407" spans="1:6" x14ac:dyDescent="0.3">
      <c r="A407" t="s">
        <v>574</v>
      </c>
      <c r="B407">
        <v>22</v>
      </c>
      <c r="C407">
        <v>358</v>
      </c>
      <c r="D407">
        <v>773</v>
      </c>
      <c r="E407">
        <v>931</v>
      </c>
      <c r="F407">
        <v>713</v>
      </c>
    </row>
    <row r="408" spans="1:6" x14ac:dyDescent="0.3">
      <c r="A408" t="s">
        <v>42</v>
      </c>
      <c r="B408">
        <v>22</v>
      </c>
      <c r="C408">
        <v>45</v>
      </c>
      <c r="D408">
        <v>30</v>
      </c>
      <c r="E408">
        <v>30</v>
      </c>
      <c r="F408">
        <v>30</v>
      </c>
    </row>
    <row r="409" spans="1:6" x14ac:dyDescent="0.3">
      <c r="A409" t="s">
        <v>575</v>
      </c>
      <c r="B409">
        <v>22</v>
      </c>
      <c r="C409">
        <v>5.4</v>
      </c>
      <c r="D409">
        <v>17.600000000000001</v>
      </c>
      <c r="E409">
        <v>21.2</v>
      </c>
      <c r="F409">
        <v>16.2</v>
      </c>
    </row>
    <row r="410" spans="1:6" x14ac:dyDescent="0.3">
      <c r="A410" t="s">
        <v>41</v>
      </c>
      <c r="B410">
        <v>22</v>
      </c>
      <c r="C410">
        <v>0</v>
      </c>
      <c r="D410">
        <v>0</v>
      </c>
      <c r="E410">
        <v>0</v>
      </c>
      <c r="F410">
        <v>0</v>
      </c>
    </row>
    <row r="411" spans="1:6" x14ac:dyDescent="0.3">
      <c r="A411" t="s">
        <v>576</v>
      </c>
      <c r="B411">
        <v>22</v>
      </c>
      <c r="C411">
        <v>12</v>
      </c>
      <c r="D411">
        <v>12</v>
      </c>
      <c r="E411">
        <v>12</v>
      </c>
      <c r="F411">
        <v>12</v>
      </c>
    </row>
    <row r="412" spans="1:6" x14ac:dyDescent="0.3">
      <c r="A412" t="s">
        <v>577</v>
      </c>
      <c r="B412">
        <v>22</v>
      </c>
      <c r="C412">
        <v>0</v>
      </c>
      <c r="D412">
        <v>0</v>
      </c>
      <c r="E412">
        <v>0</v>
      </c>
      <c r="F412">
        <v>0</v>
      </c>
    </row>
    <row r="413" spans="1:6" x14ac:dyDescent="0.3">
      <c r="A413" t="s">
        <v>578</v>
      </c>
      <c r="B413">
        <v>22</v>
      </c>
      <c r="C413">
        <v>0</v>
      </c>
      <c r="D413">
        <v>0</v>
      </c>
      <c r="E413">
        <v>0</v>
      </c>
      <c r="F413">
        <v>0</v>
      </c>
    </row>
    <row r="414" spans="1:6" x14ac:dyDescent="0.3">
      <c r="A414" t="s">
        <v>579</v>
      </c>
      <c r="B414">
        <v>22</v>
      </c>
      <c r="C414">
        <v>16</v>
      </c>
      <c r="D414">
        <v>16</v>
      </c>
      <c r="E414">
        <v>16</v>
      </c>
      <c r="F414">
        <v>16</v>
      </c>
    </row>
    <row r="415" spans="1:6" x14ac:dyDescent="0.3">
      <c r="A415" t="s">
        <v>580</v>
      </c>
      <c r="B415">
        <v>22</v>
      </c>
      <c r="C415">
        <v>500</v>
      </c>
      <c r="D415">
        <v>500</v>
      </c>
      <c r="E415">
        <v>500</v>
      </c>
      <c r="F415">
        <v>500</v>
      </c>
    </row>
    <row r="416" spans="1:6" x14ac:dyDescent="0.3">
      <c r="A416" t="s">
        <v>581</v>
      </c>
      <c r="B416">
        <v>22</v>
      </c>
      <c r="C416">
        <v>1980</v>
      </c>
      <c r="D416">
        <v>1320</v>
      </c>
      <c r="E416">
        <v>1320</v>
      </c>
      <c r="F416">
        <v>1320</v>
      </c>
    </row>
    <row r="417" spans="1:6" x14ac:dyDescent="0.3">
      <c r="A417" t="s">
        <v>582</v>
      </c>
      <c r="B417">
        <v>22</v>
      </c>
      <c r="C417">
        <v>1320</v>
      </c>
      <c r="D417">
        <v>880</v>
      </c>
      <c r="E417">
        <v>880</v>
      </c>
      <c r="F417">
        <v>880</v>
      </c>
    </row>
    <row r="418" spans="1:6" x14ac:dyDescent="0.3">
      <c r="A418" t="s">
        <v>583</v>
      </c>
      <c r="B418">
        <v>22</v>
      </c>
      <c r="C418">
        <v>2640</v>
      </c>
      <c r="D418">
        <v>1760</v>
      </c>
      <c r="E418">
        <v>1760</v>
      </c>
      <c r="F418">
        <v>1760</v>
      </c>
    </row>
    <row r="419" spans="1:6" x14ac:dyDescent="0.3">
      <c r="A419" t="s">
        <v>584</v>
      </c>
      <c r="B419">
        <v>22</v>
      </c>
    </row>
    <row r="420" spans="1:6" x14ac:dyDescent="0.3">
      <c r="A420" t="s">
        <v>585</v>
      </c>
      <c r="B420">
        <v>22</v>
      </c>
    </row>
    <row r="421" spans="1:6" x14ac:dyDescent="0.3">
      <c r="A421" t="s">
        <v>586</v>
      </c>
      <c r="B421">
        <v>22</v>
      </c>
    </row>
    <row r="422" spans="1:6" x14ac:dyDescent="0.3">
      <c r="A422" t="s">
        <v>587</v>
      </c>
      <c r="B422">
        <v>22</v>
      </c>
      <c r="C422" t="b">
        <v>0</v>
      </c>
      <c r="D422" t="b">
        <v>0</v>
      </c>
      <c r="E422" t="b">
        <v>0</v>
      </c>
      <c r="F422" t="b">
        <v>0</v>
      </c>
    </row>
    <row r="423" spans="1:6" x14ac:dyDescent="0.3">
      <c r="A423" t="s">
        <v>588</v>
      </c>
      <c r="B423">
        <v>22</v>
      </c>
      <c r="C423" t="b">
        <v>0</v>
      </c>
      <c r="D423" t="b">
        <v>0</v>
      </c>
      <c r="E423" t="b">
        <v>0</v>
      </c>
      <c r="F423" t="b">
        <v>0</v>
      </c>
    </row>
    <row r="424" spans="1:6" x14ac:dyDescent="0.3">
      <c r="A424" t="s">
        <v>570</v>
      </c>
      <c r="B424">
        <v>23</v>
      </c>
      <c r="C424">
        <v>22</v>
      </c>
      <c r="D424">
        <v>24</v>
      </c>
      <c r="E424">
        <v>117</v>
      </c>
      <c r="F424">
        <v>17</v>
      </c>
    </row>
    <row r="425" spans="1:6" x14ac:dyDescent="0.3">
      <c r="A425" t="s">
        <v>36</v>
      </c>
      <c r="B425">
        <v>23</v>
      </c>
      <c r="C425">
        <v>4</v>
      </c>
      <c r="D425">
        <v>4</v>
      </c>
      <c r="E425">
        <v>1</v>
      </c>
      <c r="F425">
        <v>2</v>
      </c>
    </row>
    <row r="426" spans="1:6" x14ac:dyDescent="0.3">
      <c r="A426" t="s">
        <v>506</v>
      </c>
      <c r="B426">
        <v>23</v>
      </c>
      <c r="C426" t="s">
        <v>598</v>
      </c>
      <c r="D426" t="s">
        <v>598</v>
      </c>
      <c r="E426" t="s">
        <v>600</v>
      </c>
      <c r="F426" t="s">
        <v>600</v>
      </c>
    </row>
    <row r="427" spans="1:6" x14ac:dyDescent="0.3">
      <c r="A427" t="s">
        <v>574</v>
      </c>
      <c r="B427">
        <v>23</v>
      </c>
      <c r="C427">
        <v>773</v>
      </c>
      <c r="D427">
        <v>1523</v>
      </c>
      <c r="E427">
        <v>1131</v>
      </c>
      <c r="F427">
        <v>523</v>
      </c>
    </row>
    <row r="428" spans="1:6" x14ac:dyDescent="0.3">
      <c r="A428" t="s">
        <v>42</v>
      </c>
      <c r="B428">
        <v>23</v>
      </c>
      <c r="C428">
        <v>45</v>
      </c>
      <c r="D428">
        <v>45</v>
      </c>
      <c r="E428">
        <v>30</v>
      </c>
      <c r="F428">
        <v>30</v>
      </c>
    </row>
    <row r="429" spans="1:6" x14ac:dyDescent="0.3">
      <c r="A429" t="s">
        <v>575</v>
      </c>
      <c r="B429">
        <v>23</v>
      </c>
      <c r="C429">
        <v>11.7</v>
      </c>
      <c r="D429">
        <v>23.1</v>
      </c>
      <c r="E429">
        <v>25.7</v>
      </c>
      <c r="F429">
        <v>11.9</v>
      </c>
    </row>
    <row r="430" spans="1:6" x14ac:dyDescent="0.3">
      <c r="A430" t="s">
        <v>41</v>
      </c>
      <c r="B430">
        <v>23</v>
      </c>
      <c r="C430">
        <v>0</v>
      </c>
      <c r="D430">
        <v>0</v>
      </c>
      <c r="E430">
        <v>0</v>
      </c>
      <c r="F430">
        <v>0</v>
      </c>
    </row>
    <row r="431" spans="1:6" x14ac:dyDescent="0.3">
      <c r="A431" t="s">
        <v>576</v>
      </c>
      <c r="B431">
        <v>23</v>
      </c>
      <c r="C431">
        <v>12</v>
      </c>
      <c r="D431">
        <v>12</v>
      </c>
      <c r="E431">
        <v>12</v>
      </c>
      <c r="F431">
        <v>12</v>
      </c>
    </row>
    <row r="432" spans="1:6" x14ac:dyDescent="0.3">
      <c r="A432" t="s">
        <v>577</v>
      </c>
      <c r="B432">
        <v>23</v>
      </c>
      <c r="C432">
        <v>0</v>
      </c>
      <c r="D432">
        <v>0</v>
      </c>
      <c r="E432">
        <v>0</v>
      </c>
      <c r="F432">
        <v>0</v>
      </c>
    </row>
    <row r="433" spans="1:6" x14ac:dyDescent="0.3">
      <c r="A433" t="s">
        <v>578</v>
      </c>
      <c r="B433">
        <v>23</v>
      </c>
      <c r="C433">
        <v>0</v>
      </c>
      <c r="D433">
        <v>0</v>
      </c>
      <c r="E433">
        <v>0</v>
      </c>
      <c r="F433">
        <v>0</v>
      </c>
    </row>
    <row r="434" spans="1:6" x14ac:dyDescent="0.3">
      <c r="A434" t="s">
        <v>579</v>
      </c>
      <c r="B434">
        <v>23</v>
      </c>
      <c r="C434">
        <v>16</v>
      </c>
      <c r="D434">
        <v>16</v>
      </c>
      <c r="E434">
        <v>16</v>
      </c>
      <c r="F434">
        <v>16</v>
      </c>
    </row>
    <row r="435" spans="1:6" x14ac:dyDescent="0.3">
      <c r="A435" t="s">
        <v>580</v>
      </c>
      <c r="B435">
        <v>23</v>
      </c>
      <c r="C435">
        <v>500</v>
      </c>
      <c r="D435">
        <v>500</v>
      </c>
      <c r="E435">
        <v>500</v>
      </c>
      <c r="F435">
        <v>500</v>
      </c>
    </row>
    <row r="436" spans="1:6" x14ac:dyDescent="0.3">
      <c r="A436" t="s">
        <v>581</v>
      </c>
      <c r="B436">
        <v>23</v>
      </c>
      <c r="C436">
        <v>1980</v>
      </c>
      <c r="D436">
        <v>1980</v>
      </c>
      <c r="E436">
        <v>1320</v>
      </c>
      <c r="F436">
        <v>1320</v>
      </c>
    </row>
    <row r="437" spans="1:6" x14ac:dyDescent="0.3">
      <c r="A437" t="s">
        <v>582</v>
      </c>
      <c r="B437">
        <v>23</v>
      </c>
      <c r="C437">
        <v>1320</v>
      </c>
      <c r="D437">
        <v>1320</v>
      </c>
      <c r="E437">
        <v>880</v>
      </c>
      <c r="F437">
        <v>880</v>
      </c>
    </row>
    <row r="438" spans="1:6" x14ac:dyDescent="0.3">
      <c r="A438" t="s">
        <v>583</v>
      </c>
      <c r="B438">
        <v>23</v>
      </c>
      <c r="C438">
        <v>2640</v>
      </c>
      <c r="D438">
        <v>2640</v>
      </c>
      <c r="E438">
        <v>1760</v>
      </c>
      <c r="F438">
        <v>1760</v>
      </c>
    </row>
    <row r="439" spans="1:6" x14ac:dyDescent="0.3">
      <c r="A439" t="s">
        <v>584</v>
      </c>
      <c r="B439">
        <v>23</v>
      </c>
    </row>
    <row r="440" spans="1:6" x14ac:dyDescent="0.3">
      <c r="A440" t="s">
        <v>585</v>
      </c>
      <c r="B440">
        <v>23</v>
      </c>
    </row>
    <row r="441" spans="1:6" x14ac:dyDescent="0.3">
      <c r="A441" t="s">
        <v>586</v>
      </c>
      <c r="B441">
        <v>23</v>
      </c>
    </row>
    <row r="442" spans="1:6" x14ac:dyDescent="0.3">
      <c r="A442" t="s">
        <v>587</v>
      </c>
      <c r="B442">
        <v>23</v>
      </c>
      <c r="C442" t="b">
        <v>0</v>
      </c>
      <c r="D442" t="b">
        <v>0</v>
      </c>
      <c r="E442" t="b">
        <v>0</v>
      </c>
      <c r="F442" t="b">
        <v>0</v>
      </c>
    </row>
    <row r="443" spans="1:6" x14ac:dyDescent="0.3">
      <c r="A443" t="s">
        <v>588</v>
      </c>
      <c r="B443">
        <v>23</v>
      </c>
      <c r="C443" t="b">
        <v>0</v>
      </c>
      <c r="D443" t="b">
        <v>0</v>
      </c>
      <c r="E443" t="b">
        <v>0</v>
      </c>
      <c r="F443" t="b">
        <v>0</v>
      </c>
    </row>
    <row r="444" spans="1:6" x14ac:dyDescent="0.3">
      <c r="A444" t="s">
        <v>570</v>
      </c>
      <c r="B444">
        <v>24</v>
      </c>
      <c r="C444">
        <v>23</v>
      </c>
      <c r="D444">
        <v>25</v>
      </c>
      <c r="E444">
        <v>119</v>
      </c>
      <c r="F444">
        <v>13</v>
      </c>
    </row>
    <row r="445" spans="1:6" x14ac:dyDescent="0.3">
      <c r="A445" t="s">
        <v>36</v>
      </c>
      <c r="B445">
        <v>24</v>
      </c>
      <c r="C445">
        <v>4</v>
      </c>
      <c r="D445">
        <v>4</v>
      </c>
      <c r="E445">
        <v>1</v>
      </c>
      <c r="F445">
        <v>2</v>
      </c>
    </row>
    <row r="446" spans="1:6" x14ac:dyDescent="0.3">
      <c r="A446" t="s">
        <v>506</v>
      </c>
      <c r="B446">
        <v>24</v>
      </c>
      <c r="C446" t="s">
        <v>598</v>
      </c>
      <c r="D446" t="s">
        <v>598</v>
      </c>
      <c r="E446" t="s">
        <v>612</v>
      </c>
      <c r="F446" t="s">
        <v>601</v>
      </c>
    </row>
    <row r="447" spans="1:6" x14ac:dyDescent="0.3">
      <c r="A447" t="s">
        <v>574</v>
      </c>
      <c r="B447">
        <v>24</v>
      </c>
      <c r="C447">
        <v>1523</v>
      </c>
      <c r="D447">
        <v>2106</v>
      </c>
      <c r="E447">
        <v>787</v>
      </c>
      <c r="F447">
        <v>1247</v>
      </c>
    </row>
    <row r="448" spans="1:6" x14ac:dyDescent="0.3">
      <c r="A448" t="s">
        <v>42</v>
      </c>
      <c r="B448">
        <v>24</v>
      </c>
      <c r="C448">
        <v>45</v>
      </c>
      <c r="D448">
        <v>45</v>
      </c>
      <c r="E448">
        <v>30</v>
      </c>
      <c r="F448">
        <v>30</v>
      </c>
    </row>
    <row r="449" spans="1:6" x14ac:dyDescent="0.3">
      <c r="A449" t="s">
        <v>575</v>
      </c>
      <c r="B449">
        <v>24</v>
      </c>
      <c r="C449">
        <v>23.1</v>
      </c>
      <c r="D449">
        <v>31.9</v>
      </c>
      <c r="E449">
        <v>17.899999999999999</v>
      </c>
      <c r="F449">
        <v>28.3</v>
      </c>
    </row>
    <row r="450" spans="1:6" x14ac:dyDescent="0.3">
      <c r="A450" t="s">
        <v>41</v>
      </c>
      <c r="B450">
        <v>24</v>
      </c>
      <c r="C450">
        <v>0</v>
      </c>
      <c r="D450">
        <v>0</v>
      </c>
      <c r="E450">
        <v>0</v>
      </c>
      <c r="F450">
        <v>0</v>
      </c>
    </row>
    <row r="451" spans="1:6" x14ac:dyDescent="0.3">
      <c r="A451" t="s">
        <v>576</v>
      </c>
      <c r="B451">
        <v>24</v>
      </c>
      <c r="C451">
        <v>12</v>
      </c>
      <c r="D451">
        <v>12</v>
      </c>
      <c r="E451">
        <v>0</v>
      </c>
      <c r="F451">
        <v>0</v>
      </c>
    </row>
    <row r="452" spans="1:6" x14ac:dyDescent="0.3">
      <c r="A452" t="s">
        <v>577</v>
      </c>
      <c r="B452">
        <v>24</v>
      </c>
      <c r="C452">
        <v>0</v>
      </c>
      <c r="D452">
        <v>0</v>
      </c>
      <c r="E452">
        <v>0</v>
      </c>
      <c r="F452">
        <v>0</v>
      </c>
    </row>
    <row r="453" spans="1:6" x14ac:dyDescent="0.3">
      <c r="A453" t="s">
        <v>578</v>
      </c>
      <c r="B453">
        <v>24</v>
      </c>
      <c r="C453">
        <v>0</v>
      </c>
      <c r="D453">
        <v>0</v>
      </c>
      <c r="E453">
        <v>0</v>
      </c>
      <c r="F453">
        <v>0</v>
      </c>
    </row>
    <row r="454" spans="1:6" x14ac:dyDescent="0.3">
      <c r="A454" t="s">
        <v>579</v>
      </c>
      <c r="B454">
        <v>24</v>
      </c>
      <c r="C454">
        <v>16</v>
      </c>
      <c r="D454">
        <v>16</v>
      </c>
      <c r="E454">
        <v>16</v>
      </c>
      <c r="F454">
        <v>16</v>
      </c>
    </row>
    <row r="455" spans="1:6" x14ac:dyDescent="0.3">
      <c r="A455" t="s">
        <v>580</v>
      </c>
      <c r="B455">
        <v>24</v>
      </c>
      <c r="C455">
        <v>500</v>
      </c>
      <c r="D455">
        <v>500</v>
      </c>
      <c r="E455">
        <v>500</v>
      </c>
      <c r="F455">
        <v>500</v>
      </c>
    </row>
    <row r="456" spans="1:6" x14ac:dyDescent="0.3">
      <c r="A456" t="s">
        <v>581</v>
      </c>
      <c r="B456">
        <v>24</v>
      </c>
      <c r="C456">
        <v>1980</v>
      </c>
      <c r="D456">
        <v>1980</v>
      </c>
      <c r="E456">
        <v>1320</v>
      </c>
      <c r="F456">
        <v>1320</v>
      </c>
    </row>
    <row r="457" spans="1:6" x14ac:dyDescent="0.3">
      <c r="A457" t="s">
        <v>582</v>
      </c>
      <c r="B457">
        <v>24</v>
      </c>
      <c r="C457">
        <v>1320</v>
      </c>
      <c r="D457">
        <v>1320</v>
      </c>
      <c r="E457">
        <v>880</v>
      </c>
      <c r="F457">
        <v>880</v>
      </c>
    </row>
    <row r="458" spans="1:6" x14ac:dyDescent="0.3">
      <c r="A458" t="s">
        <v>583</v>
      </c>
      <c r="B458">
        <v>24</v>
      </c>
      <c r="C458">
        <v>2640</v>
      </c>
      <c r="D458">
        <v>2640</v>
      </c>
      <c r="E458">
        <v>1760</v>
      </c>
      <c r="F458">
        <v>1760</v>
      </c>
    </row>
    <row r="459" spans="1:6" x14ac:dyDescent="0.3">
      <c r="A459" t="s">
        <v>584</v>
      </c>
      <c r="B459">
        <v>24</v>
      </c>
    </row>
    <row r="460" spans="1:6" x14ac:dyDescent="0.3">
      <c r="A460" t="s">
        <v>585</v>
      </c>
      <c r="B460">
        <v>24</v>
      </c>
    </row>
    <row r="461" spans="1:6" x14ac:dyDescent="0.3">
      <c r="A461" t="s">
        <v>586</v>
      </c>
      <c r="B461">
        <v>24</v>
      </c>
    </row>
    <row r="462" spans="1:6" x14ac:dyDescent="0.3">
      <c r="A462" t="s">
        <v>587</v>
      </c>
      <c r="B462">
        <v>24</v>
      </c>
      <c r="C462" t="b">
        <v>0</v>
      </c>
      <c r="D462" t="b">
        <v>0</v>
      </c>
      <c r="E462" t="b">
        <v>0</v>
      </c>
      <c r="F462" t="b">
        <v>0</v>
      </c>
    </row>
    <row r="463" spans="1:6" x14ac:dyDescent="0.3">
      <c r="A463" t="s">
        <v>588</v>
      </c>
      <c r="B463">
        <v>24</v>
      </c>
      <c r="C463" t="b">
        <v>0</v>
      </c>
      <c r="D463" t="b">
        <v>0</v>
      </c>
      <c r="E463" t="b">
        <v>0</v>
      </c>
      <c r="F463" t="b">
        <v>0</v>
      </c>
    </row>
    <row r="464" spans="1:6" x14ac:dyDescent="0.3">
      <c r="A464" t="s">
        <v>570</v>
      </c>
      <c r="B464">
        <v>25</v>
      </c>
      <c r="C464">
        <v>24</v>
      </c>
      <c r="D464">
        <v>26</v>
      </c>
      <c r="E464">
        <v>121</v>
      </c>
      <c r="F464">
        <v>122</v>
      </c>
    </row>
    <row r="465" spans="1:6" x14ac:dyDescent="0.3">
      <c r="A465" t="s">
        <v>36</v>
      </c>
      <c r="B465">
        <v>25</v>
      </c>
      <c r="C465">
        <v>4</v>
      </c>
      <c r="D465">
        <v>4</v>
      </c>
      <c r="E465">
        <v>2</v>
      </c>
      <c r="F465">
        <v>2</v>
      </c>
    </row>
    <row r="466" spans="1:6" x14ac:dyDescent="0.3">
      <c r="A466" t="s">
        <v>506</v>
      </c>
      <c r="B466">
        <v>25</v>
      </c>
      <c r="C466" t="s">
        <v>598</v>
      </c>
      <c r="D466" t="s">
        <v>613</v>
      </c>
      <c r="E466" t="s">
        <v>614</v>
      </c>
      <c r="F466" t="s">
        <v>614</v>
      </c>
    </row>
    <row r="467" spans="1:6" x14ac:dyDescent="0.3">
      <c r="A467" t="s">
        <v>574</v>
      </c>
      <c r="B467">
        <v>25</v>
      </c>
      <c r="C467">
        <v>2106</v>
      </c>
      <c r="D467">
        <v>1026</v>
      </c>
      <c r="E467">
        <v>1101</v>
      </c>
      <c r="F467">
        <v>919</v>
      </c>
    </row>
    <row r="468" spans="1:6" x14ac:dyDescent="0.3">
      <c r="A468" t="s">
        <v>42</v>
      </c>
      <c r="B468">
        <v>25</v>
      </c>
      <c r="C468">
        <v>45</v>
      </c>
      <c r="D468">
        <v>45</v>
      </c>
      <c r="E468">
        <v>30</v>
      </c>
      <c r="F468">
        <v>30</v>
      </c>
    </row>
    <row r="469" spans="1:6" x14ac:dyDescent="0.3">
      <c r="A469" t="s">
        <v>575</v>
      </c>
      <c r="B469">
        <v>25</v>
      </c>
      <c r="C469">
        <v>31.9</v>
      </c>
      <c r="D469">
        <v>15.5</v>
      </c>
      <c r="E469">
        <v>25</v>
      </c>
      <c r="F469">
        <v>20.9</v>
      </c>
    </row>
    <row r="470" spans="1:6" x14ac:dyDescent="0.3">
      <c r="A470" t="s">
        <v>41</v>
      </c>
      <c r="B470">
        <v>25</v>
      </c>
      <c r="C470">
        <v>0</v>
      </c>
      <c r="D470">
        <v>0</v>
      </c>
      <c r="E470">
        <v>0</v>
      </c>
      <c r="F470">
        <v>0</v>
      </c>
    </row>
    <row r="471" spans="1:6" x14ac:dyDescent="0.3">
      <c r="A471" t="s">
        <v>576</v>
      </c>
      <c r="B471">
        <v>25</v>
      </c>
      <c r="C471">
        <v>12</v>
      </c>
      <c r="D471">
        <v>12</v>
      </c>
      <c r="E471">
        <v>0</v>
      </c>
      <c r="F471">
        <v>0</v>
      </c>
    </row>
    <row r="472" spans="1:6" x14ac:dyDescent="0.3">
      <c r="A472" t="s">
        <v>577</v>
      </c>
      <c r="B472">
        <v>25</v>
      </c>
      <c r="C472">
        <v>0</v>
      </c>
      <c r="D472">
        <v>0</v>
      </c>
      <c r="E472">
        <v>0</v>
      </c>
      <c r="F472">
        <v>0</v>
      </c>
    </row>
    <row r="473" spans="1:6" x14ac:dyDescent="0.3">
      <c r="A473" t="s">
        <v>578</v>
      </c>
      <c r="B473">
        <v>25</v>
      </c>
      <c r="C473">
        <v>0</v>
      </c>
      <c r="D473">
        <v>0</v>
      </c>
      <c r="E473">
        <v>0</v>
      </c>
      <c r="F473">
        <v>0</v>
      </c>
    </row>
    <row r="474" spans="1:6" x14ac:dyDescent="0.3">
      <c r="A474" t="s">
        <v>579</v>
      </c>
      <c r="B474">
        <v>25</v>
      </c>
      <c r="C474">
        <v>16</v>
      </c>
      <c r="D474">
        <v>16</v>
      </c>
      <c r="E474">
        <v>16</v>
      </c>
      <c r="F474">
        <v>16</v>
      </c>
    </row>
    <row r="475" spans="1:6" x14ac:dyDescent="0.3">
      <c r="A475" t="s">
        <v>580</v>
      </c>
      <c r="B475">
        <v>25</v>
      </c>
      <c r="C475">
        <v>500</v>
      </c>
      <c r="D475">
        <v>500</v>
      </c>
      <c r="E475">
        <v>500</v>
      </c>
      <c r="F475">
        <v>500</v>
      </c>
    </row>
    <row r="476" spans="1:6" x14ac:dyDescent="0.3">
      <c r="A476" t="s">
        <v>581</v>
      </c>
      <c r="B476">
        <v>25</v>
      </c>
      <c r="C476">
        <v>1980</v>
      </c>
      <c r="D476">
        <v>1980</v>
      </c>
      <c r="E476">
        <v>1320</v>
      </c>
      <c r="F476">
        <v>1320</v>
      </c>
    </row>
    <row r="477" spans="1:6" x14ac:dyDescent="0.3">
      <c r="A477" t="s">
        <v>582</v>
      </c>
      <c r="B477">
        <v>25</v>
      </c>
      <c r="C477">
        <v>1320</v>
      </c>
      <c r="D477">
        <v>1320</v>
      </c>
      <c r="E477">
        <v>880</v>
      </c>
      <c r="F477">
        <v>880</v>
      </c>
    </row>
    <row r="478" spans="1:6" x14ac:dyDescent="0.3">
      <c r="A478" t="s">
        <v>583</v>
      </c>
      <c r="B478">
        <v>25</v>
      </c>
      <c r="C478">
        <v>2640</v>
      </c>
      <c r="D478">
        <v>2640</v>
      </c>
      <c r="E478">
        <v>1760</v>
      </c>
      <c r="F478">
        <v>1760</v>
      </c>
    </row>
    <row r="479" spans="1:6" x14ac:dyDescent="0.3">
      <c r="A479" t="s">
        <v>584</v>
      </c>
      <c r="B479">
        <v>25</v>
      </c>
    </row>
    <row r="480" spans="1:6" x14ac:dyDescent="0.3">
      <c r="A480" t="s">
        <v>585</v>
      </c>
      <c r="B480">
        <v>25</v>
      </c>
    </row>
    <row r="481" spans="1:6" x14ac:dyDescent="0.3">
      <c r="A481" t="s">
        <v>586</v>
      </c>
      <c r="B481">
        <v>25</v>
      </c>
    </row>
    <row r="482" spans="1:6" x14ac:dyDescent="0.3">
      <c r="A482" t="s">
        <v>587</v>
      </c>
      <c r="B482">
        <v>25</v>
      </c>
      <c r="C482" t="b">
        <v>0</v>
      </c>
      <c r="D482" t="b">
        <v>0</v>
      </c>
      <c r="E482" t="b">
        <v>0</v>
      </c>
      <c r="F482" t="b">
        <v>0</v>
      </c>
    </row>
    <row r="483" spans="1:6" x14ac:dyDescent="0.3">
      <c r="A483" t="s">
        <v>588</v>
      </c>
      <c r="B483">
        <v>25</v>
      </c>
      <c r="C483" t="b">
        <v>0</v>
      </c>
      <c r="D483" t="b">
        <v>0</v>
      </c>
      <c r="E483" t="b">
        <v>0</v>
      </c>
      <c r="F483" t="b">
        <v>0</v>
      </c>
    </row>
    <row r="484" spans="1:6" x14ac:dyDescent="0.3">
      <c r="A484" t="s">
        <v>570</v>
      </c>
      <c r="B484">
        <v>26</v>
      </c>
      <c r="C484">
        <v>25</v>
      </c>
      <c r="D484">
        <v>127</v>
      </c>
      <c r="E484">
        <v>125</v>
      </c>
      <c r="F484">
        <v>126</v>
      </c>
    </row>
    <row r="485" spans="1:6" x14ac:dyDescent="0.3">
      <c r="A485" t="s">
        <v>36</v>
      </c>
      <c r="B485">
        <v>26</v>
      </c>
      <c r="C485">
        <v>4</v>
      </c>
      <c r="D485">
        <v>4</v>
      </c>
      <c r="E485">
        <v>1</v>
      </c>
      <c r="F485">
        <v>3</v>
      </c>
    </row>
    <row r="486" spans="1:6" x14ac:dyDescent="0.3">
      <c r="A486" t="s">
        <v>506</v>
      </c>
      <c r="B486">
        <v>26</v>
      </c>
      <c r="C486" t="s">
        <v>613</v>
      </c>
      <c r="D486" t="s">
        <v>598</v>
      </c>
      <c r="E486" t="s">
        <v>615</v>
      </c>
      <c r="F486" t="s">
        <v>603</v>
      </c>
    </row>
    <row r="487" spans="1:6" x14ac:dyDescent="0.3">
      <c r="A487" t="s">
        <v>574</v>
      </c>
      <c r="B487">
        <v>26</v>
      </c>
      <c r="C487">
        <v>1026</v>
      </c>
      <c r="D487">
        <v>830</v>
      </c>
      <c r="E487">
        <v>424</v>
      </c>
      <c r="F487">
        <v>581</v>
      </c>
    </row>
    <row r="488" spans="1:6" x14ac:dyDescent="0.3">
      <c r="A488" t="s">
        <v>42</v>
      </c>
      <c r="B488">
        <v>26</v>
      </c>
      <c r="C488">
        <v>45</v>
      </c>
      <c r="D488">
        <v>45</v>
      </c>
      <c r="E488">
        <v>30</v>
      </c>
      <c r="F488">
        <v>30</v>
      </c>
    </row>
    <row r="489" spans="1:6" x14ac:dyDescent="0.3">
      <c r="A489" t="s">
        <v>575</v>
      </c>
      <c r="B489">
        <v>26</v>
      </c>
      <c r="C489">
        <v>15.5</v>
      </c>
      <c r="D489">
        <v>12.6</v>
      </c>
      <c r="E489">
        <v>9.6</v>
      </c>
      <c r="F489">
        <v>13.2</v>
      </c>
    </row>
    <row r="490" spans="1:6" x14ac:dyDescent="0.3">
      <c r="A490" t="s">
        <v>41</v>
      </c>
      <c r="B490">
        <v>26</v>
      </c>
      <c r="C490">
        <v>0</v>
      </c>
      <c r="D490">
        <v>0</v>
      </c>
      <c r="E490">
        <v>0</v>
      </c>
      <c r="F490">
        <v>0</v>
      </c>
    </row>
    <row r="491" spans="1:6" x14ac:dyDescent="0.3">
      <c r="A491" t="s">
        <v>576</v>
      </c>
      <c r="B491">
        <v>26</v>
      </c>
      <c r="C491">
        <v>12</v>
      </c>
      <c r="D491">
        <v>12</v>
      </c>
      <c r="E491">
        <v>12</v>
      </c>
      <c r="F491">
        <v>12</v>
      </c>
    </row>
    <row r="492" spans="1:6" x14ac:dyDescent="0.3">
      <c r="A492" t="s">
        <v>577</v>
      </c>
      <c r="B492">
        <v>26</v>
      </c>
      <c r="C492">
        <v>0</v>
      </c>
      <c r="D492">
        <v>0</v>
      </c>
      <c r="E492">
        <v>0</v>
      </c>
      <c r="F492">
        <v>0</v>
      </c>
    </row>
    <row r="493" spans="1:6" x14ac:dyDescent="0.3">
      <c r="A493" t="s">
        <v>578</v>
      </c>
      <c r="B493">
        <v>26</v>
      </c>
      <c r="C493">
        <v>0</v>
      </c>
      <c r="D493">
        <v>0</v>
      </c>
      <c r="E493">
        <v>0</v>
      </c>
      <c r="F493">
        <v>0</v>
      </c>
    </row>
    <row r="494" spans="1:6" x14ac:dyDescent="0.3">
      <c r="A494" t="s">
        <v>579</v>
      </c>
      <c r="B494">
        <v>26</v>
      </c>
      <c r="C494">
        <v>16</v>
      </c>
      <c r="D494">
        <v>16</v>
      </c>
      <c r="E494">
        <v>16</v>
      </c>
      <c r="F494">
        <v>16</v>
      </c>
    </row>
    <row r="495" spans="1:6" x14ac:dyDescent="0.3">
      <c r="A495" t="s">
        <v>580</v>
      </c>
      <c r="B495">
        <v>26</v>
      </c>
      <c r="C495">
        <v>500</v>
      </c>
      <c r="D495">
        <v>500</v>
      </c>
      <c r="E495">
        <v>500</v>
      </c>
      <c r="F495">
        <v>500</v>
      </c>
    </row>
    <row r="496" spans="1:6" x14ac:dyDescent="0.3">
      <c r="A496" t="s">
        <v>581</v>
      </c>
      <c r="B496">
        <v>26</v>
      </c>
      <c r="C496">
        <v>1980</v>
      </c>
      <c r="D496">
        <v>1980</v>
      </c>
      <c r="E496">
        <v>1320</v>
      </c>
      <c r="F496">
        <v>1320</v>
      </c>
    </row>
    <row r="497" spans="1:6" x14ac:dyDescent="0.3">
      <c r="A497" t="s">
        <v>582</v>
      </c>
      <c r="B497">
        <v>26</v>
      </c>
      <c r="C497">
        <v>1320</v>
      </c>
      <c r="D497">
        <v>1320</v>
      </c>
      <c r="E497">
        <v>880</v>
      </c>
      <c r="F497">
        <v>880</v>
      </c>
    </row>
    <row r="498" spans="1:6" x14ac:dyDescent="0.3">
      <c r="A498" t="s">
        <v>583</v>
      </c>
      <c r="B498">
        <v>26</v>
      </c>
      <c r="C498">
        <v>2640</v>
      </c>
      <c r="D498">
        <v>2640</v>
      </c>
      <c r="E498">
        <v>1760</v>
      </c>
      <c r="F498">
        <v>1760</v>
      </c>
    </row>
    <row r="499" spans="1:6" x14ac:dyDescent="0.3">
      <c r="A499" t="s">
        <v>584</v>
      </c>
      <c r="B499">
        <v>26</v>
      </c>
    </row>
    <row r="500" spans="1:6" x14ac:dyDescent="0.3">
      <c r="A500" t="s">
        <v>585</v>
      </c>
      <c r="B500">
        <v>26</v>
      </c>
    </row>
    <row r="501" spans="1:6" x14ac:dyDescent="0.3">
      <c r="A501" t="s">
        <v>586</v>
      </c>
      <c r="B501">
        <v>26</v>
      </c>
    </row>
    <row r="502" spans="1:6" x14ac:dyDescent="0.3">
      <c r="A502" t="s">
        <v>587</v>
      </c>
      <c r="B502">
        <v>26</v>
      </c>
      <c r="C502" t="b">
        <v>0</v>
      </c>
      <c r="D502" t="b">
        <v>0</v>
      </c>
      <c r="E502" t="b">
        <v>0</v>
      </c>
      <c r="F502" t="b">
        <v>0</v>
      </c>
    </row>
    <row r="503" spans="1:6" x14ac:dyDescent="0.3">
      <c r="A503" t="s">
        <v>588</v>
      </c>
      <c r="B503">
        <v>26</v>
      </c>
      <c r="C503" t="b">
        <v>0</v>
      </c>
      <c r="D503" t="b">
        <v>0</v>
      </c>
      <c r="E503" t="b">
        <v>0</v>
      </c>
      <c r="F503" t="b">
        <v>0</v>
      </c>
    </row>
    <row r="504" spans="1:6" x14ac:dyDescent="0.3">
      <c r="A504" t="s">
        <v>570</v>
      </c>
      <c r="B504">
        <v>30</v>
      </c>
      <c r="C504">
        <v>61</v>
      </c>
      <c r="D504">
        <v>31</v>
      </c>
      <c r="F504">
        <v>135</v>
      </c>
    </row>
    <row r="505" spans="1:6" x14ac:dyDescent="0.3">
      <c r="A505" t="s">
        <v>36</v>
      </c>
      <c r="B505">
        <v>30</v>
      </c>
      <c r="C505">
        <v>4</v>
      </c>
      <c r="D505">
        <v>3</v>
      </c>
      <c r="F505">
        <v>2</v>
      </c>
    </row>
    <row r="506" spans="1:6" x14ac:dyDescent="0.3">
      <c r="A506" t="s">
        <v>506</v>
      </c>
      <c r="B506">
        <v>30</v>
      </c>
      <c r="C506" t="s">
        <v>571</v>
      </c>
      <c r="D506" t="s">
        <v>571</v>
      </c>
      <c r="F506" t="s">
        <v>616</v>
      </c>
    </row>
    <row r="507" spans="1:6" x14ac:dyDescent="0.3">
      <c r="A507" t="s">
        <v>574</v>
      </c>
      <c r="B507">
        <v>30</v>
      </c>
      <c r="C507">
        <v>2237</v>
      </c>
      <c r="D507">
        <v>1575</v>
      </c>
      <c r="F507">
        <v>618</v>
      </c>
    </row>
    <row r="508" spans="1:6" x14ac:dyDescent="0.3">
      <c r="A508" t="s">
        <v>42</v>
      </c>
      <c r="B508">
        <v>30</v>
      </c>
      <c r="C508">
        <v>55</v>
      </c>
      <c r="D508">
        <v>55</v>
      </c>
      <c r="F508">
        <v>25</v>
      </c>
    </row>
    <row r="509" spans="1:6" x14ac:dyDescent="0.3">
      <c r="A509" t="s">
        <v>575</v>
      </c>
      <c r="B509">
        <v>30</v>
      </c>
      <c r="C509">
        <v>27.7</v>
      </c>
      <c r="D509">
        <v>19.5</v>
      </c>
      <c r="F509">
        <v>16.899999999999999</v>
      </c>
    </row>
    <row r="510" spans="1:6" x14ac:dyDescent="0.3">
      <c r="A510" t="s">
        <v>41</v>
      </c>
      <c r="B510">
        <v>30</v>
      </c>
      <c r="C510">
        <v>0</v>
      </c>
      <c r="D510">
        <v>-1</v>
      </c>
      <c r="F510">
        <v>2</v>
      </c>
    </row>
    <row r="511" spans="1:6" x14ac:dyDescent="0.3">
      <c r="A511" t="s">
        <v>576</v>
      </c>
      <c r="B511">
        <v>30</v>
      </c>
      <c r="C511">
        <v>12</v>
      </c>
      <c r="D511">
        <v>12</v>
      </c>
      <c r="F511">
        <v>12</v>
      </c>
    </row>
    <row r="512" spans="1:6" x14ac:dyDescent="0.3">
      <c r="A512" t="s">
        <v>577</v>
      </c>
      <c r="B512">
        <v>30</v>
      </c>
      <c r="C512">
        <v>0</v>
      </c>
      <c r="D512">
        <v>0</v>
      </c>
      <c r="F512">
        <v>0</v>
      </c>
    </row>
    <row r="513" spans="1:6" x14ac:dyDescent="0.3">
      <c r="A513" t="s">
        <v>578</v>
      </c>
      <c r="B513">
        <v>30</v>
      </c>
      <c r="C513">
        <v>0</v>
      </c>
      <c r="D513">
        <v>0</v>
      </c>
      <c r="F513">
        <v>0</v>
      </c>
    </row>
    <row r="514" spans="1:6" x14ac:dyDescent="0.3">
      <c r="A514" t="s">
        <v>579</v>
      </c>
      <c r="B514">
        <v>30</v>
      </c>
      <c r="C514">
        <v>16</v>
      </c>
      <c r="D514">
        <v>16</v>
      </c>
      <c r="F514">
        <v>16</v>
      </c>
    </row>
    <row r="515" spans="1:6" x14ac:dyDescent="0.3">
      <c r="A515" t="s">
        <v>580</v>
      </c>
      <c r="B515">
        <v>30</v>
      </c>
      <c r="C515">
        <v>500</v>
      </c>
      <c r="D515">
        <v>500</v>
      </c>
      <c r="F515">
        <v>500</v>
      </c>
    </row>
    <row r="516" spans="1:6" x14ac:dyDescent="0.3">
      <c r="A516" t="s">
        <v>581</v>
      </c>
      <c r="B516">
        <v>30</v>
      </c>
      <c r="C516">
        <v>2421</v>
      </c>
      <c r="D516">
        <v>2421</v>
      </c>
      <c r="F516">
        <v>1101</v>
      </c>
    </row>
    <row r="517" spans="1:6" x14ac:dyDescent="0.3">
      <c r="A517" t="s">
        <v>582</v>
      </c>
      <c r="B517">
        <v>30</v>
      </c>
      <c r="C517">
        <v>1614</v>
      </c>
      <c r="D517">
        <v>1614</v>
      </c>
      <c r="F517">
        <v>734</v>
      </c>
    </row>
    <row r="518" spans="1:6" x14ac:dyDescent="0.3">
      <c r="A518" t="s">
        <v>583</v>
      </c>
      <c r="B518">
        <v>30</v>
      </c>
      <c r="C518">
        <v>3228</v>
      </c>
      <c r="D518">
        <v>3228</v>
      </c>
      <c r="F518">
        <v>1468</v>
      </c>
    </row>
    <row r="519" spans="1:6" x14ac:dyDescent="0.3">
      <c r="A519" t="s">
        <v>584</v>
      </c>
      <c r="B519">
        <v>30</v>
      </c>
    </row>
    <row r="520" spans="1:6" x14ac:dyDescent="0.3">
      <c r="A520" t="s">
        <v>585</v>
      </c>
      <c r="B520">
        <v>30</v>
      </c>
    </row>
    <row r="521" spans="1:6" x14ac:dyDescent="0.3">
      <c r="A521" t="s">
        <v>586</v>
      </c>
      <c r="B521">
        <v>30</v>
      </c>
    </row>
    <row r="522" spans="1:6" x14ac:dyDescent="0.3">
      <c r="A522" t="s">
        <v>587</v>
      </c>
      <c r="B522">
        <v>30</v>
      </c>
      <c r="C522" t="b">
        <v>0</v>
      </c>
      <c r="D522" t="b">
        <v>0</v>
      </c>
      <c r="F522" t="b">
        <v>0</v>
      </c>
    </row>
    <row r="523" spans="1:6" x14ac:dyDescent="0.3">
      <c r="A523" t="s">
        <v>588</v>
      </c>
      <c r="B523">
        <v>30</v>
      </c>
      <c r="C523" t="b">
        <v>0</v>
      </c>
      <c r="D523" t="b">
        <v>0</v>
      </c>
      <c r="F523" t="b">
        <v>0</v>
      </c>
    </row>
    <row r="524" spans="1:6" x14ac:dyDescent="0.3">
      <c r="A524" t="s">
        <v>570</v>
      </c>
      <c r="B524">
        <v>31</v>
      </c>
      <c r="C524">
        <v>30</v>
      </c>
      <c r="D524">
        <v>8</v>
      </c>
      <c r="E524">
        <v>136</v>
      </c>
      <c r="F524">
        <v>137</v>
      </c>
    </row>
    <row r="525" spans="1:6" x14ac:dyDescent="0.3">
      <c r="A525" t="s">
        <v>36</v>
      </c>
      <c r="B525">
        <v>31</v>
      </c>
      <c r="C525">
        <v>4</v>
      </c>
      <c r="D525">
        <v>5</v>
      </c>
      <c r="E525">
        <v>1</v>
      </c>
      <c r="F525">
        <v>3</v>
      </c>
    </row>
    <row r="526" spans="1:6" x14ac:dyDescent="0.3">
      <c r="A526" t="s">
        <v>506</v>
      </c>
      <c r="B526">
        <v>31</v>
      </c>
      <c r="C526" t="s">
        <v>571</v>
      </c>
      <c r="D526" t="s">
        <v>571</v>
      </c>
      <c r="E526" t="s">
        <v>617</v>
      </c>
      <c r="F526" t="s">
        <v>617</v>
      </c>
    </row>
    <row r="527" spans="1:6" x14ac:dyDescent="0.3">
      <c r="A527" t="s">
        <v>574</v>
      </c>
      <c r="B527">
        <v>31</v>
      </c>
      <c r="C527">
        <v>1575</v>
      </c>
      <c r="D527">
        <v>410</v>
      </c>
      <c r="E527">
        <v>329</v>
      </c>
      <c r="F527">
        <v>264</v>
      </c>
    </row>
    <row r="528" spans="1:6" x14ac:dyDescent="0.3">
      <c r="A528" t="s">
        <v>42</v>
      </c>
      <c r="B528">
        <v>31</v>
      </c>
      <c r="C528">
        <v>55</v>
      </c>
      <c r="D528">
        <v>55</v>
      </c>
      <c r="E528">
        <v>25</v>
      </c>
      <c r="F528">
        <v>35</v>
      </c>
    </row>
    <row r="529" spans="1:6" x14ac:dyDescent="0.3">
      <c r="A529" t="s">
        <v>575</v>
      </c>
      <c r="B529">
        <v>31</v>
      </c>
      <c r="C529">
        <v>19.5</v>
      </c>
      <c r="D529">
        <v>5.0999999999999996</v>
      </c>
      <c r="E529">
        <v>9</v>
      </c>
      <c r="F529">
        <v>5.0999999999999996</v>
      </c>
    </row>
    <row r="530" spans="1:6" x14ac:dyDescent="0.3">
      <c r="A530" t="s">
        <v>41</v>
      </c>
      <c r="B530">
        <v>31</v>
      </c>
      <c r="C530">
        <v>2</v>
      </c>
      <c r="D530">
        <v>-3</v>
      </c>
      <c r="E530">
        <v>2</v>
      </c>
      <c r="F530">
        <v>5</v>
      </c>
    </row>
    <row r="531" spans="1:6" x14ac:dyDescent="0.3">
      <c r="A531" t="s">
        <v>576</v>
      </c>
      <c r="B531">
        <v>31</v>
      </c>
      <c r="C531">
        <v>24</v>
      </c>
      <c r="D531">
        <v>24</v>
      </c>
      <c r="E531">
        <v>12</v>
      </c>
      <c r="F531">
        <v>12</v>
      </c>
    </row>
    <row r="532" spans="1:6" x14ac:dyDescent="0.3">
      <c r="A532" t="s">
        <v>577</v>
      </c>
      <c r="B532">
        <v>31</v>
      </c>
      <c r="C532">
        <v>0</v>
      </c>
      <c r="D532">
        <v>0</v>
      </c>
      <c r="E532">
        <v>0</v>
      </c>
      <c r="F532">
        <v>0</v>
      </c>
    </row>
    <row r="533" spans="1:6" x14ac:dyDescent="0.3">
      <c r="A533" t="s">
        <v>578</v>
      </c>
      <c r="B533">
        <v>31</v>
      </c>
      <c r="C533">
        <v>0</v>
      </c>
      <c r="D533">
        <v>0</v>
      </c>
      <c r="E533">
        <v>0</v>
      </c>
      <c r="F533">
        <v>0</v>
      </c>
    </row>
    <row r="534" spans="1:6" x14ac:dyDescent="0.3">
      <c r="A534" t="s">
        <v>579</v>
      </c>
      <c r="B534">
        <v>31</v>
      </c>
      <c r="C534">
        <v>16</v>
      </c>
      <c r="D534">
        <v>16</v>
      </c>
      <c r="E534">
        <v>16</v>
      </c>
      <c r="F534">
        <v>16</v>
      </c>
    </row>
    <row r="535" spans="1:6" x14ac:dyDescent="0.3">
      <c r="A535" t="s">
        <v>580</v>
      </c>
      <c r="B535">
        <v>31</v>
      </c>
      <c r="C535">
        <v>500</v>
      </c>
      <c r="D535">
        <v>500</v>
      </c>
      <c r="E535">
        <v>500</v>
      </c>
      <c r="F535">
        <v>500</v>
      </c>
    </row>
    <row r="536" spans="1:6" x14ac:dyDescent="0.3">
      <c r="A536" t="s">
        <v>581</v>
      </c>
      <c r="B536">
        <v>31</v>
      </c>
      <c r="C536">
        <v>2421</v>
      </c>
      <c r="D536">
        <v>2421</v>
      </c>
      <c r="E536">
        <v>1101</v>
      </c>
      <c r="F536">
        <v>1539</v>
      </c>
    </row>
    <row r="537" spans="1:6" x14ac:dyDescent="0.3">
      <c r="A537" t="s">
        <v>582</v>
      </c>
      <c r="B537">
        <v>31</v>
      </c>
      <c r="C537">
        <v>1614</v>
      </c>
      <c r="D537">
        <v>1614</v>
      </c>
      <c r="E537">
        <v>734</v>
      </c>
      <c r="F537">
        <v>1026</v>
      </c>
    </row>
    <row r="538" spans="1:6" x14ac:dyDescent="0.3">
      <c r="A538" t="s">
        <v>583</v>
      </c>
      <c r="B538">
        <v>31</v>
      </c>
      <c r="C538">
        <v>3228</v>
      </c>
      <c r="D538">
        <v>3228</v>
      </c>
      <c r="E538">
        <v>1468</v>
      </c>
      <c r="F538">
        <v>2052</v>
      </c>
    </row>
    <row r="539" spans="1:6" x14ac:dyDescent="0.3">
      <c r="A539" t="s">
        <v>584</v>
      </c>
      <c r="B539">
        <v>31</v>
      </c>
    </row>
    <row r="540" spans="1:6" x14ac:dyDescent="0.3">
      <c r="A540" t="s">
        <v>585</v>
      </c>
      <c r="B540">
        <v>31</v>
      </c>
    </row>
    <row r="541" spans="1:6" x14ac:dyDescent="0.3">
      <c r="A541" t="s">
        <v>586</v>
      </c>
      <c r="B541">
        <v>31</v>
      </c>
    </row>
    <row r="542" spans="1:6" x14ac:dyDescent="0.3">
      <c r="A542" t="s">
        <v>587</v>
      </c>
      <c r="B542">
        <v>31</v>
      </c>
      <c r="C542" t="b">
        <v>0</v>
      </c>
      <c r="D542" t="b">
        <v>0</v>
      </c>
      <c r="E542" t="b">
        <v>0</v>
      </c>
      <c r="F542" t="b">
        <v>0</v>
      </c>
    </row>
    <row r="543" spans="1:6" x14ac:dyDescent="0.3">
      <c r="A543" t="s">
        <v>588</v>
      </c>
      <c r="B543">
        <v>31</v>
      </c>
      <c r="C543" t="b">
        <v>0</v>
      </c>
      <c r="D543" t="b">
        <v>0</v>
      </c>
      <c r="E543" t="b">
        <v>0</v>
      </c>
      <c r="F543" t="b">
        <v>0</v>
      </c>
    </row>
    <row r="544" spans="1:6" x14ac:dyDescent="0.3">
      <c r="A544" t="s">
        <v>570</v>
      </c>
      <c r="B544">
        <v>32</v>
      </c>
      <c r="C544">
        <v>8</v>
      </c>
      <c r="D544">
        <v>33</v>
      </c>
      <c r="E544">
        <v>139</v>
      </c>
      <c r="F544">
        <v>140</v>
      </c>
    </row>
    <row r="545" spans="1:6" x14ac:dyDescent="0.3">
      <c r="A545" t="s">
        <v>36</v>
      </c>
      <c r="B545">
        <v>32</v>
      </c>
      <c r="C545">
        <v>4</v>
      </c>
      <c r="D545">
        <v>4</v>
      </c>
      <c r="E545">
        <v>2</v>
      </c>
      <c r="F545">
        <v>2</v>
      </c>
    </row>
    <row r="546" spans="1:6" x14ac:dyDescent="0.3">
      <c r="A546" t="s">
        <v>506</v>
      </c>
      <c r="B546">
        <v>32</v>
      </c>
      <c r="C546" t="s">
        <v>571</v>
      </c>
      <c r="D546" t="s">
        <v>571</v>
      </c>
      <c r="E546" t="s">
        <v>618</v>
      </c>
      <c r="F546" t="s">
        <v>619</v>
      </c>
    </row>
    <row r="547" spans="1:6" x14ac:dyDescent="0.3">
      <c r="A547" t="s">
        <v>574</v>
      </c>
      <c r="B547">
        <v>32</v>
      </c>
      <c r="C547">
        <v>809</v>
      </c>
      <c r="D547" t="s">
        <v>620</v>
      </c>
      <c r="E547">
        <v>380</v>
      </c>
      <c r="F547">
        <v>418</v>
      </c>
    </row>
    <row r="548" spans="1:6" x14ac:dyDescent="0.3">
      <c r="A548" t="s">
        <v>42</v>
      </c>
      <c r="B548">
        <v>32</v>
      </c>
      <c r="C548">
        <v>55</v>
      </c>
      <c r="D548">
        <v>55</v>
      </c>
      <c r="E548">
        <v>35</v>
      </c>
      <c r="F548">
        <v>35</v>
      </c>
    </row>
    <row r="549" spans="1:6" x14ac:dyDescent="0.3">
      <c r="A549" t="s">
        <v>575</v>
      </c>
      <c r="B549">
        <v>32</v>
      </c>
      <c r="C549">
        <v>10</v>
      </c>
      <c r="D549">
        <v>37.200000000000003</v>
      </c>
      <c r="E549">
        <v>7.4</v>
      </c>
      <c r="F549">
        <v>8.1</v>
      </c>
    </row>
    <row r="550" spans="1:6" x14ac:dyDescent="0.3">
      <c r="A550" t="s">
        <v>41</v>
      </c>
      <c r="B550">
        <v>32</v>
      </c>
      <c r="C550">
        <v>2</v>
      </c>
      <c r="D550">
        <v>-2</v>
      </c>
      <c r="E550">
        <v>1</v>
      </c>
      <c r="F550">
        <v>0</v>
      </c>
    </row>
    <row r="551" spans="1:6" x14ac:dyDescent="0.3">
      <c r="A551" t="s">
        <v>576</v>
      </c>
      <c r="B551">
        <v>32</v>
      </c>
      <c r="C551">
        <v>12</v>
      </c>
      <c r="D551">
        <v>12</v>
      </c>
      <c r="E551">
        <v>12</v>
      </c>
      <c r="F551">
        <v>12</v>
      </c>
    </row>
    <row r="552" spans="1:6" x14ac:dyDescent="0.3">
      <c r="A552" t="s">
        <v>577</v>
      </c>
      <c r="B552">
        <v>32</v>
      </c>
      <c r="C552">
        <v>0</v>
      </c>
      <c r="D552">
        <v>0</v>
      </c>
      <c r="E552">
        <v>0</v>
      </c>
      <c r="F552">
        <v>0</v>
      </c>
    </row>
    <row r="553" spans="1:6" x14ac:dyDescent="0.3">
      <c r="A553" t="s">
        <v>578</v>
      </c>
      <c r="B553">
        <v>32</v>
      </c>
      <c r="C553">
        <v>0</v>
      </c>
      <c r="D553">
        <v>0</v>
      </c>
      <c r="E553">
        <v>0</v>
      </c>
      <c r="F553">
        <v>0</v>
      </c>
    </row>
    <row r="554" spans="1:6" x14ac:dyDescent="0.3">
      <c r="A554" t="s">
        <v>579</v>
      </c>
      <c r="B554">
        <v>32</v>
      </c>
      <c r="C554">
        <v>16</v>
      </c>
      <c r="D554">
        <v>16</v>
      </c>
      <c r="E554">
        <v>16</v>
      </c>
      <c r="F554">
        <v>16</v>
      </c>
    </row>
    <row r="555" spans="1:6" x14ac:dyDescent="0.3">
      <c r="A555" t="s">
        <v>580</v>
      </c>
      <c r="B555">
        <v>32</v>
      </c>
      <c r="C555">
        <v>500</v>
      </c>
      <c r="D555">
        <v>500</v>
      </c>
      <c r="E555">
        <v>500</v>
      </c>
      <c r="F555">
        <v>500</v>
      </c>
    </row>
    <row r="556" spans="1:6" x14ac:dyDescent="0.3">
      <c r="A556" t="s">
        <v>581</v>
      </c>
      <c r="B556">
        <v>32</v>
      </c>
      <c r="C556">
        <v>2421</v>
      </c>
      <c r="D556">
        <v>2421</v>
      </c>
      <c r="E556">
        <v>1539</v>
      </c>
      <c r="F556">
        <v>1539</v>
      </c>
    </row>
    <row r="557" spans="1:6" x14ac:dyDescent="0.3">
      <c r="A557" t="s">
        <v>582</v>
      </c>
      <c r="B557">
        <v>32</v>
      </c>
      <c r="C557">
        <v>1614</v>
      </c>
      <c r="D557">
        <v>1614</v>
      </c>
      <c r="E557">
        <v>1026</v>
      </c>
      <c r="F557">
        <v>1026</v>
      </c>
    </row>
    <row r="558" spans="1:6" x14ac:dyDescent="0.3">
      <c r="A558" t="s">
        <v>583</v>
      </c>
      <c r="B558">
        <v>32</v>
      </c>
      <c r="C558">
        <v>3228</v>
      </c>
      <c r="D558">
        <v>3228</v>
      </c>
      <c r="E558">
        <v>2052</v>
      </c>
      <c r="F558">
        <v>2052</v>
      </c>
    </row>
    <row r="559" spans="1:6" x14ac:dyDescent="0.3">
      <c r="A559" t="s">
        <v>584</v>
      </c>
      <c r="B559">
        <v>32</v>
      </c>
    </row>
    <row r="560" spans="1:6" x14ac:dyDescent="0.3">
      <c r="A560" t="s">
        <v>585</v>
      </c>
      <c r="B560">
        <v>32</v>
      </c>
    </row>
    <row r="561" spans="1:6" x14ac:dyDescent="0.3">
      <c r="A561" t="s">
        <v>586</v>
      </c>
      <c r="B561">
        <v>32</v>
      </c>
    </row>
    <row r="562" spans="1:6" x14ac:dyDescent="0.3">
      <c r="A562" t="s">
        <v>587</v>
      </c>
      <c r="B562">
        <v>32</v>
      </c>
      <c r="C562" t="b">
        <v>0</v>
      </c>
      <c r="D562" t="b">
        <v>0</v>
      </c>
      <c r="E562" t="b">
        <v>0</v>
      </c>
      <c r="F562" t="b">
        <v>0</v>
      </c>
    </row>
    <row r="563" spans="1:6" x14ac:dyDescent="0.3">
      <c r="A563" t="s">
        <v>588</v>
      </c>
      <c r="B563">
        <v>32</v>
      </c>
      <c r="C563" t="b">
        <v>0</v>
      </c>
      <c r="D563" t="b">
        <v>0</v>
      </c>
      <c r="E563" t="b">
        <v>0</v>
      </c>
      <c r="F563" t="b">
        <v>0</v>
      </c>
    </row>
    <row r="564" spans="1:6" x14ac:dyDescent="0.3">
      <c r="A564" t="s">
        <v>570</v>
      </c>
      <c r="B564">
        <v>33</v>
      </c>
      <c r="C564">
        <v>32</v>
      </c>
      <c r="D564">
        <v>34</v>
      </c>
      <c r="E564">
        <v>212</v>
      </c>
      <c r="F564">
        <v>213</v>
      </c>
    </row>
    <row r="565" spans="1:6" x14ac:dyDescent="0.3">
      <c r="A565" t="s">
        <v>36</v>
      </c>
      <c r="B565">
        <v>33</v>
      </c>
      <c r="C565">
        <v>4</v>
      </c>
      <c r="D565">
        <v>4</v>
      </c>
      <c r="E565">
        <v>2</v>
      </c>
      <c r="F565">
        <v>2</v>
      </c>
    </row>
    <row r="566" spans="1:6" x14ac:dyDescent="0.3">
      <c r="A566" t="s">
        <v>506</v>
      </c>
      <c r="B566">
        <v>33</v>
      </c>
      <c r="C566" t="s">
        <v>571</v>
      </c>
      <c r="D566" t="s">
        <v>571</v>
      </c>
      <c r="E566" t="s">
        <v>621</v>
      </c>
      <c r="F566" t="s">
        <v>622</v>
      </c>
    </row>
    <row r="567" spans="1:6" x14ac:dyDescent="0.3">
      <c r="A567" t="s">
        <v>574</v>
      </c>
      <c r="B567">
        <v>33</v>
      </c>
      <c r="C567" t="s">
        <v>620</v>
      </c>
      <c r="D567" t="s">
        <v>623</v>
      </c>
      <c r="E567">
        <v>622</v>
      </c>
      <c r="F567">
        <v>1097</v>
      </c>
    </row>
    <row r="568" spans="1:6" x14ac:dyDescent="0.3">
      <c r="A568" t="s">
        <v>42</v>
      </c>
      <c r="B568">
        <v>33</v>
      </c>
      <c r="C568">
        <v>55</v>
      </c>
      <c r="D568">
        <v>55</v>
      </c>
      <c r="E568">
        <v>30</v>
      </c>
      <c r="F568">
        <v>30</v>
      </c>
    </row>
    <row r="569" spans="1:6" x14ac:dyDescent="0.3">
      <c r="A569" t="s">
        <v>575</v>
      </c>
      <c r="B569">
        <v>33</v>
      </c>
      <c r="C569">
        <v>37.200000000000003</v>
      </c>
      <c r="D569">
        <v>39</v>
      </c>
      <c r="E569">
        <v>14.1</v>
      </c>
      <c r="F569">
        <v>24.9</v>
      </c>
    </row>
    <row r="570" spans="1:6" x14ac:dyDescent="0.3">
      <c r="A570" t="s">
        <v>41</v>
      </c>
      <c r="B570">
        <v>33</v>
      </c>
      <c r="C570">
        <v>0</v>
      </c>
      <c r="D570">
        <v>-2</v>
      </c>
      <c r="E570">
        <v>0</v>
      </c>
      <c r="F570">
        <v>0</v>
      </c>
    </row>
    <row r="571" spans="1:6" x14ac:dyDescent="0.3">
      <c r="A571" t="s">
        <v>576</v>
      </c>
      <c r="B571">
        <v>33</v>
      </c>
      <c r="C571">
        <v>12</v>
      </c>
      <c r="D571">
        <v>12</v>
      </c>
      <c r="E571">
        <v>12</v>
      </c>
      <c r="F571">
        <v>12</v>
      </c>
    </row>
    <row r="572" spans="1:6" x14ac:dyDescent="0.3">
      <c r="A572" t="s">
        <v>577</v>
      </c>
      <c r="B572">
        <v>33</v>
      </c>
      <c r="C572">
        <v>0</v>
      </c>
      <c r="D572">
        <v>0</v>
      </c>
      <c r="E572">
        <v>0</v>
      </c>
      <c r="F572">
        <v>0</v>
      </c>
    </row>
    <row r="573" spans="1:6" x14ac:dyDescent="0.3">
      <c r="A573" t="s">
        <v>578</v>
      </c>
      <c r="B573">
        <v>33</v>
      </c>
      <c r="C573">
        <v>0</v>
      </c>
      <c r="D573">
        <v>0</v>
      </c>
      <c r="E573">
        <v>0</v>
      </c>
      <c r="F573">
        <v>0</v>
      </c>
    </row>
    <row r="574" spans="1:6" x14ac:dyDescent="0.3">
      <c r="A574" t="s">
        <v>579</v>
      </c>
      <c r="B574">
        <v>33</v>
      </c>
      <c r="C574">
        <v>16</v>
      </c>
      <c r="D574">
        <v>16</v>
      </c>
      <c r="E574">
        <v>16</v>
      </c>
      <c r="F574">
        <v>16</v>
      </c>
    </row>
    <row r="575" spans="1:6" x14ac:dyDescent="0.3">
      <c r="A575" t="s">
        <v>580</v>
      </c>
      <c r="B575">
        <v>33</v>
      </c>
      <c r="C575">
        <v>500</v>
      </c>
      <c r="D575">
        <v>500</v>
      </c>
      <c r="E575">
        <v>500</v>
      </c>
      <c r="F575">
        <v>500</v>
      </c>
    </row>
    <row r="576" spans="1:6" x14ac:dyDescent="0.3">
      <c r="A576" t="s">
        <v>581</v>
      </c>
      <c r="B576">
        <v>33</v>
      </c>
      <c r="C576">
        <v>2421</v>
      </c>
      <c r="D576">
        <v>2421</v>
      </c>
      <c r="E576">
        <v>1320</v>
      </c>
      <c r="F576">
        <v>1320</v>
      </c>
    </row>
    <row r="577" spans="1:6" x14ac:dyDescent="0.3">
      <c r="A577" t="s">
        <v>582</v>
      </c>
      <c r="B577">
        <v>33</v>
      </c>
      <c r="C577">
        <v>1614</v>
      </c>
      <c r="D577">
        <v>1614</v>
      </c>
      <c r="E577">
        <v>880</v>
      </c>
      <c r="F577">
        <v>880</v>
      </c>
    </row>
    <row r="578" spans="1:6" x14ac:dyDescent="0.3">
      <c r="A578" t="s">
        <v>583</v>
      </c>
      <c r="B578">
        <v>33</v>
      </c>
      <c r="C578">
        <v>3228</v>
      </c>
      <c r="D578">
        <v>3228</v>
      </c>
      <c r="E578">
        <v>1760</v>
      </c>
      <c r="F578">
        <v>1760</v>
      </c>
    </row>
    <row r="579" spans="1:6" x14ac:dyDescent="0.3">
      <c r="A579" t="s">
        <v>584</v>
      </c>
      <c r="B579">
        <v>33</v>
      </c>
    </row>
    <row r="580" spans="1:6" x14ac:dyDescent="0.3">
      <c r="A580" t="s">
        <v>585</v>
      </c>
      <c r="B580">
        <v>33</v>
      </c>
    </row>
    <row r="581" spans="1:6" x14ac:dyDescent="0.3">
      <c r="A581" t="s">
        <v>586</v>
      </c>
      <c r="B581">
        <v>33</v>
      </c>
    </row>
    <row r="582" spans="1:6" x14ac:dyDescent="0.3">
      <c r="A582" t="s">
        <v>587</v>
      </c>
      <c r="B582">
        <v>33</v>
      </c>
      <c r="C582" t="b">
        <v>0</v>
      </c>
      <c r="D582" t="b">
        <v>0</v>
      </c>
      <c r="E582" t="b">
        <v>0</v>
      </c>
      <c r="F582" t="b">
        <v>0</v>
      </c>
    </row>
    <row r="583" spans="1:6" x14ac:dyDescent="0.3">
      <c r="A583" t="s">
        <v>588</v>
      </c>
      <c r="B583">
        <v>33</v>
      </c>
      <c r="C583" t="b">
        <v>0</v>
      </c>
      <c r="D583" t="b">
        <v>0</v>
      </c>
      <c r="E583" t="b">
        <v>0</v>
      </c>
      <c r="F583" t="b">
        <v>0</v>
      </c>
    </row>
    <row r="584" spans="1:6" x14ac:dyDescent="0.3">
      <c r="A584" t="s">
        <v>570</v>
      </c>
      <c r="B584">
        <v>34</v>
      </c>
      <c r="C584">
        <v>33</v>
      </c>
      <c r="D584">
        <v>62</v>
      </c>
      <c r="E584">
        <v>211</v>
      </c>
      <c r="F584">
        <v>210</v>
      </c>
    </row>
    <row r="585" spans="1:6" x14ac:dyDescent="0.3">
      <c r="A585" t="s">
        <v>36</v>
      </c>
      <c r="B585">
        <v>34</v>
      </c>
      <c r="C585">
        <v>4</v>
      </c>
      <c r="D585">
        <v>4</v>
      </c>
      <c r="E585">
        <v>1</v>
      </c>
      <c r="F585">
        <v>1</v>
      </c>
    </row>
    <row r="586" spans="1:6" x14ac:dyDescent="0.3">
      <c r="A586" t="s">
        <v>506</v>
      </c>
      <c r="B586">
        <v>34</v>
      </c>
      <c r="C586" t="s">
        <v>571</v>
      </c>
      <c r="D586" t="s">
        <v>571</v>
      </c>
      <c r="E586" t="s">
        <v>624</v>
      </c>
      <c r="F586" t="s">
        <v>624</v>
      </c>
    </row>
    <row r="587" spans="1:6" x14ac:dyDescent="0.3">
      <c r="A587" t="s">
        <v>574</v>
      </c>
      <c r="B587">
        <v>34</v>
      </c>
      <c r="C587" t="s">
        <v>623</v>
      </c>
      <c r="D587">
        <v>1189</v>
      </c>
      <c r="E587">
        <v>505</v>
      </c>
      <c r="F587">
        <v>703</v>
      </c>
    </row>
    <row r="588" spans="1:6" x14ac:dyDescent="0.3">
      <c r="A588" t="s">
        <v>42</v>
      </c>
      <c r="B588">
        <v>34</v>
      </c>
      <c r="C588">
        <v>55</v>
      </c>
      <c r="D588">
        <v>55</v>
      </c>
      <c r="E588">
        <v>30</v>
      </c>
      <c r="F588">
        <v>30</v>
      </c>
    </row>
    <row r="589" spans="1:6" x14ac:dyDescent="0.3">
      <c r="A589" t="s">
        <v>575</v>
      </c>
      <c r="B589">
        <v>34</v>
      </c>
      <c r="C589">
        <v>39</v>
      </c>
      <c r="D589">
        <v>14.7</v>
      </c>
      <c r="E589">
        <v>11.5</v>
      </c>
      <c r="F589">
        <v>16</v>
      </c>
    </row>
    <row r="590" spans="1:6" x14ac:dyDescent="0.3">
      <c r="A590" t="s">
        <v>41</v>
      </c>
      <c r="B590">
        <v>34</v>
      </c>
      <c r="C590">
        <v>0</v>
      </c>
      <c r="D590">
        <v>-2</v>
      </c>
      <c r="E590">
        <v>0</v>
      </c>
      <c r="F590">
        <v>0</v>
      </c>
    </row>
    <row r="591" spans="1:6" x14ac:dyDescent="0.3">
      <c r="A591" t="s">
        <v>576</v>
      </c>
      <c r="B591">
        <v>34</v>
      </c>
      <c r="C591">
        <v>12</v>
      </c>
      <c r="D591">
        <v>12</v>
      </c>
      <c r="E591">
        <v>0</v>
      </c>
      <c r="F591">
        <v>0</v>
      </c>
    </row>
    <row r="592" spans="1:6" x14ac:dyDescent="0.3">
      <c r="A592" t="s">
        <v>577</v>
      </c>
      <c r="B592">
        <v>34</v>
      </c>
      <c r="C592">
        <v>0</v>
      </c>
      <c r="D592">
        <v>0</v>
      </c>
      <c r="E592">
        <v>0</v>
      </c>
      <c r="F592">
        <v>0</v>
      </c>
    </row>
    <row r="593" spans="1:6" x14ac:dyDescent="0.3">
      <c r="A593" t="s">
        <v>578</v>
      </c>
      <c r="B593">
        <v>34</v>
      </c>
      <c r="C593">
        <v>0</v>
      </c>
      <c r="D593">
        <v>0</v>
      </c>
      <c r="E593">
        <v>0</v>
      </c>
      <c r="F593">
        <v>0</v>
      </c>
    </row>
    <row r="594" spans="1:6" x14ac:dyDescent="0.3">
      <c r="A594" t="s">
        <v>579</v>
      </c>
      <c r="B594">
        <v>34</v>
      </c>
      <c r="C594">
        <v>16</v>
      </c>
      <c r="D594">
        <v>16</v>
      </c>
      <c r="E594">
        <v>16</v>
      </c>
      <c r="F594">
        <v>16</v>
      </c>
    </row>
    <row r="595" spans="1:6" x14ac:dyDescent="0.3">
      <c r="A595" t="s">
        <v>580</v>
      </c>
      <c r="B595">
        <v>34</v>
      </c>
      <c r="C595">
        <v>500</v>
      </c>
      <c r="D595">
        <v>500</v>
      </c>
      <c r="E595">
        <v>500</v>
      </c>
      <c r="F595">
        <v>500</v>
      </c>
    </row>
    <row r="596" spans="1:6" x14ac:dyDescent="0.3">
      <c r="A596" t="s">
        <v>581</v>
      </c>
      <c r="B596">
        <v>34</v>
      </c>
      <c r="C596">
        <v>2421</v>
      </c>
      <c r="D596">
        <v>2421</v>
      </c>
      <c r="E596">
        <v>1320</v>
      </c>
      <c r="F596">
        <v>1320</v>
      </c>
    </row>
    <row r="597" spans="1:6" x14ac:dyDescent="0.3">
      <c r="A597" t="s">
        <v>582</v>
      </c>
      <c r="B597">
        <v>34</v>
      </c>
      <c r="C597">
        <v>1614</v>
      </c>
      <c r="D597">
        <v>1614</v>
      </c>
      <c r="E597">
        <v>880</v>
      </c>
      <c r="F597">
        <v>880</v>
      </c>
    </row>
    <row r="598" spans="1:6" x14ac:dyDescent="0.3">
      <c r="A598" t="s">
        <v>583</v>
      </c>
      <c r="B598">
        <v>34</v>
      </c>
      <c r="C598">
        <v>3228</v>
      </c>
      <c r="D598">
        <v>3228</v>
      </c>
      <c r="E598">
        <v>1760</v>
      </c>
      <c r="F598">
        <v>1760</v>
      </c>
    </row>
    <row r="599" spans="1:6" x14ac:dyDescent="0.3">
      <c r="A599" t="s">
        <v>584</v>
      </c>
      <c r="B599">
        <v>34</v>
      </c>
    </row>
    <row r="600" spans="1:6" x14ac:dyDescent="0.3">
      <c r="A600" t="s">
        <v>585</v>
      </c>
      <c r="B600">
        <v>34</v>
      </c>
    </row>
    <row r="601" spans="1:6" x14ac:dyDescent="0.3">
      <c r="A601" t="s">
        <v>586</v>
      </c>
      <c r="B601">
        <v>34</v>
      </c>
    </row>
    <row r="602" spans="1:6" x14ac:dyDescent="0.3">
      <c r="A602" t="s">
        <v>587</v>
      </c>
      <c r="B602">
        <v>34</v>
      </c>
      <c r="C602" t="b">
        <v>0</v>
      </c>
      <c r="D602" t="b">
        <v>0</v>
      </c>
      <c r="E602" t="b">
        <v>0</v>
      </c>
      <c r="F602" t="b">
        <v>0</v>
      </c>
    </row>
    <row r="603" spans="1:6" x14ac:dyDescent="0.3">
      <c r="A603" t="s">
        <v>588</v>
      </c>
      <c r="B603">
        <v>34</v>
      </c>
      <c r="C603" t="b">
        <v>0</v>
      </c>
      <c r="D603" t="b">
        <v>0</v>
      </c>
      <c r="E603" t="b">
        <v>0</v>
      </c>
      <c r="F603" t="b">
        <v>0</v>
      </c>
    </row>
    <row r="604" spans="1:6" x14ac:dyDescent="0.3">
      <c r="A604" t="s">
        <v>570</v>
      </c>
      <c r="B604">
        <v>46</v>
      </c>
      <c r="D604">
        <v>22</v>
      </c>
      <c r="F604">
        <v>10</v>
      </c>
    </row>
    <row r="605" spans="1:6" x14ac:dyDescent="0.3">
      <c r="A605" t="s">
        <v>36</v>
      </c>
      <c r="B605">
        <v>46</v>
      </c>
      <c r="D605">
        <v>2</v>
      </c>
      <c r="F605" t="s">
        <v>607</v>
      </c>
    </row>
    <row r="606" spans="1:6" x14ac:dyDescent="0.3">
      <c r="A606" t="s">
        <v>506</v>
      </c>
      <c r="B606">
        <v>46</v>
      </c>
      <c r="D606" t="s">
        <v>598</v>
      </c>
      <c r="F606" t="s">
        <v>598</v>
      </c>
    </row>
    <row r="607" spans="1:6" x14ac:dyDescent="0.3">
      <c r="A607" t="s">
        <v>574</v>
      </c>
      <c r="B607">
        <v>46</v>
      </c>
      <c r="D607">
        <v>358</v>
      </c>
      <c r="F607">
        <v>529</v>
      </c>
    </row>
    <row r="608" spans="1:6" x14ac:dyDescent="0.3">
      <c r="A608" t="s">
        <v>42</v>
      </c>
      <c r="B608">
        <v>46</v>
      </c>
      <c r="D608">
        <v>30</v>
      </c>
      <c r="F608">
        <v>30</v>
      </c>
    </row>
    <row r="609" spans="1:6" x14ac:dyDescent="0.3">
      <c r="A609" t="s">
        <v>575</v>
      </c>
      <c r="B609">
        <v>46</v>
      </c>
      <c r="D609">
        <v>8.1</v>
      </c>
      <c r="F609">
        <v>12</v>
      </c>
    </row>
    <row r="610" spans="1:6" x14ac:dyDescent="0.3">
      <c r="A610" t="s">
        <v>41</v>
      </c>
      <c r="B610">
        <v>46</v>
      </c>
      <c r="D610">
        <v>0</v>
      </c>
      <c r="F610">
        <v>0</v>
      </c>
    </row>
    <row r="611" spans="1:6" x14ac:dyDescent="0.3">
      <c r="A611" t="s">
        <v>576</v>
      </c>
      <c r="B611">
        <v>46</v>
      </c>
      <c r="D611">
        <v>12</v>
      </c>
      <c r="F611">
        <v>12</v>
      </c>
    </row>
    <row r="612" spans="1:6" x14ac:dyDescent="0.3">
      <c r="A612" t="s">
        <v>577</v>
      </c>
      <c r="B612">
        <v>46</v>
      </c>
      <c r="D612">
        <v>0</v>
      </c>
      <c r="F612">
        <v>0</v>
      </c>
    </row>
    <row r="613" spans="1:6" x14ac:dyDescent="0.3">
      <c r="A613" t="s">
        <v>578</v>
      </c>
      <c r="B613">
        <v>46</v>
      </c>
      <c r="D613">
        <v>0</v>
      </c>
      <c r="F613">
        <v>0</v>
      </c>
    </row>
    <row r="614" spans="1:6" x14ac:dyDescent="0.3">
      <c r="A614" t="s">
        <v>579</v>
      </c>
      <c r="B614">
        <v>46</v>
      </c>
      <c r="D614">
        <v>16</v>
      </c>
      <c r="F614">
        <v>16</v>
      </c>
    </row>
    <row r="615" spans="1:6" x14ac:dyDescent="0.3">
      <c r="A615" t="s">
        <v>580</v>
      </c>
      <c r="B615">
        <v>46</v>
      </c>
      <c r="D615">
        <v>100</v>
      </c>
      <c r="F615">
        <v>100</v>
      </c>
    </row>
    <row r="616" spans="1:6" x14ac:dyDescent="0.3">
      <c r="A616" t="s">
        <v>581</v>
      </c>
      <c r="B616">
        <v>46</v>
      </c>
      <c r="D616">
        <v>1320</v>
      </c>
      <c r="F616">
        <v>1320</v>
      </c>
    </row>
    <row r="617" spans="1:6" x14ac:dyDescent="0.3">
      <c r="A617" t="s">
        <v>582</v>
      </c>
      <c r="B617">
        <v>46</v>
      </c>
      <c r="D617">
        <v>880</v>
      </c>
      <c r="F617">
        <v>880</v>
      </c>
    </row>
    <row r="618" spans="1:6" x14ac:dyDescent="0.3">
      <c r="A618" t="s">
        <v>583</v>
      </c>
      <c r="B618">
        <v>46</v>
      </c>
      <c r="D618">
        <v>1760</v>
      </c>
      <c r="F618">
        <v>1760</v>
      </c>
    </row>
    <row r="619" spans="1:6" x14ac:dyDescent="0.3">
      <c r="A619" t="s">
        <v>584</v>
      </c>
      <c r="B619">
        <v>46</v>
      </c>
    </row>
    <row r="620" spans="1:6" x14ac:dyDescent="0.3">
      <c r="A620" t="s">
        <v>585</v>
      </c>
      <c r="B620">
        <v>46</v>
      </c>
    </row>
    <row r="621" spans="1:6" x14ac:dyDescent="0.3">
      <c r="A621" t="s">
        <v>586</v>
      </c>
      <c r="B621">
        <v>46</v>
      </c>
    </row>
    <row r="622" spans="1:6" x14ac:dyDescent="0.3">
      <c r="A622" t="s">
        <v>587</v>
      </c>
      <c r="B622">
        <v>46</v>
      </c>
      <c r="D622" t="b">
        <v>0</v>
      </c>
      <c r="F622" t="b">
        <v>0</v>
      </c>
    </row>
    <row r="623" spans="1:6" x14ac:dyDescent="0.3">
      <c r="A623" t="s">
        <v>588</v>
      </c>
      <c r="B623">
        <v>46</v>
      </c>
      <c r="D623" t="b">
        <v>0</v>
      </c>
      <c r="F623" t="b">
        <v>0</v>
      </c>
    </row>
    <row r="624" spans="1:6" x14ac:dyDescent="0.3">
      <c r="A624" t="s">
        <v>570</v>
      </c>
      <c r="B624">
        <v>60</v>
      </c>
      <c r="C624">
        <v>7</v>
      </c>
      <c r="E624">
        <v>10</v>
      </c>
    </row>
    <row r="625" spans="1:5" x14ac:dyDescent="0.3">
      <c r="A625" t="s">
        <v>36</v>
      </c>
      <c r="B625">
        <v>60</v>
      </c>
      <c r="C625" t="s">
        <v>607</v>
      </c>
      <c r="E625">
        <v>2</v>
      </c>
    </row>
    <row r="626" spans="1:5" x14ac:dyDescent="0.3">
      <c r="A626" t="s">
        <v>506</v>
      </c>
      <c r="B626">
        <v>60</v>
      </c>
      <c r="E626" t="s">
        <v>598</v>
      </c>
    </row>
    <row r="627" spans="1:5" x14ac:dyDescent="0.3">
      <c r="A627" t="s">
        <v>574</v>
      </c>
      <c r="B627">
        <v>60</v>
      </c>
      <c r="C627">
        <v>5914</v>
      </c>
      <c r="E627">
        <v>308</v>
      </c>
    </row>
    <row r="628" spans="1:5" x14ac:dyDescent="0.3">
      <c r="A628" t="s">
        <v>42</v>
      </c>
      <c r="B628">
        <v>60</v>
      </c>
      <c r="C628">
        <v>30</v>
      </c>
      <c r="E628">
        <v>30</v>
      </c>
    </row>
    <row r="629" spans="1:5" x14ac:dyDescent="0.3">
      <c r="A629" t="s">
        <v>575</v>
      </c>
      <c r="B629">
        <v>60</v>
      </c>
      <c r="C629">
        <v>134.4</v>
      </c>
      <c r="E629">
        <v>7</v>
      </c>
    </row>
    <row r="630" spans="1:5" x14ac:dyDescent="0.3">
      <c r="A630" t="s">
        <v>41</v>
      </c>
      <c r="B630">
        <v>60</v>
      </c>
      <c r="C630">
        <v>0</v>
      </c>
      <c r="E630">
        <v>0</v>
      </c>
    </row>
    <row r="631" spans="1:5" x14ac:dyDescent="0.3">
      <c r="A631" t="s">
        <v>576</v>
      </c>
      <c r="B631">
        <v>60</v>
      </c>
      <c r="C631">
        <v>0</v>
      </c>
      <c r="E631">
        <v>12</v>
      </c>
    </row>
    <row r="632" spans="1:5" x14ac:dyDescent="0.3">
      <c r="A632" t="s">
        <v>577</v>
      </c>
      <c r="B632">
        <v>60</v>
      </c>
      <c r="C632">
        <v>0</v>
      </c>
      <c r="E632">
        <v>0</v>
      </c>
    </row>
    <row r="633" spans="1:5" x14ac:dyDescent="0.3">
      <c r="A633" t="s">
        <v>578</v>
      </c>
      <c r="B633">
        <v>60</v>
      </c>
      <c r="C633">
        <v>0</v>
      </c>
      <c r="E633">
        <v>0</v>
      </c>
    </row>
    <row r="634" spans="1:5" x14ac:dyDescent="0.3">
      <c r="A634" t="s">
        <v>579</v>
      </c>
      <c r="B634">
        <v>60</v>
      </c>
      <c r="C634">
        <v>16</v>
      </c>
      <c r="E634">
        <v>16</v>
      </c>
    </row>
    <row r="635" spans="1:5" x14ac:dyDescent="0.3">
      <c r="A635" t="s">
        <v>580</v>
      </c>
      <c r="B635">
        <v>60</v>
      </c>
      <c r="C635">
        <v>100</v>
      </c>
      <c r="E635">
        <v>100</v>
      </c>
    </row>
    <row r="636" spans="1:5" x14ac:dyDescent="0.3">
      <c r="A636" t="s">
        <v>581</v>
      </c>
      <c r="B636">
        <v>60</v>
      </c>
      <c r="C636">
        <v>1320</v>
      </c>
      <c r="E636">
        <v>1320</v>
      </c>
    </row>
    <row r="637" spans="1:5" x14ac:dyDescent="0.3">
      <c r="A637" t="s">
        <v>582</v>
      </c>
      <c r="B637">
        <v>60</v>
      </c>
      <c r="C637">
        <v>880</v>
      </c>
      <c r="E637">
        <v>880</v>
      </c>
    </row>
    <row r="638" spans="1:5" x14ac:dyDescent="0.3">
      <c r="A638" t="s">
        <v>583</v>
      </c>
      <c r="B638">
        <v>60</v>
      </c>
      <c r="C638">
        <v>1760</v>
      </c>
      <c r="E638">
        <v>1760</v>
      </c>
    </row>
    <row r="639" spans="1:5" x14ac:dyDescent="0.3">
      <c r="A639" t="s">
        <v>584</v>
      </c>
      <c r="B639">
        <v>60</v>
      </c>
    </row>
    <row r="640" spans="1:5" x14ac:dyDescent="0.3">
      <c r="A640" t="s">
        <v>585</v>
      </c>
      <c r="B640">
        <v>60</v>
      </c>
    </row>
    <row r="641" spans="1:5" x14ac:dyDescent="0.3">
      <c r="A641" t="s">
        <v>586</v>
      </c>
      <c r="B641">
        <v>60</v>
      </c>
    </row>
    <row r="642" spans="1:5" x14ac:dyDescent="0.3">
      <c r="A642" t="s">
        <v>587</v>
      </c>
      <c r="B642">
        <v>60</v>
      </c>
      <c r="C642" t="b">
        <v>0</v>
      </c>
      <c r="E642" t="b">
        <v>0</v>
      </c>
    </row>
    <row r="643" spans="1:5" x14ac:dyDescent="0.3">
      <c r="A643" t="s">
        <v>588</v>
      </c>
      <c r="B643">
        <v>60</v>
      </c>
      <c r="C643" t="b">
        <v>0</v>
      </c>
      <c r="E643" t="b">
        <v>0</v>
      </c>
    </row>
    <row r="644" spans="1:5" x14ac:dyDescent="0.3">
      <c r="A644" t="s">
        <v>570</v>
      </c>
      <c r="B644">
        <v>61</v>
      </c>
      <c r="C644">
        <v>21</v>
      </c>
      <c r="D644">
        <v>30</v>
      </c>
    </row>
    <row r="645" spans="1:5" x14ac:dyDescent="0.3">
      <c r="A645" t="s">
        <v>36</v>
      </c>
      <c r="B645">
        <v>61</v>
      </c>
      <c r="C645">
        <v>2</v>
      </c>
      <c r="D645">
        <v>2</v>
      </c>
    </row>
    <row r="646" spans="1:5" x14ac:dyDescent="0.3">
      <c r="A646" t="s">
        <v>506</v>
      </c>
      <c r="B646">
        <v>61</v>
      </c>
      <c r="C646" t="s">
        <v>571</v>
      </c>
      <c r="D646" t="s">
        <v>571</v>
      </c>
    </row>
    <row r="647" spans="1:5" x14ac:dyDescent="0.3">
      <c r="A647" t="s">
        <v>574</v>
      </c>
      <c r="B647">
        <v>61</v>
      </c>
      <c r="C647">
        <v>875</v>
      </c>
      <c r="D647">
        <v>2237</v>
      </c>
    </row>
    <row r="648" spans="1:5" x14ac:dyDescent="0.3">
      <c r="A648" t="s">
        <v>42</v>
      </c>
      <c r="B648">
        <v>61</v>
      </c>
      <c r="C648">
        <v>55</v>
      </c>
      <c r="D648">
        <v>55</v>
      </c>
    </row>
    <row r="649" spans="1:5" x14ac:dyDescent="0.3">
      <c r="A649" t="s">
        <v>575</v>
      </c>
      <c r="B649">
        <v>61</v>
      </c>
      <c r="C649">
        <v>10.8</v>
      </c>
      <c r="D649">
        <v>27.7</v>
      </c>
    </row>
    <row r="650" spans="1:5" x14ac:dyDescent="0.3">
      <c r="A650" t="s">
        <v>41</v>
      </c>
      <c r="B650">
        <v>61</v>
      </c>
      <c r="C650">
        <v>0</v>
      </c>
      <c r="D650">
        <v>0</v>
      </c>
    </row>
    <row r="651" spans="1:5" x14ac:dyDescent="0.3">
      <c r="A651" t="s">
        <v>576</v>
      </c>
      <c r="B651">
        <v>61</v>
      </c>
      <c r="C651">
        <v>12</v>
      </c>
      <c r="D651">
        <v>12</v>
      </c>
    </row>
    <row r="652" spans="1:5" x14ac:dyDescent="0.3">
      <c r="A652" t="s">
        <v>577</v>
      </c>
      <c r="B652">
        <v>61</v>
      </c>
      <c r="C652">
        <v>0</v>
      </c>
      <c r="D652">
        <v>0</v>
      </c>
    </row>
    <row r="653" spans="1:5" x14ac:dyDescent="0.3">
      <c r="A653" t="s">
        <v>578</v>
      </c>
      <c r="B653">
        <v>61</v>
      </c>
      <c r="C653">
        <v>0</v>
      </c>
      <c r="D653">
        <v>0</v>
      </c>
    </row>
    <row r="654" spans="1:5" x14ac:dyDescent="0.3">
      <c r="A654" t="s">
        <v>579</v>
      </c>
      <c r="B654">
        <v>61</v>
      </c>
      <c r="C654">
        <v>16</v>
      </c>
      <c r="D654">
        <v>16</v>
      </c>
    </row>
    <row r="655" spans="1:5" x14ac:dyDescent="0.3">
      <c r="A655" t="s">
        <v>580</v>
      </c>
      <c r="B655">
        <v>61</v>
      </c>
      <c r="C655">
        <v>100</v>
      </c>
      <c r="D655">
        <v>100</v>
      </c>
    </row>
    <row r="656" spans="1:5" x14ac:dyDescent="0.3">
      <c r="A656" t="s">
        <v>581</v>
      </c>
      <c r="B656">
        <v>61</v>
      </c>
      <c r="C656">
        <v>2421</v>
      </c>
      <c r="D656">
        <v>2421</v>
      </c>
    </row>
    <row r="657" spans="1:4" x14ac:dyDescent="0.3">
      <c r="A657" t="s">
        <v>582</v>
      </c>
      <c r="B657">
        <v>61</v>
      </c>
      <c r="C657">
        <v>1614</v>
      </c>
      <c r="D657">
        <v>1614</v>
      </c>
    </row>
    <row r="658" spans="1:4" x14ac:dyDescent="0.3">
      <c r="A658" t="s">
        <v>583</v>
      </c>
      <c r="B658">
        <v>61</v>
      </c>
      <c r="C658">
        <v>3228</v>
      </c>
      <c r="D658">
        <v>3228</v>
      </c>
    </row>
    <row r="659" spans="1:4" x14ac:dyDescent="0.3">
      <c r="A659" t="s">
        <v>584</v>
      </c>
      <c r="B659">
        <v>61</v>
      </c>
    </row>
    <row r="660" spans="1:4" x14ac:dyDescent="0.3">
      <c r="A660" t="s">
        <v>585</v>
      </c>
      <c r="B660">
        <v>61</v>
      </c>
    </row>
    <row r="661" spans="1:4" x14ac:dyDescent="0.3">
      <c r="A661" t="s">
        <v>586</v>
      </c>
      <c r="B661">
        <v>61</v>
      </c>
    </row>
    <row r="662" spans="1:4" x14ac:dyDescent="0.3">
      <c r="A662" t="s">
        <v>587</v>
      </c>
      <c r="B662">
        <v>61</v>
      </c>
      <c r="C662" t="b">
        <v>0</v>
      </c>
      <c r="D662" t="b">
        <v>0</v>
      </c>
    </row>
    <row r="663" spans="1:4" x14ac:dyDescent="0.3">
      <c r="A663" t="s">
        <v>588</v>
      </c>
      <c r="B663">
        <v>61</v>
      </c>
      <c r="C663" t="b">
        <v>0</v>
      </c>
      <c r="D663" t="b">
        <v>0</v>
      </c>
    </row>
    <row r="664" spans="1:4" x14ac:dyDescent="0.3">
      <c r="A664" t="s">
        <v>570</v>
      </c>
      <c r="B664">
        <v>62</v>
      </c>
      <c r="C664">
        <v>34</v>
      </c>
    </row>
    <row r="665" spans="1:4" x14ac:dyDescent="0.3">
      <c r="A665" t="s">
        <v>36</v>
      </c>
      <c r="B665">
        <v>62</v>
      </c>
      <c r="C665">
        <v>2</v>
      </c>
    </row>
    <row r="666" spans="1:4" x14ac:dyDescent="0.3">
      <c r="A666" t="s">
        <v>506</v>
      </c>
      <c r="B666">
        <v>62</v>
      </c>
      <c r="C666" t="s">
        <v>571</v>
      </c>
    </row>
    <row r="667" spans="1:4" x14ac:dyDescent="0.3">
      <c r="A667" t="s">
        <v>574</v>
      </c>
      <c r="B667">
        <v>62</v>
      </c>
      <c r="C667">
        <v>1189</v>
      </c>
    </row>
    <row r="668" spans="1:4" x14ac:dyDescent="0.3">
      <c r="A668" t="s">
        <v>42</v>
      </c>
      <c r="B668">
        <v>62</v>
      </c>
      <c r="C668">
        <v>55</v>
      </c>
    </row>
    <row r="669" spans="1:4" x14ac:dyDescent="0.3">
      <c r="A669" t="s">
        <v>575</v>
      </c>
      <c r="B669">
        <v>62</v>
      </c>
      <c r="C669">
        <v>14.7</v>
      </c>
    </row>
    <row r="670" spans="1:4" x14ac:dyDescent="0.3">
      <c r="A670" t="s">
        <v>41</v>
      </c>
      <c r="B670">
        <v>62</v>
      </c>
      <c r="C670">
        <v>0</v>
      </c>
    </row>
    <row r="671" spans="1:4" x14ac:dyDescent="0.3">
      <c r="A671" t="s">
        <v>576</v>
      </c>
      <c r="B671">
        <v>62</v>
      </c>
      <c r="C671">
        <v>12</v>
      </c>
    </row>
    <row r="672" spans="1:4" x14ac:dyDescent="0.3">
      <c r="A672" t="s">
        <v>577</v>
      </c>
      <c r="B672">
        <v>62</v>
      </c>
      <c r="C672">
        <v>0</v>
      </c>
    </row>
    <row r="673" spans="1:4" x14ac:dyDescent="0.3">
      <c r="A673" t="s">
        <v>578</v>
      </c>
      <c r="B673">
        <v>62</v>
      </c>
      <c r="C673">
        <v>0</v>
      </c>
    </row>
    <row r="674" spans="1:4" x14ac:dyDescent="0.3">
      <c r="A674" t="s">
        <v>579</v>
      </c>
      <c r="B674">
        <v>62</v>
      </c>
      <c r="C674">
        <v>16</v>
      </c>
    </row>
    <row r="675" spans="1:4" x14ac:dyDescent="0.3">
      <c r="A675" t="s">
        <v>580</v>
      </c>
      <c r="B675">
        <v>62</v>
      </c>
      <c r="C675">
        <v>200</v>
      </c>
    </row>
    <row r="676" spans="1:4" x14ac:dyDescent="0.3">
      <c r="A676" t="s">
        <v>581</v>
      </c>
      <c r="B676">
        <v>62</v>
      </c>
      <c r="C676">
        <v>2421</v>
      </c>
    </row>
    <row r="677" spans="1:4" x14ac:dyDescent="0.3">
      <c r="A677" t="s">
        <v>582</v>
      </c>
      <c r="B677">
        <v>62</v>
      </c>
      <c r="C677">
        <v>1614</v>
      </c>
    </row>
    <row r="678" spans="1:4" x14ac:dyDescent="0.3">
      <c r="A678" t="s">
        <v>583</v>
      </c>
      <c r="B678">
        <v>62</v>
      </c>
      <c r="C678">
        <v>3228</v>
      </c>
    </row>
    <row r="679" spans="1:4" x14ac:dyDescent="0.3">
      <c r="A679" t="s">
        <v>584</v>
      </c>
      <c r="B679">
        <v>62</v>
      </c>
    </row>
    <row r="680" spans="1:4" x14ac:dyDescent="0.3">
      <c r="A680" t="s">
        <v>585</v>
      </c>
      <c r="B680">
        <v>62</v>
      </c>
    </row>
    <row r="681" spans="1:4" x14ac:dyDescent="0.3">
      <c r="A681" t="s">
        <v>586</v>
      </c>
      <c r="B681">
        <v>62</v>
      </c>
    </row>
    <row r="682" spans="1:4" x14ac:dyDescent="0.3">
      <c r="A682" t="s">
        <v>587</v>
      </c>
      <c r="B682">
        <v>62</v>
      </c>
      <c r="C682" t="b">
        <v>0</v>
      </c>
    </row>
    <row r="683" spans="1:4" x14ac:dyDescent="0.3">
      <c r="A683" t="s">
        <v>588</v>
      </c>
      <c r="B683">
        <v>62</v>
      </c>
      <c r="C683" t="b">
        <v>0</v>
      </c>
    </row>
    <row r="684" spans="1:4" x14ac:dyDescent="0.3">
      <c r="A684" t="s">
        <v>570</v>
      </c>
      <c r="B684">
        <v>101</v>
      </c>
      <c r="D684">
        <v>1</v>
      </c>
    </row>
    <row r="685" spans="1:4" x14ac:dyDescent="0.3">
      <c r="A685" t="s">
        <v>36</v>
      </c>
      <c r="B685">
        <v>101</v>
      </c>
      <c r="D685">
        <v>1</v>
      </c>
    </row>
    <row r="686" spans="1:4" x14ac:dyDescent="0.3">
      <c r="A686" t="s">
        <v>506</v>
      </c>
      <c r="B686">
        <v>101</v>
      </c>
      <c r="D686" t="s">
        <v>571</v>
      </c>
    </row>
    <row r="687" spans="1:4" x14ac:dyDescent="0.3">
      <c r="A687" t="s">
        <v>574</v>
      </c>
      <c r="B687">
        <v>101</v>
      </c>
      <c r="D687">
        <v>620</v>
      </c>
    </row>
    <row r="688" spans="1:4" x14ac:dyDescent="0.3">
      <c r="A688" t="s">
        <v>42</v>
      </c>
      <c r="B688">
        <v>101</v>
      </c>
      <c r="D688">
        <v>30</v>
      </c>
    </row>
    <row r="689" spans="1:6" x14ac:dyDescent="0.3">
      <c r="A689" t="s">
        <v>575</v>
      </c>
      <c r="B689">
        <v>101</v>
      </c>
      <c r="D689">
        <v>14.1</v>
      </c>
    </row>
    <row r="690" spans="1:6" x14ac:dyDescent="0.3">
      <c r="A690" t="s">
        <v>41</v>
      </c>
      <c r="B690">
        <v>101</v>
      </c>
      <c r="D690">
        <v>0</v>
      </c>
    </row>
    <row r="691" spans="1:6" x14ac:dyDescent="0.3">
      <c r="A691" t="s">
        <v>576</v>
      </c>
      <c r="B691">
        <v>101</v>
      </c>
      <c r="D691">
        <v>12</v>
      </c>
    </row>
    <row r="692" spans="1:6" x14ac:dyDescent="0.3">
      <c r="A692" t="s">
        <v>577</v>
      </c>
      <c r="B692">
        <v>101</v>
      </c>
      <c r="D692">
        <v>0</v>
      </c>
    </row>
    <row r="693" spans="1:6" x14ac:dyDescent="0.3">
      <c r="A693" t="s">
        <v>578</v>
      </c>
      <c r="B693">
        <v>101</v>
      </c>
      <c r="D693">
        <v>0</v>
      </c>
    </row>
    <row r="694" spans="1:6" x14ac:dyDescent="0.3">
      <c r="A694" t="s">
        <v>579</v>
      </c>
      <c r="B694">
        <v>101</v>
      </c>
      <c r="D694">
        <v>16</v>
      </c>
    </row>
    <row r="695" spans="1:6" x14ac:dyDescent="0.3">
      <c r="A695" t="s">
        <v>580</v>
      </c>
      <c r="B695">
        <v>101</v>
      </c>
      <c r="D695">
        <v>200</v>
      </c>
    </row>
    <row r="696" spans="1:6" x14ac:dyDescent="0.3">
      <c r="A696" t="s">
        <v>581</v>
      </c>
      <c r="B696">
        <v>101</v>
      </c>
      <c r="D696">
        <v>1320</v>
      </c>
    </row>
    <row r="697" spans="1:6" x14ac:dyDescent="0.3">
      <c r="A697" t="s">
        <v>582</v>
      </c>
      <c r="B697">
        <v>101</v>
      </c>
      <c r="D697">
        <v>880</v>
      </c>
    </row>
    <row r="698" spans="1:6" x14ac:dyDescent="0.3">
      <c r="A698" t="s">
        <v>583</v>
      </c>
      <c r="B698">
        <v>101</v>
      </c>
      <c r="D698">
        <v>1760</v>
      </c>
    </row>
    <row r="699" spans="1:6" x14ac:dyDescent="0.3">
      <c r="A699" t="s">
        <v>584</v>
      </c>
      <c r="B699">
        <v>101</v>
      </c>
    </row>
    <row r="700" spans="1:6" x14ac:dyDescent="0.3">
      <c r="A700" t="s">
        <v>585</v>
      </c>
      <c r="B700">
        <v>101</v>
      </c>
    </row>
    <row r="701" spans="1:6" x14ac:dyDescent="0.3">
      <c r="A701" t="s">
        <v>586</v>
      </c>
      <c r="B701">
        <v>101</v>
      </c>
    </row>
    <row r="702" spans="1:6" x14ac:dyDescent="0.3">
      <c r="A702" t="s">
        <v>587</v>
      </c>
      <c r="B702">
        <v>101</v>
      </c>
      <c r="D702" t="b">
        <v>0</v>
      </c>
    </row>
    <row r="703" spans="1:6" x14ac:dyDescent="0.3">
      <c r="A703" t="s">
        <v>588</v>
      </c>
      <c r="B703">
        <v>101</v>
      </c>
      <c r="D703" t="b">
        <v>0</v>
      </c>
    </row>
    <row r="704" spans="1:6" x14ac:dyDescent="0.3">
      <c r="A704" t="s">
        <v>570</v>
      </c>
      <c r="B704">
        <v>102</v>
      </c>
      <c r="F704">
        <v>1</v>
      </c>
    </row>
    <row r="705" spans="1:6" x14ac:dyDescent="0.3">
      <c r="A705" t="s">
        <v>36</v>
      </c>
      <c r="B705">
        <v>102</v>
      </c>
      <c r="F705">
        <v>1</v>
      </c>
    </row>
    <row r="706" spans="1:6" x14ac:dyDescent="0.3">
      <c r="A706" t="s">
        <v>506</v>
      </c>
      <c r="B706">
        <v>102</v>
      </c>
      <c r="F706" t="s">
        <v>572</v>
      </c>
    </row>
    <row r="707" spans="1:6" x14ac:dyDescent="0.3">
      <c r="A707" t="s">
        <v>574</v>
      </c>
      <c r="B707">
        <v>102</v>
      </c>
      <c r="F707">
        <v>980</v>
      </c>
    </row>
    <row r="708" spans="1:6" x14ac:dyDescent="0.3">
      <c r="A708" t="s">
        <v>42</v>
      </c>
      <c r="B708">
        <v>102</v>
      </c>
      <c r="F708">
        <v>30</v>
      </c>
    </row>
    <row r="709" spans="1:6" x14ac:dyDescent="0.3">
      <c r="A709" t="s">
        <v>575</v>
      </c>
      <c r="B709">
        <v>102</v>
      </c>
      <c r="F709">
        <v>22.3</v>
      </c>
    </row>
    <row r="710" spans="1:6" x14ac:dyDescent="0.3">
      <c r="A710" t="s">
        <v>41</v>
      </c>
      <c r="B710">
        <v>102</v>
      </c>
      <c r="F710">
        <v>0</v>
      </c>
    </row>
    <row r="711" spans="1:6" x14ac:dyDescent="0.3">
      <c r="A711" t="s">
        <v>576</v>
      </c>
      <c r="B711">
        <v>102</v>
      </c>
      <c r="F711">
        <v>0</v>
      </c>
    </row>
    <row r="712" spans="1:6" x14ac:dyDescent="0.3">
      <c r="A712" t="s">
        <v>577</v>
      </c>
      <c r="B712">
        <v>102</v>
      </c>
      <c r="F712">
        <v>0</v>
      </c>
    </row>
    <row r="713" spans="1:6" x14ac:dyDescent="0.3">
      <c r="A713" t="s">
        <v>578</v>
      </c>
      <c r="B713">
        <v>102</v>
      </c>
      <c r="F713">
        <v>0</v>
      </c>
    </row>
    <row r="714" spans="1:6" x14ac:dyDescent="0.3">
      <c r="A714" t="s">
        <v>579</v>
      </c>
      <c r="B714">
        <v>102</v>
      </c>
      <c r="F714">
        <v>16</v>
      </c>
    </row>
    <row r="715" spans="1:6" x14ac:dyDescent="0.3">
      <c r="A715" t="s">
        <v>580</v>
      </c>
      <c r="B715">
        <v>102</v>
      </c>
      <c r="F715">
        <v>200</v>
      </c>
    </row>
    <row r="716" spans="1:6" x14ac:dyDescent="0.3">
      <c r="A716" t="s">
        <v>581</v>
      </c>
      <c r="B716">
        <v>102</v>
      </c>
      <c r="F716">
        <v>1320</v>
      </c>
    </row>
    <row r="717" spans="1:6" x14ac:dyDescent="0.3">
      <c r="A717" t="s">
        <v>582</v>
      </c>
      <c r="B717">
        <v>102</v>
      </c>
      <c r="F717">
        <v>880</v>
      </c>
    </row>
    <row r="718" spans="1:6" x14ac:dyDescent="0.3">
      <c r="A718" t="s">
        <v>583</v>
      </c>
      <c r="B718">
        <v>102</v>
      </c>
      <c r="F718">
        <v>1760</v>
      </c>
    </row>
    <row r="719" spans="1:6" x14ac:dyDescent="0.3">
      <c r="A719" t="s">
        <v>584</v>
      </c>
      <c r="B719">
        <v>102</v>
      </c>
    </row>
    <row r="720" spans="1:6" x14ac:dyDescent="0.3">
      <c r="A720" t="s">
        <v>585</v>
      </c>
      <c r="B720">
        <v>102</v>
      </c>
    </row>
    <row r="721" spans="1:6" x14ac:dyDescent="0.3">
      <c r="A721" t="s">
        <v>586</v>
      </c>
      <c r="B721">
        <v>102</v>
      </c>
    </row>
    <row r="722" spans="1:6" x14ac:dyDescent="0.3">
      <c r="A722" t="s">
        <v>587</v>
      </c>
      <c r="B722">
        <v>102</v>
      </c>
      <c r="F722" t="b">
        <v>0</v>
      </c>
    </row>
    <row r="723" spans="1:6" x14ac:dyDescent="0.3">
      <c r="A723" t="s">
        <v>588</v>
      </c>
      <c r="B723">
        <v>102</v>
      </c>
      <c r="F723" t="b">
        <v>0</v>
      </c>
    </row>
    <row r="724" spans="1:6" x14ac:dyDescent="0.3">
      <c r="A724" t="s">
        <v>570</v>
      </c>
      <c r="B724">
        <v>103</v>
      </c>
      <c r="E724">
        <v>1</v>
      </c>
    </row>
    <row r="725" spans="1:6" x14ac:dyDescent="0.3">
      <c r="A725" t="s">
        <v>36</v>
      </c>
      <c r="B725">
        <v>103</v>
      </c>
      <c r="E725">
        <v>1</v>
      </c>
    </row>
    <row r="726" spans="1:6" x14ac:dyDescent="0.3">
      <c r="A726" t="s">
        <v>506</v>
      </c>
      <c r="B726">
        <v>103</v>
      </c>
      <c r="E726" t="s">
        <v>573</v>
      </c>
    </row>
    <row r="727" spans="1:6" x14ac:dyDescent="0.3">
      <c r="A727" t="s">
        <v>574</v>
      </c>
      <c r="B727">
        <v>103</v>
      </c>
      <c r="E727">
        <v>1124</v>
      </c>
    </row>
    <row r="728" spans="1:6" x14ac:dyDescent="0.3">
      <c r="A728" t="s">
        <v>42</v>
      </c>
      <c r="B728">
        <v>103</v>
      </c>
      <c r="E728">
        <v>30</v>
      </c>
    </row>
    <row r="729" spans="1:6" x14ac:dyDescent="0.3">
      <c r="A729" t="s">
        <v>575</v>
      </c>
      <c r="B729">
        <v>103</v>
      </c>
      <c r="E729">
        <v>25.5</v>
      </c>
    </row>
    <row r="730" spans="1:6" x14ac:dyDescent="0.3">
      <c r="A730" t="s">
        <v>41</v>
      </c>
      <c r="B730">
        <v>103</v>
      </c>
      <c r="E730">
        <v>0</v>
      </c>
    </row>
    <row r="731" spans="1:6" x14ac:dyDescent="0.3">
      <c r="A731" t="s">
        <v>576</v>
      </c>
      <c r="B731">
        <v>103</v>
      </c>
      <c r="E731">
        <v>12</v>
      </c>
    </row>
    <row r="732" spans="1:6" x14ac:dyDescent="0.3">
      <c r="A732" t="s">
        <v>577</v>
      </c>
      <c r="B732">
        <v>103</v>
      </c>
      <c r="E732">
        <v>0</v>
      </c>
    </row>
    <row r="733" spans="1:6" x14ac:dyDescent="0.3">
      <c r="A733" t="s">
        <v>578</v>
      </c>
      <c r="B733">
        <v>103</v>
      </c>
      <c r="E733">
        <v>0</v>
      </c>
    </row>
    <row r="734" spans="1:6" x14ac:dyDescent="0.3">
      <c r="A734" t="s">
        <v>579</v>
      </c>
      <c r="B734">
        <v>103</v>
      </c>
      <c r="E734">
        <v>16</v>
      </c>
    </row>
    <row r="735" spans="1:6" x14ac:dyDescent="0.3">
      <c r="A735" t="s">
        <v>580</v>
      </c>
      <c r="B735">
        <v>103</v>
      </c>
      <c r="E735">
        <v>200</v>
      </c>
    </row>
    <row r="736" spans="1:6" x14ac:dyDescent="0.3">
      <c r="A736" t="s">
        <v>581</v>
      </c>
      <c r="B736">
        <v>103</v>
      </c>
      <c r="E736">
        <v>1320</v>
      </c>
    </row>
    <row r="737" spans="1:6" x14ac:dyDescent="0.3">
      <c r="A737" t="s">
        <v>582</v>
      </c>
      <c r="B737">
        <v>103</v>
      </c>
      <c r="E737">
        <v>880</v>
      </c>
    </row>
    <row r="738" spans="1:6" x14ac:dyDescent="0.3">
      <c r="A738" t="s">
        <v>583</v>
      </c>
      <c r="B738">
        <v>103</v>
      </c>
      <c r="E738">
        <v>1760</v>
      </c>
    </row>
    <row r="739" spans="1:6" x14ac:dyDescent="0.3">
      <c r="A739" t="s">
        <v>584</v>
      </c>
      <c r="B739">
        <v>103</v>
      </c>
    </row>
    <row r="740" spans="1:6" x14ac:dyDescent="0.3">
      <c r="A740" t="s">
        <v>585</v>
      </c>
      <c r="B740">
        <v>103</v>
      </c>
    </row>
    <row r="741" spans="1:6" x14ac:dyDescent="0.3">
      <c r="A741" t="s">
        <v>586</v>
      </c>
      <c r="B741">
        <v>103</v>
      </c>
    </row>
    <row r="742" spans="1:6" x14ac:dyDescent="0.3">
      <c r="A742" t="s">
        <v>587</v>
      </c>
      <c r="B742">
        <v>103</v>
      </c>
      <c r="E742" t="b">
        <v>0</v>
      </c>
    </row>
    <row r="743" spans="1:6" x14ac:dyDescent="0.3">
      <c r="A743" t="s">
        <v>588</v>
      </c>
      <c r="B743">
        <v>103</v>
      </c>
      <c r="E743" t="b">
        <v>0</v>
      </c>
    </row>
    <row r="744" spans="1:6" x14ac:dyDescent="0.3">
      <c r="A744" t="s">
        <v>570</v>
      </c>
      <c r="B744">
        <v>104</v>
      </c>
      <c r="F744">
        <v>2</v>
      </c>
    </row>
    <row r="745" spans="1:6" x14ac:dyDescent="0.3">
      <c r="A745" t="s">
        <v>36</v>
      </c>
      <c r="B745">
        <v>104</v>
      </c>
      <c r="F745">
        <v>1</v>
      </c>
    </row>
    <row r="746" spans="1:6" x14ac:dyDescent="0.3">
      <c r="A746" t="s">
        <v>506</v>
      </c>
      <c r="B746">
        <v>104</v>
      </c>
      <c r="F746" t="s">
        <v>589</v>
      </c>
    </row>
    <row r="747" spans="1:6" x14ac:dyDescent="0.3">
      <c r="A747" t="s">
        <v>574</v>
      </c>
      <c r="B747">
        <v>104</v>
      </c>
      <c r="F747">
        <v>776</v>
      </c>
    </row>
    <row r="748" spans="1:6" x14ac:dyDescent="0.3">
      <c r="A748" t="s">
        <v>42</v>
      </c>
      <c r="B748">
        <v>104</v>
      </c>
      <c r="F748">
        <v>30</v>
      </c>
    </row>
    <row r="749" spans="1:6" x14ac:dyDescent="0.3">
      <c r="A749" t="s">
        <v>575</v>
      </c>
      <c r="B749">
        <v>104</v>
      </c>
      <c r="F749">
        <v>17.600000000000001</v>
      </c>
    </row>
    <row r="750" spans="1:6" x14ac:dyDescent="0.3">
      <c r="A750" t="s">
        <v>41</v>
      </c>
      <c r="B750">
        <v>104</v>
      </c>
      <c r="F750">
        <v>0</v>
      </c>
    </row>
    <row r="751" spans="1:6" x14ac:dyDescent="0.3">
      <c r="A751" t="s">
        <v>576</v>
      </c>
      <c r="B751">
        <v>104</v>
      </c>
      <c r="F751">
        <v>12</v>
      </c>
    </row>
    <row r="752" spans="1:6" x14ac:dyDescent="0.3">
      <c r="A752" t="s">
        <v>577</v>
      </c>
      <c r="B752">
        <v>104</v>
      </c>
      <c r="F752">
        <v>0</v>
      </c>
    </row>
    <row r="753" spans="1:6" x14ac:dyDescent="0.3">
      <c r="A753" t="s">
        <v>578</v>
      </c>
      <c r="B753">
        <v>104</v>
      </c>
      <c r="F753">
        <v>0</v>
      </c>
    </row>
    <row r="754" spans="1:6" x14ac:dyDescent="0.3">
      <c r="A754" t="s">
        <v>579</v>
      </c>
      <c r="B754">
        <v>104</v>
      </c>
      <c r="F754">
        <v>16</v>
      </c>
    </row>
    <row r="755" spans="1:6" x14ac:dyDescent="0.3">
      <c r="A755" t="s">
        <v>580</v>
      </c>
      <c r="B755">
        <v>104</v>
      </c>
      <c r="F755">
        <v>200</v>
      </c>
    </row>
    <row r="756" spans="1:6" x14ac:dyDescent="0.3">
      <c r="A756" t="s">
        <v>581</v>
      </c>
      <c r="B756">
        <v>104</v>
      </c>
      <c r="F756">
        <v>1320</v>
      </c>
    </row>
    <row r="757" spans="1:6" x14ac:dyDescent="0.3">
      <c r="A757" t="s">
        <v>582</v>
      </c>
      <c r="B757">
        <v>104</v>
      </c>
      <c r="F757">
        <v>880</v>
      </c>
    </row>
    <row r="758" spans="1:6" x14ac:dyDescent="0.3">
      <c r="A758" t="s">
        <v>583</v>
      </c>
      <c r="B758">
        <v>104</v>
      </c>
      <c r="F758">
        <v>1760</v>
      </c>
    </row>
    <row r="759" spans="1:6" x14ac:dyDescent="0.3">
      <c r="A759" t="s">
        <v>584</v>
      </c>
      <c r="B759">
        <v>104</v>
      </c>
    </row>
    <row r="760" spans="1:6" x14ac:dyDescent="0.3">
      <c r="A760" t="s">
        <v>585</v>
      </c>
      <c r="B760">
        <v>104</v>
      </c>
    </row>
    <row r="761" spans="1:6" x14ac:dyDescent="0.3">
      <c r="A761" t="s">
        <v>586</v>
      </c>
      <c r="B761">
        <v>104</v>
      </c>
    </row>
    <row r="762" spans="1:6" x14ac:dyDescent="0.3">
      <c r="A762" t="s">
        <v>587</v>
      </c>
      <c r="B762">
        <v>104</v>
      </c>
      <c r="F762" t="b">
        <v>0</v>
      </c>
    </row>
    <row r="763" spans="1:6" x14ac:dyDescent="0.3">
      <c r="A763" t="s">
        <v>588</v>
      </c>
      <c r="B763">
        <v>104</v>
      </c>
      <c r="F763" t="b">
        <v>0</v>
      </c>
    </row>
    <row r="764" spans="1:6" x14ac:dyDescent="0.3">
      <c r="A764" t="s">
        <v>570</v>
      </c>
      <c r="B764">
        <v>105</v>
      </c>
      <c r="E764">
        <v>2</v>
      </c>
    </row>
    <row r="765" spans="1:6" x14ac:dyDescent="0.3">
      <c r="A765" t="s">
        <v>36</v>
      </c>
      <c r="B765">
        <v>105</v>
      </c>
      <c r="E765">
        <v>1</v>
      </c>
    </row>
    <row r="766" spans="1:6" x14ac:dyDescent="0.3">
      <c r="A766" t="s">
        <v>506</v>
      </c>
      <c r="B766">
        <v>105</v>
      </c>
      <c r="E766" t="s">
        <v>589</v>
      </c>
    </row>
    <row r="767" spans="1:6" x14ac:dyDescent="0.3">
      <c r="A767" t="s">
        <v>574</v>
      </c>
      <c r="B767">
        <v>105</v>
      </c>
      <c r="E767">
        <v>828</v>
      </c>
    </row>
    <row r="768" spans="1:6" x14ac:dyDescent="0.3">
      <c r="A768" t="s">
        <v>42</v>
      </c>
      <c r="B768">
        <v>105</v>
      </c>
      <c r="E768">
        <v>30</v>
      </c>
    </row>
    <row r="769" spans="1:7" x14ac:dyDescent="0.3">
      <c r="A769" t="s">
        <v>575</v>
      </c>
      <c r="B769">
        <v>105</v>
      </c>
      <c r="E769">
        <v>18.8</v>
      </c>
    </row>
    <row r="770" spans="1:7" x14ac:dyDescent="0.3">
      <c r="A770" t="s">
        <v>41</v>
      </c>
      <c r="B770">
        <v>105</v>
      </c>
      <c r="E770">
        <v>0</v>
      </c>
    </row>
    <row r="771" spans="1:7" x14ac:dyDescent="0.3">
      <c r="A771" t="s">
        <v>576</v>
      </c>
      <c r="B771">
        <v>105</v>
      </c>
      <c r="E771">
        <v>12</v>
      </c>
    </row>
    <row r="772" spans="1:7" x14ac:dyDescent="0.3">
      <c r="A772" t="s">
        <v>577</v>
      </c>
      <c r="B772">
        <v>105</v>
      </c>
      <c r="E772">
        <v>0</v>
      </c>
    </row>
    <row r="773" spans="1:7" x14ac:dyDescent="0.3">
      <c r="A773" t="s">
        <v>578</v>
      </c>
      <c r="B773">
        <v>105</v>
      </c>
      <c r="E773">
        <v>0</v>
      </c>
    </row>
    <row r="774" spans="1:7" x14ac:dyDescent="0.3">
      <c r="A774" t="s">
        <v>579</v>
      </c>
      <c r="B774">
        <v>105</v>
      </c>
      <c r="E774">
        <v>16</v>
      </c>
    </row>
    <row r="775" spans="1:7" x14ac:dyDescent="0.3">
      <c r="A775" t="s">
        <v>580</v>
      </c>
      <c r="B775">
        <v>105</v>
      </c>
      <c r="E775">
        <v>200</v>
      </c>
    </row>
    <row r="776" spans="1:7" x14ac:dyDescent="0.3">
      <c r="A776" t="s">
        <v>581</v>
      </c>
      <c r="B776">
        <v>105</v>
      </c>
      <c r="E776">
        <v>1320</v>
      </c>
    </row>
    <row r="777" spans="1:7" x14ac:dyDescent="0.3">
      <c r="A777" t="s">
        <v>582</v>
      </c>
      <c r="B777">
        <v>105</v>
      </c>
      <c r="E777">
        <v>880</v>
      </c>
    </row>
    <row r="778" spans="1:7" x14ac:dyDescent="0.3">
      <c r="A778" t="s">
        <v>583</v>
      </c>
      <c r="B778">
        <v>105</v>
      </c>
      <c r="E778">
        <v>1760</v>
      </c>
    </row>
    <row r="779" spans="1:7" x14ac:dyDescent="0.3">
      <c r="A779" t="s">
        <v>584</v>
      </c>
      <c r="B779">
        <v>105</v>
      </c>
    </row>
    <row r="780" spans="1:7" x14ac:dyDescent="0.3">
      <c r="A780" t="s">
        <v>585</v>
      </c>
      <c r="B780">
        <v>105</v>
      </c>
    </row>
    <row r="781" spans="1:7" x14ac:dyDescent="0.3">
      <c r="A781" t="s">
        <v>586</v>
      </c>
      <c r="B781">
        <v>105</v>
      </c>
    </row>
    <row r="782" spans="1:7" x14ac:dyDescent="0.3">
      <c r="A782" t="s">
        <v>587</v>
      </c>
      <c r="B782">
        <v>105</v>
      </c>
      <c r="E782" t="b">
        <v>0</v>
      </c>
    </row>
    <row r="783" spans="1:7" x14ac:dyDescent="0.3">
      <c r="A783" t="s">
        <v>588</v>
      </c>
      <c r="B783">
        <v>105</v>
      </c>
      <c r="E783" t="b">
        <v>0</v>
      </c>
    </row>
    <row r="784" spans="1:7" x14ac:dyDescent="0.3">
      <c r="A784" t="s">
        <v>570</v>
      </c>
      <c r="B784">
        <v>106</v>
      </c>
      <c r="G784">
        <v>3</v>
      </c>
    </row>
    <row r="785" spans="1:7" x14ac:dyDescent="0.3">
      <c r="A785" t="s">
        <v>36</v>
      </c>
      <c r="B785">
        <v>106</v>
      </c>
      <c r="G785">
        <v>1</v>
      </c>
    </row>
    <row r="786" spans="1:7" x14ac:dyDescent="0.3">
      <c r="A786" t="s">
        <v>506</v>
      </c>
      <c r="B786">
        <v>106</v>
      </c>
      <c r="G786" t="s">
        <v>591</v>
      </c>
    </row>
    <row r="787" spans="1:7" x14ac:dyDescent="0.3">
      <c r="A787" t="s">
        <v>574</v>
      </c>
      <c r="B787">
        <v>106</v>
      </c>
      <c r="G787">
        <v>1438</v>
      </c>
    </row>
    <row r="788" spans="1:7" x14ac:dyDescent="0.3">
      <c r="A788" t="s">
        <v>42</v>
      </c>
      <c r="B788">
        <v>106</v>
      </c>
      <c r="G788">
        <v>30</v>
      </c>
    </row>
    <row r="789" spans="1:7" x14ac:dyDescent="0.3">
      <c r="A789" t="s">
        <v>575</v>
      </c>
      <c r="B789">
        <v>106</v>
      </c>
      <c r="G789">
        <v>32.700000000000003</v>
      </c>
    </row>
    <row r="790" spans="1:7" x14ac:dyDescent="0.3">
      <c r="A790" t="s">
        <v>41</v>
      </c>
      <c r="B790">
        <v>106</v>
      </c>
      <c r="G790">
        <v>0</v>
      </c>
    </row>
    <row r="791" spans="1:7" x14ac:dyDescent="0.3">
      <c r="A791" t="s">
        <v>576</v>
      </c>
      <c r="B791">
        <v>106</v>
      </c>
      <c r="G791">
        <v>12</v>
      </c>
    </row>
    <row r="792" spans="1:7" x14ac:dyDescent="0.3">
      <c r="A792" t="s">
        <v>577</v>
      </c>
      <c r="B792">
        <v>106</v>
      </c>
      <c r="G792">
        <v>0</v>
      </c>
    </row>
    <row r="793" spans="1:7" x14ac:dyDescent="0.3">
      <c r="A793" t="s">
        <v>578</v>
      </c>
      <c r="B793">
        <v>106</v>
      </c>
      <c r="G793">
        <v>0</v>
      </c>
    </row>
    <row r="794" spans="1:7" x14ac:dyDescent="0.3">
      <c r="A794" t="s">
        <v>579</v>
      </c>
      <c r="B794">
        <v>106</v>
      </c>
      <c r="G794">
        <v>16</v>
      </c>
    </row>
    <row r="795" spans="1:7" x14ac:dyDescent="0.3">
      <c r="A795" t="s">
        <v>580</v>
      </c>
      <c r="B795">
        <v>106</v>
      </c>
      <c r="G795">
        <v>200</v>
      </c>
    </row>
    <row r="796" spans="1:7" x14ac:dyDescent="0.3">
      <c r="A796" t="s">
        <v>581</v>
      </c>
      <c r="B796">
        <v>106</v>
      </c>
      <c r="G796">
        <v>1320</v>
      </c>
    </row>
    <row r="797" spans="1:7" x14ac:dyDescent="0.3">
      <c r="A797" t="s">
        <v>582</v>
      </c>
      <c r="B797">
        <v>106</v>
      </c>
      <c r="G797">
        <v>880</v>
      </c>
    </row>
    <row r="798" spans="1:7" x14ac:dyDescent="0.3">
      <c r="A798" t="s">
        <v>583</v>
      </c>
      <c r="B798">
        <v>106</v>
      </c>
      <c r="G798">
        <v>1760</v>
      </c>
    </row>
    <row r="799" spans="1:7" x14ac:dyDescent="0.3">
      <c r="A799" t="s">
        <v>584</v>
      </c>
      <c r="B799">
        <v>106</v>
      </c>
    </row>
    <row r="800" spans="1:7" x14ac:dyDescent="0.3">
      <c r="A800" t="s">
        <v>585</v>
      </c>
      <c r="B800">
        <v>106</v>
      </c>
    </row>
    <row r="801" spans="1:8" x14ac:dyDescent="0.3">
      <c r="A801" t="s">
        <v>586</v>
      </c>
      <c r="B801">
        <v>106</v>
      </c>
    </row>
    <row r="802" spans="1:8" x14ac:dyDescent="0.3">
      <c r="A802" t="s">
        <v>587</v>
      </c>
      <c r="B802">
        <v>106</v>
      </c>
      <c r="G802" t="b">
        <v>0</v>
      </c>
    </row>
    <row r="803" spans="1:8" x14ac:dyDescent="0.3">
      <c r="A803" t="s">
        <v>588</v>
      </c>
      <c r="B803">
        <v>106</v>
      </c>
      <c r="G803" t="b">
        <v>0</v>
      </c>
    </row>
    <row r="804" spans="1:8" x14ac:dyDescent="0.3">
      <c r="A804" t="s">
        <v>570</v>
      </c>
      <c r="B804">
        <v>107</v>
      </c>
      <c r="H804">
        <v>3</v>
      </c>
    </row>
    <row r="805" spans="1:8" x14ac:dyDescent="0.3">
      <c r="A805" t="s">
        <v>36</v>
      </c>
      <c r="B805">
        <v>107</v>
      </c>
      <c r="H805">
        <v>1</v>
      </c>
    </row>
    <row r="806" spans="1:8" x14ac:dyDescent="0.3">
      <c r="A806" t="s">
        <v>506</v>
      </c>
      <c r="B806">
        <v>107</v>
      </c>
      <c r="H806" t="s">
        <v>590</v>
      </c>
    </row>
    <row r="807" spans="1:8" x14ac:dyDescent="0.3">
      <c r="A807" t="s">
        <v>574</v>
      </c>
      <c r="B807">
        <v>107</v>
      </c>
      <c r="H807">
        <v>1381</v>
      </c>
    </row>
    <row r="808" spans="1:8" x14ac:dyDescent="0.3">
      <c r="A808" t="s">
        <v>42</v>
      </c>
      <c r="B808">
        <v>107</v>
      </c>
      <c r="H808">
        <v>30</v>
      </c>
    </row>
    <row r="809" spans="1:8" x14ac:dyDescent="0.3">
      <c r="A809" t="s">
        <v>575</v>
      </c>
      <c r="B809">
        <v>107</v>
      </c>
      <c r="H809">
        <v>31.4</v>
      </c>
    </row>
    <row r="810" spans="1:8" x14ac:dyDescent="0.3">
      <c r="A810" t="s">
        <v>41</v>
      </c>
      <c r="B810">
        <v>107</v>
      </c>
      <c r="H810">
        <v>0</v>
      </c>
    </row>
    <row r="811" spans="1:8" x14ac:dyDescent="0.3">
      <c r="A811" t="s">
        <v>576</v>
      </c>
      <c r="B811">
        <v>107</v>
      </c>
      <c r="H811">
        <v>12</v>
      </c>
    </row>
    <row r="812" spans="1:8" x14ac:dyDescent="0.3">
      <c r="A812" t="s">
        <v>577</v>
      </c>
      <c r="B812">
        <v>107</v>
      </c>
      <c r="H812">
        <v>0</v>
      </c>
    </row>
    <row r="813" spans="1:8" x14ac:dyDescent="0.3">
      <c r="A813" t="s">
        <v>578</v>
      </c>
      <c r="B813">
        <v>107</v>
      </c>
      <c r="H813">
        <v>0</v>
      </c>
    </row>
    <row r="814" spans="1:8" x14ac:dyDescent="0.3">
      <c r="A814" t="s">
        <v>579</v>
      </c>
      <c r="B814">
        <v>107</v>
      </c>
      <c r="H814">
        <v>16</v>
      </c>
    </row>
    <row r="815" spans="1:8" x14ac:dyDescent="0.3">
      <c r="A815" t="s">
        <v>580</v>
      </c>
      <c r="B815">
        <v>107</v>
      </c>
      <c r="H815">
        <v>200</v>
      </c>
    </row>
    <row r="816" spans="1:8" x14ac:dyDescent="0.3">
      <c r="A816" t="s">
        <v>581</v>
      </c>
      <c r="B816">
        <v>107</v>
      </c>
      <c r="H816">
        <v>1320</v>
      </c>
    </row>
    <row r="817" spans="1:8" x14ac:dyDescent="0.3">
      <c r="A817" t="s">
        <v>582</v>
      </c>
      <c r="B817">
        <v>107</v>
      </c>
      <c r="H817">
        <v>880</v>
      </c>
    </row>
    <row r="818" spans="1:8" x14ac:dyDescent="0.3">
      <c r="A818" t="s">
        <v>583</v>
      </c>
      <c r="B818">
        <v>107</v>
      </c>
      <c r="H818">
        <v>1760</v>
      </c>
    </row>
    <row r="819" spans="1:8" x14ac:dyDescent="0.3">
      <c r="A819" t="s">
        <v>584</v>
      </c>
      <c r="B819">
        <v>107</v>
      </c>
    </row>
    <row r="820" spans="1:8" x14ac:dyDescent="0.3">
      <c r="A820" t="s">
        <v>585</v>
      </c>
      <c r="B820">
        <v>107</v>
      </c>
    </row>
    <row r="821" spans="1:8" x14ac:dyDescent="0.3">
      <c r="A821" t="s">
        <v>586</v>
      </c>
      <c r="B821">
        <v>107</v>
      </c>
    </row>
    <row r="822" spans="1:8" x14ac:dyDescent="0.3">
      <c r="A822" t="s">
        <v>587</v>
      </c>
      <c r="B822">
        <v>107</v>
      </c>
      <c r="H822" t="b">
        <v>0</v>
      </c>
    </row>
    <row r="823" spans="1:8" x14ac:dyDescent="0.3">
      <c r="A823" t="s">
        <v>588</v>
      </c>
      <c r="B823">
        <v>107</v>
      </c>
      <c r="H823" t="b">
        <v>0</v>
      </c>
    </row>
    <row r="824" spans="1:8" x14ac:dyDescent="0.3">
      <c r="A824" t="s">
        <v>570</v>
      </c>
      <c r="B824">
        <v>108</v>
      </c>
      <c r="F824">
        <v>4</v>
      </c>
    </row>
    <row r="825" spans="1:8" x14ac:dyDescent="0.3">
      <c r="A825" t="s">
        <v>36</v>
      </c>
      <c r="B825">
        <v>108</v>
      </c>
      <c r="F825">
        <v>0</v>
      </c>
    </row>
    <row r="826" spans="1:8" x14ac:dyDescent="0.3">
      <c r="A826" t="s">
        <v>506</v>
      </c>
      <c r="B826">
        <v>108</v>
      </c>
      <c r="F826" t="s">
        <v>592</v>
      </c>
    </row>
    <row r="827" spans="1:8" x14ac:dyDescent="0.3">
      <c r="A827" t="s">
        <v>574</v>
      </c>
      <c r="B827">
        <v>108</v>
      </c>
      <c r="F827">
        <v>955</v>
      </c>
    </row>
    <row r="828" spans="1:8" x14ac:dyDescent="0.3">
      <c r="A828" t="s">
        <v>42</v>
      </c>
      <c r="B828">
        <v>108</v>
      </c>
      <c r="F828">
        <v>30</v>
      </c>
    </row>
    <row r="829" spans="1:8" x14ac:dyDescent="0.3">
      <c r="A829" t="s">
        <v>575</v>
      </c>
      <c r="B829">
        <v>108</v>
      </c>
      <c r="F829">
        <v>21.7</v>
      </c>
    </row>
    <row r="830" spans="1:8" x14ac:dyDescent="0.3">
      <c r="A830" t="s">
        <v>41</v>
      </c>
      <c r="B830">
        <v>108</v>
      </c>
      <c r="F830">
        <v>0</v>
      </c>
    </row>
    <row r="831" spans="1:8" x14ac:dyDescent="0.3">
      <c r="A831" t="s">
        <v>576</v>
      </c>
      <c r="B831">
        <v>108</v>
      </c>
      <c r="F831">
        <v>0</v>
      </c>
    </row>
    <row r="832" spans="1:8" x14ac:dyDescent="0.3">
      <c r="A832" t="s">
        <v>577</v>
      </c>
      <c r="B832">
        <v>108</v>
      </c>
      <c r="F832">
        <v>0</v>
      </c>
    </row>
    <row r="833" spans="1:6" x14ac:dyDescent="0.3">
      <c r="A833" t="s">
        <v>578</v>
      </c>
      <c r="B833">
        <v>108</v>
      </c>
      <c r="F833">
        <v>0</v>
      </c>
    </row>
    <row r="834" spans="1:6" x14ac:dyDescent="0.3">
      <c r="A834" t="s">
        <v>579</v>
      </c>
      <c r="B834">
        <v>108</v>
      </c>
      <c r="F834">
        <v>16</v>
      </c>
    </row>
    <row r="835" spans="1:6" x14ac:dyDescent="0.3">
      <c r="A835" t="s">
        <v>580</v>
      </c>
      <c r="B835">
        <v>108</v>
      </c>
      <c r="F835">
        <v>200</v>
      </c>
    </row>
    <row r="836" spans="1:6" x14ac:dyDescent="0.3">
      <c r="A836" t="s">
        <v>581</v>
      </c>
      <c r="B836">
        <v>108</v>
      </c>
      <c r="F836">
        <v>1320</v>
      </c>
    </row>
    <row r="837" spans="1:6" x14ac:dyDescent="0.3">
      <c r="A837" t="s">
        <v>582</v>
      </c>
      <c r="B837">
        <v>108</v>
      </c>
      <c r="F837">
        <v>880</v>
      </c>
    </row>
    <row r="838" spans="1:6" x14ac:dyDescent="0.3">
      <c r="A838" t="s">
        <v>583</v>
      </c>
      <c r="B838">
        <v>108</v>
      </c>
      <c r="F838">
        <v>1760</v>
      </c>
    </row>
    <row r="839" spans="1:6" x14ac:dyDescent="0.3">
      <c r="A839" t="s">
        <v>584</v>
      </c>
      <c r="B839">
        <v>108</v>
      </c>
    </row>
    <row r="840" spans="1:6" x14ac:dyDescent="0.3">
      <c r="A840" t="s">
        <v>585</v>
      </c>
      <c r="B840">
        <v>108</v>
      </c>
    </row>
    <row r="841" spans="1:6" x14ac:dyDescent="0.3">
      <c r="A841" t="s">
        <v>586</v>
      </c>
      <c r="B841">
        <v>108</v>
      </c>
    </row>
    <row r="842" spans="1:6" x14ac:dyDescent="0.3">
      <c r="A842" t="s">
        <v>587</v>
      </c>
      <c r="B842">
        <v>108</v>
      </c>
      <c r="F842" t="b">
        <v>0</v>
      </c>
    </row>
    <row r="843" spans="1:6" x14ac:dyDescent="0.3">
      <c r="A843" t="s">
        <v>588</v>
      </c>
      <c r="B843">
        <v>108</v>
      </c>
      <c r="F843" t="b">
        <v>0</v>
      </c>
    </row>
    <row r="844" spans="1:6" x14ac:dyDescent="0.3">
      <c r="A844" t="s">
        <v>570</v>
      </c>
      <c r="B844">
        <v>109</v>
      </c>
      <c r="F844">
        <v>5</v>
      </c>
    </row>
    <row r="845" spans="1:6" x14ac:dyDescent="0.3">
      <c r="A845" t="s">
        <v>36</v>
      </c>
      <c r="B845">
        <v>109</v>
      </c>
      <c r="F845">
        <v>2</v>
      </c>
    </row>
    <row r="846" spans="1:6" x14ac:dyDescent="0.3">
      <c r="A846" t="s">
        <v>506</v>
      </c>
      <c r="B846">
        <v>109</v>
      </c>
      <c r="F846" t="s">
        <v>593</v>
      </c>
    </row>
    <row r="847" spans="1:6" x14ac:dyDescent="0.3">
      <c r="A847" t="s">
        <v>574</v>
      </c>
      <c r="B847">
        <v>109</v>
      </c>
      <c r="F847">
        <v>693</v>
      </c>
    </row>
    <row r="848" spans="1:6" x14ac:dyDescent="0.3">
      <c r="A848" t="s">
        <v>42</v>
      </c>
      <c r="B848">
        <v>109</v>
      </c>
      <c r="F848">
        <v>30</v>
      </c>
    </row>
    <row r="849" spans="1:6" x14ac:dyDescent="0.3">
      <c r="A849" t="s">
        <v>575</v>
      </c>
      <c r="B849">
        <v>109</v>
      </c>
      <c r="F849">
        <v>15.8</v>
      </c>
    </row>
    <row r="850" spans="1:6" x14ac:dyDescent="0.3">
      <c r="A850" t="s">
        <v>41</v>
      </c>
      <c r="B850">
        <v>109</v>
      </c>
      <c r="F850">
        <v>0</v>
      </c>
    </row>
    <row r="851" spans="1:6" x14ac:dyDescent="0.3">
      <c r="A851" t="s">
        <v>576</v>
      </c>
      <c r="B851">
        <v>109</v>
      </c>
      <c r="F851">
        <v>0</v>
      </c>
    </row>
    <row r="852" spans="1:6" x14ac:dyDescent="0.3">
      <c r="A852" t="s">
        <v>577</v>
      </c>
      <c r="B852">
        <v>109</v>
      </c>
      <c r="F852">
        <v>0</v>
      </c>
    </row>
    <row r="853" spans="1:6" x14ac:dyDescent="0.3">
      <c r="A853" t="s">
        <v>578</v>
      </c>
      <c r="B853">
        <v>109</v>
      </c>
      <c r="F853">
        <v>0</v>
      </c>
    </row>
    <row r="854" spans="1:6" x14ac:dyDescent="0.3">
      <c r="A854" t="s">
        <v>579</v>
      </c>
      <c r="B854">
        <v>109</v>
      </c>
      <c r="F854">
        <v>16</v>
      </c>
    </row>
    <row r="855" spans="1:6" x14ac:dyDescent="0.3">
      <c r="A855" t="s">
        <v>580</v>
      </c>
      <c r="B855">
        <v>109</v>
      </c>
      <c r="F855">
        <v>200</v>
      </c>
    </row>
    <row r="856" spans="1:6" x14ac:dyDescent="0.3">
      <c r="A856" t="s">
        <v>581</v>
      </c>
      <c r="B856">
        <v>109</v>
      </c>
      <c r="F856">
        <v>1320</v>
      </c>
    </row>
    <row r="857" spans="1:6" x14ac:dyDescent="0.3">
      <c r="A857" t="s">
        <v>582</v>
      </c>
      <c r="B857">
        <v>109</v>
      </c>
      <c r="F857">
        <v>880</v>
      </c>
    </row>
    <row r="858" spans="1:6" x14ac:dyDescent="0.3">
      <c r="A858" t="s">
        <v>583</v>
      </c>
      <c r="B858">
        <v>109</v>
      </c>
      <c r="F858">
        <v>1760</v>
      </c>
    </row>
    <row r="859" spans="1:6" x14ac:dyDescent="0.3">
      <c r="A859" t="s">
        <v>584</v>
      </c>
      <c r="B859">
        <v>109</v>
      </c>
    </row>
    <row r="860" spans="1:6" x14ac:dyDescent="0.3">
      <c r="A860" t="s">
        <v>585</v>
      </c>
      <c r="B860">
        <v>109</v>
      </c>
    </row>
    <row r="861" spans="1:6" x14ac:dyDescent="0.3">
      <c r="A861" t="s">
        <v>586</v>
      </c>
      <c r="B861">
        <v>109</v>
      </c>
    </row>
    <row r="862" spans="1:6" x14ac:dyDescent="0.3">
      <c r="A862" t="s">
        <v>587</v>
      </c>
      <c r="B862">
        <v>109</v>
      </c>
      <c r="F862" t="b">
        <v>0</v>
      </c>
    </row>
    <row r="863" spans="1:6" x14ac:dyDescent="0.3">
      <c r="A863" t="s">
        <v>588</v>
      </c>
      <c r="B863">
        <v>109</v>
      </c>
      <c r="F863" t="b">
        <v>0</v>
      </c>
    </row>
    <row r="864" spans="1:6" x14ac:dyDescent="0.3">
      <c r="A864" t="s">
        <v>570</v>
      </c>
      <c r="B864">
        <v>110</v>
      </c>
      <c r="D864">
        <v>6</v>
      </c>
    </row>
    <row r="865" spans="1:4" x14ac:dyDescent="0.3">
      <c r="A865" t="s">
        <v>36</v>
      </c>
      <c r="B865">
        <v>110</v>
      </c>
      <c r="D865">
        <v>2</v>
      </c>
    </row>
    <row r="866" spans="1:4" x14ac:dyDescent="0.3">
      <c r="A866" t="s">
        <v>506</v>
      </c>
      <c r="B866">
        <v>110</v>
      </c>
      <c r="D866" t="s">
        <v>594</v>
      </c>
    </row>
    <row r="867" spans="1:4" x14ac:dyDescent="0.3">
      <c r="A867" t="s">
        <v>574</v>
      </c>
      <c r="B867">
        <v>110</v>
      </c>
      <c r="D867">
        <v>738</v>
      </c>
    </row>
    <row r="868" spans="1:4" x14ac:dyDescent="0.3">
      <c r="A868" t="s">
        <v>42</v>
      </c>
      <c r="B868">
        <v>110</v>
      </c>
      <c r="D868">
        <v>30</v>
      </c>
    </row>
    <row r="869" spans="1:4" x14ac:dyDescent="0.3">
      <c r="A869" t="s">
        <v>575</v>
      </c>
      <c r="B869">
        <v>110</v>
      </c>
      <c r="D869">
        <v>16.8</v>
      </c>
    </row>
    <row r="870" spans="1:4" x14ac:dyDescent="0.3">
      <c r="A870" t="s">
        <v>41</v>
      </c>
      <c r="B870">
        <v>110</v>
      </c>
      <c r="D870">
        <v>0</v>
      </c>
    </row>
    <row r="871" spans="1:4" x14ac:dyDescent="0.3">
      <c r="A871" t="s">
        <v>576</v>
      </c>
      <c r="B871">
        <v>110</v>
      </c>
      <c r="D871">
        <v>0</v>
      </c>
    </row>
    <row r="872" spans="1:4" x14ac:dyDescent="0.3">
      <c r="A872" t="s">
        <v>577</v>
      </c>
      <c r="B872">
        <v>110</v>
      </c>
      <c r="D872">
        <v>0</v>
      </c>
    </row>
    <row r="873" spans="1:4" x14ac:dyDescent="0.3">
      <c r="A873" t="s">
        <v>578</v>
      </c>
      <c r="B873">
        <v>110</v>
      </c>
      <c r="D873">
        <v>0</v>
      </c>
    </row>
    <row r="874" spans="1:4" x14ac:dyDescent="0.3">
      <c r="A874" t="s">
        <v>579</v>
      </c>
      <c r="B874">
        <v>110</v>
      </c>
      <c r="D874">
        <v>16</v>
      </c>
    </row>
    <row r="875" spans="1:4" x14ac:dyDescent="0.3">
      <c r="A875" t="s">
        <v>580</v>
      </c>
      <c r="B875">
        <v>110</v>
      </c>
      <c r="D875">
        <v>200</v>
      </c>
    </row>
    <row r="876" spans="1:4" x14ac:dyDescent="0.3">
      <c r="A876" t="s">
        <v>581</v>
      </c>
      <c r="B876">
        <v>110</v>
      </c>
      <c r="D876">
        <v>1320</v>
      </c>
    </row>
    <row r="877" spans="1:4" x14ac:dyDescent="0.3">
      <c r="A877" t="s">
        <v>582</v>
      </c>
      <c r="B877">
        <v>110</v>
      </c>
      <c r="D877">
        <v>880</v>
      </c>
    </row>
    <row r="878" spans="1:4" x14ac:dyDescent="0.3">
      <c r="A878" t="s">
        <v>583</v>
      </c>
      <c r="B878">
        <v>110</v>
      </c>
      <c r="D878">
        <v>1760</v>
      </c>
    </row>
    <row r="879" spans="1:4" x14ac:dyDescent="0.3">
      <c r="A879" t="s">
        <v>584</v>
      </c>
      <c r="B879">
        <v>110</v>
      </c>
    </row>
    <row r="880" spans="1:4" x14ac:dyDescent="0.3">
      <c r="A880" t="s">
        <v>585</v>
      </c>
      <c r="B880">
        <v>110</v>
      </c>
    </row>
    <row r="881" spans="1:5" x14ac:dyDescent="0.3">
      <c r="A881" t="s">
        <v>586</v>
      </c>
      <c r="B881">
        <v>110</v>
      </c>
    </row>
    <row r="882" spans="1:5" x14ac:dyDescent="0.3">
      <c r="A882" t="s">
        <v>587</v>
      </c>
      <c r="B882">
        <v>110</v>
      </c>
      <c r="D882" t="b">
        <v>0</v>
      </c>
    </row>
    <row r="883" spans="1:5" x14ac:dyDescent="0.3">
      <c r="A883" t="s">
        <v>588</v>
      </c>
      <c r="B883">
        <v>110</v>
      </c>
      <c r="D883" t="b">
        <v>0</v>
      </c>
    </row>
    <row r="884" spans="1:5" x14ac:dyDescent="0.3">
      <c r="A884" t="s">
        <v>570</v>
      </c>
      <c r="B884">
        <v>111</v>
      </c>
      <c r="E884">
        <v>6</v>
      </c>
    </row>
    <row r="885" spans="1:5" x14ac:dyDescent="0.3">
      <c r="A885" t="s">
        <v>36</v>
      </c>
      <c r="B885">
        <v>111</v>
      </c>
      <c r="E885" t="s">
        <v>595</v>
      </c>
    </row>
    <row r="886" spans="1:5" x14ac:dyDescent="0.3">
      <c r="A886" t="s">
        <v>506</v>
      </c>
      <c r="B886">
        <v>111</v>
      </c>
      <c r="E886" t="s">
        <v>592</v>
      </c>
    </row>
    <row r="887" spans="1:5" x14ac:dyDescent="0.3">
      <c r="A887" t="s">
        <v>574</v>
      </c>
      <c r="B887">
        <v>111</v>
      </c>
      <c r="E887">
        <v>708</v>
      </c>
    </row>
    <row r="888" spans="1:5" x14ac:dyDescent="0.3">
      <c r="A888" t="s">
        <v>42</v>
      </c>
      <c r="B888">
        <v>111</v>
      </c>
      <c r="E888">
        <v>30</v>
      </c>
    </row>
    <row r="889" spans="1:5" x14ac:dyDescent="0.3">
      <c r="A889" t="s">
        <v>575</v>
      </c>
      <c r="B889">
        <v>111</v>
      </c>
      <c r="E889">
        <v>16.100000000000001</v>
      </c>
    </row>
    <row r="890" spans="1:5" x14ac:dyDescent="0.3">
      <c r="A890" t="s">
        <v>41</v>
      </c>
      <c r="B890">
        <v>111</v>
      </c>
      <c r="E890">
        <v>0</v>
      </c>
    </row>
    <row r="891" spans="1:5" x14ac:dyDescent="0.3">
      <c r="A891" t="s">
        <v>576</v>
      </c>
      <c r="B891">
        <v>111</v>
      </c>
      <c r="E891">
        <v>0</v>
      </c>
    </row>
    <row r="892" spans="1:5" x14ac:dyDescent="0.3">
      <c r="A892" t="s">
        <v>577</v>
      </c>
      <c r="B892">
        <v>111</v>
      </c>
      <c r="E892">
        <v>0</v>
      </c>
    </row>
    <row r="893" spans="1:5" x14ac:dyDescent="0.3">
      <c r="A893" t="s">
        <v>578</v>
      </c>
      <c r="B893">
        <v>111</v>
      </c>
      <c r="E893">
        <v>0</v>
      </c>
    </row>
    <row r="894" spans="1:5" x14ac:dyDescent="0.3">
      <c r="A894" t="s">
        <v>579</v>
      </c>
      <c r="B894">
        <v>111</v>
      </c>
      <c r="E894">
        <v>16</v>
      </c>
    </row>
    <row r="895" spans="1:5" x14ac:dyDescent="0.3">
      <c r="A895" t="s">
        <v>580</v>
      </c>
      <c r="B895">
        <v>111</v>
      </c>
      <c r="E895">
        <v>200</v>
      </c>
    </row>
    <row r="896" spans="1:5" x14ac:dyDescent="0.3">
      <c r="A896" t="s">
        <v>581</v>
      </c>
      <c r="B896">
        <v>111</v>
      </c>
      <c r="E896">
        <v>1320</v>
      </c>
    </row>
    <row r="897" spans="1:5" x14ac:dyDescent="0.3">
      <c r="A897" t="s">
        <v>582</v>
      </c>
      <c r="B897">
        <v>111</v>
      </c>
      <c r="E897">
        <v>880</v>
      </c>
    </row>
    <row r="898" spans="1:5" x14ac:dyDescent="0.3">
      <c r="A898" t="s">
        <v>583</v>
      </c>
      <c r="B898">
        <v>111</v>
      </c>
      <c r="E898">
        <v>1760</v>
      </c>
    </row>
    <row r="899" spans="1:5" x14ac:dyDescent="0.3">
      <c r="A899" t="s">
        <v>584</v>
      </c>
      <c r="B899">
        <v>111</v>
      </c>
    </row>
    <row r="900" spans="1:5" x14ac:dyDescent="0.3">
      <c r="A900" t="s">
        <v>585</v>
      </c>
      <c r="B900">
        <v>111</v>
      </c>
    </row>
    <row r="901" spans="1:5" x14ac:dyDescent="0.3">
      <c r="A901" t="s">
        <v>586</v>
      </c>
      <c r="B901">
        <v>111</v>
      </c>
    </row>
    <row r="902" spans="1:5" x14ac:dyDescent="0.3">
      <c r="A902" t="s">
        <v>587</v>
      </c>
      <c r="B902">
        <v>111</v>
      </c>
      <c r="E902" t="b">
        <v>0</v>
      </c>
    </row>
    <row r="903" spans="1:5" x14ac:dyDescent="0.3">
      <c r="A903" t="s">
        <v>588</v>
      </c>
      <c r="B903">
        <v>111</v>
      </c>
      <c r="E903" t="b">
        <v>0</v>
      </c>
    </row>
    <row r="904" spans="1:5" x14ac:dyDescent="0.3">
      <c r="A904" t="s">
        <v>570</v>
      </c>
      <c r="B904">
        <v>112</v>
      </c>
      <c r="E904">
        <v>7</v>
      </c>
    </row>
    <row r="905" spans="1:5" x14ac:dyDescent="0.3">
      <c r="A905" t="s">
        <v>36</v>
      </c>
      <c r="B905">
        <v>112</v>
      </c>
      <c r="E905">
        <v>0</v>
      </c>
    </row>
    <row r="906" spans="1:5" x14ac:dyDescent="0.3">
      <c r="A906" t="s">
        <v>506</v>
      </c>
      <c r="B906">
        <v>112</v>
      </c>
      <c r="E906" t="s">
        <v>593</v>
      </c>
    </row>
    <row r="907" spans="1:5" x14ac:dyDescent="0.3">
      <c r="A907" t="s">
        <v>574</v>
      </c>
      <c r="B907">
        <v>112</v>
      </c>
      <c r="E907">
        <v>794</v>
      </c>
    </row>
    <row r="908" spans="1:5" x14ac:dyDescent="0.3">
      <c r="A908" t="s">
        <v>42</v>
      </c>
      <c r="B908">
        <v>112</v>
      </c>
      <c r="E908">
        <v>30</v>
      </c>
    </row>
    <row r="909" spans="1:5" x14ac:dyDescent="0.3">
      <c r="A909" t="s">
        <v>575</v>
      </c>
      <c r="B909">
        <v>112</v>
      </c>
      <c r="E909">
        <v>18</v>
      </c>
    </row>
    <row r="910" spans="1:5" x14ac:dyDescent="0.3">
      <c r="A910" t="s">
        <v>41</v>
      </c>
      <c r="B910">
        <v>112</v>
      </c>
      <c r="E910">
        <v>0</v>
      </c>
    </row>
    <row r="911" spans="1:5" x14ac:dyDescent="0.3">
      <c r="A911" t="s">
        <v>576</v>
      </c>
      <c r="B911">
        <v>112</v>
      </c>
      <c r="E911">
        <v>0</v>
      </c>
    </row>
    <row r="912" spans="1:5" x14ac:dyDescent="0.3">
      <c r="A912" t="s">
        <v>577</v>
      </c>
      <c r="B912">
        <v>112</v>
      </c>
      <c r="E912">
        <v>0</v>
      </c>
    </row>
    <row r="913" spans="1:6" x14ac:dyDescent="0.3">
      <c r="A913" t="s">
        <v>578</v>
      </c>
      <c r="B913">
        <v>112</v>
      </c>
      <c r="E913">
        <v>0</v>
      </c>
    </row>
    <row r="914" spans="1:6" x14ac:dyDescent="0.3">
      <c r="A914" t="s">
        <v>579</v>
      </c>
      <c r="B914">
        <v>112</v>
      </c>
      <c r="E914">
        <v>16</v>
      </c>
    </row>
    <row r="915" spans="1:6" x14ac:dyDescent="0.3">
      <c r="A915" t="s">
        <v>580</v>
      </c>
      <c r="B915">
        <v>112</v>
      </c>
      <c r="E915">
        <v>200</v>
      </c>
    </row>
    <row r="916" spans="1:6" x14ac:dyDescent="0.3">
      <c r="A916" t="s">
        <v>581</v>
      </c>
      <c r="B916">
        <v>112</v>
      </c>
      <c r="E916">
        <v>1320</v>
      </c>
    </row>
    <row r="917" spans="1:6" x14ac:dyDescent="0.3">
      <c r="A917" t="s">
        <v>582</v>
      </c>
      <c r="B917">
        <v>112</v>
      </c>
      <c r="E917">
        <v>880</v>
      </c>
    </row>
    <row r="918" spans="1:6" x14ac:dyDescent="0.3">
      <c r="A918" t="s">
        <v>583</v>
      </c>
      <c r="B918">
        <v>112</v>
      </c>
      <c r="E918">
        <v>1760</v>
      </c>
    </row>
    <row r="919" spans="1:6" x14ac:dyDescent="0.3">
      <c r="A919" t="s">
        <v>584</v>
      </c>
      <c r="B919">
        <v>112</v>
      </c>
    </row>
    <row r="920" spans="1:6" x14ac:dyDescent="0.3">
      <c r="A920" t="s">
        <v>585</v>
      </c>
      <c r="B920">
        <v>112</v>
      </c>
    </row>
    <row r="921" spans="1:6" x14ac:dyDescent="0.3">
      <c r="A921" t="s">
        <v>586</v>
      </c>
      <c r="B921">
        <v>112</v>
      </c>
    </row>
    <row r="922" spans="1:6" x14ac:dyDescent="0.3">
      <c r="A922" t="s">
        <v>587</v>
      </c>
      <c r="B922">
        <v>112</v>
      </c>
      <c r="E922" t="b">
        <v>0</v>
      </c>
    </row>
    <row r="923" spans="1:6" x14ac:dyDescent="0.3">
      <c r="A923" t="s">
        <v>588</v>
      </c>
      <c r="B923">
        <v>112</v>
      </c>
      <c r="E923" t="b">
        <v>0</v>
      </c>
    </row>
    <row r="924" spans="1:6" x14ac:dyDescent="0.3">
      <c r="A924" t="s">
        <v>570</v>
      </c>
      <c r="B924">
        <v>113</v>
      </c>
      <c r="F924">
        <v>9</v>
      </c>
    </row>
    <row r="925" spans="1:6" x14ac:dyDescent="0.3">
      <c r="A925" t="s">
        <v>36</v>
      </c>
      <c r="B925">
        <v>113</v>
      </c>
      <c r="F925">
        <v>1</v>
      </c>
    </row>
    <row r="926" spans="1:6" x14ac:dyDescent="0.3">
      <c r="A926" t="s">
        <v>506</v>
      </c>
      <c r="B926">
        <v>113</v>
      </c>
      <c r="F926" t="s">
        <v>596</v>
      </c>
    </row>
    <row r="927" spans="1:6" x14ac:dyDescent="0.3">
      <c r="A927" t="s">
        <v>574</v>
      </c>
      <c r="B927">
        <v>113</v>
      </c>
      <c r="F927">
        <v>714</v>
      </c>
    </row>
    <row r="928" spans="1:6" x14ac:dyDescent="0.3">
      <c r="A928" t="s">
        <v>42</v>
      </c>
      <c r="B928">
        <v>113</v>
      </c>
      <c r="F928">
        <v>30</v>
      </c>
    </row>
    <row r="929" spans="1:6" x14ac:dyDescent="0.3">
      <c r="A929" t="s">
        <v>575</v>
      </c>
      <c r="B929">
        <v>113</v>
      </c>
      <c r="F929">
        <v>16.2</v>
      </c>
    </row>
    <row r="930" spans="1:6" x14ac:dyDescent="0.3">
      <c r="A930" t="s">
        <v>41</v>
      </c>
      <c r="B930">
        <v>113</v>
      </c>
      <c r="F930">
        <v>0</v>
      </c>
    </row>
    <row r="931" spans="1:6" x14ac:dyDescent="0.3">
      <c r="A931" t="s">
        <v>576</v>
      </c>
      <c r="B931">
        <v>113</v>
      </c>
      <c r="F931">
        <v>12</v>
      </c>
    </row>
    <row r="932" spans="1:6" x14ac:dyDescent="0.3">
      <c r="A932" t="s">
        <v>577</v>
      </c>
      <c r="B932">
        <v>113</v>
      </c>
      <c r="F932">
        <v>0</v>
      </c>
    </row>
    <row r="933" spans="1:6" x14ac:dyDescent="0.3">
      <c r="A933" t="s">
        <v>578</v>
      </c>
      <c r="B933">
        <v>113</v>
      </c>
      <c r="F933">
        <v>0</v>
      </c>
    </row>
    <row r="934" spans="1:6" x14ac:dyDescent="0.3">
      <c r="A934" t="s">
        <v>579</v>
      </c>
      <c r="B934">
        <v>113</v>
      </c>
      <c r="F934">
        <v>16</v>
      </c>
    </row>
    <row r="935" spans="1:6" x14ac:dyDescent="0.3">
      <c r="A935" t="s">
        <v>580</v>
      </c>
      <c r="B935">
        <v>113</v>
      </c>
      <c r="F935">
        <v>200</v>
      </c>
    </row>
    <row r="936" spans="1:6" x14ac:dyDescent="0.3">
      <c r="A936" t="s">
        <v>581</v>
      </c>
      <c r="B936">
        <v>113</v>
      </c>
      <c r="F936">
        <v>1320</v>
      </c>
    </row>
    <row r="937" spans="1:6" x14ac:dyDescent="0.3">
      <c r="A937" t="s">
        <v>582</v>
      </c>
      <c r="B937">
        <v>113</v>
      </c>
      <c r="F937">
        <v>880</v>
      </c>
    </row>
    <row r="938" spans="1:6" x14ac:dyDescent="0.3">
      <c r="A938" t="s">
        <v>583</v>
      </c>
      <c r="B938">
        <v>113</v>
      </c>
      <c r="F938">
        <v>1760</v>
      </c>
    </row>
    <row r="939" spans="1:6" x14ac:dyDescent="0.3">
      <c r="A939" t="s">
        <v>584</v>
      </c>
      <c r="B939">
        <v>113</v>
      </c>
    </row>
    <row r="940" spans="1:6" x14ac:dyDescent="0.3">
      <c r="A940" t="s">
        <v>585</v>
      </c>
      <c r="B940">
        <v>113</v>
      </c>
    </row>
    <row r="941" spans="1:6" x14ac:dyDescent="0.3">
      <c r="A941" t="s">
        <v>586</v>
      </c>
      <c r="B941">
        <v>113</v>
      </c>
    </row>
    <row r="942" spans="1:6" x14ac:dyDescent="0.3">
      <c r="A942" t="s">
        <v>587</v>
      </c>
      <c r="B942">
        <v>113</v>
      </c>
      <c r="F942" t="b">
        <v>0</v>
      </c>
    </row>
    <row r="943" spans="1:6" x14ac:dyDescent="0.3">
      <c r="A943" t="s">
        <v>588</v>
      </c>
      <c r="B943">
        <v>113</v>
      </c>
      <c r="F943" t="b">
        <v>0</v>
      </c>
    </row>
    <row r="944" spans="1:6" x14ac:dyDescent="0.3">
      <c r="A944" t="s">
        <v>570</v>
      </c>
      <c r="B944">
        <v>114</v>
      </c>
      <c r="E944">
        <v>9</v>
      </c>
    </row>
    <row r="945" spans="1:5" x14ac:dyDescent="0.3">
      <c r="A945" t="s">
        <v>36</v>
      </c>
      <c r="B945">
        <v>114</v>
      </c>
      <c r="E945">
        <v>1</v>
      </c>
    </row>
    <row r="946" spans="1:5" x14ac:dyDescent="0.3">
      <c r="A946" t="s">
        <v>506</v>
      </c>
      <c r="B946">
        <v>114</v>
      </c>
      <c r="E946" t="s">
        <v>597</v>
      </c>
    </row>
    <row r="947" spans="1:5" x14ac:dyDescent="0.3">
      <c r="A947" t="s">
        <v>574</v>
      </c>
      <c r="B947">
        <v>114</v>
      </c>
      <c r="E947">
        <v>597</v>
      </c>
    </row>
    <row r="948" spans="1:5" x14ac:dyDescent="0.3">
      <c r="A948" t="s">
        <v>42</v>
      </c>
      <c r="B948">
        <v>114</v>
      </c>
      <c r="E948">
        <v>30</v>
      </c>
    </row>
    <row r="949" spans="1:5" x14ac:dyDescent="0.3">
      <c r="A949" t="s">
        <v>575</v>
      </c>
      <c r="B949">
        <v>114</v>
      </c>
      <c r="E949">
        <v>13.6</v>
      </c>
    </row>
    <row r="950" spans="1:5" x14ac:dyDescent="0.3">
      <c r="A950" t="s">
        <v>41</v>
      </c>
      <c r="B950">
        <v>114</v>
      </c>
      <c r="E950">
        <v>0</v>
      </c>
    </row>
    <row r="951" spans="1:5" x14ac:dyDescent="0.3">
      <c r="A951" t="s">
        <v>576</v>
      </c>
      <c r="B951">
        <v>114</v>
      </c>
      <c r="E951">
        <v>0</v>
      </c>
    </row>
    <row r="952" spans="1:5" x14ac:dyDescent="0.3">
      <c r="A952" t="s">
        <v>577</v>
      </c>
      <c r="B952">
        <v>114</v>
      </c>
      <c r="E952">
        <v>0</v>
      </c>
    </row>
    <row r="953" spans="1:5" x14ac:dyDescent="0.3">
      <c r="A953" t="s">
        <v>578</v>
      </c>
      <c r="B953">
        <v>114</v>
      </c>
      <c r="E953">
        <v>0</v>
      </c>
    </row>
    <row r="954" spans="1:5" x14ac:dyDescent="0.3">
      <c r="A954" t="s">
        <v>579</v>
      </c>
      <c r="B954">
        <v>114</v>
      </c>
      <c r="E954">
        <v>16</v>
      </c>
    </row>
    <row r="955" spans="1:5" x14ac:dyDescent="0.3">
      <c r="A955" t="s">
        <v>580</v>
      </c>
      <c r="B955">
        <v>114</v>
      </c>
      <c r="E955">
        <v>200</v>
      </c>
    </row>
    <row r="956" spans="1:5" x14ac:dyDescent="0.3">
      <c r="A956" t="s">
        <v>581</v>
      </c>
      <c r="B956">
        <v>114</v>
      </c>
      <c r="E956">
        <v>1320</v>
      </c>
    </row>
    <row r="957" spans="1:5" x14ac:dyDescent="0.3">
      <c r="A957" t="s">
        <v>582</v>
      </c>
      <c r="B957">
        <v>114</v>
      </c>
      <c r="E957">
        <v>880</v>
      </c>
    </row>
    <row r="958" spans="1:5" x14ac:dyDescent="0.3">
      <c r="A958" t="s">
        <v>583</v>
      </c>
      <c r="B958">
        <v>114</v>
      </c>
      <c r="E958">
        <v>1760</v>
      </c>
    </row>
    <row r="959" spans="1:5" x14ac:dyDescent="0.3">
      <c r="A959" t="s">
        <v>584</v>
      </c>
      <c r="B959">
        <v>114</v>
      </c>
    </row>
    <row r="960" spans="1:5" x14ac:dyDescent="0.3">
      <c r="A960" t="s">
        <v>585</v>
      </c>
      <c r="B960">
        <v>114</v>
      </c>
    </row>
    <row r="961" spans="1:6" x14ac:dyDescent="0.3">
      <c r="A961" t="s">
        <v>586</v>
      </c>
      <c r="B961">
        <v>114</v>
      </c>
    </row>
    <row r="962" spans="1:6" x14ac:dyDescent="0.3">
      <c r="A962" t="s">
        <v>587</v>
      </c>
      <c r="B962">
        <v>114</v>
      </c>
      <c r="E962" t="b">
        <v>0</v>
      </c>
    </row>
    <row r="963" spans="1:6" x14ac:dyDescent="0.3">
      <c r="A963" t="s">
        <v>588</v>
      </c>
      <c r="B963">
        <v>114</v>
      </c>
      <c r="E963" t="b">
        <v>0</v>
      </c>
    </row>
    <row r="964" spans="1:6" x14ac:dyDescent="0.3">
      <c r="A964" t="s">
        <v>570</v>
      </c>
      <c r="B964">
        <v>115</v>
      </c>
      <c r="F964">
        <v>22</v>
      </c>
    </row>
    <row r="965" spans="1:6" x14ac:dyDescent="0.3">
      <c r="A965" t="s">
        <v>36</v>
      </c>
      <c r="B965">
        <v>115</v>
      </c>
      <c r="F965">
        <v>1</v>
      </c>
    </row>
    <row r="966" spans="1:6" x14ac:dyDescent="0.3">
      <c r="A966" t="s">
        <v>506</v>
      </c>
      <c r="B966">
        <v>115</v>
      </c>
      <c r="F966" t="s">
        <v>599</v>
      </c>
    </row>
    <row r="967" spans="1:6" x14ac:dyDescent="0.3">
      <c r="A967" t="s">
        <v>574</v>
      </c>
      <c r="B967">
        <v>115</v>
      </c>
      <c r="F967">
        <v>931</v>
      </c>
    </row>
    <row r="968" spans="1:6" x14ac:dyDescent="0.3">
      <c r="A968" t="s">
        <v>42</v>
      </c>
      <c r="B968">
        <v>115</v>
      </c>
      <c r="F968">
        <v>30</v>
      </c>
    </row>
    <row r="969" spans="1:6" x14ac:dyDescent="0.3">
      <c r="A969" t="s">
        <v>575</v>
      </c>
      <c r="B969">
        <v>115</v>
      </c>
      <c r="F969">
        <v>21.2</v>
      </c>
    </row>
    <row r="970" spans="1:6" x14ac:dyDescent="0.3">
      <c r="A970" t="s">
        <v>41</v>
      </c>
      <c r="B970">
        <v>115</v>
      </c>
      <c r="F970">
        <v>0</v>
      </c>
    </row>
    <row r="971" spans="1:6" x14ac:dyDescent="0.3">
      <c r="A971" t="s">
        <v>576</v>
      </c>
      <c r="B971">
        <v>115</v>
      </c>
      <c r="F971">
        <v>0</v>
      </c>
    </row>
    <row r="972" spans="1:6" x14ac:dyDescent="0.3">
      <c r="A972" t="s">
        <v>577</v>
      </c>
      <c r="B972">
        <v>115</v>
      </c>
      <c r="F972">
        <v>0</v>
      </c>
    </row>
    <row r="973" spans="1:6" x14ac:dyDescent="0.3">
      <c r="A973" t="s">
        <v>578</v>
      </c>
      <c r="B973">
        <v>115</v>
      </c>
      <c r="F973">
        <v>0</v>
      </c>
    </row>
    <row r="974" spans="1:6" x14ac:dyDescent="0.3">
      <c r="A974" t="s">
        <v>579</v>
      </c>
      <c r="B974">
        <v>115</v>
      </c>
      <c r="F974">
        <v>16</v>
      </c>
    </row>
    <row r="975" spans="1:6" x14ac:dyDescent="0.3">
      <c r="A975" t="s">
        <v>580</v>
      </c>
      <c r="B975">
        <v>115</v>
      </c>
      <c r="F975">
        <v>200</v>
      </c>
    </row>
    <row r="976" spans="1:6" x14ac:dyDescent="0.3">
      <c r="A976" t="s">
        <v>581</v>
      </c>
      <c r="B976">
        <v>115</v>
      </c>
      <c r="F976">
        <v>1320</v>
      </c>
    </row>
    <row r="977" spans="1:6" x14ac:dyDescent="0.3">
      <c r="A977" t="s">
        <v>582</v>
      </c>
      <c r="B977">
        <v>115</v>
      </c>
      <c r="F977">
        <v>880</v>
      </c>
    </row>
    <row r="978" spans="1:6" x14ac:dyDescent="0.3">
      <c r="A978" t="s">
        <v>583</v>
      </c>
      <c r="B978">
        <v>115</v>
      </c>
      <c r="F978">
        <v>1760</v>
      </c>
    </row>
    <row r="979" spans="1:6" x14ac:dyDescent="0.3">
      <c r="A979" t="s">
        <v>584</v>
      </c>
      <c r="B979">
        <v>115</v>
      </c>
    </row>
    <row r="980" spans="1:6" x14ac:dyDescent="0.3">
      <c r="A980" t="s">
        <v>585</v>
      </c>
      <c r="B980">
        <v>115</v>
      </c>
    </row>
    <row r="981" spans="1:6" x14ac:dyDescent="0.3">
      <c r="A981" t="s">
        <v>586</v>
      </c>
      <c r="B981">
        <v>115</v>
      </c>
    </row>
    <row r="982" spans="1:6" x14ac:dyDescent="0.3">
      <c r="A982" t="s">
        <v>587</v>
      </c>
      <c r="B982">
        <v>115</v>
      </c>
      <c r="F982" t="b">
        <v>0</v>
      </c>
    </row>
    <row r="983" spans="1:6" x14ac:dyDescent="0.3">
      <c r="A983" t="s">
        <v>588</v>
      </c>
      <c r="B983">
        <v>115</v>
      </c>
      <c r="F983" t="b">
        <v>0</v>
      </c>
    </row>
    <row r="984" spans="1:6" x14ac:dyDescent="0.3">
      <c r="A984" t="s">
        <v>570</v>
      </c>
      <c r="B984">
        <v>116</v>
      </c>
      <c r="E984">
        <v>11</v>
      </c>
    </row>
    <row r="985" spans="1:6" x14ac:dyDescent="0.3">
      <c r="A985" t="s">
        <v>36</v>
      </c>
      <c r="B985">
        <v>116</v>
      </c>
      <c r="E985">
        <v>1</v>
      </c>
    </row>
    <row r="986" spans="1:6" x14ac:dyDescent="0.3">
      <c r="A986" t="s">
        <v>506</v>
      </c>
      <c r="B986">
        <v>116</v>
      </c>
      <c r="E986" t="s">
        <v>599</v>
      </c>
    </row>
    <row r="987" spans="1:6" x14ac:dyDescent="0.3">
      <c r="A987" t="s">
        <v>574</v>
      </c>
      <c r="B987">
        <v>116</v>
      </c>
      <c r="E987">
        <v>764</v>
      </c>
    </row>
    <row r="988" spans="1:6" x14ac:dyDescent="0.3">
      <c r="A988" t="s">
        <v>42</v>
      </c>
      <c r="B988">
        <v>116</v>
      </c>
      <c r="E988">
        <v>30</v>
      </c>
    </row>
    <row r="989" spans="1:6" x14ac:dyDescent="0.3">
      <c r="A989" t="s">
        <v>575</v>
      </c>
      <c r="B989">
        <v>116</v>
      </c>
      <c r="E989">
        <v>17.399999999999999</v>
      </c>
    </row>
    <row r="990" spans="1:6" x14ac:dyDescent="0.3">
      <c r="A990" t="s">
        <v>41</v>
      </c>
      <c r="B990">
        <v>116</v>
      </c>
      <c r="E990">
        <v>0</v>
      </c>
    </row>
    <row r="991" spans="1:6" x14ac:dyDescent="0.3">
      <c r="A991" t="s">
        <v>576</v>
      </c>
      <c r="B991">
        <v>116</v>
      </c>
      <c r="E991">
        <v>12</v>
      </c>
    </row>
    <row r="992" spans="1:6" x14ac:dyDescent="0.3">
      <c r="A992" t="s">
        <v>577</v>
      </c>
      <c r="B992">
        <v>116</v>
      </c>
      <c r="E992">
        <v>0</v>
      </c>
    </row>
    <row r="993" spans="1:6" x14ac:dyDescent="0.3">
      <c r="A993" t="s">
        <v>578</v>
      </c>
      <c r="B993">
        <v>116</v>
      </c>
      <c r="E993">
        <v>0</v>
      </c>
    </row>
    <row r="994" spans="1:6" x14ac:dyDescent="0.3">
      <c r="A994" t="s">
        <v>579</v>
      </c>
      <c r="B994">
        <v>116</v>
      </c>
      <c r="E994">
        <v>16</v>
      </c>
    </row>
    <row r="995" spans="1:6" x14ac:dyDescent="0.3">
      <c r="A995" t="s">
        <v>580</v>
      </c>
      <c r="B995">
        <v>116</v>
      </c>
      <c r="E995">
        <v>200</v>
      </c>
    </row>
    <row r="996" spans="1:6" x14ac:dyDescent="0.3">
      <c r="A996" t="s">
        <v>581</v>
      </c>
      <c r="B996">
        <v>116</v>
      </c>
      <c r="E996">
        <v>1320</v>
      </c>
    </row>
    <row r="997" spans="1:6" x14ac:dyDescent="0.3">
      <c r="A997" t="s">
        <v>582</v>
      </c>
      <c r="B997">
        <v>116</v>
      </c>
      <c r="E997">
        <v>880</v>
      </c>
    </row>
    <row r="998" spans="1:6" x14ac:dyDescent="0.3">
      <c r="A998" t="s">
        <v>583</v>
      </c>
      <c r="B998">
        <v>116</v>
      </c>
      <c r="E998">
        <v>1760</v>
      </c>
    </row>
    <row r="999" spans="1:6" x14ac:dyDescent="0.3">
      <c r="A999" t="s">
        <v>584</v>
      </c>
      <c r="B999">
        <v>116</v>
      </c>
    </row>
    <row r="1000" spans="1:6" x14ac:dyDescent="0.3">
      <c r="A1000" t="s">
        <v>585</v>
      </c>
      <c r="B1000">
        <v>116</v>
      </c>
    </row>
    <row r="1001" spans="1:6" x14ac:dyDescent="0.3">
      <c r="A1001" t="s">
        <v>586</v>
      </c>
      <c r="B1001">
        <v>116</v>
      </c>
    </row>
    <row r="1002" spans="1:6" x14ac:dyDescent="0.3">
      <c r="A1002" t="s">
        <v>587</v>
      </c>
      <c r="B1002">
        <v>116</v>
      </c>
      <c r="E1002" t="b">
        <v>0</v>
      </c>
    </row>
    <row r="1003" spans="1:6" x14ac:dyDescent="0.3">
      <c r="A1003" t="s">
        <v>588</v>
      </c>
      <c r="B1003">
        <v>116</v>
      </c>
      <c r="E1003" t="b">
        <v>0</v>
      </c>
    </row>
    <row r="1004" spans="1:6" x14ac:dyDescent="0.3">
      <c r="A1004" t="s">
        <v>570</v>
      </c>
      <c r="B1004">
        <v>117</v>
      </c>
      <c r="F1004">
        <v>23</v>
      </c>
    </row>
    <row r="1005" spans="1:6" x14ac:dyDescent="0.3">
      <c r="A1005" t="s">
        <v>36</v>
      </c>
      <c r="B1005">
        <v>117</v>
      </c>
      <c r="F1005">
        <v>1</v>
      </c>
    </row>
    <row r="1006" spans="1:6" x14ac:dyDescent="0.3">
      <c r="A1006" t="s">
        <v>506</v>
      </c>
      <c r="B1006">
        <v>117</v>
      </c>
      <c r="F1006" t="s">
        <v>600</v>
      </c>
    </row>
    <row r="1007" spans="1:6" x14ac:dyDescent="0.3">
      <c r="A1007" t="s">
        <v>574</v>
      </c>
      <c r="B1007">
        <v>117</v>
      </c>
      <c r="F1007">
        <v>1131</v>
      </c>
    </row>
    <row r="1008" spans="1:6" x14ac:dyDescent="0.3">
      <c r="A1008" t="s">
        <v>42</v>
      </c>
      <c r="B1008">
        <v>117</v>
      </c>
      <c r="F1008">
        <v>30</v>
      </c>
    </row>
    <row r="1009" spans="1:6" x14ac:dyDescent="0.3">
      <c r="A1009" t="s">
        <v>575</v>
      </c>
      <c r="B1009">
        <v>117</v>
      </c>
      <c r="F1009">
        <v>25.7</v>
      </c>
    </row>
    <row r="1010" spans="1:6" x14ac:dyDescent="0.3">
      <c r="A1010" t="s">
        <v>41</v>
      </c>
      <c r="B1010">
        <v>117</v>
      </c>
      <c r="F1010">
        <v>0</v>
      </c>
    </row>
    <row r="1011" spans="1:6" x14ac:dyDescent="0.3">
      <c r="A1011" t="s">
        <v>576</v>
      </c>
      <c r="B1011">
        <v>117</v>
      </c>
      <c r="F1011">
        <v>0</v>
      </c>
    </row>
    <row r="1012" spans="1:6" x14ac:dyDescent="0.3">
      <c r="A1012" t="s">
        <v>577</v>
      </c>
      <c r="B1012">
        <v>117</v>
      </c>
      <c r="F1012">
        <v>0</v>
      </c>
    </row>
    <row r="1013" spans="1:6" x14ac:dyDescent="0.3">
      <c r="A1013" t="s">
        <v>578</v>
      </c>
      <c r="B1013">
        <v>117</v>
      </c>
      <c r="F1013">
        <v>0</v>
      </c>
    </row>
    <row r="1014" spans="1:6" x14ac:dyDescent="0.3">
      <c r="A1014" t="s">
        <v>579</v>
      </c>
      <c r="B1014">
        <v>117</v>
      </c>
      <c r="F1014">
        <v>16</v>
      </c>
    </row>
    <row r="1015" spans="1:6" x14ac:dyDescent="0.3">
      <c r="A1015" t="s">
        <v>580</v>
      </c>
      <c r="B1015">
        <v>117</v>
      </c>
      <c r="F1015">
        <v>200</v>
      </c>
    </row>
    <row r="1016" spans="1:6" x14ac:dyDescent="0.3">
      <c r="A1016" t="s">
        <v>581</v>
      </c>
      <c r="B1016">
        <v>117</v>
      </c>
      <c r="F1016">
        <v>1320</v>
      </c>
    </row>
    <row r="1017" spans="1:6" x14ac:dyDescent="0.3">
      <c r="A1017" t="s">
        <v>582</v>
      </c>
      <c r="B1017">
        <v>117</v>
      </c>
      <c r="F1017">
        <v>880</v>
      </c>
    </row>
    <row r="1018" spans="1:6" x14ac:dyDescent="0.3">
      <c r="A1018" t="s">
        <v>583</v>
      </c>
      <c r="B1018">
        <v>117</v>
      </c>
      <c r="F1018">
        <v>1760</v>
      </c>
    </row>
    <row r="1019" spans="1:6" x14ac:dyDescent="0.3">
      <c r="A1019" t="s">
        <v>584</v>
      </c>
      <c r="B1019">
        <v>117</v>
      </c>
    </row>
    <row r="1020" spans="1:6" x14ac:dyDescent="0.3">
      <c r="A1020" t="s">
        <v>585</v>
      </c>
      <c r="B1020">
        <v>117</v>
      </c>
    </row>
    <row r="1021" spans="1:6" x14ac:dyDescent="0.3">
      <c r="A1021" t="s">
        <v>586</v>
      </c>
      <c r="B1021">
        <v>117</v>
      </c>
    </row>
    <row r="1022" spans="1:6" x14ac:dyDescent="0.3">
      <c r="A1022" t="s">
        <v>587</v>
      </c>
      <c r="B1022">
        <v>117</v>
      </c>
      <c r="F1022" t="b">
        <v>0</v>
      </c>
    </row>
    <row r="1023" spans="1:6" x14ac:dyDescent="0.3">
      <c r="A1023" t="s">
        <v>588</v>
      </c>
      <c r="B1023">
        <v>117</v>
      </c>
      <c r="F1023" t="b">
        <v>0</v>
      </c>
    </row>
    <row r="1024" spans="1:6" x14ac:dyDescent="0.3">
      <c r="A1024" t="s">
        <v>570</v>
      </c>
      <c r="B1024">
        <v>118</v>
      </c>
      <c r="E1024">
        <v>12</v>
      </c>
    </row>
    <row r="1025" spans="1:5" x14ac:dyDescent="0.3">
      <c r="A1025" t="s">
        <v>36</v>
      </c>
      <c r="B1025">
        <v>118</v>
      </c>
      <c r="E1025">
        <v>1</v>
      </c>
    </row>
    <row r="1026" spans="1:5" x14ac:dyDescent="0.3">
      <c r="A1026" t="s">
        <v>506</v>
      </c>
      <c r="B1026">
        <v>118</v>
      </c>
      <c r="E1026" t="s">
        <v>600</v>
      </c>
    </row>
    <row r="1027" spans="1:5" x14ac:dyDescent="0.3">
      <c r="A1027" t="s">
        <v>574</v>
      </c>
      <c r="B1027">
        <v>118</v>
      </c>
      <c r="E1027">
        <v>732</v>
      </c>
    </row>
    <row r="1028" spans="1:5" x14ac:dyDescent="0.3">
      <c r="A1028" t="s">
        <v>42</v>
      </c>
      <c r="B1028">
        <v>118</v>
      </c>
      <c r="E1028">
        <v>30</v>
      </c>
    </row>
    <row r="1029" spans="1:5" x14ac:dyDescent="0.3">
      <c r="A1029" t="s">
        <v>575</v>
      </c>
      <c r="B1029">
        <v>118</v>
      </c>
      <c r="E1029">
        <v>16.600000000000001</v>
      </c>
    </row>
    <row r="1030" spans="1:5" x14ac:dyDescent="0.3">
      <c r="A1030" t="s">
        <v>41</v>
      </c>
      <c r="B1030">
        <v>118</v>
      </c>
      <c r="E1030">
        <v>0</v>
      </c>
    </row>
    <row r="1031" spans="1:5" x14ac:dyDescent="0.3">
      <c r="A1031" t="s">
        <v>576</v>
      </c>
      <c r="B1031">
        <v>118</v>
      </c>
      <c r="E1031">
        <v>12</v>
      </c>
    </row>
    <row r="1032" spans="1:5" x14ac:dyDescent="0.3">
      <c r="A1032" t="s">
        <v>577</v>
      </c>
      <c r="B1032">
        <v>118</v>
      </c>
      <c r="E1032">
        <v>0</v>
      </c>
    </row>
    <row r="1033" spans="1:5" x14ac:dyDescent="0.3">
      <c r="A1033" t="s">
        <v>578</v>
      </c>
      <c r="B1033">
        <v>118</v>
      </c>
      <c r="E1033">
        <v>0</v>
      </c>
    </row>
    <row r="1034" spans="1:5" x14ac:dyDescent="0.3">
      <c r="A1034" t="s">
        <v>579</v>
      </c>
      <c r="B1034">
        <v>118</v>
      </c>
      <c r="E1034">
        <v>16</v>
      </c>
    </row>
    <row r="1035" spans="1:5" x14ac:dyDescent="0.3">
      <c r="A1035" t="s">
        <v>580</v>
      </c>
      <c r="B1035">
        <v>118</v>
      </c>
      <c r="E1035">
        <v>200</v>
      </c>
    </row>
    <row r="1036" spans="1:5" x14ac:dyDescent="0.3">
      <c r="A1036" t="s">
        <v>581</v>
      </c>
      <c r="B1036">
        <v>118</v>
      </c>
      <c r="E1036">
        <v>1320</v>
      </c>
    </row>
    <row r="1037" spans="1:5" x14ac:dyDescent="0.3">
      <c r="A1037" t="s">
        <v>582</v>
      </c>
      <c r="B1037">
        <v>118</v>
      </c>
      <c r="E1037">
        <v>880</v>
      </c>
    </row>
    <row r="1038" spans="1:5" x14ac:dyDescent="0.3">
      <c r="A1038" t="s">
        <v>583</v>
      </c>
      <c r="B1038">
        <v>118</v>
      </c>
      <c r="E1038">
        <v>1760</v>
      </c>
    </row>
    <row r="1039" spans="1:5" x14ac:dyDescent="0.3">
      <c r="A1039" t="s">
        <v>584</v>
      </c>
      <c r="B1039">
        <v>118</v>
      </c>
    </row>
    <row r="1040" spans="1:5" x14ac:dyDescent="0.3">
      <c r="A1040" t="s">
        <v>585</v>
      </c>
      <c r="B1040">
        <v>118</v>
      </c>
    </row>
    <row r="1041" spans="1:6" x14ac:dyDescent="0.3">
      <c r="A1041" t="s">
        <v>586</v>
      </c>
      <c r="B1041">
        <v>118</v>
      </c>
    </row>
    <row r="1042" spans="1:6" x14ac:dyDescent="0.3">
      <c r="A1042" t="s">
        <v>587</v>
      </c>
      <c r="B1042">
        <v>118</v>
      </c>
      <c r="E1042" t="b">
        <v>0</v>
      </c>
    </row>
    <row r="1043" spans="1:6" x14ac:dyDescent="0.3">
      <c r="A1043" t="s">
        <v>588</v>
      </c>
      <c r="B1043">
        <v>118</v>
      </c>
      <c r="E1043" t="b">
        <v>0</v>
      </c>
    </row>
    <row r="1044" spans="1:6" x14ac:dyDescent="0.3">
      <c r="A1044" t="s">
        <v>570</v>
      </c>
      <c r="B1044">
        <v>119</v>
      </c>
      <c r="F1044">
        <v>24</v>
      </c>
    </row>
    <row r="1045" spans="1:6" x14ac:dyDescent="0.3">
      <c r="A1045" t="s">
        <v>36</v>
      </c>
      <c r="B1045">
        <v>119</v>
      </c>
      <c r="F1045">
        <v>1</v>
      </c>
    </row>
    <row r="1046" spans="1:6" x14ac:dyDescent="0.3">
      <c r="A1046" t="s">
        <v>506</v>
      </c>
      <c r="B1046">
        <v>119</v>
      </c>
      <c r="F1046" t="s">
        <v>612</v>
      </c>
    </row>
    <row r="1047" spans="1:6" x14ac:dyDescent="0.3">
      <c r="A1047" t="s">
        <v>574</v>
      </c>
      <c r="B1047">
        <v>119</v>
      </c>
      <c r="F1047">
        <v>787</v>
      </c>
    </row>
    <row r="1048" spans="1:6" x14ac:dyDescent="0.3">
      <c r="A1048" t="s">
        <v>42</v>
      </c>
      <c r="B1048">
        <v>119</v>
      </c>
      <c r="F1048">
        <v>30</v>
      </c>
    </row>
    <row r="1049" spans="1:6" x14ac:dyDescent="0.3">
      <c r="A1049" t="s">
        <v>575</v>
      </c>
      <c r="B1049">
        <v>119</v>
      </c>
      <c r="F1049">
        <v>17.899999999999999</v>
      </c>
    </row>
    <row r="1050" spans="1:6" x14ac:dyDescent="0.3">
      <c r="A1050" t="s">
        <v>41</v>
      </c>
      <c r="B1050">
        <v>119</v>
      </c>
      <c r="F1050">
        <v>0</v>
      </c>
    </row>
    <row r="1051" spans="1:6" x14ac:dyDescent="0.3">
      <c r="A1051" t="s">
        <v>576</v>
      </c>
      <c r="B1051">
        <v>119</v>
      </c>
      <c r="F1051">
        <v>0</v>
      </c>
    </row>
    <row r="1052" spans="1:6" x14ac:dyDescent="0.3">
      <c r="A1052" t="s">
        <v>577</v>
      </c>
      <c r="B1052">
        <v>119</v>
      </c>
      <c r="F1052">
        <v>0</v>
      </c>
    </row>
    <row r="1053" spans="1:6" x14ac:dyDescent="0.3">
      <c r="A1053" t="s">
        <v>578</v>
      </c>
      <c r="B1053">
        <v>119</v>
      </c>
      <c r="F1053">
        <v>0</v>
      </c>
    </row>
    <row r="1054" spans="1:6" x14ac:dyDescent="0.3">
      <c r="A1054" t="s">
        <v>579</v>
      </c>
      <c r="B1054">
        <v>119</v>
      </c>
      <c r="F1054">
        <v>16</v>
      </c>
    </row>
    <row r="1055" spans="1:6" x14ac:dyDescent="0.3">
      <c r="A1055" t="s">
        <v>580</v>
      </c>
      <c r="B1055">
        <v>119</v>
      </c>
      <c r="F1055">
        <v>200</v>
      </c>
    </row>
    <row r="1056" spans="1:6" x14ac:dyDescent="0.3">
      <c r="A1056" t="s">
        <v>581</v>
      </c>
      <c r="B1056">
        <v>119</v>
      </c>
      <c r="F1056">
        <v>1320</v>
      </c>
    </row>
    <row r="1057" spans="1:6" x14ac:dyDescent="0.3">
      <c r="A1057" t="s">
        <v>582</v>
      </c>
      <c r="B1057">
        <v>119</v>
      </c>
      <c r="F1057">
        <v>880</v>
      </c>
    </row>
    <row r="1058" spans="1:6" x14ac:dyDescent="0.3">
      <c r="A1058" t="s">
        <v>583</v>
      </c>
      <c r="B1058">
        <v>119</v>
      </c>
      <c r="F1058">
        <v>1760</v>
      </c>
    </row>
    <row r="1059" spans="1:6" x14ac:dyDescent="0.3">
      <c r="A1059" t="s">
        <v>584</v>
      </c>
      <c r="B1059">
        <v>119</v>
      </c>
    </row>
    <row r="1060" spans="1:6" x14ac:dyDescent="0.3">
      <c r="A1060" t="s">
        <v>585</v>
      </c>
      <c r="B1060">
        <v>119</v>
      </c>
    </row>
    <row r="1061" spans="1:6" x14ac:dyDescent="0.3">
      <c r="A1061" t="s">
        <v>586</v>
      </c>
      <c r="B1061">
        <v>119</v>
      </c>
    </row>
    <row r="1062" spans="1:6" x14ac:dyDescent="0.3">
      <c r="A1062" t="s">
        <v>587</v>
      </c>
      <c r="B1062">
        <v>119</v>
      </c>
      <c r="F1062" t="b">
        <v>0</v>
      </c>
    </row>
    <row r="1063" spans="1:6" x14ac:dyDescent="0.3">
      <c r="A1063" t="s">
        <v>588</v>
      </c>
      <c r="B1063">
        <v>119</v>
      </c>
      <c r="F1063" t="b">
        <v>0</v>
      </c>
    </row>
    <row r="1064" spans="1:6" x14ac:dyDescent="0.3">
      <c r="A1064" t="s">
        <v>570</v>
      </c>
      <c r="B1064">
        <v>120</v>
      </c>
      <c r="E1064">
        <v>13</v>
      </c>
    </row>
    <row r="1065" spans="1:6" x14ac:dyDescent="0.3">
      <c r="A1065" t="s">
        <v>36</v>
      </c>
      <c r="B1065">
        <v>120</v>
      </c>
      <c r="E1065">
        <v>1</v>
      </c>
    </row>
    <row r="1066" spans="1:6" x14ac:dyDescent="0.3">
      <c r="A1066" t="s">
        <v>506</v>
      </c>
      <c r="B1066">
        <v>120</v>
      </c>
      <c r="E1066" t="s">
        <v>597</v>
      </c>
    </row>
    <row r="1067" spans="1:6" x14ac:dyDescent="0.3">
      <c r="A1067" t="s">
        <v>574</v>
      </c>
      <c r="B1067">
        <v>120</v>
      </c>
      <c r="E1067">
        <v>731</v>
      </c>
    </row>
    <row r="1068" spans="1:6" x14ac:dyDescent="0.3">
      <c r="A1068" t="s">
        <v>42</v>
      </c>
      <c r="B1068">
        <v>120</v>
      </c>
      <c r="E1068">
        <v>30</v>
      </c>
    </row>
    <row r="1069" spans="1:6" x14ac:dyDescent="0.3">
      <c r="A1069" t="s">
        <v>575</v>
      </c>
      <c r="B1069">
        <v>120</v>
      </c>
      <c r="E1069">
        <v>16.600000000000001</v>
      </c>
    </row>
    <row r="1070" spans="1:6" x14ac:dyDescent="0.3">
      <c r="A1070" t="s">
        <v>41</v>
      </c>
      <c r="B1070">
        <v>120</v>
      </c>
      <c r="E1070">
        <v>0</v>
      </c>
    </row>
    <row r="1071" spans="1:6" x14ac:dyDescent="0.3">
      <c r="A1071" t="s">
        <v>576</v>
      </c>
      <c r="B1071">
        <v>120</v>
      </c>
      <c r="E1071">
        <v>0</v>
      </c>
    </row>
    <row r="1072" spans="1:6" x14ac:dyDescent="0.3">
      <c r="A1072" t="s">
        <v>577</v>
      </c>
      <c r="B1072">
        <v>120</v>
      </c>
      <c r="E1072">
        <v>0</v>
      </c>
    </row>
    <row r="1073" spans="1:6" x14ac:dyDescent="0.3">
      <c r="A1073" t="s">
        <v>578</v>
      </c>
      <c r="B1073">
        <v>120</v>
      </c>
      <c r="E1073">
        <v>0</v>
      </c>
    </row>
    <row r="1074" spans="1:6" x14ac:dyDescent="0.3">
      <c r="A1074" t="s">
        <v>579</v>
      </c>
      <c r="B1074">
        <v>120</v>
      </c>
      <c r="E1074">
        <v>16</v>
      </c>
    </row>
    <row r="1075" spans="1:6" x14ac:dyDescent="0.3">
      <c r="A1075" t="s">
        <v>580</v>
      </c>
      <c r="B1075">
        <v>120</v>
      </c>
      <c r="E1075">
        <v>200</v>
      </c>
    </row>
    <row r="1076" spans="1:6" x14ac:dyDescent="0.3">
      <c r="A1076" t="s">
        <v>581</v>
      </c>
      <c r="B1076">
        <v>120</v>
      </c>
      <c r="E1076">
        <v>1320</v>
      </c>
    </row>
    <row r="1077" spans="1:6" x14ac:dyDescent="0.3">
      <c r="A1077" t="s">
        <v>582</v>
      </c>
      <c r="B1077">
        <v>120</v>
      </c>
      <c r="E1077">
        <v>880</v>
      </c>
    </row>
    <row r="1078" spans="1:6" x14ac:dyDescent="0.3">
      <c r="A1078" t="s">
        <v>583</v>
      </c>
      <c r="B1078">
        <v>120</v>
      </c>
      <c r="E1078">
        <v>1760</v>
      </c>
    </row>
    <row r="1079" spans="1:6" x14ac:dyDescent="0.3">
      <c r="A1079" t="s">
        <v>584</v>
      </c>
      <c r="B1079">
        <v>120</v>
      </c>
    </row>
    <row r="1080" spans="1:6" x14ac:dyDescent="0.3">
      <c r="A1080" t="s">
        <v>585</v>
      </c>
      <c r="B1080">
        <v>120</v>
      </c>
    </row>
    <row r="1081" spans="1:6" x14ac:dyDescent="0.3">
      <c r="A1081" t="s">
        <v>586</v>
      </c>
      <c r="B1081">
        <v>120</v>
      </c>
    </row>
    <row r="1082" spans="1:6" x14ac:dyDescent="0.3">
      <c r="A1082" t="s">
        <v>587</v>
      </c>
      <c r="B1082">
        <v>120</v>
      </c>
      <c r="E1082" t="b">
        <v>0</v>
      </c>
    </row>
    <row r="1083" spans="1:6" x14ac:dyDescent="0.3">
      <c r="A1083" t="s">
        <v>588</v>
      </c>
      <c r="B1083">
        <v>120</v>
      </c>
      <c r="E1083" t="b">
        <v>0</v>
      </c>
    </row>
    <row r="1084" spans="1:6" x14ac:dyDescent="0.3">
      <c r="A1084" t="s">
        <v>570</v>
      </c>
      <c r="B1084">
        <v>121</v>
      </c>
      <c r="F1084">
        <v>25</v>
      </c>
    </row>
    <row r="1085" spans="1:6" x14ac:dyDescent="0.3">
      <c r="A1085" t="s">
        <v>36</v>
      </c>
      <c r="B1085">
        <v>121</v>
      </c>
      <c r="F1085">
        <v>1</v>
      </c>
    </row>
    <row r="1086" spans="1:6" x14ac:dyDescent="0.3">
      <c r="A1086" t="s">
        <v>506</v>
      </c>
      <c r="B1086">
        <v>121</v>
      </c>
      <c r="F1086" t="s">
        <v>614</v>
      </c>
    </row>
    <row r="1087" spans="1:6" x14ac:dyDescent="0.3">
      <c r="A1087" t="s">
        <v>574</v>
      </c>
      <c r="B1087">
        <v>121</v>
      </c>
      <c r="F1087">
        <v>1101</v>
      </c>
    </row>
    <row r="1088" spans="1:6" x14ac:dyDescent="0.3">
      <c r="A1088" t="s">
        <v>42</v>
      </c>
      <c r="B1088">
        <v>121</v>
      </c>
      <c r="F1088">
        <v>30</v>
      </c>
    </row>
    <row r="1089" spans="1:6" x14ac:dyDescent="0.3">
      <c r="A1089" t="s">
        <v>575</v>
      </c>
      <c r="B1089">
        <v>121</v>
      </c>
      <c r="F1089">
        <v>25</v>
      </c>
    </row>
    <row r="1090" spans="1:6" x14ac:dyDescent="0.3">
      <c r="A1090" t="s">
        <v>41</v>
      </c>
      <c r="B1090">
        <v>121</v>
      </c>
      <c r="F1090">
        <v>0</v>
      </c>
    </row>
    <row r="1091" spans="1:6" x14ac:dyDescent="0.3">
      <c r="A1091" t="s">
        <v>576</v>
      </c>
      <c r="B1091">
        <v>121</v>
      </c>
      <c r="F1091">
        <v>0</v>
      </c>
    </row>
    <row r="1092" spans="1:6" x14ac:dyDescent="0.3">
      <c r="A1092" t="s">
        <v>577</v>
      </c>
      <c r="B1092">
        <v>121</v>
      </c>
      <c r="F1092">
        <v>0</v>
      </c>
    </row>
    <row r="1093" spans="1:6" x14ac:dyDescent="0.3">
      <c r="A1093" t="s">
        <v>578</v>
      </c>
      <c r="B1093">
        <v>121</v>
      </c>
      <c r="F1093">
        <v>0</v>
      </c>
    </row>
    <row r="1094" spans="1:6" x14ac:dyDescent="0.3">
      <c r="A1094" t="s">
        <v>579</v>
      </c>
      <c r="B1094">
        <v>121</v>
      </c>
      <c r="F1094">
        <v>16</v>
      </c>
    </row>
    <row r="1095" spans="1:6" x14ac:dyDescent="0.3">
      <c r="A1095" t="s">
        <v>580</v>
      </c>
      <c r="B1095">
        <v>121</v>
      </c>
      <c r="F1095">
        <v>200</v>
      </c>
    </row>
    <row r="1096" spans="1:6" x14ac:dyDescent="0.3">
      <c r="A1096" t="s">
        <v>581</v>
      </c>
      <c r="B1096">
        <v>121</v>
      </c>
      <c r="F1096">
        <v>1320</v>
      </c>
    </row>
    <row r="1097" spans="1:6" x14ac:dyDescent="0.3">
      <c r="A1097" t="s">
        <v>582</v>
      </c>
      <c r="B1097">
        <v>121</v>
      </c>
      <c r="F1097">
        <v>880</v>
      </c>
    </row>
    <row r="1098" spans="1:6" x14ac:dyDescent="0.3">
      <c r="A1098" t="s">
        <v>583</v>
      </c>
      <c r="B1098">
        <v>121</v>
      </c>
      <c r="F1098">
        <v>1760</v>
      </c>
    </row>
    <row r="1099" spans="1:6" x14ac:dyDescent="0.3">
      <c r="A1099" t="s">
        <v>584</v>
      </c>
      <c r="B1099">
        <v>121</v>
      </c>
    </row>
    <row r="1100" spans="1:6" x14ac:dyDescent="0.3">
      <c r="A1100" t="s">
        <v>585</v>
      </c>
      <c r="B1100">
        <v>121</v>
      </c>
    </row>
    <row r="1101" spans="1:6" x14ac:dyDescent="0.3">
      <c r="A1101" t="s">
        <v>586</v>
      </c>
      <c r="B1101">
        <v>121</v>
      </c>
    </row>
    <row r="1102" spans="1:6" x14ac:dyDescent="0.3">
      <c r="A1102" t="s">
        <v>587</v>
      </c>
      <c r="B1102">
        <v>121</v>
      </c>
      <c r="F1102" t="b">
        <v>0</v>
      </c>
    </row>
    <row r="1103" spans="1:6" x14ac:dyDescent="0.3">
      <c r="A1103" t="s">
        <v>588</v>
      </c>
      <c r="B1103">
        <v>121</v>
      </c>
      <c r="F1103" t="b">
        <v>0</v>
      </c>
    </row>
    <row r="1104" spans="1:6" x14ac:dyDescent="0.3">
      <c r="A1104" t="s">
        <v>570</v>
      </c>
      <c r="B1104">
        <v>122</v>
      </c>
      <c r="E1104">
        <v>25</v>
      </c>
    </row>
    <row r="1105" spans="1:5" x14ac:dyDescent="0.3">
      <c r="A1105" t="s">
        <v>36</v>
      </c>
      <c r="B1105">
        <v>122</v>
      </c>
      <c r="E1105">
        <v>1</v>
      </c>
    </row>
    <row r="1106" spans="1:5" x14ac:dyDescent="0.3">
      <c r="A1106" t="s">
        <v>506</v>
      </c>
      <c r="B1106">
        <v>122</v>
      </c>
      <c r="E1106" t="s">
        <v>614</v>
      </c>
    </row>
    <row r="1107" spans="1:5" x14ac:dyDescent="0.3">
      <c r="A1107" t="s">
        <v>574</v>
      </c>
      <c r="B1107">
        <v>122</v>
      </c>
      <c r="E1107">
        <v>919</v>
      </c>
    </row>
    <row r="1108" spans="1:5" x14ac:dyDescent="0.3">
      <c r="A1108" t="s">
        <v>42</v>
      </c>
      <c r="B1108">
        <v>122</v>
      </c>
      <c r="E1108">
        <v>30</v>
      </c>
    </row>
    <row r="1109" spans="1:5" x14ac:dyDescent="0.3">
      <c r="A1109" t="s">
        <v>575</v>
      </c>
      <c r="B1109">
        <v>122</v>
      </c>
      <c r="E1109">
        <v>20.9</v>
      </c>
    </row>
    <row r="1110" spans="1:5" x14ac:dyDescent="0.3">
      <c r="A1110" t="s">
        <v>41</v>
      </c>
      <c r="B1110">
        <v>122</v>
      </c>
      <c r="E1110">
        <v>0</v>
      </c>
    </row>
    <row r="1111" spans="1:5" x14ac:dyDescent="0.3">
      <c r="A1111" t="s">
        <v>576</v>
      </c>
      <c r="B1111">
        <v>122</v>
      </c>
      <c r="E1111">
        <v>0</v>
      </c>
    </row>
    <row r="1112" spans="1:5" x14ac:dyDescent="0.3">
      <c r="A1112" t="s">
        <v>577</v>
      </c>
      <c r="B1112">
        <v>122</v>
      </c>
      <c r="E1112">
        <v>0</v>
      </c>
    </row>
    <row r="1113" spans="1:5" x14ac:dyDescent="0.3">
      <c r="A1113" t="s">
        <v>578</v>
      </c>
      <c r="B1113">
        <v>122</v>
      </c>
      <c r="E1113">
        <v>0</v>
      </c>
    </row>
    <row r="1114" spans="1:5" x14ac:dyDescent="0.3">
      <c r="A1114" t="s">
        <v>579</v>
      </c>
      <c r="B1114">
        <v>122</v>
      </c>
      <c r="E1114">
        <v>16</v>
      </c>
    </row>
    <row r="1115" spans="1:5" x14ac:dyDescent="0.3">
      <c r="A1115" t="s">
        <v>580</v>
      </c>
      <c r="B1115">
        <v>122</v>
      </c>
      <c r="E1115">
        <v>200</v>
      </c>
    </row>
    <row r="1116" spans="1:5" x14ac:dyDescent="0.3">
      <c r="A1116" t="s">
        <v>581</v>
      </c>
      <c r="B1116">
        <v>122</v>
      </c>
      <c r="E1116">
        <v>1320</v>
      </c>
    </row>
    <row r="1117" spans="1:5" x14ac:dyDescent="0.3">
      <c r="A1117" t="s">
        <v>582</v>
      </c>
      <c r="B1117">
        <v>122</v>
      </c>
      <c r="E1117">
        <v>880</v>
      </c>
    </row>
    <row r="1118" spans="1:5" x14ac:dyDescent="0.3">
      <c r="A1118" t="s">
        <v>583</v>
      </c>
      <c r="B1118">
        <v>122</v>
      </c>
      <c r="E1118">
        <v>1760</v>
      </c>
    </row>
    <row r="1119" spans="1:5" x14ac:dyDescent="0.3">
      <c r="A1119" t="s">
        <v>584</v>
      </c>
      <c r="B1119">
        <v>122</v>
      </c>
    </row>
    <row r="1120" spans="1:5" x14ac:dyDescent="0.3">
      <c r="A1120" t="s">
        <v>585</v>
      </c>
      <c r="B1120">
        <v>122</v>
      </c>
    </row>
    <row r="1121" spans="1:6" x14ac:dyDescent="0.3">
      <c r="A1121" t="s">
        <v>586</v>
      </c>
      <c r="B1121">
        <v>122</v>
      </c>
    </row>
    <row r="1122" spans="1:6" x14ac:dyDescent="0.3">
      <c r="A1122" t="s">
        <v>587</v>
      </c>
      <c r="B1122">
        <v>122</v>
      </c>
      <c r="E1122" t="b">
        <v>0</v>
      </c>
    </row>
    <row r="1123" spans="1:6" x14ac:dyDescent="0.3">
      <c r="A1123" t="s">
        <v>588</v>
      </c>
      <c r="B1123">
        <v>122</v>
      </c>
      <c r="E1123" t="b">
        <v>0</v>
      </c>
    </row>
    <row r="1124" spans="1:6" x14ac:dyDescent="0.3">
      <c r="A1124" t="s">
        <v>570</v>
      </c>
      <c r="B1124">
        <v>123</v>
      </c>
      <c r="F1124">
        <v>14</v>
      </c>
    </row>
    <row r="1125" spans="1:6" x14ac:dyDescent="0.3">
      <c r="A1125" t="s">
        <v>36</v>
      </c>
      <c r="B1125">
        <v>123</v>
      </c>
      <c r="F1125">
        <v>1</v>
      </c>
    </row>
    <row r="1126" spans="1:6" x14ac:dyDescent="0.3">
      <c r="A1126" t="s">
        <v>506</v>
      </c>
      <c r="B1126">
        <v>123</v>
      </c>
      <c r="F1126" t="s">
        <v>602</v>
      </c>
    </row>
    <row r="1127" spans="1:6" x14ac:dyDescent="0.3">
      <c r="A1127" t="s">
        <v>574</v>
      </c>
      <c r="B1127">
        <v>123</v>
      </c>
      <c r="F1127">
        <v>667</v>
      </c>
    </row>
    <row r="1128" spans="1:6" x14ac:dyDescent="0.3">
      <c r="A1128" t="s">
        <v>42</v>
      </c>
      <c r="B1128">
        <v>123</v>
      </c>
      <c r="F1128">
        <v>30</v>
      </c>
    </row>
    <row r="1129" spans="1:6" x14ac:dyDescent="0.3">
      <c r="A1129" t="s">
        <v>575</v>
      </c>
      <c r="B1129">
        <v>123</v>
      </c>
      <c r="F1129">
        <v>15.2</v>
      </c>
    </row>
    <row r="1130" spans="1:6" x14ac:dyDescent="0.3">
      <c r="A1130" t="s">
        <v>41</v>
      </c>
      <c r="B1130">
        <v>123</v>
      </c>
      <c r="F1130">
        <v>0</v>
      </c>
    </row>
    <row r="1131" spans="1:6" x14ac:dyDescent="0.3">
      <c r="A1131" t="s">
        <v>576</v>
      </c>
      <c r="B1131">
        <v>123</v>
      </c>
      <c r="F1131">
        <v>0</v>
      </c>
    </row>
    <row r="1132" spans="1:6" x14ac:dyDescent="0.3">
      <c r="A1132" t="s">
        <v>577</v>
      </c>
      <c r="B1132">
        <v>123</v>
      </c>
      <c r="F1132">
        <v>0</v>
      </c>
    </row>
    <row r="1133" spans="1:6" x14ac:dyDescent="0.3">
      <c r="A1133" t="s">
        <v>578</v>
      </c>
      <c r="B1133">
        <v>123</v>
      </c>
      <c r="F1133">
        <v>0</v>
      </c>
    </row>
    <row r="1134" spans="1:6" x14ac:dyDescent="0.3">
      <c r="A1134" t="s">
        <v>579</v>
      </c>
      <c r="B1134">
        <v>123</v>
      </c>
      <c r="F1134">
        <v>16</v>
      </c>
    </row>
    <row r="1135" spans="1:6" x14ac:dyDescent="0.3">
      <c r="A1135" t="s">
        <v>580</v>
      </c>
      <c r="B1135">
        <v>123</v>
      </c>
      <c r="F1135">
        <v>200</v>
      </c>
    </row>
    <row r="1136" spans="1:6" x14ac:dyDescent="0.3">
      <c r="A1136" t="s">
        <v>581</v>
      </c>
      <c r="B1136">
        <v>123</v>
      </c>
      <c r="F1136">
        <v>1320</v>
      </c>
    </row>
    <row r="1137" spans="1:6" x14ac:dyDescent="0.3">
      <c r="A1137" t="s">
        <v>582</v>
      </c>
      <c r="B1137">
        <v>123</v>
      </c>
      <c r="F1137">
        <v>880</v>
      </c>
    </row>
    <row r="1138" spans="1:6" x14ac:dyDescent="0.3">
      <c r="A1138" t="s">
        <v>583</v>
      </c>
      <c r="B1138">
        <v>123</v>
      </c>
      <c r="F1138">
        <v>1760</v>
      </c>
    </row>
    <row r="1139" spans="1:6" x14ac:dyDescent="0.3">
      <c r="A1139" t="s">
        <v>584</v>
      </c>
      <c r="B1139">
        <v>123</v>
      </c>
    </row>
    <row r="1140" spans="1:6" x14ac:dyDescent="0.3">
      <c r="A1140" t="s">
        <v>585</v>
      </c>
      <c r="B1140">
        <v>123</v>
      </c>
    </row>
    <row r="1141" spans="1:6" x14ac:dyDescent="0.3">
      <c r="A1141" t="s">
        <v>586</v>
      </c>
      <c r="B1141">
        <v>123</v>
      </c>
    </row>
    <row r="1142" spans="1:6" x14ac:dyDescent="0.3">
      <c r="A1142" t="s">
        <v>587</v>
      </c>
      <c r="B1142">
        <v>123</v>
      </c>
      <c r="F1142" t="b">
        <v>0</v>
      </c>
    </row>
    <row r="1143" spans="1:6" x14ac:dyDescent="0.3">
      <c r="A1143" t="s">
        <v>588</v>
      </c>
      <c r="B1143">
        <v>123</v>
      </c>
      <c r="F1143" t="b">
        <v>0</v>
      </c>
    </row>
    <row r="1144" spans="1:6" x14ac:dyDescent="0.3">
      <c r="A1144" t="s">
        <v>570</v>
      </c>
      <c r="B1144">
        <v>124</v>
      </c>
      <c r="E1144">
        <v>14</v>
      </c>
    </row>
    <row r="1145" spans="1:6" x14ac:dyDescent="0.3">
      <c r="A1145" t="s">
        <v>36</v>
      </c>
      <c r="B1145">
        <v>124</v>
      </c>
      <c r="E1145">
        <v>1</v>
      </c>
    </row>
    <row r="1146" spans="1:6" x14ac:dyDescent="0.3">
      <c r="A1146" t="s">
        <v>506</v>
      </c>
      <c r="B1146">
        <v>124</v>
      </c>
      <c r="E1146" t="s">
        <v>602</v>
      </c>
    </row>
    <row r="1147" spans="1:6" x14ac:dyDescent="0.3">
      <c r="A1147" t="s">
        <v>574</v>
      </c>
      <c r="B1147">
        <v>124</v>
      </c>
      <c r="E1147">
        <v>1308</v>
      </c>
    </row>
    <row r="1148" spans="1:6" x14ac:dyDescent="0.3">
      <c r="A1148" t="s">
        <v>42</v>
      </c>
      <c r="B1148">
        <v>124</v>
      </c>
      <c r="E1148">
        <v>30</v>
      </c>
    </row>
    <row r="1149" spans="1:6" x14ac:dyDescent="0.3">
      <c r="A1149" t="s">
        <v>575</v>
      </c>
      <c r="B1149">
        <v>124</v>
      </c>
      <c r="E1149">
        <v>29.7</v>
      </c>
    </row>
    <row r="1150" spans="1:6" x14ac:dyDescent="0.3">
      <c r="A1150" t="s">
        <v>41</v>
      </c>
      <c r="B1150">
        <v>124</v>
      </c>
      <c r="E1150">
        <v>0</v>
      </c>
    </row>
    <row r="1151" spans="1:6" x14ac:dyDescent="0.3">
      <c r="A1151" t="s">
        <v>576</v>
      </c>
      <c r="B1151">
        <v>124</v>
      </c>
      <c r="E1151">
        <v>0</v>
      </c>
    </row>
    <row r="1152" spans="1:6" x14ac:dyDescent="0.3">
      <c r="A1152" t="s">
        <v>577</v>
      </c>
      <c r="B1152">
        <v>124</v>
      </c>
      <c r="E1152">
        <v>0</v>
      </c>
    </row>
    <row r="1153" spans="1:6" x14ac:dyDescent="0.3">
      <c r="A1153" t="s">
        <v>578</v>
      </c>
      <c r="B1153">
        <v>124</v>
      </c>
      <c r="E1153">
        <v>0</v>
      </c>
    </row>
    <row r="1154" spans="1:6" x14ac:dyDescent="0.3">
      <c r="A1154" t="s">
        <v>579</v>
      </c>
      <c r="B1154">
        <v>124</v>
      </c>
      <c r="E1154">
        <v>16</v>
      </c>
    </row>
    <row r="1155" spans="1:6" x14ac:dyDescent="0.3">
      <c r="A1155" t="s">
        <v>580</v>
      </c>
      <c r="B1155">
        <v>124</v>
      </c>
      <c r="E1155">
        <v>200</v>
      </c>
    </row>
    <row r="1156" spans="1:6" x14ac:dyDescent="0.3">
      <c r="A1156" t="s">
        <v>581</v>
      </c>
      <c r="B1156">
        <v>124</v>
      </c>
      <c r="E1156">
        <v>1320</v>
      </c>
    </row>
    <row r="1157" spans="1:6" x14ac:dyDescent="0.3">
      <c r="A1157" t="s">
        <v>582</v>
      </c>
      <c r="B1157">
        <v>124</v>
      </c>
      <c r="E1157">
        <v>880</v>
      </c>
    </row>
    <row r="1158" spans="1:6" x14ac:dyDescent="0.3">
      <c r="A1158" t="s">
        <v>583</v>
      </c>
      <c r="B1158">
        <v>124</v>
      </c>
      <c r="E1158">
        <v>1760</v>
      </c>
    </row>
    <row r="1159" spans="1:6" x14ac:dyDescent="0.3">
      <c r="A1159" t="s">
        <v>584</v>
      </c>
      <c r="B1159">
        <v>124</v>
      </c>
    </row>
    <row r="1160" spans="1:6" x14ac:dyDescent="0.3">
      <c r="A1160" t="s">
        <v>585</v>
      </c>
      <c r="B1160">
        <v>124</v>
      </c>
    </row>
    <row r="1161" spans="1:6" x14ac:dyDescent="0.3">
      <c r="A1161" t="s">
        <v>586</v>
      </c>
      <c r="B1161">
        <v>124</v>
      </c>
    </row>
    <row r="1162" spans="1:6" x14ac:dyDescent="0.3">
      <c r="A1162" t="s">
        <v>587</v>
      </c>
      <c r="B1162">
        <v>124</v>
      </c>
      <c r="E1162" t="b">
        <v>0</v>
      </c>
    </row>
    <row r="1163" spans="1:6" x14ac:dyDescent="0.3">
      <c r="A1163" t="s">
        <v>588</v>
      </c>
      <c r="B1163">
        <v>124</v>
      </c>
      <c r="E1163" t="b">
        <v>0</v>
      </c>
    </row>
    <row r="1164" spans="1:6" x14ac:dyDescent="0.3">
      <c r="A1164" t="s">
        <v>570</v>
      </c>
      <c r="B1164">
        <v>125</v>
      </c>
      <c r="F1164">
        <v>26</v>
      </c>
    </row>
    <row r="1165" spans="1:6" x14ac:dyDescent="0.3">
      <c r="A1165" t="s">
        <v>36</v>
      </c>
      <c r="B1165">
        <v>125</v>
      </c>
      <c r="F1165">
        <v>1</v>
      </c>
    </row>
    <row r="1166" spans="1:6" x14ac:dyDescent="0.3">
      <c r="A1166" t="s">
        <v>506</v>
      </c>
      <c r="B1166">
        <v>125</v>
      </c>
      <c r="F1166" t="s">
        <v>615</v>
      </c>
    </row>
    <row r="1167" spans="1:6" x14ac:dyDescent="0.3">
      <c r="A1167" t="s">
        <v>574</v>
      </c>
      <c r="B1167">
        <v>125</v>
      </c>
      <c r="F1167">
        <v>424</v>
      </c>
    </row>
    <row r="1168" spans="1:6" x14ac:dyDescent="0.3">
      <c r="A1168" t="s">
        <v>42</v>
      </c>
      <c r="B1168">
        <v>125</v>
      </c>
      <c r="F1168">
        <v>30</v>
      </c>
    </row>
    <row r="1169" spans="1:6" x14ac:dyDescent="0.3">
      <c r="A1169" t="s">
        <v>575</v>
      </c>
      <c r="B1169">
        <v>125</v>
      </c>
      <c r="F1169">
        <v>9.6</v>
      </c>
    </row>
    <row r="1170" spans="1:6" x14ac:dyDescent="0.3">
      <c r="A1170" t="s">
        <v>41</v>
      </c>
      <c r="B1170">
        <v>125</v>
      </c>
      <c r="F1170">
        <v>0</v>
      </c>
    </row>
    <row r="1171" spans="1:6" x14ac:dyDescent="0.3">
      <c r="A1171" t="s">
        <v>576</v>
      </c>
      <c r="B1171">
        <v>125</v>
      </c>
      <c r="F1171">
        <v>0</v>
      </c>
    </row>
    <row r="1172" spans="1:6" x14ac:dyDescent="0.3">
      <c r="A1172" t="s">
        <v>577</v>
      </c>
      <c r="B1172">
        <v>125</v>
      </c>
      <c r="F1172">
        <v>0</v>
      </c>
    </row>
    <row r="1173" spans="1:6" x14ac:dyDescent="0.3">
      <c r="A1173" t="s">
        <v>578</v>
      </c>
      <c r="B1173">
        <v>125</v>
      </c>
      <c r="F1173">
        <v>0</v>
      </c>
    </row>
    <row r="1174" spans="1:6" x14ac:dyDescent="0.3">
      <c r="A1174" t="s">
        <v>579</v>
      </c>
      <c r="B1174">
        <v>125</v>
      </c>
      <c r="F1174">
        <v>16</v>
      </c>
    </row>
    <row r="1175" spans="1:6" x14ac:dyDescent="0.3">
      <c r="A1175" t="s">
        <v>580</v>
      </c>
      <c r="B1175">
        <v>125</v>
      </c>
      <c r="F1175">
        <v>200</v>
      </c>
    </row>
    <row r="1176" spans="1:6" x14ac:dyDescent="0.3">
      <c r="A1176" t="s">
        <v>581</v>
      </c>
      <c r="B1176">
        <v>125</v>
      </c>
      <c r="F1176">
        <v>1320</v>
      </c>
    </row>
    <row r="1177" spans="1:6" x14ac:dyDescent="0.3">
      <c r="A1177" t="s">
        <v>582</v>
      </c>
      <c r="B1177">
        <v>125</v>
      </c>
      <c r="F1177">
        <v>880</v>
      </c>
    </row>
    <row r="1178" spans="1:6" x14ac:dyDescent="0.3">
      <c r="A1178" t="s">
        <v>583</v>
      </c>
      <c r="B1178">
        <v>125</v>
      </c>
      <c r="F1178">
        <v>1760</v>
      </c>
    </row>
    <row r="1179" spans="1:6" x14ac:dyDescent="0.3">
      <c r="A1179" t="s">
        <v>584</v>
      </c>
      <c r="B1179">
        <v>125</v>
      </c>
    </row>
    <row r="1180" spans="1:6" x14ac:dyDescent="0.3">
      <c r="A1180" t="s">
        <v>585</v>
      </c>
      <c r="B1180">
        <v>125</v>
      </c>
    </row>
    <row r="1181" spans="1:6" x14ac:dyDescent="0.3">
      <c r="A1181" t="s">
        <v>586</v>
      </c>
      <c r="B1181">
        <v>125</v>
      </c>
    </row>
    <row r="1182" spans="1:6" x14ac:dyDescent="0.3">
      <c r="A1182" t="s">
        <v>587</v>
      </c>
      <c r="B1182">
        <v>125</v>
      </c>
      <c r="F1182" t="b">
        <v>0</v>
      </c>
    </row>
    <row r="1183" spans="1:6" x14ac:dyDescent="0.3">
      <c r="A1183" t="s">
        <v>588</v>
      </c>
      <c r="B1183">
        <v>125</v>
      </c>
      <c r="F1183" t="b">
        <v>0</v>
      </c>
    </row>
    <row r="1184" spans="1:6" x14ac:dyDescent="0.3">
      <c r="A1184" t="s">
        <v>570</v>
      </c>
      <c r="B1184">
        <v>126</v>
      </c>
      <c r="E1184">
        <v>26</v>
      </c>
    </row>
    <row r="1185" spans="1:5" x14ac:dyDescent="0.3">
      <c r="A1185" t="s">
        <v>36</v>
      </c>
      <c r="B1185">
        <v>126</v>
      </c>
      <c r="E1185">
        <v>1</v>
      </c>
    </row>
    <row r="1186" spans="1:5" x14ac:dyDescent="0.3">
      <c r="A1186" t="s">
        <v>506</v>
      </c>
      <c r="B1186">
        <v>126</v>
      </c>
      <c r="E1186" t="s">
        <v>603</v>
      </c>
    </row>
    <row r="1187" spans="1:5" x14ac:dyDescent="0.3">
      <c r="A1187" t="s">
        <v>574</v>
      </c>
      <c r="B1187">
        <v>126</v>
      </c>
      <c r="E1187">
        <v>581</v>
      </c>
    </row>
    <row r="1188" spans="1:5" x14ac:dyDescent="0.3">
      <c r="A1188" t="s">
        <v>42</v>
      </c>
      <c r="B1188">
        <v>126</v>
      </c>
      <c r="E1188">
        <v>30</v>
      </c>
    </row>
    <row r="1189" spans="1:5" x14ac:dyDescent="0.3">
      <c r="A1189" t="s">
        <v>575</v>
      </c>
      <c r="B1189">
        <v>126</v>
      </c>
      <c r="E1189">
        <v>13.2</v>
      </c>
    </row>
    <row r="1190" spans="1:5" x14ac:dyDescent="0.3">
      <c r="A1190" t="s">
        <v>41</v>
      </c>
      <c r="B1190">
        <v>126</v>
      </c>
      <c r="E1190">
        <v>0</v>
      </c>
    </row>
    <row r="1191" spans="1:5" x14ac:dyDescent="0.3">
      <c r="A1191" t="s">
        <v>576</v>
      </c>
      <c r="B1191">
        <v>126</v>
      </c>
      <c r="E1191">
        <v>0</v>
      </c>
    </row>
    <row r="1192" spans="1:5" x14ac:dyDescent="0.3">
      <c r="A1192" t="s">
        <v>577</v>
      </c>
      <c r="B1192">
        <v>126</v>
      </c>
      <c r="E1192">
        <v>0</v>
      </c>
    </row>
    <row r="1193" spans="1:5" x14ac:dyDescent="0.3">
      <c r="A1193" t="s">
        <v>578</v>
      </c>
      <c r="B1193">
        <v>126</v>
      </c>
      <c r="E1193">
        <v>0</v>
      </c>
    </row>
    <row r="1194" spans="1:5" x14ac:dyDescent="0.3">
      <c r="A1194" t="s">
        <v>579</v>
      </c>
      <c r="B1194">
        <v>126</v>
      </c>
      <c r="E1194">
        <v>16</v>
      </c>
    </row>
    <row r="1195" spans="1:5" x14ac:dyDescent="0.3">
      <c r="A1195" t="s">
        <v>580</v>
      </c>
      <c r="B1195">
        <v>126</v>
      </c>
      <c r="E1195">
        <v>200</v>
      </c>
    </row>
    <row r="1196" spans="1:5" x14ac:dyDescent="0.3">
      <c r="A1196" t="s">
        <v>581</v>
      </c>
      <c r="B1196">
        <v>126</v>
      </c>
      <c r="E1196">
        <v>1320</v>
      </c>
    </row>
    <row r="1197" spans="1:5" x14ac:dyDescent="0.3">
      <c r="A1197" t="s">
        <v>582</v>
      </c>
      <c r="B1197">
        <v>126</v>
      </c>
      <c r="E1197">
        <v>880</v>
      </c>
    </row>
    <row r="1198" spans="1:5" x14ac:dyDescent="0.3">
      <c r="A1198" t="s">
        <v>583</v>
      </c>
      <c r="B1198">
        <v>126</v>
      </c>
      <c r="E1198">
        <v>1760</v>
      </c>
    </row>
    <row r="1199" spans="1:5" x14ac:dyDescent="0.3">
      <c r="A1199" t="s">
        <v>584</v>
      </c>
      <c r="B1199">
        <v>126</v>
      </c>
    </row>
    <row r="1200" spans="1:5" x14ac:dyDescent="0.3">
      <c r="A1200" t="s">
        <v>585</v>
      </c>
      <c r="B1200">
        <v>126</v>
      </c>
    </row>
    <row r="1201" spans="1:5" x14ac:dyDescent="0.3">
      <c r="A1201" t="s">
        <v>586</v>
      </c>
      <c r="B1201">
        <v>126</v>
      </c>
    </row>
    <row r="1202" spans="1:5" x14ac:dyDescent="0.3">
      <c r="A1202" t="s">
        <v>587</v>
      </c>
      <c r="B1202">
        <v>126</v>
      </c>
      <c r="E1202" t="b">
        <v>0</v>
      </c>
    </row>
    <row r="1203" spans="1:5" x14ac:dyDescent="0.3">
      <c r="A1203" t="s">
        <v>588</v>
      </c>
      <c r="B1203">
        <v>126</v>
      </c>
      <c r="E1203" t="b">
        <v>0</v>
      </c>
    </row>
    <row r="1204" spans="1:5" x14ac:dyDescent="0.3">
      <c r="A1204" t="s">
        <v>570</v>
      </c>
      <c r="B1204">
        <v>127</v>
      </c>
      <c r="C1204">
        <v>26</v>
      </c>
    </row>
    <row r="1205" spans="1:5" x14ac:dyDescent="0.3">
      <c r="A1205" t="s">
        <v>36</v>
      </c>
      <c r="B1205">
        <v>127</v>
      </c>
      <c r="C1205">
        <v>2</v>
      </c>
    </row>
    <row r="1206" spans="1:5" x14ac:dyDescent="0.3">
      <c r="A1206" t="s">
        <v>506</v>
      </c>
      <c r="B1206">
        <v>127</v>
      </c>
      <c r="C1206" t="s">
        <v>598</v>
      </c>
    </row>
    <row r="1207" spans="1:5" x14ac:dyDescent="0.3">
      <c r="A1207" t="s">
        <v>574</v>
      </c>
      <c r="B1207">
        <v>127</v>
      </c>
      <c r="C1207">
        <v>830</v>
      </c>
    </row>
    <row r="1208" spans="1:5" x14ac:dyDescent="0.3">
      <c r="A1208" t="s">
        <v>42</v>
      </c>
      <c r="B1208">
        <v>127</v>
      </c>
      <c r="C1208">
        <v>30</v>
      </c>
    </row>
    <row r="1209" spans="1:5" x14ac:dyDescent="0.3">
      <c r="A1209" t="s">
        <v>575</v>
      </c>
      <c r="B1209">
        <v>127</v>
      </c>
      <c r="C1209">
        <v>18.899999999999999</v>
      </c>
    </row>
    <row r="1210" spans="1:5" x14ac:dyDescent="0.3">
      <c r="A1210" t="s">
        <v>41</v>
      </c>
      <c r="B1210">
        <v>127</v>
      </c>
      <c r="C1210">
        <v>0</v>
      </c>
    </row>
    <row r="1211" spans="1:5" x14ac:dyDescent="0.3">
      <c r="A1211" t="s">
        <v>576</v>
      </c>
      <c r="B1211">
        <v>127</v>
      </c>
      <c r="C1211">
        <v>12</v>
      </c>
    </row>
    <row r="1212" spans="1:5" x14ac:dyDescent="0.3">
      <c r="A1212" t="s">
        <v>577</v>
      </c>
      <c r="B1212">
        <v>127</v>
      </c>
      <c r="C1212">
        <v>0</v>
      </c>
    </row>
    <row r="1213" spans="1:5" x14ac:dyDescent="0.3">
      <c r="A1213" t="s">
        <v>578</v>
      </c>
      <c r="B1213">
        <v>127</v>
      </c>
      <c r="C1213">
        <v>0</v>
      </c>
    </row>
    <row r="1214" spans="1:5" x14ac:dyDescent="0.3">
      <c r="A1214" t="s">
        <v>579</v>
      </c>
      <c r="B1214">
        <v>127</v>
      </c>
      <c r="C1214">
        <v>16</v>
      </c>
    </row>
    <row r="1215" spans="1:5" x14ac:dyDescent="0.3">
      <c r="A1215" t="s">
        <v>580</v>
      </c>
      <c r="B1215">
        <v>127</v>
      </c>
      <c r="C1215">
        <v>200</v>
      </c>
    </row>
    <row r="1216" spans="1:5" x14ac:dyDescent="0.3">
      <c r="A1216" t="s">
        <v>581</v>
      </c>
      <c r="B1216">
        <v>127</v>
      </c>
      <c r="C1216">
        <v>1320</v>
      </c>
    </row>
    <row r="1217" spans="1:6" x14ac:dyDescent="0.3">
      <c r="A1217" t="s">
        <v>582</v>
      </c>
      <c r="B1217">
        <v>127</v>
      </c>
      <c r="C1217">
        <v>880</v>
      </c>
    </row>
    <row r="1218" spans="1:6" x14ac:dyDescent="0.3">
      <c r="A1218" t="s">
        <v>583</v>
      </c>
      <c r="B1218">
        <v>127</v>
      </c>
      <c r="C1218">
        <v>1760</v>
      </c>
    </row>
    <row r="1219" spans="1:6" x14ac:dyDescent="0.3">
      <c r="A1219" t="s">
        <v>584</v>
      </c>
      <c r="B1219">
        <v>127</v>
      </c>
    </row>
    <row r="1220" spans="1:6" x14ac:dyDescent="0.3">
      <c r="A1220" t="s">
        <v>585</v>
      </c>
      <c r="B1220">
        <v>127</v>
      </c>
    </row>
    <row r="1221" spans="1:6" x14ac:dyDescent="0.3">
      <c r="A1221" t="s">
        <v>586</v>
      </c>
      <c r="B1221">
        <v>127</v>
      </c>
    </row>
    <row r="1222" spans="1:6" x14ac:dyDescent="0.3">
      <c r="A1222" t="s">
        <v>587</v>
      </c>
      <c r="B1222">
        <v>127</v>
      </c>
      <c r="C1222" t="b">
        <v>0</v>
      </c>
    </row>
    <row r="1223" spans="1:6" x14ac:dyDescent="0.3">
      <c r="A1223" t="s">
        <v>588</v>
      </c>
      <c r="B1223">
        <v>127</v>
      </c>
      <c r="C1223" t="b">
        <v>0</v>
      </c>
    </row>
    <row r="1224" spans="1:6" x14ac:dyDescent="0.3">
      <c r="A1224" t="s">
        <v>570</v>
      </c>
      <c r="B1224">
        <v>128</v>
      </c>
      <c r="F1224">
        <v>15</v>
      </c>
    </row>
    <row r="1225" spans="1:6" x14ac:dyDescent="0.3">
      <c r="A1225" t="s">
        <v>36</v>
      </c>
      <c r="B1225">
        <v>128</v>
      </c>
      <c r="F1225">
        <v>2</v>
      </c>
    </row>
    <row r="1226" spans="1:6" x14ac:dyDescent="0.3">
      <c r="A1226" t="s">
        <v>506</v>
      </c>
      <c r="B1226">
        <v>128</v>
      </c>
      <c r="F1226" t="s">
        <v>603</v>
      </c>
    </row>
    <row r="1227" spans="1:6" x14ac:dyDescent="0.3">
      <c r="A1227" t="s">
        <v>574</v>
      </c>
      <c r="B1227">
        <v>128</v>
      </c>
      <c r="F1227">
        <v>1000</v>
      </c>
    </row>
    <row r="1228" spans="1:6" x14ac:dyDescent="0.3">
      <c r="A1228" t="s">
        <v>42</v>
      </c>
      <c r="B1228">
        <v>128</v>
      </c>
      <c r="F1228">
        <v>30</v>
      </c>
    </row>
    <row r="1229" spans="1:6" x14ac:dyDescent="0.3">
      <c r="A1229" t="s">
        <v>575</v>
      </c>
      <c r="B1229">
        <v>128</v>
      </c>
      <c r="F1229">
        <v>22.7</v>
      </c>
    </row>
    <row r="1230" spans="1:6" x14ac:dyDescent="0.3">
      <c r="A1230" t="s">
        <v>41</v>
      </c>
      <c r="B1230">
        <v>128</v>
      </c>
      <c r="F1230">
        <v>0</v>
      </c>
    </row>
    <row r="1231" spans="1:6" x14ac:dyDescent="0.3">
      <c r="A1231" t="s">
        <v>576</v>
      </c>
      <c r="B1231">
        <v>128</v>
      </c>
      <c r="F1231">
        <v>12</v>
      </c>
    </row>
    <row r="1232" spans="1:6" x14ac:dyDescent="0.3">
      <c r="A1232" t="s">
        <v>577</v>
      </c>
      <c r="B1232">
        <v>128</v>
      </c>
      <c r="F1232">
        <v>0</v>
      </c>
    </row>
    <row r="1233" spans="1:6" x14ac:dyDescent="0.3">
      <c r="A1233" t="s">
        <v>578</v>
      </c>
      <c r="B1233">
        <v>128</v>
      </c>
      <c r="F1233">
        <v>0</v>
      </c>
    </row>
    <row r="1234" spans="1:6" x14ac:dyDescent="0.3">
      <c r="A1234" t="s">
        <v>579</v>
      </c>
      <c r="B1234">
        <v>128</v>
      </c>
      <c r="F1234">
        <v>16</v>
      </c>
    </row>
    <row r="1235" spans="1:6" x14ac:dyDescent="0.3">
      <c r="A1235" t="s">
        <v>580</v>
      </c>
      <c r="B1235">
        <v>128</v>
      </c>
      <c r="F1235">
        <v>200</v>
      </c>
    </row>
    <row r="1236" spans="1:6" x14ac:dyDescent="0.3">
      <c r="A1236" t="s">
        <v>581</v>
      </c>
      <c r="B1236">
        <v>128</v>
      </c>
      <c r="F1236">
        <v>1320</v>
      </c>
    </row>
    <row r="1237" spans="1:6" x14ac:dyDescent="0.3">
      <c r="A1237" t="s">
        <v>582</v>
      </c>
      <c r="B1237">
        <v>128</v>
      </c>
      <c r="F1237">
        <v>880</v>
      </c>
    </row>
    <row r="1238" spans="1:6" x14ac:dyDescent="0.3">
      <c r="A1238" t="s">
        <v>583</v>
      </c>
      <c r="B1238">
        <v>128</v>
      </c>
      <c r="F1238">
        <v>1760</v>
      </c>
    </row>
    <row r="1239" spans="1:6" x14ac:dyDescent="0.3">
      <c r="A1239" t="s">
        <v>584</v>
      </c>
      <c r="B1239">
        <v>128</v>
      </c>
    </row>
    <row r="1240" spans="1:6" x14ac:dyDescent="0.3">
      <c r="A1240" t="s">
        <v>585</v>
      </c>
      <c r="B1240">
        <v>128</v>
      </c>
    </row>
    <row r="1241" spans="1:6" x14ac:dyDescent="0.3">
      <c r="A1241" t="s">
        <v>586</v>
      </c>
      <c r="B1241">
        <v>128</v>
      </c>
    </row>
    <row r="1242" spans="1:6" x14ac:dyDescent="0.3">
      <c r="A1242" t="s">
        <v>587</v>
      </c>
      <c r="B1242">
        <v>128</v>
      </c>
      <c r="F1242" t="b">
        <v>0</v>
      </c>
    </row>
    <row r="1243" spans="1:6" x14ac:dyDescent="0.3">
      <c r="A1243" t="s">
        <v>588</v>
      </c>
      <c r="B1243">
        <v>128</v>
      </c>
      <c r="F1243" t="b">
        <v>0</v>
      </c>
    </row>
    <row r="1244" spans="1:6" x14ac:dyDescent="0.3">
      <c r="A1244" t="s">
        <v>570</v>
      </c>
      <c r="B1244">
        <v>129</v>
      </c>
      <c r="E1244">
        <v>15</v>
      </c>
    </row>
    <row r="1245" spans="1:6" x14ac:dyDescent="0.3">
      <c r="A1245" t="s">
        <v>36</v>
      </c>
      <c r="B1245">
        <v>129</v>
      </c>
      <c r="E1245">
        <v>1</v>
      </c>
    </row>
    <row r="1246" spans="1:6" x14ac:dyDescent="0.3">
      <c r="A1246" t="s">
        <v>506</v>
      </c>
      <c r="B1246">
        <v>129</v>
      </c>
      <c r="E1246" t="s">
        <v>604</v>
      </c>
    </row>
    <row r="1247" spans="1:6" x14ac:dyDescent="0.3">
      <c r="A1247" t="s">
        <v>574</v>
      </c>
      <c r="B1247">
        <v>129</v>
      </c>
      <c r="E1247">
        <v>1155</v>
      </c>
    </row>
    <row r="1248" spans="1:6" x14ac:dyDescent="0.3">
      <c r="A1248" t="s">
        <v>42</v>
      </c>
      <c r="B1248">
        <v>129</v>
      </c>
      <c r="E1248">
        <v>30</v>
      </c>
    </row>
    <row r="1249" spans="1:6" x14ac:dyDescent="0.3">
      <c r="A1249" t="s">
        <v>575</v>
      </c>
      <c r="B1249">
        <v>129</v>
      </c>
      <c r="E1249">
        <v>26.3</v>
      </c>
    </row>
    <row r="1250" spans="1:6" x14ac:dyDescent="0.3">
      <c r="A1250" t="s">
        <v>41</v>
      </c>
      <c r="B1250">
        <v>129</v>
      </c>
      <c r="E1250">
        <v>0</v>
      </c>
    </row>
    <row r="1251" spans="1:6" x14ac:dyDescent="0.3">
      <c r="A1251" t="s">
        <v>576</v>
      </c>
      <c r="B1251">
        <v>129</v>
      </c>
      <c r="E1251">
        <v>12</v>
      </c>
    </row>
    <row r="1252" spans="1:6" x14ac:dyDescent="0.3">
      <c r="A1252" t="s">
        <v>577</v>
      </c>
      <c r="B1252">
        <v>129</v>
      </c>
      <c r="E1252">
        <v>0</v>
      </c>
    </row>
    <row r="1253" spans="1:6" x14ac:dyDescent="0.3">
      <c r="A1253" t="s">
        <v>578</v>
      </c>
      <c r="B1253">
        <v>129</v>
      </c>
      <c r="E1253">
        <v>0</v>
      </c>
    </row>
    <row r="1254" spans="1:6" x14ac:dyDescent="0.3">
      <c r="A1254" t="s">
        <v>579</v>
      </c>
      <c r="B1254">
        <v>129</v>
      </c>
      <c r="E1254">
        <v>16</v>
      </c>
    </row>
    <row r="1255" spans="1:6" x14ac:dyDescent="0.3">
      <c r="A1255" t="s">
        <v>580</v>
      </c>
      <c r="B1255">
        <v>129</v>
      </c>
      <c r="E1255">
        <v>200</v>
      </c>
    </row>
    <row r="1256" spans="1:6" x14ac:dyDescent="0.3">
      <c r="A1256" t="s">
        <v>581</v>
      </c>
      <c r="B1256">
        <v>129</v>
      </c>
      <c r="E1256">
        <v>1320</v>
      </c>
    </row>
    <row r="1257" spans="1:6" x14ac:dyDescent="0.3">
      <c r="A1257" t="s">
        <v>582</v>
      </c>
      <c r="B1257">
        <v>129</v>
      </c>
      <c r="E1257">
        <v>880</v>
      </c>
    </row>
    <row r="1258" spans="1:6" x14ac:dyDescent="0.3">
      <c r="A1258" t="s">
        <v>583</v>
      </c>
      <c r="B1258">
        <v>129</v>
      </c>
      <c r="E1258">
        <v>1760</v>
      </c>
    </row>
    <row r="1259" spans="1:6" x14ac:dyDescent="0.3">
      <c r="A1259" t="s">
        <v>584</v>
      </c>
      <c r="B1259">
        <v>129</v>
      </c>
    </row>
    <row r="1260" spans="1:6" x14ac:dyDescent="0.3">
      <c r="A1260" t="s">
        <v>585</v>
      </c>
      <c r="B1260">
        <v>129</v>
      </c>
    </row>
    <row r="1261" spans="1:6" x14ac:dyDescent="0.3">
      <c r="A1261" t="s">
        <v>586</v>
      </c>
      <c r="B1261">
        <v>129</v>
      </c>
    </row>
    <row r="1262" spans="1:6" x14ac:dyDescent="0.3">
      <c r="A1262" t="s">
        <v>587</v>
      </c>
      <c r="B1262">
        <v>129</v>
      </c>
      <c r="E1262" t="b">
        <v>0</v>
      </c>
    </row>
    <row r="1263" spans="1:6" x14ac:dyDescent="0.3">
      <c r="A1263" t="s">
        <v>588</v>
      </c>
      <c r="B1263">
        <v>129</v>
      </c>
      <c r="E1263" t="b">
        <v>0</v>
      </c>
    </row>
    <row r="1264" spans="1:6" x14ac:dyDescent="0.3">
      <c r="A1264" t="s">
        <v>570</v>
      </c>
      <c r="B1264">
        <v>130</v>
      </c>
      <c r="F1264">
        <v>16</v>
      </c>
    </row>
    <row r="1265" spans="1:6" x14ac:dyDescent="0.3">
      <c r="A1265" t="s">
        <v>36</v>
      </c>
      <c r="B1265">
        <v>130</v>
      </c>
      <c r="F1265">
        <v>1</v>
      </c>
    </row>
    <row r="1266" spans="1:6" x14ac:dyDescent="0.3">
      <c r="A1266" t="s">
        <v>506</v>
      </c>
      <c r="B1266">
        <v>130</v>
      </c>
      <c r="F1266" t="s">
        <v>605</v>
      </c>
    </row>
    <row r="1267" spans="1:6" x14ac:dyDescent="0.3">
      <c r="A1267" t="s">
        <v>574</v>
      </c>
      <c r="B1267">
        <v>130</v>
      </c>
      <c r="F1267">
        <v>832</v>
      </c>
    </row>
    <row r="1268" spans="1:6" x14ac:dyDescent="0.3">
      <c r="A1268" t="s">
        <v>42</v>
      </c>
      <c r="B1268">
        <v>130</v>
      </c>
      <c r="F1268">
        <v>30</v>
      </c>
    </row>
    <row r="1269" spans="1:6" x14ac:dyDescent="0.3">
      <c r="A1269" t="s">
        <v>575</v>
      </c>
      <c r="B1269">
        <v>130</v>
      </c>
      <c r="F1269">
        <v>18.899999999999999</v>
      </c>
    </row>
    <row r="1270" spans="1:6" x14ac:dyDescent="0.3">
      <c r="A1270" t="s">
        <v>41</v>
      </c>
      <c r="B1270">
        <v>130</v>
      </c>
      <c r="F1270">
        <v>0</v>
      </c>
    </row>
    <row r="1271" spans="1:6" x14ac:dyDescent="0.3">
      <c r="A1271" t="s">
        <v>576</v>
      </c>
      <c r="B1271">
        <v>130</v>
      </c>
      <c r="F1271">
        <v>0</v>
      </c>
    </row>
    <row r="1272" spans="1:6" x14ac:dyDescent="0.3">
      <c r="A1272" t="s">
        <v>577</v>
      </c>
      <c r="B1272">
        <v>130</v>
      </c>
      <c r="F1272">
        <v>0</v>
      </c>
    </row>
    <row r="1273" spans="1:6" x14ac:dyDescent="0.3">
      <c r="A1273" t="s">
        <v>578</v>
      </c>
      <c r="B1273">
        <v>130</v>
      </c>
      <c r="F1273">
        <v>0</v>
      </c>
    </row>
    <row r="1274" spans="1:6" x14ac:dyDescent="0.3">
      <c r="A1274" t="s">
        <v>579</v>
      </c>
      <c r="B1274">
        <v>130</v>
      </c>
      <c r="F1274">
        <v>16</v>
      </c>
    </row>
    <row r="1275" spans="1:6" x14ac:dyDescent="0.3">
      <c r="A1275" t="s">
        <v>580</v>
      </c>
      <c r="B1275">
        <v>130</v>
      </c>
      <c r="F1275">
        <v>200</v>
      </c>
    </row>
    <row r="1276" spans="1:6" x14ac:dyDescent="0.3">
      <c r="A1276" t="s">
        <v>581</v>
      </c>
      <c r="B1276">
        <v>130</v>
      </c>
      <c r="F1276">
        <v>1320</v>
      </c>
    </row>
    <row r="1277" spans="1:6" x14ac:dyDescent="0.3">
      <c r="A1277" t="s">
        <v>582</v>
      </c>
      <c r="B1277">
        <v>130</v>
      </c>
      <c r="F1277">
        <v>880</v>
      </c>
    </row>
    <row r="1278" spans="1:6" x14ac:dyDescent="0.3">
      <c r="A1278" t="s">
        <v>583</v>
      </c>
      <c r="B1278">
        <v>130</v>
      </c>
      <c r="F1278">
        <v>1760</v>
      </c>
    </row>
    <row r="1279" spans="1:6" x14ac:dyDescent="0.3">
      <c r="A1279" t="s">
        <v>584</v>
      </c>
      <c r="B1279">
        <v>130</v>
      </c>
    </row>
    <row r="1280" spans="1:6" x14ac:dyDescent="0.3">
      <c r="A1280" t="s">
        <v>585</v>
      </c>
      <c r="B1280">
        <v>130</v>
      </c>
    </row>
    <row r="1281" spans="1:6" x14ac:dyDescent="0.3">
      <c r="A1281" t="s">
        <v>586</v>
      </c>
      <c r="B1281">
        <v>130</v>
      </c>
    </row>
    <row r="1282" spans="1:6" x14ac:dyDescent="0.3">
      <c r="A1282" t="s">
        <v>587</v>
      </c>
      <c r="B1282">
        <v>130</v>
      </c>
      <c r="F1282" t="b">
        <v>0</v>
      </c>
    </row>
    <row r="1283" spans="1:6" x14ac:dyDescent="0.3">
      <c r="A1283" t="s">
        <v>588</v>
      </c>
      <c r="B1283">
        <v>130</v>
      </c>
      <c r="F1283" t="b">
        <v>0</v>
      </c>
    </row>
    <row r="1284" spans="1:6" x14ac:dyDescent="0.3">
      <c r="A1284" t="s">
        <v>570</v>
      </c>
      <c r="B1284">
        <v>131</v>
      </c>
      <c r="E1284">
        <v>16</v>
      </c>
    </row>
    <row r="1285" spans="1:6" x14ac:dyDescent="0.3">
      <c r="A1285" t="s">
        <v>36</v>
      </c>
      <c r="B1285">
        <v>131</v>
      </c>
      <c r="E1285">
        <v>1</v>
      </c>
    </row>
    <row r="1286" spans="1:6" x14ac:dyDescent="0.3">
      <c r="A1286" t="s">
        <v>506</v>
      </c>
      <c r="B1286">
        <v>131</v>
      </c>
      <c r="E1286" t="s">
        <v>606</v>
      </c>
    </row>
    <row r="1287" spans="1:6" x14ac:dyDescent="0.3">
      <c r="A1287" t="s">
        <v>574</v>
      </c>
      <c r="B1287">
        <v>131</v>
      </c>
      <c r="E1287">
        <v>1238</v>
      </c>
    </row>
    <row r="1288" spans="1:6" x14ac:dyDescent="0.3">
      <c r="A1288" t="s">
        <v>42</v>
      </c>
      <c r="B1288">
        <v>131</v>
      </c>
      <c r="E1288">
        <v>30</v>
      </c>
    </row>
    <row r="1289" spans="1:6" x14ac:dyDescent="0.3">
      <c r="A1289" t="s">
        <v>575</v>
      </c>
      <c r="B1289">
        <v>131</v>
      </c>
      <c r="E1289">
        <v>28.1</v>
      </c>
    </row>
    <row r="1290" spans="1:6" x14ac:dyDescent="0.3">
      <c r="A1290" t="s">
        <v>41</v>
      </c>
      <c r="B1290">
        <v>131</v>
      </c>
      <c r="E1290">
        <v>0</v>
      </c>
    </row>
    <row r="1291" spans="1:6" x14ac:dyDescent="0.3">
      <c r="A1291" t="s">
        <v>576</v>
      </c>
      <c r="B1291">
        <v>131</v>
      </c>
      <c r="E1291">
        <v>0</v>
      </c>
    </row>
    <row r="1292" spans="1:6" x14ac:dyDescent="0.3">
      <c r="A1292" t="s">
        <v>577</v>
      </c>
      <c r="B1292">
        <v>131</v>
      </c>
      <c r="E1292">
        <v>0</v>
      </c>
    </row>
    <row r="1293" spans="1:6" x14ac:dyDescent="0.3">
      <c r="A1293" t="s">
        <v>578</v>
      </c>
      <c r="B1293">
        <v>131</v>
      </c>
      <c r="E1293">
        <v>0</v>
      </c>
    </row>
    <row r="1294" spans="1:6" x14ac:dyDescent="0.3">
      <c r="A1294" t="s">
        <v>579</v>
      </c>
      <c r="B1294">
        <v>131</v>
      </c>
      <c r="E1294">
        <v>16</v>
      </c>
    </row>
    <row r="1295" spans="1:6" x14ac:dyDescent="0.3">
      <c r="A1295" t="s">
        <v>580</v>
      </c>
      <c r="B1295">
        <v>131</v>
      </c>
      <c r="E1295">
        <v>200</v>
      </c>
    </row>
    <row r="1296" spans="1:6" x14ac:dyDescent="0.3">
      <c r="A1296" t="s">
        <v>581</v>
      </c>
      <c r="B1296">
        <v>131</v>
      </c>
      <c r="E1296">
        <v>1320</v>
      </c>
    </row>
    <row r="1297" spans="1:5" x14ac:dyDescent="0.3">
      <c r="A1297" t="s">
        <v>582</v>
      </c>
      <c r="B1297">
        <v>131</v>
      </c>
      <c r="E1297">
        <v>880</v>
      </c>
    </row>
    <row r="1298" spans="1:5" x14ac:dyDescent="0.3">
      <c r="A1298" t="s">
        <v>583</v>
      </c>
      <c r="B1298">
        <v>131</v>
      </c>
      <c r="E1298">
        <v>1760</v>
      </c>
    </row>
    <row r="1299" spans="1:5" x14ac:dyDescent="0.3">
      <c r="A1299" t="s">
        <v>584</v>
      </c>
      <c r="B1299">
        <v>131</v>
      </c>
    </row>
    <row r="1300" spans="1:5" x14ac:dyDescent="0.3">
      <c r="A1300" t="s">
        <v>585</v>
      </c>
      <c r="B1300">
        <v>131</v>
      </c>
    </row>
    <row r="1301" spans="1:5" x14ac:dyDescent="0.3">
      <c r="A1301" t="s">
        <v>586</v>
      </c>
      <c r="B1301">
        <v>131</v>
      </c>
    </row>
    <row r="1302" spans="1:5" x14ac:dyDescent="0.3">
      <c r="A1302" t="s">
        <v>587</v>
      </c>
      <c r="B1302">
        <v>131</v>
      </c>
      <c r="E1302" t="b">
        <v>0</v>
      </c>
    </row>
    <row r="1303" spans="1:5" x14ac:dyDescent="0.3">
      <c r="A1303" t="s">
        <v>588</v>
      </c>
      <c r="B1303">
        <v>131</v>
      </c>
      <c r="E1303" t="b">
        <v>0</v>
      </c>
    </row>
    <row r="1304" spans="1:5" x14ac:dyDescent="0.3">
      <c r="A1304" t="s">
        <v>570</v>
      </c>
      <c r="B1304">
        <v>132</v>
      </c>
      <c r="E1304">
        <v>19</v>
      </c>
    </row>
    <row r="1305" spans="1:5" x14ac:dyDescent="0.3">
      <c r="A1305" t="s">
        <v>36</v>
      </c>
      <c r="B1305">
        <v>132</v>
      </c>
      <c r="E1305">
        <v>1</v>
      </c>
    </row>
    <row r="1306" spans="1:5" x14ac:dyDescent="0.3">
      <c r="A1306" t="s">
        <v>506</v>
      </c>
      <c r="B1306">
        <v>132</v>
      </c>
      <c r="E1306" t="s">
        <v>609</v>
      </c>
    </row>
    <row r="1307" spans="1:5" x14ac:dyDescent="0.3">
      <c r="A1307" t="s">
        <v>574</v>
      </c>
      <c r="B1307">
        <v>132</v>
      </c>
      <c r="E1307">
        <v>1265</v>
      </c>
    </row>
    <row r="1308" spans="1:5" x14ac:dyDescent="0.3">
      <c r="A1308" t="s">
        <v>42</v>
      </c>
      <c r="B1308">
        <v>132</v>
      </c>
      <c r="E1308">
        <v>30</v>
      </c>
    </row>
    <row r="1309" spans="1:5" x14ac:dyDescent="0.3">
      <c r="A1309" t="s">
        <v>575</v>
      </c>
      <c r="B1309">
        <v>132</v>
      </c>
      <c r="E1309">
        <v>28.8</v>
      </c>
    </row>
    <row r="1310" spans="1:5" x14ac:dyDescent="0.3">
      <c r="A1310" t="s">
        <v>41</v>
      </c>
      <c r="B1310">
        <v>132</v>
      </c>
      <c r="E1310">
        <v>0</v>
      </c>
    </row>
    <row r="1311" spans="1:5" x14ac:dyDescent="0.3">
      <c r="A1311" t="s">
        <v>576</v>
      </c>
      <c r="B1311">
        <v>132</v>
      </c>
      <c r="E1311">
        <v>0</v>
      </c>
    </row>
    <row r="1312" spans="1:5" x14ac:dyDescent="0.3">
      <c r="A1312" t="s">
        <v>577</v>
      </c>
      <c r="B1312">
        <v>132</v>
      </c>
      <c r="E1312">
        <v>0</v>
      </c>
    </row>
    <row r="1313" spans="1:6" x14ac:dyDescent="0.3">
      <c r="A1313" t="s">
        <v>578</v>
      </c>
      <c r="B1313">
        <v>132</v>
      </c>
      <c r="E1313">
        <v>0</v>
      </c>
    </row>
    <row r="1314" spans="1:6" x14ac:dyDescent="0.3">
      <c r="A1314" t="s">
        <v>579</v>
      </c>
      <c r="B1314">
        <v>132</v>
      </c>
      <c r="E1314">
        <v>16</v>
      </c>
    </row>
    <row r="1315" spans="1:6" x14ac:dyDescent="0.3">
      <c r="A1315" t="s">
        <v>580</v>
      </c>
      <c r="B1315">
        <v>132</v>
      </c>
      <c r="E1315">
        <v>200</v>
      </c>
    </row>
    <row r="1316" spans="1:6" x14ac:dyDescent="0.3">
      <c r="A1316" t="s">
        <v>581</v>
      </c>
      <c r="B1316">
        <v>132</v>
      </c>
      <c r="E1316">
        <v>1320</v>
      </c>
    </row>
    <row r="1317" spans="1:6" x14ac:dyDescent="0.3">
      <c r="A1317" t="s">
        <v>582</v>
      </c>
      <c r="B1317">
        <v>132</v>
      </c>
      <c r="E1317">
        <v>880</v>
      </c>
    </row>
    <row r="1318" spans="1:6" x14ac:dyDescent="0.3">
      <c r="A1318" t="s">
        <v>583</v>
      </c>
      <c r="B1318">
        <v>132</v>
      </c>
      <c r="E1318">
        <v>1760</v>
      </c>
    </row>
    <row r="1319" spans="1:6" x14ac:dyDescent="0.3">
      <c r="A1319" t="s">
        <v>584</v>
      </c>
      <c r="B1319">
        <v>132</v>
      </c>
    </row>
    <row r="1320" spans="1:6" x14ac:dyDescent="0.3">
      <c r="A1320" t="s">
        <v>585</v>
      </c>
      <c r="B1320">
        <v>132</v>
      </c>
    </row>
    <row r="1321" spans="1:6" x14ac:dyDescent="0.3">
      <c r="A1321" t="s">
        <v>586</v>
      </c>
      <c r="B1321">
        <v>132</v>
      </c>
    </row>
    <row r="1322" spans="1:6" x14ac:dyDescent="0.3">
      <c r="A1322" t="s">
        <v>587</v>
      </c>
      <c r="B1322">
        <v>132</v>
      </c>
      <c r="E1322" t="b">
        <v>0</v>
      </c>
    </row>
    <row r="1323" spans="1:6" x14ac:dyDescent="0.3">
      <c r="A1323" t="s">
        <v>588</v>
      </c>
      <c r="B1323">
        <v>132</v>
      </c>
      <c r="E1323" t="b">
        <v>0</v>
      </c>
    </row>
    <row r="1324" spans="1:6" x14ac:dyDescent="0.3">
      <c r="A1324" t="s">
        <v>570</v>
      </c>
      <c r="B1324">
        <v>133</v>
      </c>
      <c r="F1324">
        <v>21</v>
      </c>
    </row>
    <row r="1325" spans="1:6" x14ac:dyDescent="0.3">
      <c r="A1325" t="s">
        <v>36</v>
      </c>
      <c r="B1325">
        <v>133</v>
      </c>
      <c r="F1325">
        <v>1</v>
      </c>
    </row>
    <row r="1326" spans="1:6" x14ac:dyDescent="0.3">
      <c r="A1326" t="s">
        <v>506</v>
      </c>
      <c r="B1326">
        <v>133</v>
      </c>
      <c r="F1326" t="s">
        <v>610</v>
      </c>
    </row>
    <row r="1327" spans="1:6" x14ac:dyDescent="0.3">
      <c r="A1327" t="s">
        <v>574</v>
      </c>
      <c r="B1327">
        <v>133</v>
      </c>
      <c r="F1327">
        <v>1474</v>
      </c>
    </row>
    <row r="1328" spans="1:6" x14ac:dyDescent="0.3">
      <c r="A1328" t="s">
        <v>42</v>
      </c>
      <c r="B1328">
        <v>133</v>
      </c>
      <c r="F1328">
        <v>30</v>
      </c>
    </row>
    <row r="1329" spans="1:6" x14ac:dyDescent="0.3">
      <c r="A1329" t="s">
        <v>575</v>
      </c>
      <c r="B1329">
        <v>133</v>
      </c>
      <c r="F1329">
        <v>33.5</v>
      </c>
    </row>
    <row r="1330" spans="1:6" x14ac:dyDescent="0.3">
      <c r="A1330" t="s">
        <v>41</v>
      </c>
      <c r="B1330">
        <v>133</v>
      </c>
      <c r="F1330">
        <v>0</v>
      </c>
    </row>
    <row r="1331" spans="1:6" x14ac:dyDescent="0.3">
      <c r="A1331" t="s">
        <v>576</v>
      </c>
      <c r="B1331">
        <v>133</v>
      </c>
      <c r="F1331">
        <v>0</v>
      </c>
    </row>
    <row r="1332" spans="1:6" x14ac:dyDescent="0.3">
      <c r="A1332" t="s">
        <v>577</v>
      </c>
      <c r="B1332">
        <v>133</v>
      </c>
      <c r="F1332">
        <v>0</v>
      </c>
    </row>
    <row r="1333" spans="1:6" x14ac:dyDescent="0.3">
      <c r="A1333" t="s">
        <v>578</v>
      </c>
      <c r="B1333">
        <v>133</v>
      </c>
      <c r="F1333">
        <v>0</v>
      </c>
    </row>
    <row r="1334" spans="1:6" x14ac:dyDescent="0.3">
      <c r="A1334" t="s">
        <v>579</v>
      </c>
      <c r="B1334">
        <v>133</v>
      </c>
      <c r="F1334">
        <v>16</v>
      </c>
    </row>
    <row r="1335" spans="1:6" x14ac:dyDescent="0.3">
      <c r="A1335" t="s">
        <v>580</v>
      </c>
      <c r="B1335">
        <v>133</v>
      </c>
      <c r="F1335">
        <v>200</v>
      </c>
    </row>
    <row r="1336" spans="1:6" x14ac:dyDescent="0.3">
      <c r="A1336" t="s">
        <v>581</v>
      </c>
      <c r="B1336">
        <v>133</v>
      </c>
      <c r="F1336">
        <v>1320</v>
      </c>
    </row>
    <row r="1337" spans="1:6" x14ac:dyDescent="0.3">
      <c r="A1337" t="s">
        <v>582</v>
      </c>
      <c r="B1337">
        <v>133</v>
      </c>
      <c r="F1337">
        <v>880</v>
      </c>
    </row>
    <row r="1338" spans="1:6" x14ac:dyDescent="0.3">
      <c r="A1338" t="s">
        <v>583</v>
      </c>
      <c r="B1338">
        <v>133</v>
      </c>
      <c r="F1338">
        <v>1760</v>
      </c>
    </row>
    <row r="1339" spans="1:6" x14ac:dyDescent="0.3">
      <c r="A1339" t="s">
        <v>584</v>
      </c>
      <c r="B1339">
        <v>133</v>
      </c>
    </row>
    <row r="1340" spans="1:6" x14ac:dyDescent="0.3">
      <c r="A1340" t="s">
        <v>585</v>
      </c>
      <c r="B1340">
        <v>133</v>
      </c>
    </row>
    <row r="1341" spans="1:6" x14ac:dyDescent="0.3">
      <c r="A1341" t="s">
        <v>586</v>
      </c>
      <c r="B1341">
        <v>133</v>
      </c>
    </row>
    <row r="1342" spans="1:6" x14ac:dyDescent="0.3">
      <c r="A1342" t="s">
        <v>587</v>
      </c>
      <c r="B1342">
        <v>133</v>
      </c>
      <c r="F1342" t="b">
        <v>0</v>
      </c>
    </row>
    <row r="1343" spans="1:6" x14ac:dyDescent="0.3">
      <c r="A1343" t="s">
        <v>588</v>
      </c>
      <c r="B1343">
        <v>133</v>
      </c>
      <c r="F1343" t="b">
        <v>0</v>
      </c>
    </row>
    <row r="1344" spans="1:6" x14ac:dyDescent="0.3">
      <c r="A1344" t="s">
        <v>570</v>
      </c>
      <c r="B1344">
        <v>134</v>
      </c>
      <c r="E1344">
        <v>21</v>
      </c>
    </row>
    <row r="1345" spans="1:5" x14ac:dyDescent="0.3">
      <c r="A1345" t="s">
        <v>36</v>
      </c>
      <c r="B1345">
        <v>134</v>
      </c>
      <c r="E1345">
        <v>1</v>
      </c>
    </row>
    <row r="1346" spans="1:5" x14ac:dyDescent="0.3">
      <c r="A1346" t="s">
        <v>506</v>
      </c>
      <c r="B1346">
        <v>134</v>
      </c>
      <c r="E1346" t="s">
        <v>611</v>
      </c>
    </row>
    <row r="1347" spans="1:5" x14ac:dyDescent="0.3">
      <c r="A1347" t="s">
        <v>574</v>
      </c>
      <c r="B1347">
        <v>134</v>
      </c>
      <c r="E1347">
        <v>760</v>
      </c>
    </row>
    <row r="1348" spans="1:5" x14ac:dyDescent="0.3">
      <c r="A1348" t="s">
        <v>42</v>
      </c>
      <c r="B1348">
        <v>134</v>
      </c>
      <c r="E1348">
        <v>30</v>
      </c>
    </row>
    <row r="1349" spans="1:5" x14ac:dyDescent="0.3">
      <c r="A1349" t="s">
        <v>575</v>
      </c>
      <c r="B1349">
        <v>134</v>
      </c>
      <c r="E1349">
        <v>17.3</v>
      </c>
    </row>
    <row r="1350" spans="1:5" x14ac:dyDescent="0.3">
      <c r="A1350" t="s">
        <v>41</v>
      </c>
      <c r="B1350">
        <v>134</v>
      </c>
      <c r="E1350">
        <v>0</v>
      </c>
    </row>
    <row r="1351" spans="1:5" x14ac:dyDescent="0.3">
      <c r="A1351" t="s">
        <v>576</v>
      </c>
      <c r="B1351">
        <v>134</v>
      </c>
      <c r="E1351">
        <v>0</v>
      </c>
    </row>
    <row r="1352" spans="1:5" x14ac:dyDescent="0.3">
      <c r="A1352" t="s">
        <v>577</v>
      </c>
      <c r="B1352">
        <v>134</v>
      </c>
      <c r="E1352">
        <v>0</v>
      </c>
    </row>
    <row r="1353" spans="1:5" x14ac:dyDescent="0.3">
      <c r="A1353" t="s">
        <v>578</v>
      </c>
      <c r="B1353">
        <v>134</v>
      </c>
      <c r="E1353">
        <v>0</v>
      </c>
    </row>
    <row r="1354" spans="1:5" x14ac:dyDescent="0.3">
      <c r="A1354" t="s">
        <v>579</v>
      </c>
      <c r="B1354">
        <v>134</v>
      </c>
      <c r="E1354">
        <v>16</v>
      </c>
    </row>
    <row r="1355" spans="1:5" x14ac:dyDescent="0.3">
      <c r="A1355" t="s">
        <v>580</v>
      </c>
      <c r="B1355">
        <v>134</v>
      </c>
      <c r="E1355">
        <v>200</v>
      </c>
    </row>
    <row r="1356" spans="1:5" x14ac:dyDescent="0.3">
      <c r="A1356" t="s">
        <v>581</v>
      </c>
      <c r="B1356">
        <v>134</v>
      </c>
      <c r="E1356">
        <v>1320</v>
      </c>
    </row>
    <row r="1357" spans="1:5" x14ac:dyDescent="0.3">
      <c r="A1357" t="s">
        <v>582</v>
      </c>
      <c r="B1357">
        <v>134</v>
      </c>
      <c r="E1357">
        <v>880</v>
      </c>
    </row>
    <row r="1358" spans="1:5" x14ac:dyDescent="0.3">
      <c r="A1358" t="s">
        <v>583</v>
      </c>
      <c r="B1358">
        <v>134</v>
      </c>
      <c r="E1358">
        <v>1760</v>
      </c>
    </row>
    <row r="1359" spans="1:5" x14ac:dyDescent="0.3">
      <c r="A1359" t="s">
        <v>584</v>
      </c>
      <c r="B1359">
        <v>134</v>
      </c>
    </row>
    <row r="1360" spans="1:5" x14ac:dyDescent="0.3">
      <c r="A1360" t="s">
        <v>585</v>
      </c>
      <c r="B1360">
        <v>134</v>
      </c>
    </row>
    <row r="1361" spans="1:5" x14ac:dyDescent="0.3">
      <c r="A1361" t="s">
        <v>586</v>
      </c>
      <c r="B1361">
        <v>134</v>
      </c>
    </row>
    <row r="1362" spans="1:5" x14ac:dyDescent="0.3">
      <c r="A1362" t="s">
        <v>587</v>
      </c>
      <c r="B1362">
        <v>134</v>
      </c>
      <c r="E1362" t="b">
        <v>0</v>
      </c>
    </row>
    <row r="1363" spans="1:5" x14ac:dyDescent="0.3">
      <c r="A1363" t="s">
        <v>588</v>
      </c>
      <c r="B1363">
        <v>134</v>
      </c>
      <c r="E1363" t="b">
        <v>0</v>
      </c>
    </row>
    <row r="1364" spans="1:5" x14ac:dyDescent="0.3">
      <c r="A1364" t="s">
        <v>570</v>
      </c>
      <c r="B1364">
        <v>135</v>
      </c>
      <c r="E1364">
        <v>30</v>
      </c>
    </row>
    <row r="1365" spans="1:5" x14ac:dyDescent="0.3">
      <c r="A1365" t="s">
        <v>36</v>
      </c>
      <c r="B1365">
        <v>135</v>
      </c>
      <c r="E1365">
        <v>1</v>
      </c>
    </row>
    <row r="1366" spans="1:5" x14ac:dyDescent="0.3">
      <c r="A1366" t="s">
        <v>506</v>
      </c>
      <c r="B1366">
        <v>135</v>
      </c>
      <c r="E1366" t="s">
        <v>616</v>
      </c>
    </row>
    <row r="1367" spans="1:5" x14ac:dyDescent="0.3">
      <c r="A1367" t="s">
        <v>574</v>
      </c>
      <c r="B1367">
        <v>135</v>
      </c>
      <c r="E1367">
        <v>618</v>
      </c>
    </row>
    <row r="1368" spans="1:5" x14ac:dyDescent="0.3">
      <c r="A1368" t="s">
        <v>42</v>
      </c>
      <c r="B1368">
        <v>135</v>
      </c>
      <c r="E1368">
        <v>30</v>
      </c>
    </row>
    <row r="1369" spans="1:5" x14ac:dyDescent="0.3">
      <c r="A1369" t="s">
        <v>575</v>
      </c>
      <c r="B1369">
        <v>135</v>
      </c>
      <c r="E1369">
        <v>14</v>
      </c>
    </row>
    <row r="1370" spans="1:5" x14ac:dyDescent="0.3">
      <c r="A1370" t="s">
        <v>41</v>
      </c>
      <c r="B1370">
        <v>135</v>
      </c>
      <c r="E1370">
        <v>0</v>
      </c>
    </row>
    <row r="1371" spans="1:5" x14ac:dyDescent="0.3">
      <c r="A1371" t="s">
        <v>576</v>
      </c>
      <c r="B1371">
        <v>135</v>
      </c>
      <c r="E1371">
        <v>0</v>
      </c>
    </row>
    <row r="1372" spans="1:5" x14ac:dyDescent="0.3">
      <c r="A1372" t="s">
        <v>577</v>
      </c>
      <c r="B1372">
        <v>135</v>
      </c>
      <c r="E1372">
        <v>0</v>
      </c>
    </row>
    <row r="1373" spans="1:5" x14ac:dyDescent="0.3">
      <c r="A1373" t="s">
        <v>578</v>
      </c>
      <c r="B1373">
        <v>135</v>
      </c>
      <c r="E1373">
        <v>0</v>
      </c>
    </row>
    <row r="1374" spans="1:5" x14ac:dyDescent="0.3">
      <c r="A1374" t="s">
        <v>579</v>
      </c>
      <c r="B1374">
        <v>135</v>
      </c>
      <c r="E1374">
        <v>16</v>
      </c>
    </row>
    <row r="1375" spans="1:5" x14ac:dyDescent="0.3">
      <c r="A1375" t="s">
        <v>580</v>
      </c>
      <c r="B1375">
        <v>135</v>
      </c>
      <c r="E1375">
        <v>200</v>
      </c>
    </row>
    <row r="1376" spans="1:5" x14ac:dyDescent="0.3">
      <c r="A1376" t="s">
        <v>581</v>
      </c>
      <c r="B1376">
        <v>135</v>
      </c>
      <c r="E1376">
        <v>1320</v>
      </c>
    </row>
    <row r="1377" spans="1:6" x14ac:dyDescent="0.3">
      <c r="A1377" t="s">
        <v>582</v>
      </c>
      <c r="B1377">
        <v>135</v>
      </c>
      <c r="E1377">
        <v>880</v>
      </c>
    </row>
    <row r="1378" spans="1:6" x14ac:dyDescent="0.3">
      <c r="A1378" t="s">
        <v>583</v>
      </c>
      <c r="B1378">
        <v>135</v>
      </c>
      <c r="E1378">
        <v>1760</v>
      </c>
    </row>
    <row r="1379" spans="1:6" x14ac:dyDescent="0.3">
      <c r="A1379" t="s">
        <v>584</v>
      </c>
      <c r="B1379">
        <v>135</v>
      </c>
    </row>
    <row r="1380" spans="1:6" x14ac:dyDescent="0.3">
      <c r="A1380" t="s">
        <v>585</v>
      </c>
      <c r="B1380">
        <v>135</v>
      </c>
    </row>
    <row r="1381" spans="1:6" x14ac:dyDescent="0.3">
      <c r="A1381" t="s">
        <v>586</v>
      </c>
      <c r="B1381">
        <v>135</v>
      </c>
    </row>
    <row r="1382" spans="1:6" x14ac:dyDescent="0.3">
      <c r="A1382" t="s">
        <v>587</v>
      </c>
      <c r="B1382">
        <v>135</v>
      </c>
      <c r="E1382" t="b">
        <v>0</v>
      </c>
    </row>
    <row r="1383" spans="1:6" x14ac:dyDescent="0.3">
      <c r="A1383" t="s">
        <v>588</v>
      </c>
      <c r="B1383">
        <v>135</v>
      </c>
      <c r="E1383" t="b">
        <v>0</v>
      </c>
    </row>
    <row r="1384" spans="1:6" x14ac:dyDescent="0.3">
      <c r="A1384" t="s">
        <v>570</v>
      </c>
      <c r="B1384">
        <v>136</v>
      </c>
      <c r="F1384">
        <v>31</v>
      </c>
    </row>
    <row r="1385" spans="1:6" x14ac:dyDescent="0.3">
      <c r="A1385" t="s">
        <v>36</v>
      </c>
      <c r="B1385">
        <v>136</v>
      </c>
      <c r="F1385">
        <v>1</v>
      </c>
    </row>
    <row r="1386" spans="1:6" x14ac:dyDescent="0.3">
      <c r="A1386" t="s">
        <v>506</v>
      </c>
      <c r="B1386">
        <v>136</v>
      </c>
      <c r="F1386" t="s">
        <v>617</v>
      </c>
    </row>
    <row r="1387" spans="1:6" x14ac:dyDescent="0.3">
      <c r="A1387" t="s">
        <v>574</v>
      </c>
      <c r="B1387">
        <v>136</v>
      </c>
      <c r="F1387">
        <v>329</v>
      </c>
    </row>
    <row r="1388" spans="1:6" x14ac:dyDescent="0.3">
      <c r="A1388" t="s">
        <v>42</v>
      </c>
      <c r="B1388">
        <v>136</v>
      </c>
      <c r="F1388">
        <v>30</v>
      </c>
    </row>
    <row r="1389" spans="1:6" x14ac:dyDescent="0.3">
      <c r="A1389" t="s">
        <v>575</v>
      </c>
      <c r="B1389">
        <v>136</v>
      </c>
      <c r="F1389">
        <v>7.5</v>
      </c>
    </row>
    <row r="1390" spans="1:6" x14ac:dyDescent="0.3">
      <c r="A1390" t="s">
        <v>41</v>
      </c>
      <c r="B1390">
        <v>136</v>
      </c>
      <c r="F1390">
        <v>0</v>
      </c>
    </row>
    <row r="1391" spans="1:6" x14ac:dyDescent="0.3">
      <c r="A1391" t="s">
        <v>576</v>
      </c>
      <c r="B1391">
        <v>136</v>
      </c>
      <c r="F1391">
        <v>0</v>
      </c>
    </row>
    <row r="1392" spans="1:6" x14ac:dyDescent="0.3">
      <c r="A1392" t="s">
        <v>577</v>
      </c>
      <c r="B1392">
        <v>136</v>
      </c>
      <c r="F1392">
        <v>0</v>
      </c>
    </row>
    <row r="1393" spans="1:6" x14ac:dyDescent="0.3">
      <c r="A1393" t="s">
        <v>578</v>
      </c>
      <c r="B1393">
        <v>136</v>
      </c>
      <c r="F1393">
        <v>0</v>
      </c>
    </row>
    <row r="1394" spans="1:6" x14ac:dyDescent="0.3">
      <c r="A1394" t="s">
        <v>579</v>
      </c>
      <c r="B1394">
        <v>136</v>
      </c>
      <c r="F1394">
        <v>16</v>
      </c>
    </row>
    <row r="1395" spans="1:6" x14ac:dyDescent="0.3">
      <c r="A1395" t="s">
        <v>580</v>
      </c>
      <c r="B1395">
        <v>136</v>
      </c>
      <c r="F1395">
        <v>200</v>
      </c>
    </row>
    <row r="1396" spans="1:6" x14ac:dyDescent="0.3">
      <c r="A1396" t="s">
        <v>581</v>
      </c>
      <c r="B1396">
        <v>136</v>
      </c>
      <c r="F1396">
        <v>1320</v>
      </c>
    </row>
    <row r="1397" spans="1:6" x14ac:dyDescent="0.3">
      <c r="A1397" t="s">
        <v>582</v>
      </c>
      <c r="B1397">
        <v>136</v>
      </c>
      <c r="F1397">
        <v>880</v>
      </c>
    </row>
    <row r="1398" spans="1:6" x14ac:dyDescent="0.3">
      <c r="A1398" t="s">
        <v>583</v>
      </c>
      <c r="B1398">
        <v>136</v>
      </c>
      <c r="F1398">
        <v>1760</v>
      </c>
    </row>
    <row r="1399" spans="1:6" x14ac:dyDescent="0.3">
      <c r="A1399" t="s">
        <v>584</v>
      </c>
      <c r="B1399">
        <v>136</v>
      </c>
    </row>
    <row r="1400" spans="1:6" x14ac:dyDescent="0.3">
      <c r="A1400" t="s">
        <v>585</v>
      </c>
      <c r="B1400">
        <v>136</v>
      </c>
    </row>
    <row r="1401" spans="1:6" x14ac:dyDescent="0.3">
      <c r="A1401" t="s">
        <v>586</v>
      </c>
      <c r="B1401">
        <v>136</v>
      </c>
    </row>
    <row r="1402" spans="1:6" x14ac:dyDescent="0.3">
      <c r="A1402" t="s">
        <v>587</v>
      </c>
      <c r="B1402">
        <v>136</v>
      </c>
      <c r="F1402" t="b">
        <v>0</v>
      </c>
    </row>
    <row r="1403" spans="1:6" x14ac:dyDescent="0.3">
      <c r="A1403" t="s">
        <v>588</v>
      </c>
      <c r="B1403">
        <v>136</v>
      </c>
      <c r="F1403" t="b">
        <v>0</v>
      </c>
    </row>
    <row r="1404" spans="1:6" x14ac:dyDescent="0.3">
      <c r="A1404" t="s">
        <v>570</v>
      </c>
      <c r="B1404">
        <v>137</v>
      </c>
      <c r="E1404">
        <v>31</v>
      </c>
      <c r="F1404">
        <v>138</v>
      </c>
    </row>
    <row r="1405" spans="1:6" x14ac:dyDescent="0.3">
      <c r="A1405" t="s">
        <v>36</v>
      </c>
      <c r="B1405">
        <v>137</v>
      </c>
      <c r="E1405">
        <v>3</v>
      </c>
      <c r="F1405">
        <v>2</v>
      </c>
    </row>
    <row r="1406" spans="1:6" x14ac:dyDescent="0.3">
      <c r="A1406" t="s">
        <v>506</v>
      </c>
      <c r="B1406">
        <v>137</v>
      </c>
      <c r="E1406" t="s">
        <v>617</v>
      </c>
      <c r="F1406" t="s">
        <v>617</v>
      </c>
    </row>
    <row r="1407" spans="1:6" x14ac:dyDescent="0.3">
      <c r="A1407" t="s">
        <v>574</v>
      </c>
      <c r="B1407">
        <v>137</v>
      </c>
      <c r="E1407">
        <v>264</v>
      </c>
      <c r="F1407">
        <v>534</v>
      </c>
    </row>
    <row r="1408" spans="1:6" x14ac:dyDescent="0.3">
      <c r="A1408" t="s">
        <v>42</v>
      </c>
      <c r="B1408">
        <v>137</v>
      </c>
      <c r="E1408">
        <v>30</v>
      </c>
      <c r="F1408">
        <v>35</v>
      </c>
    </row>
    <row r="1409" spans="1:6" x14ac:dyDescent="0.3">
      <c r="A1409" t="s">
        <v>575</v>
      </c>
      <c r="B1409">
        <v>137</v>
      </c>
      <c r="E1409">
        <v>6</v>
      </c>
      <c r="F1409">
        <v>10.4</v>
      </c>
    </row>
    <row r="1410" spans="1:6" x14ac:dyDescent="0.3">
      <c r="A1410" t="s">
        <v>41</v>
      </c>
      <c r="B1410">
        <v>137</v>
      </c>
      <c r="E1410">
        <v>0</v>
      </c>
      <c r="F1410">
        <v>5</v>
      </c>
    </row>
    <row r="1411" spans="1:6" x14ac:dyDescent="0.3">
      <c r="A1411" t="s">
        <v>576</v>
      </c>
      <c r="B1411">
        <v>137</v>
      </c>
      <c r="E1411">
        <v>0</v>
      </c>
      <c r="F1411">
        <v>0</v>
      </c>
    </row>
    <row r="1412" spans="1:6" x14ac:dyDescent="0.3">
      <c r="A1412" t="s">
        <v>577</v>
      </c>
      <c r="B1412">
        <v>137</v>
      </c>
      <c r="E1412">
        <v>0</v>
      </c>
      <c r="F1412">
        <v>0</v>
      </c>
    </row>
    <row r="1413" spans="1:6" x14ac:dyDescent="0.3">
      <c r="A1413" t="s">
        <v>578</v>
      </c>
      <c r="B1413">
        <v>137</v>
      </c>
      <c r="E1413">
        <v>0</v>
      </c>
      <c r="F1413">
        <v>0</v>
      </c>
    </row>
    <row r="1414" spans="1:6" x14ac:dyDescent="0.3">
      <c r="A1414" t="s">
        <v>579</v>
      </c>
      <c r="B1414">
        <v>137</v>
      </c>
      <c r="E1414">
        <v>16</v>
      </c>
      <c r="F1414">
        <v>16</v>
      </c>
    </row>
    <row r="1415" spans="1:6" x14ac:dyDescent="0.3">
      <c r="A1415" t="s">
        <v>580</v>
      </c>
      <c r="B1415">
        <v>137</v>
      </c>
      <c r="E1415">
        <v>100</v>
      </c>
      <c r="F1415">
        <v>100</v>
      </c>
    </row>
    <row r="1416" spans="1:6" x14ac:dyDescent="0.3">
      <c r="A1416" t="s">
        <v>581</v>
      </c>
      <c r="B1416">
        <v>137</v>
      </c>
      <c r="E1416">
        <v>1320</v>
      </c>
      <c r="F1416">
        <v>1539</v>
      </c>
    </row>
    <row r="1417" spans="1:6" x14ac:dyDescent="0.3">
      <c r="A1417" t="s">
        <v>582</v>
      </c>
      <c r="B1417">
        <v>137</v>
      </c>
      <c r="E1417">
        <v>880</v>
      </c>
      <c r="F1417">
        <v>1026</v>
      </c>
    </row>
    <row r="1418" spans="1:6" x14ac:dyDescent="0.3">
      <c r="A1418" t="s">
        <v>583</v>
      </c>
      <c r="B1418">
        <v>137</v>
      </c>
      <c r="E1418">
        <v>1760</v>
      </c>
      <c r="F1418">
        <v>2052</v>
      </c>
    </row>
    <row r="1419" spans="1:6" x14ac:dyDescent="0.3">
      <c r="A1419" t="s">
        <v>584</v>
      </c>
      <c r="B1419">
        <v>137</v>
      </c>
    </row>
    <row r="1420" spans="1:6" x14ac:dyDescent="0.3">
      <c r="A1420" t="s">
        <v>585</v>
      </c>
      <c r="B1420">
        <v>137</v>
      </c>
    </row>
    <row r="1421" spans="1:6" x14ac:dyDescent="0.3">
      <c r="A1421" t="s">
        <v>586</v>
      </c>
      <c r="B1421">
        <v>137</v>
      </c>
    </row>
    <row r="1422" spans="1:6" x14ac:dyDescent="0.3">
      <c r="A1422" t="s">
        <v>587</v>
      </c>
      <c r="B1422">
        <v>137</v>
      </c>
      <c r="E1422" t="b">
        <v>0</v>
      </c>
      <c r="F1422" t="b">
        <v>0</v>
      </c>
    </row>
    <row r="1423" spans="1:6" x14ac:dyDescent="0.3">
      <c r="A1423" t="s">
        <v>588</v>
      </c>
      <c r="B1423">
        <v>137</v>
      </c>
      <c r="E1423" t="b">
        <v>0</v>
      </c>
      <c r="F1423" t="b">
        <v>0</v>
      </c>
    </row>
    <row r="1424" spans="1:6" x14ac:dyDescent="0.3">
      <c r="A1424" t="s">
        <v>570</v>
      </c>
      <c r="B1424">
        <v>138</v>
      </c>
      <c r="E1424">
        <v>137</v>
      </c>
    </row>
    <row r="1425" spans="1:5" x14ac:dyDescent="0.3">
      <c r="A1425" t="s">
        <v>36</v>
      </c>
      <c r="B1425">
        <v>138</v>
      </c>
      <c r="E1425" t="s">
        <v>607</v>
      </c>
    </row>
    <row r="1426" spans="1:5" x14ac:dyDescent="0.3">
      <c r="A1426" t="s">
        <v>506</v>
      </c>
      <c r="B1426">
        <v>138</v>
      </c>
      <c r="E1426" t="s">
        <v>617</v>
      </c>
    </row>
    <row r="1427" spans="1:5" x14ac:dyDescent="0.3">
      <c r="A1427" t="s">
        <v>574</v>
      </c>
      <c r="B1427">
        <v>138</v>
      </c>
      <c r="E1427">
        <v>534</v>
      </c>
    </row>
    <row r="1428" spans="1:5" x14ac:dyDescent="0.3">
      <c r="A1428" t="s">
        <v>42</v>
      </c>
      <c r="B1428">
        <v>138</v>
      </c>
      <c r="E1428">
        <v>30</v>
      </c>
    </row>
    <row r="1429" spans="1:5" x14ac:dyDescent="0.3">
      <c r="A1429" t="s">
        <v>575</v>
      </c>
      <c r="B1429">
        <v>138</v>
      </c>
      <c r="E1429">
        <v>12.1</v>
      </c>
    </row>
    <row r="1430" spans="1:5" x14ac:dyDescent="0.3">
      <c r="A1430" t="s">
        <v>41</v>
      </c>
      <c r="B1430">
        <v>138</v>
      </c>
      <c r="E1430">
        <v>0</v>
      </c>
    </row>
    <row r="1431" spans="1:5" x14ac:dyDescent="0.3">
      <c r="A1431" t="s">
        <v>576</v>
      </c>
      <c r="B1431">
        <v>138</v>
      </c>
      <c r="E1431">
        <v>0</v>
      </c>
    </row>
    <row r="1432" spans="1:5" x14ac:dyDescent="0.3">
      <c r="A1432" t="s">
        <v>577</v>
      </c>
      <c r="B1432">
        <v>138</v>
      </c>
      <c r="E1432">
        <v>0</v>
      </c>
    </row>
    <row r="1433" spans="1:5" x14ac:dyDescent="0.3">
      <c r="A1433" t="s">
        <v>578</v>
      </c>
      <c r="B1433">
        <v>138</v>
      </c>
      <c r="E1433">
        <v>0</v>
      </c>
    </row>
    <row r="1434" spans="1:5" x14ac:dyDescent="0.3">
      <c r="A1434" t="s">
        <v>579</v>
      </c>
      <c r="B1434">
        <v>138</v>
      </c>
      <c r="E1434">
        <v>16</v>
      </c>
    </row>
    <row r="1435" spans="1:5" x14ac:dyDescent="0.3">
      <c r="A1435" t="s">
        <v>580</v>
      </c>
      <c r="B1435">
        <v>138</v>
      </c>
      <c r="E1435">
        <v>200</v>
      </c>
    </row>
    <row r="1436" spans="1:5" x14ac:dyDescent="0.3">
      <c r="A1436" t="s">
        <v>581</v>
      </c>
      <c r="B1436">
        <v>138</v>
      </c>
      <c r="E1436">
        <v>1320</v>
      </c>
    </row>
    <row r="1437" spans="1:5" x14ac:dyDescent="0.3">
      <c r="A1437" t="s">
        <v>582</v>
      </c>
      <c r="B1437">
        <v>138</v>
      </c>
      <c r="E1437">
        <v>880</v>
      </c>
    </row>
    <row r="1438" spans="1:5" x14ac:dyDescent="0.3">
      <c r="A1438" t="s">
        <v>583</v>
      </c>
      <c r="B1438">
        <v>138</v>
      </c>
      <c r="E1438">
        <v>1760</v>
      </c>
    </row>
    <row r="1439" spans="1:5" x14ac:dyDescent="0.3">
      <c r="A1439" t="s">
        <v>584</v>
      </c>
      <c r="B1439">
        <v>138</v>
      </c>
    </row>
    <row r="1440" spans="1:5" x14ac:dyDescent="0.3">
      <c r="A1440" t="s">
        <v>585</v>
      </c>
      <c r="B1440">
        <v>138</v>
      </c>
    </row>
    <row r="1441" spans="1:6" x14ac:dyDescent="0.3">
      <c r="A1441" t="s">
        <v>586</v>
      </c>
      <c r="B1441">
        <v>138</v>
      </c>
    </row>
    <row r="1442" spans="1:6" x14ac:dyDescent="0.3">
      <c r="A1442" t="s">
        <v>587</v>
      </c>
      <c r="B1442">
        <v>138</v>
      </c>
      <c r="E1442" t="b">
        <v>0</v>
      </c>
    </row>
    <row r="1443" spans="1:6" x14ac:dyDescent="0.3">
      <c r="A1443" t="s">
        <v>588</v>
      </c>
      <c r="B1443">
        <v>138</v>
      </c>
      <c r="E1443" t="b">
        <v>0</v>
      </c>
    </row>
    <row r="1444" spans="1:6" x14ac:dyDescent="0.3">
      <c r="A1444" t="s">
        <v>570</v>
      </c>
      <c r="B1444">
        <v>139</v>
      </c>
      <c r="F1444">
        <v>32</v>
      </c>
    </row>
    <row r="1445" spans="1:6" x14ac:dyDescent="0.3">
      <c r="A1445" t="s">
        <v>36</v>
      </c>
      <c r="B1445">
        <v>139</v>
      </c>
      <c r="F1445">
        <v>2</v>
      </c>
    </row>
    <row r="1446" spans="1:6" x14ac:dyDescent="0.3">
      <c r="A1446" t="s">
        <v>506</v>
      </c>
      <c r="B1446">
        <v>139</v>
      </c>
      <c r="F1446" t="s">
        <v>618</v>
      </c>
    </row>
    <row r="1447" spans="1:6" x14ac:dyDescent="0.3">
      <c r="A1447" t="s">
        <v>574</v>
      </c>
      <c r="B1447">
        <v>139</v>
      </c>
      <c r="F1447">
        <v>380</v>
      </c>
    </row>
    <row r="1448" spans="1:6" x14ac:dyDescent="0.3">
      <c r="A1448" t="s">
        <v>42</v>
      </c>
      <c r="B1448">
        <v>139</v>
      </c>
      <c r="F1448">
        <v>30</v>
      </c>
    </row>
    <row r="1449" spans="1:6" x14ac:dyDescent="0.3">
      <c r="A1449" t="s">
        <v>575</v>
      </c>
      <c r="B1449">
        <v>139</v>
      </c>
      <c r="F1449">
        <v>8.6</v>
      </c>
    </row>
    <row r="1450" spans="1:6" x14ac:dyDescent="0.3">
      <c r="A1450" t="s">
        <v>41</v>
      </c>
      <c r="B1450">
        <v>139</v>
      </c>
      <c r="F1450">
        <v>0</v>
      </c>
    </row>
    <row r="1451" spans="1:6" x14ac:dyDescent="0.3">
      <c r="A1451" t="s">
        <v>576</v>
      </c>
      <c r="B1451">
        <v>139</v>
      </c>
      <c r="F1451">
        <v>0</v>
      </c>
    </row>
    <row r="1452" spans="1:6" x14ac:dyDescent="0.3">
      <c r="A1452" t="s">
        <v>577</v>
      </c>
      <c r="B1452">
        <v>139</v>
      </c>
      <c r="F1452">
        <v>0</v>
      </c>
    </row>
    <row r="1453" spans="1:6" x14ac:dyDescent="0.3">
      <c r="A1453" t="s">
        <v>578</v>
      </c>
      <c r="B1453">
        <v>139</v>
      </c>
      <c r="F1453">
        <v>0</v>
      </c>
    </row>
    <row r="1454" spans="1:6" x14ac:dyDescent="0.3">
      <c r="A1454" t="s">
        <v>579</v>
      </c>
      <c r="B1454">
        <v>139</v>
      </c>
      <c r="F1454">
        <v>16</v>
      </c>
    </row>
    <row r="1455" spans="1:6" x14ac:dyDescent="0.3">
      <c r="A1455" t="s">
        <v>580</v>
      </c>
      <c r="B1455">
        <v>139</v>
      </c>
      <c r="F1455">
        <v>200</v>
      </c>
    </row>
    <row r="1456" spans="1:6" x14ac:dyDescent="0.3">
      <c r="A1456" t="s">
        <v>581</v>
      </c>
      <c r="B1456">
        <v>139</v>
      </c>
      <c r="F1456">
        <v>1320</v>
      </c>
    </row>
    <row r="1457" spans="1:6" x14ac:dyDescent="0.3">
      <c r="A1457" t="s">
        <v>582</v>
      </c>
      <c r="B1457">
        <v>139</v>
      </c>
      <c r="F1457">
        <v>880</v>
      </c>
    </row>
    <row r="1458" spans="1:6" x14ac:dyDescent="0.3">
      <c r="A1458" t="s">
        <v>583</v>
      </c>
      <c r="B1458">
        <v>139</v>
      </c>
      <c r="F1458">
        <v>1760</v>
      </c>
    </row>
    <row r="1459" spans="1:6" x14ac:dyDescent="0.3">
      <c r="A1459" t="s">
        <v>584</v>
      </c>
      <c r="B1459">
        <v>139</v>
      </c>
    </row>
    <row r="1460" spans="1:6" x14ac:dyDescent="0.3">
      <c r="A1460" t="s">
        <v>585</v>
      </c>
      <c r="B1460">
        <v>139</v>
      </c>
    </row>
    <row r="1461" spans="1:6" x14ac:dyDescent="0.3">
      <c r="A1461" t="s">
        <v>586</v>
      </c>
      <c r="B1461">
        <v>139</v>
      </c>
    </row>
    <row r="1462" spans="1:6" x14ac:dyDescent="0.3">
      <c r="A1462" t="s">
        <v>587</v>
      </c>
      <c r="B1462">
        <v>139</v>
      </c>
      <c r="F1462" t="b">
        <v>0</v>
      </c>
    </row>
    <row r="1463" spans="1:6" x14ac:dyDescent="0.3">
      <c r="A1463" t="s">
        <v>588</v>
      </c>
      <c r="B1463">
        <v>139</v>
      </c>
      <c r="F1463" t="b">
        <v>0</v>
      </c>
    </row>
    <row r="1464" spans="1:6" x14ac:dyDescent="0.3">
      <c r="A1464" t="s">
        <v>570</v>
      </c>
      <c r="B1464">
        <v>140</v>
      </c>
      <c r="E1464">
        <v>32</v>
      </c>
    </row>
    <row r="1465" spans="1:6" x14ac:dyDescent="0.3">
      <c r="A1465" t="s">
        <v>36</v>
      </c>
      <c r="B1465">
        <v>140</v>
      </c>
      <c r="E1465">
        <v>1</v>
      </c>
    </row>
    <row r="1466" spans="1:6" x14ac:dyDescent="0.3">
      <c r="A1466" t="s">
        <v>506</v>
      </c>
      <c r="B1466">
        <v>140</v>
      </c>
      <c r="E1466" t="s">
        <v>619</v>
      </c>
    </row>
    <row r="1467" spans="1:6" x14ac:dyDescent="0.3">
      <c r="A1467" t="s">
        <v>574</v>
      </c>
      <c r="B1467">
        <v>140</v>
      </c>
      <c r="E1467">
        <v>418</v>
      </c>
    </row>
    <row r="1468" spans="1:6" x14ac:dyDescent="0.3">
      <c r="A1468" t="s">
        <v>42</v>
      </c>
      <c r="B1468">
        <v>140</v>
      </c>
      <c r="E1468">
        <v>30</v>
      </c>
    </row>
    <row r="1469" spans="1:6" x14ac:dyDescent="0.3">
      <c r="A1469" t="s">
        <v>575</v>
      </c>
      <c r="B1469">
        <v>140</v>
      </c>
      <c r="E1469">
        <v>9.5</v>
      </c>
    </row>
    <row r="1470" spans="1:6" x14ac:dyDescent="0.3">
      <c r="A1470" t="s">
        <v>41</v>
      </c>
      <c r="B1470">
        <v>140</v>
      </c>
      <c r="E1470">
        <v>0</v>
      </c>
    </row>
    <row r="1471" spans="1:6" x14ac:dyDescent="0.3">
      <c r="A1471" t="s">
        <v>576</v>
      </c>
      <c r="B1471">
        <v>140</v>
      </c>
      <c r="E1471">
        <v>12</v>
      </c>
    </row>
    <row r="1472" spans="1:6" x14ac:dyDescent="0.3">
      <c r="A1472" t="s">
        <v>577</v>
      </c>
      <c r="B1472">
        <v>140</v>
      </c>
      <c r="E1472">
        <v>0</v>
      </c>
    </row>
    <row r="1473" spans="1:5" x14ac:dyDescent="0.3">
      <c r="A1473" t="s">
        <v>578</v>
      </c>
      <c r="B1473">
        <v>140</v>
      </c>
      <c r="E1473">
        <v>0</v>
      </c>
    </row>
    <row r="1474" spans="1:5" x14ac:dyDescent="0.3">
      <c r="A1474" t="s">
        <v>579</v>
      </c>
      <c r="B1474">
        <v>140</v>
      </c>
      <c r="E1474">
        <v>16</v>
      </c>
    </row>
    <row r="1475" spans="1:5" x14ac:dyDescent="0.3">
      <c r="A1475" t="s">
        <v>580</v>
      </c>
      <c r="B1475">
        <v>140</v>
      </c>
      <c r="E1475">
        <v>200</v>
      </c>
    </row>
    <row r="1476" spans="1:5" x14ac:dyDescent="0.3">
      <c r="A1476" t="s">
        <v>581</v>
      </c>
      <c r="B1476">
        <v>140</v>
      </c>
      <c r="E1476">
        <v>1320</v>
      </c>
    </row>
    <row r="1477" spans="1:5" x14ac:dyDescent="0.3">
      <c r="A1477" t="s">
        <v>582</v>
      </c>
      <c r="B1477">
        <v>140</v>
      </c>
      <c r="E1477">
        <v>880</v>
      </c>
    </row>
    <row r="1478" spans="1:5" x14ac:dyDescent="0.3">
      <c r="A1478" t="s">
        <v>583</v>
      </c>
      <c r="B1478">
        <v>140</v>
      </c>
      <c r="E1478">
        <v>1760</v>
      </c>
    </row>
    <row r="1479" spans="1:5" x14ac:dyDescent="0.3">
      <c r="A1479" t="s">
        <v>584</v>
      </c>
      <c r="B1479">
        <v>140</v>
      </c>
    </row>
    <row r="1480" spans="1:5" x14ac:dyDescent="0.3">
      <c r="A1480" t="s">
        <v>585</v>
      </c>
      <c r="B1480">
        <v>140</v>
      </c>
    </row>
    <row r="1481" spans="1:5" x14ac:dyDescent="0.3">
      <c r="A1481" t="s">
        <v>586</v>
      </c>
      <c r="B1481">
        <v>140</v>
      </c>
    </row>
    <row r="1482" spans="1:5" x14ac:dyDescent="0.3">
      <c r="A1482" t="s">
        <v>587</v>
      </c>
      <c r="B1482">
        <v>140</v>
      </c>
      <c r="E1482" t="b">
        <v>0</v>
      </c>
    </row>
    <row r="1483" spans="1:5" x14ac:dyDescent="0.3">
      <c r="A1483" t="s">
        <v>588</v>
      </c>
      <c r="B1483">
        <v>140</v>
      </c>
      <c r="E1483" t="b">
        <v>0</v>
      </c>
    </row>
    <row r="1484" spans="1:5" x14ac:dyDescent="0.3">
      <c r="A1484" t="s">
        <v>570</v>
      </c>
      <c r="B1484">
        <v>210</v>
      </c>
      <c r="E1484">
        <v>34</v>
      </c>
    </row>
    <row r="1485" spans="1:5" x14ac:dyDescent="0.3">
      <c r="A1485" t="s">
        <v>36</v>
      </c>
      <c r="B1485">
        <v>210</v>
      </c>
      <c r="E1485">
        <v>1</v>
      </c>
    </row>
    <row r="1486" spans="1:5" x14ac:dyDescent="0.3">
      <c r="A1486" t="s">
        <v>506</v>
      </c>
      <c r="B1486">
        <v>210</v>
      </c>
      <c r="E1486" t="s">
        <v>624</v>
      </c>
    </row>
    <row r="1487" spans="1:5" x14ac:dyDescent="0.3">
      <c r="A1487" t="s">
        <v>574</v>
      </c>
      <c r="B1487">
        <v>210</v>
      </c>
      <c r="E1487">
        <v>703</v>
      </c>
    </row>
    <row r="1488" spans="1:5" x14ac:dyDescent="0.3">
      <c r="A1488" t="s">
        <v>42</v>
      </c>
      <c r="B1488">
        <v>210</v>
      </c>
      <c r="E1488">
        <v>30</v>
      </c>
    </row>
    <row r="1489" spans="1:6" x14ac:dyDescent="0.3">
      <c r="A1489" t="s">
        <v>575</v>
      </c>
      <c r="B1489">
        <v>210</v>
      </c>
      <c r="E1489">
        <v>16</v>
      </c>
    </row>
    <row r="1490" spans="1:6" x14ac:dyDescent="0.3">
      <c r="A1490" t="s">
        <v>41</v>
      </c>
      <c r="B1490">
        <v>210</v>
      </c>
      <c r="E1490">
        <v>0</v>
      </c>
    </row>
    <row r="1491" spans="1:6" x14ac:dyDescent="0.3">
      <c r="A1491" t="s">
        <v>576</v>
      </c>
      <c r="B1491">
        <v>210</v>
      </c>
      <c r="E1491">
        <v>0</v>
      </c>
    </row>
    <row r="1492" spans="1:6" x14ac:dyDescent="0.3">
      <c r="A1492" t="s">
        <v>577</v>
      </c>
      <c r="B1492">
        <v>210</v>
      </c>
      <c r="E1492">
        <v>0</v>
      </c>
    </row>
    <row r="1493" spans="1:6" x14ac:dyDescent="0.3">
      <c r="A1493" t="s">
        <v>578</v>
      </c>
      <c r="B1493">
        <v>210</v>
      </c>
      <c r="E1493">
        <v>0</v>
      </c>
    </row>
    <row r="1494" spans="1:6" x14ac:dyDescent="0.3">
      <c r="A1494" t="s">
        <v>579</v>
      </c>
      <c r="B1494">
        <v>210</v>
      </c>
      <c r="E1494">
        <v>16</v>
      </c>
    </row>
    <row r="1495" spans="1:6" x14ac:dyDescent="0.3">
      <c r="A1495" t="s">
        <v>580</v>
      </c>
      <c r="B1495">
        <v>210</v>
      </c>
      <c r="E1495">
        <v>200</v>
      </c>
    </row>
    <row r="1496" spans="1:6" x14ac:dyDescent="0.3">
      <c r="A1496" t="s">
        <v>581</v>
      </c>
      <c r="B1496">
        <v>210</v>
      </c>
      <c r="E1496">
        <v>1320</v>
      </c>
    </row>
    <row r="1497" spans="1:6" x14ac:dyDescent="0.3">
      <c r="A1497" t="s">
        <v>582</v>
      </c>
      <c r="B1497">
        <v>210</v>
      </c>
      <c r="E1497">
        <v>880</v>
      </c>
    </row>
    <row r="1498" spans="1:6" x14ac:dyDescent="0.3">
      <c r="A1498" t="s">
        <v>583</v>
      </c>
      <c r="B1498">
        <v>210</v>
      </c>
      <c r="E1498">
        <v>1760</v>
      </c>
    </row>
    <row r="1499" spans="1:6" x14ac:dyDescent="0.3">
      <c r="A1499" t="s">
        <v>584</v>
      </c>
      <c r="B1499">
        <v>210</v>
      </c>
    </row>
    <row r="1500" spans="1:6" x14ac:dyDescent="0.3">
      <c r="A1500" t="s">
        <v>585</v>
      </c>
      <c r="B1500">
        <v>210</v>
      </c>
    </row>
    <row r="1501" spans="1:6" x14ac:dyDescent="0.3">
      <c r="A1501" t="s">
        <v>586</v>
      </c>
      <c r="B1501">
        <v>210</v>
      </c>
    </row>
    <row r="1502" spans="1:6" x14ac:dyDescent="0.3">
      <c r="A1502" t="s">
        <v>587</v>
      </c>
      <c r="B1502">
        <v>210</v>
      </c>
      <c r="E1502" t="b">
        <v>0</v>
      </c>
    </row>
    <row r="1503" spans="1:6" x14ac:dyDescent="0.3">
      <c r="A1503" t="s">
        <v>588</v>
      </c>
      <c r="B1503">
        <v>210</v>
      </c>
      <c r="E1503" t="b">
        <v>0</v>
      </c>
    </row>
    <row r="1504" spans="1:6" x14ac:dyDescent="0.3">
      <c r="A1504" t="s">
        <v>570</v>
      </c>
      <c r="B1504">
        <v>211</v>
      </c>
      <c r="F1504">
        <v>34</v>
      </c>
    </row>
    <row r="1505" spans="1:6" x14ac:dyDescent="0.3">
      <c r="A1505" t="s">
        <v>36</v>
      </c>
      <c r="B1505">
        <v>211</v>
      </c>
      <c r="F1505">
        <v>1</v>
      </c>
    </row>
    <row r="1506" spans="1:6" x14ac:dyDescent="0.3">
      <c r="A1506" t="s">
        <v>506</v>
      </c>
      <c r="B1506">
        <v>211</v>
      </c>
      <c r="F1506" t="s">
        <v>624</v>
      </c>
    </row>
    <row r="1507" spans="1:6" x14ac:dyDescent="0.3">
      <c r="A1507" t="s">
        <v>574</v>
      </c>
      <c r="B1507">
        <v>211</v>
      </c>
      <c r="F1507">
        <v>505</v>
      </c>
    </row>
    <row r="1508" spans="1:6" x14ac:dyDescent="0.3">
      <c r="A1508" t="s">
        <v>42</v>
      </c>
      <c r="B1508">
        <v>211</v>
      </c>
      <c r="F1508">
        <v>30</v>
      </c>
    </row>
    <row r="1509" spans="1:6" x14ac:dyDescent="0.3">
      <c r="A1509" t="s">
        <v>575</v>
      </c>
      <c r="B1509">
        <v>211</v>
      </c>
      <c r="F1509">
        <v>11.5</v>
      </c>
    </row>
    <row r="1510" spans="1:6" x14ac:dyDescent="0.3">
      <c r="A1510" t="s">
        <v>41</v>
      </c>
      <c r="B1510">
        <v>211</v>
      </c>
      <c r="F1510">
        <v>0</v>
      </c>
    </row>
    <row r="1511" spans="1:6" x14ac:dyDescent="0.3">
      <c r="A1511" t="s">
        <v>576</v>
      </c>
      <c r="B1511">
        <v>211</v>
      </c>
      <c r="F1511">
        <v>0</v>
      </c>
    </row>
    <row r="1512" spans="1:6" x14ac:dyDescent="0.3">
      <c r="A1512" t="s">
        <v>577</v>
      </c>
      <c r="B1512">
        <v>211</v>
      </c>
      <c r="F1512">
        <v>0</v>
      </c>
    </row>
    <row r="1513" spans="1:6" x14ac:dyDescent="0.3">
      <c r="A1513" t="s">
        <v>578</v>
      </c>
      <c r="B1513">
        <v>211</v>
      </c>
      <c r="F1513">
        <v>0</v>
      </c>
    </row>
    <row r="1514" spans="1:6" x14ac:dyDescent="0.3">
      <c r="A1514" t="s">
        <v>579</v>
      </c>
      <c r="B1514">
        <v>211</v>
      </c>
      <c r="F1514">
        <v>16</v>
      </c>
    </row>
    <row r="1515" spans="1:6" x14ac:dyDescent="0.3">
      <c r="A1515" t="s">
        <v>580</v>
      </c>
      <c r="B1515">
        <v>211</v>
      </c>
      <c r="F1515">
        <v>200</v>
      </c>
    </row>
    <row r="1516" spans="1:6" x14ac:dyDescent="0.3">
      <c r="A1516" t="s">
        <v>581</v>
      </c>
      <c r="B1516">
        <v>211</v>
      </c>
      <c r="F1516">
        <v>1320</v>
      </c>
    </row>
    <row r="1517" spans="1:6" x14ac:dyDescent="0.3">
      <c r="A1517" t="s">
        <v>582</v>
      </c>
      <c r="B1517">
        <v>211</v>
      </c>
      <c r="F1517">
        <v>880</v>
      </c>
    </row>
    <row r="1518" spans="1:6" x14ac:dyDescent="0.3">
      <c r="A1518" t="s">
        <v>583</v>
      </c>
      <c r="B1518">
        <v>211</v>
      </c>
      <c r="F1518">
        <v>1760</v>
      </c>
    </row>
    <row r="1519" spans="1:6" x14ac:dyDescent="0.3">
      <c r="A1519" t="s">
        <v>584</v>
      </c>
      <c r="B1519">
        <v>211</v>
      </c>
    </row>
    <row r="1520" spans="1:6" x14ac:dyDescent="0.3">
      <c r="A1520" t="s">
        <v>585</v>
      </c>
      <c r="B1520">
        <v>211</v>
      </c>
    </row>
    <row r="1521" spans="1:6" x14ac:dyDescent="0.3">
      <c r="A1521" t="s">
        <v>586</v>
      </c>
      <c r="B1521">
        <v>211</v>
      </c>
    </row>
    <row r="1522" spans="1:6" x14ac:dyDescent="0.3">
      <c r="A1522" t="s">
        <v>587</v>
      </c>
      <c r="B1522">
        <v>211</v>
      </c>
      <c r="F1522" t="b">
        <v>0</v>
      </c>
    </row>
    <row r="1523" spans="1:6" x14ac:dyDescent="0.3">
      <c r="A1523" t="s">
        <v>588</v>
      </c>
      <c r="B1523">
        <v>211</v>
      </c>
      <c r="F1523" t="b">
        <v>0</v>
      </c>
    </row>
    <row r="1524" spans="1:6" x14ac:dyDescent="0.3">
      <c r="A1524" t="s">
        <v>570</v>
      </c>
      <c r="B1524">
        <v>212</v>
      </c>
      <c r="F1524">
        <v>33</v>
      </c>
    </row>
    <row r="1525" spans="1:6" x14ac:dyDescent="0.3">
      <c r="A1525" t="s">
        <v>36</v>
      </c>
      <c r="B1525">
        <v>212</v>
      </c>
      <c r="F1525">
        <v>1</v>
      </c>
    </row>
    <row r="1526" spans="1:6" x14ac:dyDescent="0.3">
      <c r="A1526" t="s">
        <v>506</v>
      </c>
      <c r="B1526">
        <v>212</v>
      </c>
      <c r="F1526" t="s">
        <v>621</v>
      </c>
    </row>
    <row r="1527" spans="1:6" x14ac:dyDescent="0.3">
      <c r="A1527" t="s">
        <v>574</v>
      </c>
      <c r="B1527">
        <v>212</v>
      </c>
      <c r="F1527">
        <v>622</v>
      </c>
    </row>
    <row r="1528" spans="1:6" x14ac:dyDescent="0.3">
      <c r="A1528" t="s">
        <v>42</v>
      </c>
      <c r="B1528">
        <v>212</v>
      </c>
      <c r="F1528">
        <v>30</v>
      </c>
    </row>
    <row r="1529" spans="1:6" x14ac:dyDescent="0.3">
      <c r="A1529" t="s">
        <v>575</v>
      </c>
      <c r="B1529">
        <v>212</v>
      </c>
      <c r="F1529">
        <v>14.1</v>
      </c>
    </row>
    <row r="1530" spans="1:6" x14ac:dyDescent="0.3">
      <c r="A1530" t="s">
        <v>41</v>
      </c>
      <c r="B1530">
        <v>212</v>
      </c>
      <c r="F1530">
        <v>0</v>
      </c>
    </row>
    <row r="1531" spans="1:6" x14ac:dyDescent="0.3">
      <c r="A1531" t="s">
        <v>576</v>
      </c>
      <c r="B1531">
        <v>212</v>
      </c>
      <c r="F1531">
        <v>12</v>
      </c>
    </row>
    <row r="1532" spans="1:6" x14ac:dyDescent="0.3">
      <c r="A1532" t="s">
        <v>577</v>
      </c>
      <c r="B1532">
        <v>212</v>
      </c>
      <c r="F1532">
        <v>0</v>
      </c>
    </row>
    <row r="1533" spans="1:6" x14ac:dyDescent="0.3">
      <c r="A1533" t="s">
        <v>578</v>
      </c>
      <c r="B1533">
        <v>212</v>
      </c>
      <c r="F1533">
        <v>0</v>
      </c>
    </row>
    <row r="1534" spans="1:6" x14ac:dyDescent="0.3">
      <c r="A1534" t="s">
        <v>579</v>
      </c>
      <c r="B1534">
        <v>212</v>
      </c>
      <c r="F1534">
        <v>16</v>
      </c>
    </row>
    <row r="1535" spans="1:6" x14ac:dyDescent="0.3">
      <c r="A1535" t="s">
        <v>580</v>
      </c>
      <c r="B1535">
        <v>212</v>
      </c>
      <c r="F1535">
        <v>200</v>
      </c>
    </row>
    <row r="1536" spans="1:6" x14ac:dyDescent="0.3">
      <c r="A1536" t="s">
        <v>581</v>
      </c>
      <c r="B1536">
        <v>212</v>
      </c>
      <c r="F1536">
        <v>1320</v>
      </c>
    </row>
    <row r="1537" spans="1:6" x14ac:dyDescent="0.3">
      <c r="A1537" t="s">
        <v>582</v>
      </c>
      <c r="B1537">
        <v>212</v>
      </c>
      <c r="F1537">
        <v>880</v>
      </c>
    </row>
    <row r="1538" spans="1:6" x14ac:dyDescent="0.3">
      <c r="A1538" t="s">
        <v>583</v>
      </c>
      <c r="B1538">
        <v>212</v>
      </c>
      <c r="F1538">
        <v>1760</v>
      </c>
    </row>
    <row r="1539" spans="1:6" x14ac:dyDescent="0.3">
      <c r="A1539" t="s">
        <v>584</v>
      </c>
      <c r="B1539">
        <v>212</v>
      </c>
    </row>
    <row r="1540" spans="1:6" x14ac:dyDescent="0.3">
      <c r="A1540" t="s">
        <v>585</v>
      </c>
      <c r="B1540">
        <v>212</v>
      </c>
    </row>
    <row r="1541" spans="1:6" x14ac:dyDescent="0.3">
      <c r="A1541" t="s">
        <v>586</v>
      </c>
      <c r="B1541">
        <v>212</v>
      </c>
    </row>
    <row r="1542" spans="1:6" x14ac:dyDescent="0.3">
      <c r="A1542" t="s">
        <v>587</v>
      </c>
      <c r="B1542">
        <v>212</v>
      </c>
      <c r="F1542" t="b">
        <v>0</v>
      </c>
    </row>
    <row r="1543" spans="1:6" x14ac:dyDescent="0.3">
      <c r="A1543" t="s">
        <v>588</v>
      </c>
      <c r="B1543">
        <v>212</v>
      </c>
      <c r="F1543" t="b">
        <v>0</v>
      </c>
    </row>
    <row r="1544" spans="1:6" x14ac:dyDescent="0.3">
      <c r="A1544" t="s">
        <v>570</v>
      </c>
      <c r="B1544">
        <v>213</v>
      </c>
      <c r="E1544">
        <v>33</v>
      </c>
    </row>
    <row r="1545" spans="1:6" x14ac:dyDescent="0.3">
      <c r="A1545" t="s">
        <v>36</v>
      </c>
      <c r="B1545">
        <v>213</v>
      </c>
      <c r="E1545">
        <v>1</v>
      </c>
    </row>
    <row r="1546" spans="1:6" x14ac:dyDescent="0.3">
      <c r="A1546" t="s">
        <v>506</v>
      </c>
      <c r="B1546">
        <v>213</v>
      </c>
      <c r="E1546" t="s">
        <v>622</v>
      </c>
    </row>
    <row r="1547" spans="1:6" x14ac:dyDescent="0.3">
      <c r="A1547" t="s">
        <v>574</v>
      </c>
      <c r="B1547">
        <v>213</v>
      </c>
      <c r="E1547">
        <v>1097</v>
      </c>
    </row>
    <row r="1548" spans="1:6" x14ac:dyDescent="0.3">
      <c r="A1548" t="s">
        <v>42</v>
      </c>
      <c r="B1548">
        <v>213</v>
      </c>
      <c r="E1548">
        <v>30</v>
      </c>
    </row>
    <row r="1549" spans="1:6" x14ac:dyDescent="0.3">
      <c r="A1549" t="s">
        <v>575</v>
      </c>
      <c r="B1549">
        <v>213</v>
      </c>
      <c r="E1549">
        <v>24.9</v>
      </c>
    </row>
    <row r="1550" spans="1:6" x14ac:dyDescent="0.3">
      <c r="A1550" t="s">
        <v>41</v>
      </c>
      <c r="B1550">
        <v>213</v>
      </c>
      <c r="E1550">
        <v>0</v>
      </c>
    </row>
    <row r="1551" spans="1:6" x14ac:dyDescent="0.3">
      <c r="A1551" t="s">
        <v>576</v>
      </c>
      <c r="B1551">
        <v>213</v>
      </c>
      <c r="E1551">
        <v>0</v>
      </c>
    </row>
    <row r="1552" spans="1:6" x14ac:dyDescent="0.3">
      <c r="A1552" t="s">
        <v>577</v>
      </c>
      <c r="B1552">
        <v>213</v>
      </c>
      <c r="E1552">
        <v>0</v>
      </c>
    </row>
    <row r="1553" spans="1:24" x14ac:dyDescent="0.3">
      <c r="A1553" t="s">
        <v>578</v>
      </c>
      <c r="B1553">
        <v>213</v>
      </c>
      <c r="E1553">
        <v>0</v>
      </c>
    </row>
    <row r="1554" spans="1:24" x14ac:dyDescent="0.3">
      <c r="A1554" t="s">
        <v>579</v>
      </c>
      <c r="B1554">
        <v>213</v>
      </c>
      <c r="E1554">
        <v>16</v>
      </c>
    </row>
    <row r="1555" spans="1:24" x14ac:dyDescent="0.3">
      <c r="A1555" t="s">
        <v>580</v>
      </c>
      <c r="B1555">
        <v>213</v>
      </c>
      <c r="E1555">
        <v>200</v>
      </c>
    </row>
    <row r="1556" spans="1:24" x14ac:dyDescent="0.3">
      <c r="A1556" t="s">
        <v>581</v>
      </c>
      <c r="B1556">
        <v>213</v>
      </c>
      <c r="E1556">
        <v>1320</v>
      </c>
    </row>
    <row r="1557" spans="1:24" x14ac:dyDescent="0.3">
      <c r="A1557" t="s">
        <v>582</v>
      </c>
      <c r="B1557">
        <v>213</v>
      </c>
      <c r="E1557">
        <v>880</v>
      </c>
    </row>
    <row r="1558" spans="1:24" x14ac:dyDescent="0.3">
      <c r="A1558" t="s">
        <v>583</v>
      </c>
      <c r="B1558">
        <v>213</v>
      </c>
      <c r="E1558">
        <v>1760</v>
      </c>
    </row>
    <row r="1559" spans="1:24" x14ac:dyDescent="0.3">
      <c r="A1559" t="s">
        <v>584</v>
      </c>
      <c r="B1559">
        <v>213</v>
      </c>
    </row>
    <row r="1560" spans="1:24" x14ac:dyDescent="0.3">
      <c r="A1560" t="s">
        <v>585</v>
      </c>
      <c r="B1560">
        <v>213</v>
      </c>
    </row>
    <row r="1561" spans="1:24" x14ac:dyDescent="0.3">
      <c r="A1561" t="s">
        <v>586</v>
      </c>
      <c r="B1561">
        <v>213</v>
      </c>
    </row>
    <row r="1562" spans="1:24" x14ac:dyDescent="0.3">
      <c r="A1562" t="s">
        <v>587</v>
      </c>
      <c r="B1562">
        <v>213</v>
      </c>
      <c r="E1562" t="b">
        <v>0</v>
      </c>
    </row>
    <row r="1563" spans="1:24" x14ac:dyDescent="0.3">
      <c r="A1563" t="s">
        <v>588</v>
      </c>
      <c r="B1563">
        <v>213</v>
      </c>
      <c r="E1563" t="b">
        <v>0</v>
      </c>
    </row>
    <row r="1565" spans="1:24" x14ac:dyDescent="0.3">
      <c r="A1565" t="s">
        <v>625</v>
      </c>
    </row>
    <row r="1566" spans="1:24" x14ac:dyDescent="0.3">
      <c r="A1566" t="s">
        <v>626</v>
      </c>
    </row>
    <row r="1567" spans="1:24" x14ac:dyDescent="0.3">
      <c r="A1567" t="s">
        <v>0</v>
      </c>
      <c r="B1567" t="s">
        <v>1</v>
      </c>
      <c r="C1567" t="s">
        <v>627</v>
      </c>
      <c r="D1567" t="s">
        <v>3</v>
      </c>
      <c r="E1567" t="s">
        <v>4</v>
      </c>
      <c r="F1567" t="s">
        <v>5</v>
      </c>
      <c r="G1567" t="s">
        <v>628</v>
      </c>
      <c r="H1567" t="s">
        <v>8</v>
      </c>
      <c r="I1567" t="s">
        <v>9</v>
      </c>
      <c r="J1567" t="s">
        <v>10</v>
      </c>
      <c r="K1567" t="s">
        <v>13</v>
      </c>
      <c r="L1567" t="s">
        <v>14</v>
      </c>
      <c r="M1567" t="s">
        <v>15</v>
      </c>
      <c r="N1567" t="s">
        <v>18</v>
      </c>
      <c r="O1567" t="s">
        <v>19</v>
      </c>
      <c r="P1567" t="s">
        <v>20</v>
      </c>
      <c r="Q1567" t="s">
        <v>25</v>
      </c>
      <c r="R1567" t="s">
        <v>26</v>
      </c>
      <c r="S1567" t="s">
        <v>27</v>
      </c>
      <c r="T1567" t="s">
        <v>28</v>
      </c>
      <c r="U1567" t="s">
        <v>29</v>
      </c>
      <c r="V1567" t="s">
        <v>30</v>
      </c>
      <c r="W1567" t="s">
        <v>629</v>
      </c>
      <c r="X1567" t="s">
        <v>630</v>
      </c>
    </row>
    <row r="1568" spans="1:24" x14ac:dyDescent="0.3">
      <c r="A1568" t="s">
        <v>34</v>
      </c>
      <c r="B1568">
        <v>1</v>
      </c>
      <c r="C1568">
        <v>101</v>
      </c>
      <c r="D1568">
        <v>101</v>
      </c>
      <c r="E1568">
        <v>101</v>
      </c>
      <c r="F1568">
        <v>101</v>
      </c>
      <c r="G1568">
        <v>2</v>
      </c>
      <c r="H1568">
        <v>2</v>
      </c>
      <c r="I1568">
        <v>2</v>
      </c>
      <c r="J1568">
        <v>2</v>
      </c>
      <c r="K1568">
        <v>102</v>
      </c>
      <c r="L1568">
        <v>102</v>
      </c>
      <c r="M1568">
        <v>102</v>
      </c>
      <c r="N1568">
        <v>103</v>
      </c>
      <c r="O1568">
        <v>103</v>
      </c>
      <c r="P1568">
        <v>103</v>
      </c>
    </row>
    <row r="1569" spans="1:16" x14ac:dyDescent="0.3">
      <c r="A1569" t="s">
        <v>35</v>
      </c>
      <c r="B1569">
        <v>1</v>
      </c>
      <c r="C1569">
        <v>101</v>
      </c>
      <c r="D1569">
        <v>102</v>
      </c>
      <c r="E1569">
        <v>2</v>
      </c>
      <c r="F1569">
        <v>103</v>
      </c>
      <c r="G1569">
        <v>2</v>
      </c>
      <c r="H1569">
        <v>103</v>
      </c>
      <c r="I1569">
        <v>101</v>
      </c>
      <c r="J1569">
        <v>102</v>
      </c>
      <c r="K1569">
        <v>2</v>
      </c>
      <c r="L1569">
        <v>103</v>
      </c>
      <c r="M1569">
        <v>101</v>
      </c>
      <c r="N1569">
        <v>101</v>
      </c>
      <c r="O1569">
        <v>102</v>
      </c>
      <c r="P1569">
        <v>2</v>
      </c>
    </row>
    <row r="1570" spans="1:16" x14ac:dyDescent="0.3">
      <c r="A1570" t="s">
        <v>36</v>
      </c>
      <c r="B1570">
        <v>1</v>
      </c>
      <c r="C1570">
        <v>0</v>
      </c>
      <c r="D1570">
        <v>1</v>
      </c>
      <c r="E1570">
        <v>1</v>
      </c>
      <c r="F1570">
        <v>1</v>
      </c>
      <c r="G1570">
        <v>0</v>
      </c>
      <c r="H1570">
        <v>1</v>
      </c>
      <c r="I1570">
        <v>1</v>
      </c>
      <c r="J1570">
        <v>1</v>
      </c>
      <c r="K1570">
        <v>1</v>
      </c>
      <c r="L1570">
        <v>1</v>
      </c>
      <c r="M1570">
        <v>0</v>
      </c>
      <c r="N1570">
        <v>1</v>
      </c>
      <c r="O1570">
        <v>1</v>
      </c>
      <c r="P1570">
        <v>1</v>
      </c>
    </row>
    <row r="1571" spans="1:16" x14ac:dyDescent="0.3">
      <c r="A1571" t="s">
        <v>37</v>
      </c>
      <c r="B1571">
        <v>1</v>
      </c>
      <c r="D1571">
        <v>0</v>
      </c>
      <c r="E1571">
        <v>0</v>
      </c>
      <c r="H1571">
        <v>0</v>
      </c>
      <c r="I1571">
        <v>0</v>
      </c>
      <c r="K1571">
        <v>0</v>
      </c>
      <c r="L1571">
        <v>2</v>
      </c>
      <c r="N1571">
        <v>0</v>
      </c>
      <c r="O1571">
        <v>0</v>
      </c>
    </row>
    <row r="1572" spans="1:16" x14ac:dyDescent="0.3">
      <c r="A1572" t="s">
        <v>38</v>
      </c>
      <c r="B1572">
        <v>1</v>
      </c>
      <c r="C1572">
        <v>12</v>
      </c>
      <c r="D1572">
        <v>12</v>
      </c>
      <c r="E1572">
        <v>12</v>
      </c>
      <c r="F1572">
        <v>12</v>
      </c>
      <c r="G1572">
        <v>12</v>
      </c>
      <c r="H1572">
        <v>12</v>
      </c>
      <c r="I1572">
        <v>12</v>
      </c>
      <c r="J1572">
        <v>12</v>
      </c>
      <c r="K1572">
        <v>12</v>
      </c>
      <c r="L1572">
        <v>12</v>
      </c>
      <c r="M1572">
        <v>12</v>
      </c>
      <c r="N1572">
        <v>12</v>
      </c>
      <c r="O1572">
        <v>12</v>
      </c>
      <c r="P1572">
        <v>12</v>
      </c>
    </row>
    <row r="1573" spans="1:16" x14ac:dyDescent="0.3">
      <c r="A1573" t="s">
        <v>39</v>
      </c>
      <c r="B1573">
        <v>1</v>
      </c>
      <c r="D1573">
        <v>200</v>
      </c>
      <c r="F1573">
        <v>200</v>
      </c>
      <c r="H1573">
        <v>500</v>
      </c>
      <c r="J1573">
        <v>250</v>
      </c>
      <c r="N1573">
        <v>250</v>
      </c>
      <c r="P1573">
        <v>500</v>
      </c>
    </row>
    <row r="1574" spans="1:16" x14ac:dyDescent="0.3">
      <c r="A1574" t="s">
        <v>631</v>
      </c>
      <c r="B1574">
        <v>1</v>
      </c>
      <c r="D1574">
        <v>25</v>
      </c>
      <c r="F1574">
        <v>25</v>
      </c>
      <c r="H1574">
        <v>25</v>
      </c>
      <c r="J1574">
        <v>25</v>
      </c>
      <c r="N1574">
        <v>25</v>
      </c>
      <c r="P1574">
        <v>25</v>
      </c>
    </row>
    <row r="1575" spans="1:16" x14ac:dyDescent="0.3">
      <c r="A1575" t="s">
        <v>40</v>
      </c>
      <c r="B1575">
        <v>1</v>
      </c>
      <c r="D1575">
        <v>1</v>
      </c>
      <c r="F1575">
        <v>1</v>
      </c>
      <c r="H1575">
        <v>1</v>
      </c>
      <c r="J1575">
        <v>1</v>
      </c>
      <c r="N1575">
        <v>1</v>
      </c>
      <c r="P1575">
        <v>1</v>
      </c>
    </row>
    <row r="1576" spans="1:16" x14ac:dyDescent="0.3">
      <c r="A1576" t="s">
        <v>41</v>
      </c>
      <c r="B1576">
        <v>1</v>
      </c>
    </row>
    <row r="1577" spans="1:16" x14ac:dyDescent="0.3">
      <c r="A1577" t="s">
        <v>42</v>
      </c>
      <c r="B1577">
        <v>1</v>
      </c>
      <c r="E1577">
        <v>45</v>
      </c>
      <c r="I1577">
        <v>45</v>
      </c>
      <c r="L1577">
        <v>30</v>
      </c>
      <c r="O1577">
        <v>30</v>
      </c>
    </row>
    <row r="1578" spans="1:16" x14ac:dyDescent="0.3">
      <c r="A1578" t="s">
        <v>45</v>
      </c>
      <c r="B1578">
        <v>1</v>
      </c>
      <c r="D1578">
        <v>5</v>
      </c>
      <c r="E1578">
        <v>2</v>
      </c>
      <c r="H1578">
        <v>1</v>
      </c>
      <c r="I1578">
        <v>6</v>
      </c>
      <c r="K1578">
        <v>7</v>
      </c>
      <c r="L1578">
        <v>4</v>
      </c>
      <c r="N1578">
        <v>3</v>
      </c>
      <c r="O1578">
        <v>8</v>
      </c>
    </row>
    <row r="1579" spans="1:16" x14ac:dyDescent="0.3">
      <c r="A1579" t="s">
        <v>46</v>
      </c>
      <c r="B1579">
        <v>1</v>
      </c>
      <c r="D1579">
        <v>2</v>
      </c>
      <c r="F1579">
        <v>2</v>
      </c>
      <c r="H1579">
        <v>6</v>
      </c>
      <c r="J1579">
        <v>6</v>
      </c>
      <c r="K1579">
        <v>4</v>
      </c>
      <c r="N1579">
        <v>8</v>
      </c>
      <c r="P1579">
        <v>8</v>
      </c>
    </row>
    <row r="1580" spans="1:16" x14ac:dyDescent="0.3">
      <c r="A1580" t="s">
        <v>49</v>
      </c>
      <c r="B1580">
        <v>1</v>
      </c>
      <c r="C1580">
        <v>4</v>
      </c>
      <c r="D1580">
        <v>6</v>
      </c>
      <c r="E1580">
        <v>7</v>
      </c>
      <c r="F1580">
        <v>7</v>
      </c>
      <c r="G1580">
        <v>4</v>
      </c>
      <c r="H1580">
        <v>6</v>
      </c>
      <c r="I1580">
        <v>7</v>
      </c>
      <c r="J1580">
        <v>7</v>
      </c>
      <c r="K1580">
        <v>6</v>
      </c>
      <c r="L1580">
        <v>7</v>
      </c>
      <c r="M1580">
        <v>4</v>
      </c>
      <c r="N1580">
        <v>6</v>
      </c>
      <c r="O1580">
        <v>7</v>
      </c>
      <c r="P1580">
        <v>7</v>
      </c>
    </row>
    <row r="1581" spans="1:16" x14ac:dyDescent="0.3">
      <c r="A1581" t="s">
        <v>632</v>
      </c>
      <c r="B1581">
        <v>1</v>
      </c>
      <c r="C1581">
        <v>0</v>
      </c>
      <c r="D1581">
        <v>0</v>
      </c>
      <c r="E1581">
        <v>0</v>
      </c>
      <c r="F1581">
        <v>0</v>
      </c>
      <c r="G1581">
        <v>0</v>
      </c>
      <c r="H1581">
        <v>0</v>
      </c>
      <c r="I1581">
        <v>0</v>
      </c>
      <c r="J1581">
        <v>0</v>
      </c>
      <c r="K1581">
        <v>0</v>
      </c>
      <c r="L1581">
        <v>0</v>
      </c>
      <c r="M1581">
        <v>0</v>
      </c>
      <c r="N1581">
        <v>0</v>
      </c>
      <c r="O1581">
        <v>0</v>
      </c>
      <c r="P1581">
        <v>0</v>
      </c>
    </row>
    <row r="1582" spans="1:16" x14ac:dyDescent="0.3">
      <c r="A1582" t="s">
        <v>48</v>
      </c>
      <c r="B1582">
        <v>1</v>
      </c>
      <c r="C1582">
        <v>1900</v>
      </c>
      <c r="D1582">
        <v>1900</v>
      </c>
      <c r="E1582">
        <v>1900</v>
      </c>
      <c r="F1582">
        <v>1900</v>
      </c>
      <c r="G1582">
        <v>1900</v>
      </c>
      <c r="H1582">
        <v>1900</v>
      </c>
      <c r="I1582">
        <v>1900</v>
      </c>
      <c r="J1582">
        <v>1900</v>
      </c>
      <c r="K1582">
        <v>1900</v>
      </c>
      <c r="L1582">
        <v>1900</v>
      </c>
      <c r="M1582">
        <v>1900</v>
      </c>
      <c r="N1582">
        <v>1900</v>
      </c>
      <c r="O1582">
        <v>1900</v>
      </c>
      <c r="P1582">
        <v>1900</v>
      </c>
    </row>
    <row r="1583" spans="1:16" x14ac:dyDescent="0.3">
      <c r="A1583" t="s">
        <v>633</v>
      </c>
      <c r="B1583">
        <v>1</v>
      </c>
      <c r="C1583">
        <v>0</v>
      </c>
      <c r="D1583">
        <v>1593</v>
      </c>
      <c r="E1583">
        <v>1676</v>
      </c>
      <c r="F1583">
        <v>1425</v>
      </c>
      <c r="G1583">
        <v>0</v>
      </c>
      <c r="H1583">
        <v>1593</v>
      </c>
      <c r="I1583">
        <v>1676</v>
      </c>
      <c r="J1583">
        <v>1425</v>
      </c>
      <c r="K1583">
        <v>1593</v>
      </c>
      <c r="L1583">
        <v>1569</v>
      </c>
      <c r="M1583">
        <v>0</v>
      </c>
      <c r="N1583">
        <v>1593</v>
      </c>
      <c r="O1583">
        <v>1676</v>
      </c>
      <c r="P1583">
        <v>1425</v>
      </c>
    </row>
    <row r="1584" spans="1:16" x14ac:dyDescent="0.3">
      <c r="A1584" t="s">
        <v>50</v>
      </c>
      <c r="B1584">
        <v>1</v>
      </c>
      <c r="C1584">
        <v>0</v>
      </c>
      <c r="D1584">
        <v>686</v>
      </c>
      <c r="E1584">
        <v>1676</v>
      </c>
      <c r="F1584">
        <v>1425</v>
      </c>
      <c r="G1584">
        <v>0</v>
      </c>
      <c r="H1584">
        <v>134</v>
      </c>
      <c r="I1584">
        <v>1676</v>
      </c>
      <c r="J1584">
        <v>1425</v>
      </c>
      <c r="K1584">
        <v>607</v>
      </c>
      <c r="L1584">
        <v>1569</v>
      </c>
      <c r="M1584">
        <v>0</v>
      </c>
      <c r="N1584">
        <v>1068</v>
      </c>
      <c r="O1584">
        <v>1676</v>
      </c>
      <c r="P1584">
        <v>1425</v>
      </c>
    </row>
    <row r="1585" spans="1:16" x14ac:dyDescent="0.3">
      <c r="A1585" t="s">
        <v>634</v>
      </c>
      <c r="B1585">
        <v>1</v>
      </c>
      <c r="C1585">
        <v>1</v>
      </c>
      <c r="D1585">
        <v>1</v>
      </c>
      <c r="E1585">
        <v>1</v>
      </c>
      <c r="F1585">
        <v>1</v>
      </c>
      <c r="G1585">
        <v>1</v>
      </c>
      <c r="H1585">
        <v>1</v>
      </c>
      <c r="I1585">
        <v>1</v>
      </c>
      <c r="J1585">
        <v>1</v>
      </c>
      <c r="K1585">
        <v>1</v>
      </c>
      <c r="L1585">
        <v>1</v>
      </c>
      <c r="M1585">
        <v>1</v>
      </c>
      <c r="N1585">
        <v>1</v>
      </c>
      <c r="O1585">
        <v>1</v>
      </c>
      <c r="P1585">
        <v>1</v>
      </c>
    </row>
    <row r="1586" spans="1:16" x14ac:dyDescent="0.3">
      <c r="A1586" t="s">
        <v>51</v>
      </c>
      <c r="B1586">
        <v>1</v>
      </c>
      <c r="C1586">
        <v>0</v>
      </c>
      <c r="D1586">
        <v>0</v>
      </c>
      <c r="E1586">
        <v>0</v>
      </c>
      <c r="F1586">
        <v>200</v>
      </c>
      <c r="G1586">
        <v>0</v>
      </c>
      <c r="H1586">
        <v>0</v>
      </c>
      <c r="I1586">
        <v>0</v>
      </c>
      <c r="J1586">
        <v>200</v>
      </c>
      <c r="K1586">
        <v>0</v>
      </c>
      <c r="L1586">
        <v>24</v>
      </c>
      <c r="M1586">
        <v>0</v>
      </c>
      <c r="N1586">
        <v>0</v>
      </c>
      <c r="O1586">
        <v>0</v>
      </c>
      <c r="P1586">
        <v>163</v>
      </c>
    </row>
    <row r="1587" spans="1:16" x14ac:dyDescent="0.3">
      <c r="A1587" t="s">
        <v>53</v>
      </c>
      <c r="B1587">
        <v>1</v>
      </c>
      <c r="C1587">
        <v>0</v>
      </c>
      <c r="D1587">
        <v>100</v>
      </c>
      <c r="E1587">
        <v>750</v>
      </c>
      <c r="F1587">
        <v>130</v>
      </c>
      <c r="G1587">
        <v>0</v>
      </c>
      <c r="H1587">
        <v>150</v>
      </c>
      <c r="I1587">
        <v>350</v>
      </c>
      <c r="J1587">
        <v>100</v>
      </c>
      <c r="K1587">
        <v>150</v>
      </c>
      <c r="L1587">
        <v>100</v>
      </c>
      <c r="M1587">
        <v>75</v>
      </c>
      <c r="N1587">
        <v>75</v>
      </c>
      <c r="O1587">
        <v>200</v>
      </c>
      <c r="P1587">
        <v>150</v>
      </c>
    </row>
    <row r="1588" spans="1:16" x14ac:dyDescent="0.3">
      <c r="A1588" t="s">
        <v>54</v>
      </c>
      <c r="B1588">
        <v>1</v>
      </c>
      <c r="C1588">
        <v>0</v>
      </c>
      <c r="D1588">
        <v>0</v>
      </c>
      <c r="E1588">
        <v>0</v>
      </c>
      <c r="F1588">
        <v>0</v>
      </c>
      <c r="G1588">
        <v>0</v>
      </c>
      <c r="H1588">
        <v>0</v>
      </c>
      <c r="I1588">
        <v>0</v>
      </c>
      <c r="J1588">
        <v>0</v>
      </c>
      <c r="K1588">
        <v>0</v>
      </c>
      <c r="L1588">
        <v>0</v>
      </c>
      <c r="M1588">
        <v>0</v>
      </c>
      <c r="N1588">
        <v>0</v>
      </c>
      <c r="O1588">
        <v>0</v>
      </c>
      <c r="P1588">
        <v>0</v>
      </c>
    </row>
    <row r="1589" spans="1:16" x14ac:dyDescent="0.3">
      <c r="A1589" t="s">
        <v>55</v>
      </c>
      <c r="B1589">
        <v>1</v>
      </c>
      <c r="C1589">
        <v>0</v>
      </c>
      <c r="D1589">
        <v>0</v>
      </c>
      <c r="E1589">
        <v>0</v>
      </c>
      <c r="F1589">
        <v>0</v>
      </c>
      <c r="G1589">
        <v>0</v>
      </c>
      <c r="H1589">
        <v>0</v>
      </c>
      <c r="I1589">
        <v>0</v>
      </c>
      <c r="J1589">
        <v>0</v>
      </c>
      <c r="K1589">
        <v>0</v>
      </c>
      <c r="L1589">
        <v>0</v>
      </c>
      <c r="M1589">
        <v>0</v>
      </c>
      <c r="N1589">
        <v>0</v>
      </c>
      <c r="O1589">
        <v>0</v>
      </c>
      <c r="P1589">
        <v>0</v>
      </c>
    </row>
    <row r="1590" spans="1:16" x14ac:dyDescent="0.3">
      <c r="A1590" t="s">
        <v>56</v>
      </c>
      <c r="B1590">
        <v>1</v>
      </c>
      <c r="C1590">
        <v>0.92</v>
      </c>
      <c r="D1590">
        <v>0.92</v>
      </c>
      <c r="E1590">
        <v>0.92</v>
      </c>
      <c r="F1590">
        <v>0.92</v>
      </c>
      <c r="G1590">
        <v>0.92</v>
      </c>
      <c r="H1590">
        <v>0.92</v>
      </c>
      <c r="I1590">
        <v>0.92</v>
      </c>
      <c r="J1590">
        <v>0.92</v>
      </c>
      <c r="K1590">
        <v>0.92</v>
      </c>
      <c r="L1590">
        <v>0.92</v>
      </c>
      <c r="M1590">
        <v>0.92</v>
      </c>
      <c r="N1590">
        <v>0.92</v>
      </c>
      <c r="O1590">
        <v>0.92</v>
      </c>
      <c r="P1590">
        <v>0.92</v>
      </c>
    </row>
    <row r="1591" spans="1:16" x14ac:dyDescent="0.3">
      <c r="A1591" t="s">
        <v>57</v>
      </c>
      <c r="B1591">
        <v>1</v>
      </c>
      <c r="C1591">
        <v>100</v>
      </c>
      <c r="D1591">
        <v>100</v>
      </c>
      <c r="E1591">
        <v>100</v>
      </c>
      <c r="F1591">
        <v>100</v>
      </c>
      <c r="G1591">
        <v>100</v>
      </c>
      <c r="H1591">
        <v>100</v>
      </c>
      <c r="I1591">
        <v>100</v>
      </c>
      <c r="J1591">
        <v>100</v>
      </c>
      <c r="K1591">
        <v>100</v>
      </c>
      <c r="L1591">
        <v>100</v>
      </c>
      <c r="M1591">
        <v>100</v>
      </c>
      <c r="N1591">
        <v>100</v>
      </c>
      <c r="O1591">
        <v>100</v>
      </c>
      <c r="P1591">
        <v>100</v>
      </c>
    </row>
    <row r="1592" spans="1:16" x14ac:dyDescent="0.3">
      <c r="A1592" t="s">
        <v>58</v>
      </c>
      <c r="B1592">
        <v>1</v>
      </c>
      <c r="C1592">
        <v>2</v>
      </c>
      <c r="D1592">
        <v>2</v>
      </c>
      <c r="E1592">
        <v>2</v>
      </c>
      <c r="F1592">
        <v>2</v>
      </c>
      <c r="G1592">
        <v>2</v>
      </c>
      <c r="H1592">
        <v>2</v>
      </c>
      <c r="I1592">
        <v>2</v>
      </c>
      <c r="J1592">
        <v>2</v>
      </c>
      <c r="K1592">
        <v>2</v>
      </c>
      <c r="L1592">
        <v>2</v>
      </c>
      <c r="M1592">
        <v>2</v>
      </c>
      <c r="N1592">
        <v>2</v>
      </c>
      <c r="O1592">
        <v>2</v>
      </c>
      <c r="P1592">
        <v>2</v>
      </c>
    </row>
    <row r="1593" spans="1:16" x14ac:dyDescent="0.3">
      <c r="A1593" t="s">
        <v>59</v>
      </c>
      <c r="B1593">
        <v>1</v>
      </c>
      <c r="C1593">
        <v>0</v>
      </c>
      <c r="D1593">
        <v>0</v>
      </c>
      <c r="E1593">
        <v>0</v>
      </c>
      <c r="F1593">
        <v>0</v>
      </c>
      <c r="G1593">
        <v>0</v>
      </c>
      <c r="H1593">
        <v>0</v>
      </c>
      <c r="I1593">
        <v>0</v>
      </c>
      <c r="J1593">
        <v>0</v>
      </c>
      <c r="K1593">
        <v>0</v>
      </c>
      <c r="L1593">
        <v>0</v>
      </c>
      <c r="M1593">
        <v>0</v>
      </c>
      <c r="N1593">
        <v>0</v>
      </c>
      <c r="O1593">
        <v>0</v>
      </c>
      <c r="P1593">
        <v>0</v>
      </c>
    </row>
    <row r="1594" spans="1:16" x14ac:dyDescent="0.3">
      <c r="A1594" t="s">
        <v>635</v>
      </c>
      <c r="B1594">
        <v>1</v>
      </c>
      <c r="E1594">
        <v>0</v>
      </c>
      <c r="I1594">
        <v>0</v>
      </c>
      <c r="L1594">
        <v>0</v>
      </c>
      <c r="O1594">
        <v>0</v>
      </c>
    </row>
    <row r="1595" spans="1:16" x14ac:dyDescent="0.3">
      <c r="A1595" t="s">
        <v>574</v>
      </c>
      <c r="B1595">
        <v>1</v>
      </c>
      <c r="E1595">
        <v>620</v>
      </c>
      <c r="I1595">
        <v>1609</v>
      </c>
      <c r="L1595">
        <v>980</v>
      </c>
      <c r="O1595">
        <v>1124</v>
      </c>
    </row>
    <row r="1596" spans="1:16" x14ac:dyDescent="0.3">
      <c r="A1596" t="s">
        <v>78</v>
      </c>
      <c r="B1596">
        <v>1</v>
      </c>
      <c r="E1596">
        <v>9.4</v>
      </c>
      <c r="I1596">
        <v>24.4</v>
      </c>
      <c r="L1596">
        <v>22.3</v>
      </c>
      <c r="O1596">
        <v>25.5</v>
      </c>
    </row>
    <row r="1597" spans="1:16" x14ac:dyDescent="0.3">
      <c r="A1597" t="s">
        <v>636</v>
      </c>
      <c r="B1597">
        <v>1</v>
      </c>
      <c r="F1597">
        <v>1</v>
      </c>
      <c r="J1597">
        <v>1</v>
      </c>
      <c r="M1597">
        <v>0</v>
      </c>
      <c r="P1597">
        <v>1</v>
      </c>
    </row>
    <row r="1598" spans="1:16" x14ac:dyDescent="0.3">
      <c r="A1598" t="s">
        <v>637</v>
      </c>
      <c r="B1598">
        <v>1</v>
      </c>
      <c r="F1598">
        <v>50</v>
      </c>
      <c r="J1598">
        <v>50</v>
      </c>
      <c r="P1598">
        <v>50</v>
      </c>
    </row>
    <row r="1599" spans="1:16" x14ac:dyDescent="0.3">
      <c r="A1599" t="s">
        <v>638</v>
      </c>
      <c r="B1599">
        <v>1</v>
      </c>
      <c r="F1599">
        <v>0</v>
      </c>
      <c r="J1599">
        <v>0</v>
      </c>
      <c r="P1599">
        <v>0</v>
      </c>
    </row>
    <row r="1600" spans="1:16" x14ac:dyDescent="0.3">
      <c r="A1600" t="s">
        <v>639</v>
      </c>
      <c r="B1600">
        <v>1</v>
      </c>
      <c r="C1600">
        <v>3</v>
      </c>
      <c r="D1600">
        <v>0</v>
      </c>
      <c r="E1600">
        <v>0</v>
      </c>
      <c r="F1600">
        <v>1</v>
      </c>
      <c r="G1600">
        <v>3</v>
      </c>
      <c r="H1600">
        <v>0</v>
      </c>
      <c r="I1600">
        <v>0</v>
      </c>
      <c r="J1600">
        <v>1</v>
      </c>
      <c r="K1600">
        <v>0</v>
      </c>
      <c r="L1600">
        <v>0</v>
      </c>
      <c r="M1600">
        <v>1</v>
      </c>
      <c r="N1600">
        <v>0</v>
      </c>
      <c r="O1600">
        <v>0</v>
      </c>
      <c r="P1600">
        <v>1</v>
      </c>
    </row>
    <row r="1601" spans="1:16" x14ac:dyDescent="0.3">
      <c r="A1601" t="s">
        <v>640</v>
      </c>
      <c r="B1601">
        <v>1</v>
      </c>
      <c r="C1601">
        <v>0</v>
      </c>
      <c r="D1601">
        <v>0</v>
      </c>
      <c r="E1601">
        <v>0</v>
      </c>
      <c r="F1601">
        <v>0</v>
      </c>
      <c r="G1601">
        <v>0</v>
      </c>
      <c r="H1601">
        <v>0</v>
      </c>
      <c r="I1601">
        <v>0</v>
      </c>
      <c r="J1601">
        <v>0</v>
      </c>
      <c r="K1601">
        <v>0</v>
      </c>
      <c r="L1601">
        <v>0</v>
      </c>
      <c r="M1601">
        <v>0</v>
      </c>
      <c r="N1601">
        <v>0</v>
      </c>
      <c r="O1601">
        <v>0</v>
      </c>
      <c r="P1601">
        <v>0</v>
      </c>
    </row>
    <row r="1602" spans="1:16" x14ac:dyDescent="0.3">
      <c r="A1602" t="s">
        <v>52</v>
      </c>
      <c r="B1602">
        <v>1</v>
      </c>
      <c r="C1602">
        <v>1.1399999999999999</v>
      </c>
      <c r="D1602">
        <v>1.1399999999999999</v>
      </c>
      <c r="E1602">
        <v>1.1399999999999999</v>
      </c>
      <c r="F1602">
        <v>1.1399999999999999</v>
      </c>
      <c r="G1602">
        <v>1.1399999999999999</v>
      </c>
      <c r="H1602">
        <v>1.1399999999999999</v>
      </c>
      <c r="I1602">
        <v>1.1399999999999999</v>
      </c>
      <c r="J1602">
        <v>1.1399999999999999</v>
      </c>
      <c r="K1602">
        <v>1.1399999999999999</v>
      </c>
      <c r="L1602">
        <v>1.1399999999999999</v>
      </c>
      <c r="M1602">
        <v>1.1399999999999999</v>
      </c>
      <c r="N1602">
        <v>1.1399999999999999</v>
      </c>
      <c r="O1602">
        <v>1.1399999999999999</v>
      </c>
      <c r="P1602">
        <v>1.1399999999999999</v>
      </c>
    </row>
    <row r="1603" spans="1:16" x14ac:dyDescent="0.3">
      <c r="A1603" t="s">
        <v>641</v>
      </c>
      <c r="B1603">
        <v>1</v>
      </c>
      <c r="C1603">
        <v>9</v>
      </c>
      <c r="D1603">
        <v>15</v>
      </c>
      <c r="E1603">
        <v>60</v>
      </c>
      <c r="F1603">
        <v>9</v>
      </c>
      <c r="G1603">
        <v>9</v>
      </c>
      <c r="H1603">
        <v>15</v>
      </c>
      <c r="I1603">
        <v>60</v>
      </c>
      <c r="J1603">
        <v>9</v>
      </c>
      <c r="K1603">
        <v>15</v>
      </c>
      <c r="L1603">
        <v>60</v>
      </c>
      <c r="M1603">
        <v>9</v>
      </c>
      <c r="N1603">
        <v>15</v>
      </c>
      <c r="O1603">
        <v>60</v>
      </c>
      <c r="P1603">
        <v>9</v>
      </c>
    </row>
    <row r="1604" spans="1:16" x14ac:dyDescent="0.3">
      <c r="A1604" t="s">
        <v>43</v>
      </c>
      <c r="B1604">
        <v>1</v>
      </c>
      <c r="D1604">
        <v>40</v>
      </c>
      <c r="E1604">
        <v>336</v>
      </c>
      <c r="F1604">
        <v>0</v>
      </c>
      <c r="H1604">
        <v>40</v>
      </c>
      <c r="I1604">
        <v>336</v>
      </c>
      <c r="J1604">
        <v>0</v>
      </c>
      <c r="K1604">
        <v>40</v>
      </c>
      <c r="L1604">
        <v>40</v>
      </c>
      <c r="N1604">
        <v>40</v>
      </c>
      <c r="O1604">
        <v>40</v>
      </c>
      <c r="P1604">
        <v>0</v>
      </c>
    </row>
    <row r="1605" spans="1:16" x14ac:dyDescent="0.3">
      <c r="A1605" t="s">
        <v>44</v>
      </c>
      <c r="B1605">
        <v>1</v>
      </c>
      <c r="D1605">
        <v>0</v>
      </c>
      <c r="E1605">
        <v>0</v>
      </c>
      <c r="F1605">
        <v>0</v>
      </c>
      <c r="H1605">
        <v>0</v>
      </c>
      <c r="I1605">
        <v>0</v>
      </c>
      <c r="J1605">
        <v>0</v>
      </c>
      <c r="K1605">
        <v>0</v>
      </c>
      <c r="L1605">
        <v>0</v>
      </c>
      <c r="N1605">
        <v>0</v>
      </c>
      <c r="O1605">
        <v>0</v>
      </c>
      <c r="P1605">
        <v>0</v>
      </c>
    </row>
    <row r="1606" spans="1:16" x14ac:dyDescent="0.3">
      <c r="A1606" t="s">
        <v>47</v>
      </c>
      <c r="B1606">
        <v>1</v>
      </c>
      <c r="D1606">
        <v>5</v>
      </c>
      <c r="E1606">
        <v>2</v>
      </c>
      <c r="F1606">
        <v>2</v>
      </c>
      <c r="H1606">
        <v>1</v>
      </c>
      <c r="I1606">
        <v>6</v>
      </c>
      <c r="J1606">
        <v>6</v>
      </c>
      <c r="K1606">
        <v>7</v>
      </c>
      <c r="L1606">
        <v>4</v>
      </c>
      <c r="N1606">
        <v>3</v>
      </c>
      <c r="O1606">
        <v>8</v>
      </c>
      <c r="P1606">
        <v>8</v>
      </c>
    </row>
    <row r="1607" spans="1:16" x14ac:dyDescent="0.3">
      <c r="A1607" t="s">
        <v>642</v>
      </c>
      <c r="B1607">
        <v>1</v>
      </c>
      <c r="D1607">
        <v>0</v>
      </c>
      <c r="E1607">
        <v>0</v>
      </c>
      <c r="F1607">
        <v>0</v>
      </c>
      <c r="H1607">
        <v>0</v>
      </c>
      <c r="I1607">
        <v>0</v>
      </c>
      <c r="J1607">
        <v>0</v>
      </c>
      <c r="K1607">
        <v>0</v>
      </c>
      <c r="L1607">
        <v>0</v>
      </c>
      <c r="N1607">
        <v>0</v>
      </c>
      <c r="O1607">
        <v>0</v>
      </c>
      <c r="P1607">
        <v>0</v>
      </c>
    </row>
    <row r="1608" spans="1:16" x14ac:dyDescent="0.3">
      <c r="A1608" t="s">
        <v>643</v>
      </c>
      <c r="B1608">
        <v>1</v>
      </c>
      <c r="D1608">
        <v>0</v>
      </c>
      <c r="E1608">
        <v>0</v>
      </c>
      <c r="F1608">
        <v>0</v>
      </c>
      <c r="H1608">
        <v>0</v>
      </c>
      <c r="I1608">
        <v>0</v>
      </c>
      <c r="J1608">
        <v>0</v>
      </c>
      <c r="K1608">
        <v>0</v>
      </c>
      <c r="L1608">
        <v>0</v>
      </c>
      <c r="N1608">
        <v>0</v>
      </c>
      <c r="O1608">
        <v>0</v>
      </c>
      <c r="P1608">
        <v>0</v>
      </c>
    </row>
    <row r="1609" spans="1:16" x14ac:dyDescent="0.3">
      <c r="A1609" t="s">
        <v>644</v>
      </c>
      <c r="B1609">
        <v>1</v>
      </c>
      <c r="D1609">
        <v>0</v>
      </c>
      <c r="E1609">
        <v>0</v>
      </c>
      <c r="F1609">
        <v>0</v>
      </c>
      <c r="H1609">
        <v>0</v>
      </c>
      <c r="I1609">
        <v>0</v>
      </c>
      <c r="J1609">
        <v>0</v>
      </c>
      <c r="K1609">
        <v>0</v>
      </c>
      <c r="L1609">
        <v>0</v>
      </c>
      <c r="N1609">
        <v>0</v>
      </c>
      <c r="O1609">
        <v>0</v>
      </c>
      <c r="P1609">
        <v>0</v>
      </c>
    </row>
    <row r="1610" spans="1:16" x14ac:dyDescent="0.3">
      <c r="A1610" t="s">
        <v>645</v>
      </c>
      <c r="B1610">
        <v>1</v>
      </c>
      <c r="D1610">
        <v>0</v>
      </c>
      <c r="E1610">
        <v>0</v>
      </c>
      <c r="F1610">
        <v>0</v>
      </c>
      <c r="H1610">
        <v>0</v>
      </c>
      <c r="I1610">
        <v>0</v>
      </c>
      <c r="J1610">
        <v>0</v>
      </c>
      <c r="K1610">
        <v>0</v>
      </c>
      <c r="L1610">
        <v>0</v>
      </c>
      <c r="N1610">
        <v>0</v>
      </c>
      <c r="O1610">
        <v>0</v>
      </c>
      <c r="P1610">
        <v>0</v>
      </c>
    </row>
    <row r="1611" spans="1:16" x14ac:dyDescent="0.3">
      <c r="A1611" t="s">
        <v>646</v>
      </c>
      <c r="B1611">
        <v>1</v>
      </c>
      <c r="D1611">
        <v>1</v>
      </c>
      <c r="E1611">
        <v>2</v>
      </c>
      <c r="F1611">
        <v>1</v>
      </c>
      <c r="H1611">
        <v>1</v>
      </c>
      <c r="I1611">
        <v>2</v>
      </c>
      <c r="J1611">
        <v>1</v>
      </c>
      <c r="K1611">
        <v>1</v>
      </c>
      <c r="L1611">
        <v>1</v>
      </c>
      <c r="N1611">
        <v>1</v>
      </c>
      <c r="O1611">
        <v>1</v>
      </c>
      <c r="P1611">
        <v>1</v>
      </c>
    </row>
    <row r="1612" spans="1:16" x14ac:dyDescent="0.3">
      <c r="A1612" t="s">
        <v>647</v>
      </c>
      <c r="B1612">
        <v>1</v>
      </c>
      <c r="D1612">
        <v>0</v>
      </c>
      <c r="E1612">
        <v>330</v>
      </c>
      <c r="F1612">
        <v>0</v>
      </c>
      <c r="H1612">
        <v>0</v>
      </c>
      <c r="I1612">
        <v>330</v>
      </c>
      <c r="J1612">
        <v>0</v>
      </c>
      <c r="K1612">
        <v>0</v>
      </c>
      <c r="L1612">
        <v>0</v>
      </c>
      <c r="N1612">
        <v>0</v>
      </c>
      <c r="O1612">
        <v>0</v>
      </c>
      <c r="P1612">
        <v>0</v>
      </c>
    </row>
    <row r="1613" spans="1:16" x14ac:dyDescent="0.3">
      <c r="A1613" t="s">
        <v>648</v>
      </c>
      <c r="B1613">
        <v>1</v>
      </c>
      <c r="D1613">
        <v>40</v>
      </c>
      <c r="E1613">
        <v>6</v>
      </c>
      <c r="F1613">
        <v>0</v>
      </c>
      <c r="H1613">
        <v>40</v>
      </c>
      <c r="I1613">
        <v>6</v>
      </c>
      <c r="J1613">
        <v>0</v>
      </c>
      <c r="K1613">
        <v>40</v>
      </c>
      <c r="L1613">
        <v>40</v>
      </c>
      <c r="N1613">
        <v>40</v>
      </c>
      <c r="O1613">
        <v>40</v>
      </c>
      <c r="P1613">
        <v>0</v>
      </c>
    </row>
    <row r="1614" spans="1:16" x14ac:dyDescent="0.3">
      <c r="A1614" t="s">
        <v>649</v>
      </c>
      <c r="B1614">
        <v>1</v>
      </c>
      <c r="D1614">
        <v>3</v>
      </c>
      <c r="E1614">
        <v>3</v>
      </c>
      <c r="F1614">
        <v>3</v>
      </c>
      <c r="H1614">
        <v>3</v>
      </c>
      <c r="I1614">
        <v>3</v>
      </c>
      <c r="J1614">
        <v>3</v>
      </c>
      <c r="K1614">
        <v>3</v>
      </c>
      <c r="L1614">
        <v>3</v>
      </c>
      <c r="N1614">
        <v>3</v>
      </c>
      <c r="O1614">
        <v>3</v>
      </c>
      <c r="P1614">
        <v>3</v>
      </c>
    </row>
    <row r="1615" spans="1:16" x14ac:dyDescent="0.3">
      <c r="A1615" t="s">
        <v>650</v>
      </c>
      <c r="B1615">
        <v>1</v>
      </c>
      <c r="D1615">
        <v>0</v>
      </c>
      <c r="E1615">
        <v>0</v>
      </c>
      <c r="F1615">
        <v>0</v>
      </c>
      <c r="H1615">
        <v>0</v>
      </c>
      <c r="I1615">
        <v>0</v>
      </c>
      <c r="J1615">
        <v>0</v>
      </c>
      <c r="K1615">
        <v>0</v>
      </c>
      <c r="L1615">
        <v>0</v>
      </c>
      <c r="N1615">
        <v>0</v>
      </c>
      <c r="O1615">
        <v>0</v>
      </c>
      <c r="P1615">
        <v>0</v>
      </c>
    </row>
    <row r="1616" spans="1:16" x14ac:dyDescent="0.3">
      <c r="A1616" t="s">
        <v>651</v>
      </c>
      <c r="B1616">
        <v>1</v>
      </c>
      <c r="D1616">
        <v>0</v>
      </c>
      <c r="E1616">
        <v>0</v>
      </c>
      <c r="F1616">
        <v>0</v>
      </c>
      <c r="H1616">
        <v>0</v>
      </c>
      <c r="I1616">
        <v>0</v>
      </c>
      <c r="J1616">
        <v>0</v>
      </c>
      <c r="K1616">
        <v>0</v>
      </c>
      <c r="L1616">
        <v>0</v>
      </c>
      <c r="N1616">
        <v>0</v>
      </c>
      <c r="O1616">
        <v>0</v>
      </c>
      <c r="P1616">
        <v>0</v>
      </c>
    </row>
    <row r="1617" spans="1:16" x14ac:dyDescent="0.3">
      <c r="A1617" t="s">
        <v>652</v>
      </c>
      <c r="B1617">
        <v>1</v>
      </c>
      <c r="D1617">
        <v>0</v>
      </c>
      <c r="E1617">
        <v>0</v>
      </c>
      <c r="F1617">
        <v>0</v>
      </c>
      <c r="H1617">
        <v>0</v>
      </c>
      <c r="I1617">
        <v>0</v>
      </c>
      <c r="J1617">
        <v>0</v>
      </c>
      <c r="K1617">
        <v>0</v>
      </c>
      <c r="L1617">
        <v>0</v>
      </c>
      <c r="N1617">
        <v>0</v>
      </c>
      <c r="O1617">
        <v>0</v>
      </c>
      <c r="P1617">
        <v>0</v>
      </c>
    </row>
    <row r="1618" spans="1:16" x14ac:dyDescent="0.3">
      <c r="A1618" t="s">
        <v>653</v>
      </c>
      <c r="B1618">
        <v>1</v>
      </c>
      <c r="E1618">
        <v>0</v>
      </c>
      <c r="I1618">
        <v>0</v>
      </c>
    </row>
    <row r="1619" spans="1:16" x14ac:dyDescent="0.3">
      <c r="A1619" t="s">
        <v>654</v>
      </c>
      <c r="B1619">
        <v>1</v>
      </c>
      <c r="E1619">
        <v>0</v>
      </c>
      <c r="I1619">
        <v>0</v>
      </c>
    </row>
    <row r="1620" spans="1:16" x14ac:dyDescent="0.3">
      <c r="A1620" t="s">
        <v>655</v>
      </c>
      <c r="B1620">
        <v>1</v>
      </c>
      <c r="E1620">
        <v>3</v>
      </c>
      <c r="I1620">
        <v>3</v>
      </c>
    </row>
    <row r="1621" spans="1:16" x14ac:dyDescent="0.3">
      <c r="A1621" t="s">
        <v>656</v>
      </c>
      <c r="B1621">
        <v>1</v>
      </c>
      <c r="E1621">
        <v>0</v>
      </c>
      <c r="I1621">
        <v>0</v>
      </c>
    </row>
    <row r="1622" spans="1:16" x14ac:dyDescent="0.3">
      <c r="A1622" t="s">
        <v>657</v>
      </c>
      <c r="B1622">
        <v>1</v>
      </c>
      <c r="E1622">
        <v>0</v>
      </c>
      <c r="I1622">
        <v>0</v>
      </c>
      <c r="L1622">
        <v>0</v>
      </c>
      <c r="O1622">
        <v>0</v>
      </c>
    </row>
    <row r="1623" spans="1:16" x14ac:dyDescent="0.3">
      <c r="A1623" t="s">
        <v>408</v>
      </c>
      <c r="B1623">
        <v>1</v>
      </c>
      <c r="E1623">
        <v>1</v>
      </c>
    </row>
    <row r="1624" spans="1:16" x14ac:dyDescent="0.3">
      <c r="A1624" t="s">
        <v>658</v>
      </c>
      <c r="B1624">
        <v>1</v>
      </c>
      <c r="C1624">
        <v>0</v>
      </c>
      <c r="D1624">
        <v>109</v>
      </c>
      <c r="E1624">
        <v>815</v>
      </c>
      <c r="F1624">
        <v>141</v>
      </c>
      <c r="G1624">
        <v>0</v>
      </c>
      <c r="H1624">
        <v>163</v>
      </c>
      <c r="I1624">
        <v>380</v>
      </c>
      <c r="J1624">
        <v>109</v>
      </c>
      <c r="K1624">
        <v>163</v>
      </c>
      <c r="L1624">
        <v>191</v>
      </c>
      <c r="M1624">
        <v>0</v>
      </c>
      <c r="N1624">
        <v>82</v>
      </c>
      <c r="O1624">
        <v>217</v>
      </c>
      <c r="P1624">
        <v>163</v>
      </c>
    </row>
    <row r="1625" spans="1:16" x14ac:dyDescent="0.3">
      <c r="A1625" t="s">
        <v>34</v>
      </c>
      <c r="B1625">
        <v>2</v>
      </c>
      <c r="C1625">
        <v>1</v>
      </c>
      <c r="D1625">
        <v>1</v>
      </c>
      <c r="E1625">
        <v>1</v>
      </c>
      <c r="F1625">
        <v>1</v>
      </c>
      <c r="G1625">
        <v>18</v>
      </c>
      <c r="H1625">
        <v>18</v>
      </c>
      <c r="I1625">
        <v>18</v>
      </c>
      <c r="J1625">
        <v>18</v>
      </c>
      <c r="K1625">
        <v>104</v>
      </c>
      <c r="L1625">
        <v>104</v>
      </c>
      <c r="M1625">
        <v>104</v>
      </c>
      <c r="N1625">
        <v>105</v>
      </c>
      <c r="O1625">
        <v>105</v>
      </c>
      <c r="P1625">
        <v>105</v>
      </c>
    </row>
    <row r="1626" spans="1:16" x14ac:dyDescent="0.3">
      <c r="A1626" t="s">
        <v>35</v>
      </c>
      <c r="B1626">
        <v>2</v>
      </c>
      <c r="C1626">
        <v>1</v>
      </c>
      <c r="D1626">
        <v>104</v>
      </c>
      <c r="E1626">
        <v>18</v>
      </c>
      <c r="F1626">
        <v>105</v>
      </c>
      <c r="G1626">
        <v>18</v>
      </c>
      <c r="H1626">
        <v>105</v>
      </c>
      <c r="I1626">
        <v>1</v>
      </c>
      <c r="J1626">
        <v>104</v>
      </c>
      <c r="K1626">
        <v>18</v>
      </c>
      <c r="L1626">
        <v>105</v>
      </c>
      <c r="M1626">
        <v>1</v>
      </c>
      <c r="N1626">
        <v>1</v>
      </c>
      <c r="O1626">
        <v>104</v>
      </c>
      <c r="P1626">
        <v>18</v>
      </c>
    </row>
    <row r="1627" spans="1:16" x14ac:dyDescent="0.3">
      <c r="A1627" t="s">
        <v>36</v>
      </c>
      <c r="B1627">
        <v>2</v>
      </c>
      <c r="C1627">
        <v>0</v>
      </c>
      <c r="D1627">
        <v>1</v>
      </c>
      <c r="E1627">
        <v>1</v>
      </c>
      <c r="F1627">
        <v>1</v>
      </c>
      <c r="G1627">
        <v>0</v>
      </c>
      <c r="H1627">
        <v>1</v>
      </c>
      <c r="I1627">
        <v>1</v>
      </c>
      <c r="J1627">
        <v>1</v>
      </c>
      <c r="K1627">
        <v>1</v>
      </c>
      <c r="L1627">
        <v>1</v>
      </c>
      <c r="M1627">
        <v>0</v>
      </c>
      <c r="N1627">
        <v>1</v>
      </c>
      <c r="O1627">
        <v>1</v>
      </c>
      <c r="P1627">
        <v>0</v>
      </c>
    </row>
    <row r="1628" spans="1:16" x14ac:dyDescent="0.3">
      <c r="A1628" t="s">
        <v>37</v>
      </c>
      <c r="B1628">
        <v>2</v>
      </c>
      <c r="D1628">
        <v>0</v>
      </c>
      <c r="E1628">
        <v>0</v>
      </c>
      <c r="H1628">
        <v>0</v>
      </c>
      <c r="I1628">
        <v>0</v>
      </c>
      <c r="K1628">
        <v>0</v>
      </c>
      <c r="L1628">
        <v>2</v>
      </c>
      <c r="N1628">
        <v>0</v>
      </c>
      <c r="O1628">
        <v>2</v>
      </c>
    </row>
    <row r="1629" spans="1:16" x14ac:dyDescent="0.3">
      <c r="A1629" t="s">
        <v>38</v>
      </c>
      <c r="B1629">
        <v>2</v>
      </c>
      <c r="C1629">
        <v>12</v>
      </c>
      <c r="D1629">
        <v>12</v>
      </c>
      <c r="E1629">
        <v>12</v>
      </c>
      <c r="F1629">
        <v>12</v>
      </c>
      <c r="G1629">
        <v>12</v>
      </c>
      <c r="H1629">
        <v>12</v>
      </c>
      <c r="I1629">
        <v>12</v>
      </c>
      <c r="J1629">
        <v>12</v>
      </c>
      <c r="K1629">
        <v>12</v>
      </c>
      <c r="L1629">
        <v>12</v>
      </c>
      <c r="M1629">
        <v>12</v>
      </c>
      <c r="N1629">
        <v>12</v>
      </c>
      <c r="O1629">
        <v>12</v>
      </c>
      <c r="P1629">
        <v>12</v>
      </c>
    </row>
    <row r="1630" spans="1:16" x14ac:dyDescent="0.3">
      <c r="A1630" t="s">
        <v>39</v>
      </c>
      <c r="B1630">
        <v>2</v>
      </c>
      <c r="D1630">
        <v>250</v>
      </c>
      <c r="F1630">
        <v>250</v>
      </c>
      <c r="H1630">
        <v>250</v>
      </c>
      <c r="J1630">
        <v>250</v>
      </c>
      <c r="K1630">
        <v>150</v>
      </c>
      <c r="N1630">
        <v>150</v>
      </c>
    </row>
    <row r="1631" spans="1:16" x14ac:dyDescent="0.3">
      <c r="A1631" t="s">
        <v>631</v>
      </c>
      <c r="B1631">
        <v>2</v>
      </c>
      <c r="D1631">
        <v>25</v>
      </c>
      <c r="F1631">
        <v>25</v>
      </c>
      <c r="H1631">
        <v>25</v>
      </c>
      <c r="J1631">
        <v>25</v>
      </c>
      <c r="K1631">
        <v>25</v>
      </c>
      <c r="N1631">
        <v>25</v>
      </c>
    </row>
    <row r="1632" spans="1:16" x14ac:dyDescent="0.3">
      <c r="A1632" t="s">
        <v>40</v>
      </c>
      <c r="B1632">
        <v>2</v>
      </c>
      <c r="D1632">
        <v>1</v>
      </c>
      <c r="F1632">
        <v>1</v>
      </c>
      <c r="H1632">
        <v>1</v>
      </c>
      <c r="J1632">
        <v>1</v>
      </c>
      <c r="K1632">
        <v>1</v>
      </c>
      <c r="N1632">
        <v>1</v>
      </c>
    </row>
    <row r="1633" spans="1:16" x14ac:dyDescent="0.3">
      <c r="A1633" t="s">
        <v>41</v>
      </c>
      <c r="B1633">
        <v>2</v>
      </c>
    </row>
    <row r="1634" spans="1:16" x14ac:dyDescent="0.3">
      <c r="A1634" t="s">
        <v>42</v>
      </c>
      <c r="B1634">
        <v>2</v>
      </c>
      <c r="E1634">
        <v>45</v>
      </c>
      <c r="I1634">
        <v>45</v>
      </c>
      <c r="L1634">
        <v>30</v>
      </c>
      <c r="O1634">
        <v>30</v>
      </c>
    </row>
    <row r="1635" spans="1:16" x14ac:dyDescent="0.3">
      <c r="A1635" t="s">
        <v>45</v>
      </c>
      <c r="B1635">
        <v>2</v>
      </c>
      <c r="D1635">
        <v>5</v>
      </c>
      <c r="E1635">
        <v>2</v>
      </c>
      <c r="H1635">
        <v>1</v>
      </c>
      <c r="I1635">
        <v>6</v>
      </c>
      <c r="L1635">
        <v>4</v>
      </c>
      <c r="O1635">
        <v>8</v>
      </c>
    </row>
    <row r="1636" spans="1:16" x14ac:dyDescent="0.3">
      <c r="A1636" t="s">
        <v>46</v>
      </c>
      <c r="B1636">
        <v>2</v>
      </c>
      <c r="D1636">
        <v>2</v>
      </c>
      <c r="F1636">
        <v>2</v>
      </c>
      <c r="H1636">
        <v>6</v>
      </c>
      <c r="J1636">
        <v>6</v>
      </c>
      <c r="K1636">
        <v>4</v>
      </c>
      <c r="N1636">
        <v>8</v>
      </c>
    </row>
    <row r="1637" spans="1:16" x14ac:dyDescent="0.3">
      <c r="A1637" t="s">
        <v>49</v>
      </c>
      <c r="B1637">
        <v>2</v>
      </c>
      <c r="C1637">
        <v>4</v>
      </c>
      <c r="D1637">
        <v>6</v>
      </c>
      <c r="E1637">
        <v>7</v>
      </c>
      <c r="F1637">
        <v>7</v>
      </c>
      <c r="G1637">
        <v>4</v>
      </c>
      <c r="H1637">
        <v>6</v>
      </c>
      <c r="I1637">
        <v>7</v>
      </c>
      <c r="J1637">
        <v>7</v>
      </c>
      <c r="K1637">
        <v>6</v>
      </c>
      <c r="L1637">
        <v>6</v>
      </c>
      <c r="M1637">
        <v>4</v>
      </c>
      <c r="N1637">
        <v>6</v>
      </c>
      <c r="O1637">
        <v>6</v>
      </c>
      <c r="P1637">
        <v>4</v>
      </c>
    </row>
    <row r="1638" spans="1:16" x14ac:dyDescent="0.3">
      <c r="A1638" t="s">
        <v>632</v>
      </c>
      <c r="B1638">
        <v>2</v>
      </c>
      <c r="C1638">
        <v>0</v>
      </c>
      <c r="D1638">
        <v>0</v>
      </c>
      <c r="E1638">
        <v>0</v>
      </c>
      <c r="F1638">
        <v>0</v>
      </c>
      <c r="G1638">
        <v>0</v>
      </c>
      <c r="H1638">
        <v>0</v>
      </c>
      <c r="I1638">
        <v>0</v>
      </c>
      <c r="J1638">
        <v>0</v>
      </c>
      <c r="K1638">
        <v>0</v>
      </c>
      <c r="L1638">
        <v>0</v>
      </c>
      <c r="M1638">
        <v>0</v>
      </c>
      <c r="N1638">
        <v>0</v>
      </c>
      <c r="O1638">
        <v>0</v>
      </c>
      <c r="P1638">
        <v>0</v>
      </c>
    </row>
    <row r="1639" spans="1:16" x14ac:dyDescent="0.3">
      <c r="A1639" t="s">
        <v>48</v>
      </c>
      <c r="B1639">
        <v>2</v>
      </c>
      <c r="C1639">
        <v>1900</v>
      </c>
      <c r="D1639">
        <v>1900</v>
      </c>
      <c r="E1639">
        <v>1900</v>
      </c>
      <c r="F1639">
        <v>1900</v>
      </c>
      <c r="G1639">
        <v>1900</v>
      </c>
      <c r="H1639">
        <v>1900</v>
      </c>
      <c r="I1639">
        <v>1900</v>
      </c>
      <c r="J1639">
        <v>1900</v>
      </c>
      <c r="K1639">
        <v>1900</v>
      </c>
      <c r="L1639">
        <v>1900</v>
      </c>
      <c r="M1639">
        <v>1900</v>
      </c>
      <c r="N1639">
        <v>1900</v>
      </c>
      <c r="O1639">
        <v>1900</v>
      </c>
      <c r="P1639">
        <v>1900</v>
      </c>
    </row>
    <row r="1640" spans="1:16" x14ac:dyDescent="0.3">
      <c r="A1640" t="s">
        <v>633</v>
      </c>
      <c r="B1640">
        <v>2</v>
      </c>
      <c r="C1640">
        <v>0</v>
      </c>
      <c r="D1640">
        <v>1770</v>
      </c>
      <c r="E1640">
        <v>1863</v>
      </c>
      <c r="F1640">
        <v>1583</v>
      </c>
      <c r="G1640">
        <v>0</v>
      </c>
      <c r="H1640">
        <v>1770</v>
      </c>
      <c r="I1640">
        <v>1863</v>
      </c>
      <c r="J1640">
        <v>1583</v>
      </c>
      <c r="K1640">
        <v>1770</v>
      </c>
      <c r="L1640">
        <v>1719</v>
      </c>
      <c r="M1640">
        <v>0</v>
      </c>
      <c r="N1640">
        <v>1770</v>
      </c>
      <c r="O1640">
        <v>1729</v>
      </c>
      <c r="P1640">
        <v>0</v>
      </c>
    </row>
    <row r="1641" spans="1:16" x14ac:dyDescent="0.3">
      <c r="A1641" t="s">
        <v>50</v>
      </c>
      <c r="B1641">
        <v>2</v>
      </c>
      <c r="C1641">
        <v>0</v>
      </c>
      <c r="D1641">
        <v>780</v>
      </c>
      <c r="E1641">
        <v>1863</v>
      </c>
      <c r="F1641">
        <v>1583</v>
      </c>
      <c r="G1641">
        <v>0</v>
      </c>
      <c r="H1641">
        <v>216</v>
      </c>
      <c r="I1641">
        <v>1863</v>
      </c>
      <c r="J1641">
        <v>1583</v>
      </c>
      <c r="K1641">
        <v>887</v>
      </c>
      <c r="L1641">
        <v>1719</v>
      </c>
      <c r="M1641">
        <v>0</v>
      </c>
      <c r="N1641">
        <v>814</v>
      </c>
      <c r="O1641">
        <v>1729</v>
      </c>
      <c r="P1641">
        <v>0</v>
      </c>
    </row>
    <row r="1642" spans="1:16" x14ac:dyDescent="0.3">
      <c r="A1642" t="s">
        <v>634</v>
      </c>
      <c r="B1642">
        <v>2</v>
      </c>
      <c r="C1642">
        <v>1</v>
      </c>
      <c r="D1642">
        <v>1</v>
      </c>
      <c r="E1642">
        <v>1</v>
      </c>
      <c r="F1642">
        <v>1</v>
      </c>
      <c r="G1642">
        <v>1</v>
      </c>
      <c r="H1642">
        <v>1</v>
      </c>
      <c r="I1642">
        <v>1</v>
      </c>
      <c r="J1642">
        <v>1</v>
      </c>
      <c r="K1642">
        <v>1</v>
      </c>
      <c r="L1642">
        <v>1</v>
      </c>
      <c r="M1642">
        <v>1</v>
      </c>
      <c r="N1642">
        <v>1</v>
      </c>
      <c r="O1642">
        <v>1</v>
      </c>
      <c r="P1642">
        <v>1</v>
      </c>
    </row>
    <row r="1643" spans="1:16" x14ac:dyDescent="0.3">
      <c r="A1643" t="s">
        <v>51</v>
      </c>
      <c r="B1643">
        <v>2</v>
      </c>
      <c r="C1643">
        <v>0</v>
      </c>
      <c r="D1643">
        <v>0</v>
      </c>
      <c r="E1643">
        <v>0</v>
      </c>
      <c r="F1643">
        <v>82</v>
      </c>
      <c r="G1643">
        <v>0</v>
      </c>
      <c r="H1643">
        <v>0</v>
      </c>
      <c r="I1643">
        <v>0</v>
      </c>
      <c r="J1643">
        <v>82</v>
      </c>
      <c r="K1643">
        <v>0</v>
      </c>
      <c r="L1643">
        <v>40</v>
      </c>
      <c r="M1643">
        <v>0</v>
      </c>
      <c r="N1643">
        <v>0</v>
      </c>
      <c r="O1643">
        <v>35</v>
      </c>
      <c r="P1643">
        <v>0</v>
      </c>
    </row>
    <row r="1644" spans="1:16" x14ac:dyDescent="0.3">
      <c r="A1644" t="s">
        <v>53</v>
      </c>
      <c r="B1644">
        <v>2</v>
      </c>
      <c r="C1644">
        <v>0</v>
      </c>
      <c r="D1644">
        <v>65</v>
      </c>
      <c r="E1644">
        <v>1000</v>
      </c>
      <c r="F1644">
        <v>25</v>
      </c>
      <c r="G1644">
        <v>0</v>
      </c>
      <c r="H1644">
        <v>15</v>
      </c>
      <c r="I1644">
        <v>450</v>
      </c>
      <c r="J1644">
        <v>50</v>
      </c>
      <c r="K1644">
        <v>65</v>
      </c>
      <c r="L1644">
        <v>75</v>
      </c>
      <c r="M1644">
        <v>80</v>
      </c>
      <c r="N1644">
        <v>10</v>
      </c>
      <c r="O1644">
        <v>75</v>
      </c>
      <c r="P1644">
        <v>70</v>
      </c>
    </row>
    <row r="1645" spans="1:16" x14ac:dyDescent="0.3">
      <c r="A1645" t="s">
        <v>54</v>
      </c>
      <c r="B1645">
        <v>2</v>
      </c>
      <c r="C1645">
        <v>0</v>
      </c>
      <c r="D1645">
        <v>0</v>
      </c>
      <c r="E1645">
        <v>0</v>
      </c>
      <c r="F1645">
        <v>0</v>
      </c>
      <c r="G1645">
        <v>0</v>
      </c>
      <c r="H1645">
        <v>0</v>
      </c>
      <c r="I1645">
        <v>0</v>
      </c>
      <c r="J1645">
        <v>0</v>
      </c>
      <c r="K1645">
        <v>0</v>
      </c>
      <c r="L1645">
        <v>0</v>
      </c>
      <c r="M1645">
        <v>0</v>
      </c>
      <c r="N1645">
        <v>0</v>
      </c>
      <c r="O1645">
        <v>0</v>
      </c>
      <c r="P1645">
        <v>0</v>
      </c>
    </row>
    <row r="1646" spans="1:16" x14ac:dyDescent="0.3">
      <c r="A1646" t="s">
        <v>55</v>
      </c>
      <c r="B1646">
        <v>2</v>
      </c>
      <c r="C1646">
        <v>0</v>
      </c>
      <c r="D1646">
        <v>0</v>
      </c>
      <c r="E1646">
        <v>0</v>
      </c>
      <c r="F1646">
        <v>0</v>
      </c>
      <c r="G1646">
        <v>0</v>
      </c>
      <c r="H1646">
        <v>0</v>
      </c>
      <c r="I1646">
        <v>0</v>
      </c>
      <c r="J1646">
        <v>0</v>
      </c>
      <c r="K1646">
        <v>0</v>
      </c>
      <c r="L1646">
        <v>0</v>
      </c>
      <c r="M1646">
        <v>0</v>
      </c>
      <c r="N1646">
        <v>0</v>
      </c>
      <c r="O1646">
        <v>0</v>
      </c>
      <c r="P1646">
        <v>0</v>
      </c>
    </row>
    <row r="1647" spans="1:16" x14ac:dyDescent="0.3">
      <c r="A1647" t="s">
        <v>56</v>
      </c>
      <c r="B1647">
        <v>2</v>
      </c>
      <c r="C1647">
        <v>0.92</v>
      </c>
      <c r="D1647">
        <v>0.92</v>
      </c>
      <c r="E1647">
        <v>0.92</v>
      </c>
      <c r="F1647">
        <v>0.92</v>
      </c>
      <c r="G1647">
        <v>0.92</v>
      </c>
      <c r="H1647">
        <v>0.92</v>
      </c>
      <c r="I1647">
        <v>0.92</v>
      </c>
      <c r="J1647">
        <v>0.92</v>
      </c>
      <c r="K1647">
        <v>0.92</v>
      </c>
      <c r="L1647">
        <v>0.92</v>
      </c>
      <c r="M1647">
        <v>0.92</v>
      </c>
      <c r="N1647">
        <v>0.92</v>
      </c>
      <c r="O1647">
        <v>0.92</v>
      </c>
      <c r="P1647">
        <v>0.92</v>
      </c>
    </row>
    <row r="1648" spans="1:16" x14ac:dyDescent="0.3">
      <c r="A1648" t="s">
        <v>57</v>
      </c>
      <c r="B1648">
        <v>2</v>
      </c>
      <c r="C1648">
        <v>100</v>
      </c>
      <c r="D1648">
        <v>100</v>
      </c>
      <c r="E1648">
        <v>100</v>
      </c>
      <c r="F1648">
        <v>100</v>
      </c>
      <c r="G1648">
        <v>100</v>
      </c>
      <c r="H1648">
        <v>100</v>
      </c>
      <c r="I1648">
        <v>100</v>
      </c>
      <c r="J1648">
        <v>100</v>
      </c>
      <c r="K1648">
        <v>100</v>
      </c>
      <c r="L1648">
        <v>100</v>
      </c>
      <c r="M1648">
        <v>100</v>
      </c>
      <c r="N1648">
        <v>100</v>
      </c>
      <c r="O1648">
        <v>100</v>
      </c>
      <c r="P1648">
        <v>100</v>
      </c>
    </row>
    <row r="1649" spans="1:16" x14ac:dyDescent="0.3">
      <c r="A1649" t="s">
        <v>58</v>
      </c>
      <c r="B1649">
        <v>2</v>
      </c>
      <c r="C1649">
        <v>2</v>
      </c>
      <c r="D1649">
        <v>2</v>
      </c>
      <c r="E1649">
        <v>2</v>
      </c>
      <c r="F1649">
        <v>2</v>
      </c>
      <c r="G1649">
        <v>2</v>
      </c>
      <c r="H1649">
        <v>2</v>
      </c>
      <c r="I1649">
        <v>2</v>
      </c>
      <c r="J1649">
        <v>2</v>
      </c>
      <c r="K1649">
        <v>2</v>
      </c>
      <c r="L1649">
        <v>2</v>
      </c>
      <c r="M1649">
        <v>2</v>
      </c>
      <c r="N1649">
        <v>2</v>
      </c>
      <c r="O1649">
        <v>2</v>
      </c>
      <c r="P1649">
        <v>2</v>
      </c>
    </row>
    <row r="1650" spans="1:16" x14ac:dyDescent="0.3">
      <c r="A1650" t="s">
        <v>59</v>
      </c>
      <c r="B1650">
        <v>2</v>
      </c>
      <c r="C1650">
        <v>0</v>
      </c>
      <c r="D1650">
        <v>0</v>
      </c>
      <c r="E1650">
        <v>0</v>
      </c>
      <c r="F1650">
        <v>0</v>
      </c>
      <c r="G1650">
        <v>0</v>
      </c>
      <c r="H1650">
        <v>0</v>
      </c>
      <c r="I1650">
        <v>0</v>
      </c>
      <c r="J1650">
        <v>0</v>
      </c>
      <c r="K1650">
        <v>0</v>
      </c>
      <c r="L1650">
        <v>0</v>
      </c>
      <c r="M1650">
        <v>0</v>
      </c>
      <c r="N1650">
        <v>0</v>
      </c>
      <c r="O1650">
        <v>0</v>
      </c>
      <c r="P1650">
        <v>0</v>
      </c>
    </row>
    <row r="1651" spans="1:16" x14ac:dyDescent="0.3">
      <c r="A1651" t="s">
        <v>635</v>
      </c>
      <c r="B1651">
        <v>2</v>
      </c>
      <c r="E1651">
        <v>0</v>
      </c>
      <c r="I1651">
        <v>0</v>
      </c>
      <c r="L1651">
        <v>0</v>
      </c>
      <c r="O1651">
        <v>0</v>
      </c>
    </row>
    <row r="1652" spans="1:16" x14ac:dyDescent="0.3">
      <c r="A1652" t="s">
        <v>574</v>
      </c>
      <c r="B1652">
        <v>2</v>
      </c>
      <c r="E1652">
        <v>1609</v>
      </c>
      <c r="I1652">
        <v>1993</v>
      </c>
      <c r="L1652">
        <v>776</v>
      </c>
      <c r="O1652">
        <v>828</v>
      </c>
    </row>
    <row r="1653" spans="1:16" x14ac:dyDescent="0.3">
      <c r="A1653" t="s">
        <v>78</v>
      </c>
      <c r="B1653">
        <v>2</v>
      </c>
      <c r="E1653">
        <v>24.4</v>
      </c>
      <c r="I1653">
        <v>30.2</v>
      </c>
      <c r="L1653">
        <v>17.600000000000001</v>
      </c>
      <c r="O1653">
        <v>18.8</v>
      </c>
    </row>
    <row r="1654" spans="1:16" x14ac:dyDescent="0.3">
      <c r="A1654" t="s">
        <v>636</v>
      </c>
      <c r="B1654">
        <v>2</v>
      </c>
      <c r="F1654">
        <v>1</v>
      </c>
      <c r="J1654">
        <v>1</v>
      </c>
      <c r="M1654">
        <v>1</v>
      </c>
      <c r="P1654">
        <v>1</v>
      </c>
    </row>
    <row r="1655" spans="1:16" x14ac:dyDescent="0.3">
      <c r="A1655" t="s">
        <v>637</v>
      </c>
      <c r="B1655">
        <v>2</v>
      </c>
      <c r="F1655">
        <v>50</v>
      </c>
      <c r="J1655">
        <v>50</v>
      </c>
      <c r="M1655">
        <v>100</v>
      </c>
      <c r="P1655">
        <v>100</v>
      </c>
    </row>
    <row r="1656" spans="1:16" x14ac:dyDescent="0.3">
      <c r="A1656" t="s">
        <v>638</v>
      </c>
      <c r="B1656">
        <v>2</v>
      </c>
      <c r="F1656">
        <v>0</v>
      </c>
      <c r="J1656">
        <v>0</v>
      </c>
      <c r="M1656">
        <v>0</v>
      </c>
      <c r="P1656">
        <v>0</v>
      </c>
    </row>
    <row r="1657" spans="1:16" x14ac:dyDescent="0.3">
      <c r="A1657" t="s">
        <v>639</v>
      </c>
      <c r="B1657">
        <v>2</v>
      </c>
      <c r="C1657">
        <v>3</v>
      </c>
      <c r="D1657">
        <v>0</v>
      </c>
      <c r="E1657">
        <v>0</v>
      </c>
      <c r="F1657">
        <v>1</v>
      </c>
      <c r="G1657">
        <v>3</v>
      </c>
      <c r="H1657">
        <v>0</v>
      </c>
      <c r="I1657">
        <v>0</v>
      </c>
      <c r="J1657">
        <v>1</v>
      </c>
      <c r="K1657">
        <v>0</v>
      </c>
      <c r="L1657">
        <v>0</v>
      </c>
      <c r="M1657">
        <v>1</v>
      </c>
      <c r="N1657">
        <v>0</v>
      </c>
      <c r="O1657">
        <v>0</v>
      </c>
      <c r="P1657">
        <v>1</v>
      </c>
    </row>
    <row r="1658" spans="1:16" x14ac:dyDescent="0.3">
      <c r="A1658" t="s">
        <v>640</v>
      </c>
      <c r="B1658">
        <v>2</v>
      </c>
      <c r="C1658">
        <v>0</v>
      </c>
      <c r="D1658">
        <v>0</v>
      </c>
      <c r="E1658">
        <v>0</v>
      </c>
      <c r="F1658">
        <v>0</v>
      </c>
      <c r="G1658">
        <v>0</v>
      </c>
      <c r="H1658">
        <v>0</v>
      </c>
      <c r="I1658">
        <v>0</v>
      </c>
      <c r="J1658">
        <v>0</v>
      </c>
      <c r="K1658">
        <v>0</v>
      </c>
      <c r="L1658">
        <v>0</v>
      </c>
      <c r="M1658">
        <v>0</v>
      </c>
      <c r="N1658">
        <v>0</v>
      </c>
      <c r="O1658">
        <v>0</v>
      </c>
      <c r="P1658">
        <v>0</v>
      </c>
    </row>
    <row r="1659" spans="1:16" x14ac:dyDescent="0.3">
      <c r="A1659" t="s">
        <v>52</v>
      </c>
      <c r="B1659">
        <v>2</v>
      </c>
      <c r="C1659">
        <v>1</v>
      </c>
      <c r="D1659">
        <v>1</v>
      </c>
      <c r="E1659">
        <v>1</v>
      </c>
      <c r="F1659">
        <v>1</v>
      </c>
      <c r="G1659">
        <v>1</v>
      </c>
      <c r="H1659">
        <v>1</v>
      </c>
      <c r="I1659">
        <v>1</v>
      </c>
      <c r="J1659">
        <v>1</v>
      </c>
      <c r="K1659">
        <v>1</v>
      </c>
      <c r="L1659">
        <v>1</v>
      </c>
      <c r="M1659">
        <v>1</v>
      </c>
      <c r="N1659">
        <v>1</v>
      </c>
      <c r="O1659">
        <v>1</v>
      </c>
      <c r="P1659">
        <v>1</v>
      </c>
    </row>
    <row r="1660" spans="1:16" x14ac:dyDescent="0.3">
      <c r="A1660" t="s">
        <v>641</v>
      </c>
      <c r="B1660">
        <v>2</v>
      </c>
      <c r="C1660">
        <v>9</v>
      </c>
      <c r="D1660">
        <v>15</v>
      </c>
      <c r="E1660">
        <v>60</v>
      </c>
      <c r="F1660">
        <v>9</v>
      </c>
      <c r="G1660">
        <v>9</v>
      </c>
      <c r="H1660">
        <v>15</v>
      </c>
      <c r="I1660">
        <v>60</v>
      </c>
      <c r="J1660">
        <v>9</v>
      </c>
      <c r="K1660">
        <v>15</v>
      </c>
      <c r="L1660">
        <v>60</v>
      </c>
      <c r="M1660">
        <v>9</v>
      </c>
      <c r="N1660">
        <v>15</v>
      </c>
      <c r="O1660">
        <v>60</v>
      </c>
      <c r="P1660">
        <v>9</v>
      </c>
    </row>
    <row r="1661" spans="1:16" x14ac:dyDescent="0.3">
      <c r="A1661" t="s">
        <v>43</v>
      </c>
      <c r="B1661">
        <v>2</v>
      </c>
      <c r="D1661">
        <v>40</v>
      </c>
      <c r="E1661">
        <v>336</v>
      </c>
      <c r="F1661">
        <v>0</v>
      </c>
      <c r="H1661">
        <v>40</v>
      </c>
      <c r="I1661">
        <v>336</v>
      </c>
      <c r="J1661">
        <v>0</v>
      </c>
      <c r="K1661">
        <v>40</v>
      </c>
      <c r="L1661">
        <v>40</v>
      </c>
      <c r="N1661">
        <v>40</v>
      </c>
      <c r="O1661">
        <v>40</v>
      </c>
    </row>
    <row r="1662" spans="1:16" x14ac:dyDescent="0.3">
      <c r="A1662" t="s">
        <v>44</v>
      </c>
      <c r="B1662">
        <v>2</v>
      </c>
      <c r="D1662">
        <v>0</v>
      </c>
      <c r="E1662">
        <v>0</v>
      </c>
      <c r="F1662">
        <v>0</v>
      </c>
      <c r="H1662">
        <v>0</v>
      </c>
      <c r="I1662">
        <v>0</v>
      </c>
      <c r="J1662">
        <v>0</v>
      </c>
      <c r="K1662">
        <v>0</v>
      </c>
      <c r="L1662">
        <v>0</v>
      </c>
      <c r="N1662">
        <v>0</v>
      </c>
      <c r="O1662">
        <v>0</v>
      </c>
    </row>
    <row r="1663" spans="1:16" x14ac:dyDescent="0.3">
      <c r="A1663" t="s">
        <v>47</v>
      </c>
      <c r="B1663">
        <v>2</v>
      </c>
      <c r="D1663">
        <v>5</v>
      </c>
      <c r="E1663">
        <v>2</v>
      </c>
      <c r="F1663">
        <v>2</v>
      </c>
      <c r="H1663">
        <v>1</v>
      </c>
      <c r="I1663">
        <v>6</v>
      </c>
      <c r="J1663">
        <v>6</v>
      </c>
      <c r="K1663">
        <v>4</v>
      </c>
      <c r="L1663">
        <v>4</v>
      </c>
      <c r="N1663">
        <v>8</v>
      </c>
      <c r="O1663">
        <v>8</v>
      </c>
    </row>
    <row r="1664" spans="1:16" x14ac:dyDescent="0.3">
      <c r="A1664" t="s">
        <v>642</v>
      </c>
      <c r="B1664">
        <v>2</v>
      </c>
      <c r="D1664">
        <v>0</v>
      </c>
      <c r="E1664">
        <v>0</v>
      </c>
      <c r="F1664">
        <v>0</v>
      </c>
      <c r="H1664">
        <v>0</v>
      </c>
      <c r="I1664">
        <v>0</v>
      </c>
      <c r="J1664">
        <v>0</v>
      </c>
      <c r="K1664">
        <v>0</v>
      </c>
      <c r="L1664">
        <v>0</v>
      </c>
      <c r="N1664">
        <v>0</v>
      </c>
      <c r="O1664">
        <v>0</v>
      </c>
    </row>
    <row r="1665" spans="1:15" x14ac:dyDescent="0.3">
      <c r="A1665" t="s">
        <v>643</v>
      </c>
      <c r="B1665">
        <v>2</v>
      </c>
      <c r="D1665">
        <v>0</v>
      </c>
      <c r="E1665">
        <v>0</v>
      </c>
      <c r="F1665">
        <v>0</v>
      </c>
      <c r="H1665">
        <v>0</v>
      </c>
      <c r="I1665">
        <v>0</v>
      </c>
      <c r="J1665">
        <v>0</v>
      </c>
      <c r="K1665">
        <v>0</v>
      </c>
      <c r="L1665">
        <v>0</v>
      </c>
      <c r="N1665">
        <v>0</v>
      </c>
      <c r="O1665">
        <v>0</v>
      </c>
    </row>
    <row r="1666" spans="1:15" x14ac:dyDescent="0.3">
      <c r="A1666" t="s">
        <v>644</v>
      </c>
      <c r="B1666">
        <v>2</v>
      </c>
      <c r="D1666">
        <v>0</v>
      </c>
      <c r="E1666">
        <v>0</v>
      </c>
      <c r="F1666">
        <v>0</v>
      </c>
      <c r="H1666">
        <v>0</v>
      </c>
      <c r="I1666">
        <v>0</v>
      </c>
      <c r="J1666">
        <v>0</v>
      </c>
      <c r="K1666">
        <v>0</v>
      </c>
      <c r="L1666">
        <v>0</v>
      </c>
      <c r="N1666">
        <v>0</v>
      </c>
      <c r="O1666">
        <v>0</v>
      </c>
    </row>
    <row r="1667" spans="1:15" x14ac:dyDescent="0.3">
      <c r="A1667" t="s">
        <v>645</v>
      </c>
      <c r="B1667">
        <v>2</v>
      </c>
      <c r="D1667">
        <v>0</v>
      </c>
      <c r="E1667">
        <v>0</v>
      </c>
      <c r="F1667">
        <v>0</v>
      </c>
      <c r="H1667">
        <v>0</v>
      </c>
      <c r="I1667">
        <v>0</v>
      </c>
      <c r="J1667">
        <v>0</v>
      </c>
      <c r="K1667">
        <v>0</v>
      </c>
      <c r="L1667">
        <v>0</v>
      </c>
      <c r="N1667">
        <v>0</v>
      </c>
      <c r="O1667">
        <v>0</v>
      </c>
    </row>
    <row r="1668" spans="1:15" x14ac:dyDescent="0.3">
      <c r="A1668" t="s">
        <v>646</v>
      </c>
      <c r="B1668">
        <v>2</v>
      </c>
      <c r="D1668">
        <v>1</v>
      </c>
      <c r="E1668">
        <v>2</v>
      </c>
      <c r="F1668">
        <v>1</v>
      </c>
      <c r="H1668">
        <v>1</v>
      </c>
      <c r="I1668">
        <v>2</v>
      </c>
      <c r="J1668">
        <v>1</v>
      </c>
      <c r="K1668">
        <v>1</v>
      </c>
      <c r="L1668">
        <v>1</v>
      </c>
      <c r="N1668">
        <v>1</v>
      </c>
      <c r="O1668">
        <v>1</v>
      </c>
    </row>
    <row r="1669" spans="1:15" x14ac:dyDescent="0.3">
      <c r="A1669" t="s">
        <v>647</v>
      </c>
      <c r="B1669">
        <v>2</v>
      </c>
      <c r="D1669">
        <v>0</v>
      </c>
      <c r="E1669">
        <v>330</v>
      </c>
      <c r="F1669">
        <v>0</v>
      </c>
      <c r="H1669">
        <v>0</v>
      </c>
      <c r="I1669">
        <v>330</v>
      </c>
      <c r="J1669">
        <v>0</v>
      </c>
      <c r="K1669">
        <v>0</v>
      </c>
      <c r="L1669">
        <v>0</v>
      </c>
      <c r="N1669">
        <v>0</v>
      </c>
      <c r="O1669">
        <v>0</v>
      </c>
    </row>
    <row r="1670" spans="1:15" x14ac:dyDescent="0.3">
      <c r="A1670" t="s">
        <v>648</v>
      </c>
      <c r="B1670">
        <v>2</v>
      </c>
      <c r="D1670">
        <v>40</v>
      </c>
      <c r="E1670">
        <v>6</v>
      </c>
      <c r="F1670">
        <v>0</v>
      </c>
      <c r="H1670">
        <v>40</v>
      </c>
      <c r="I1670">
        <v>6</v>
      </c>
      <c r="J1670">
        <v>0</v>
      </c>
      <c r="K1670">
        <v>40</v>
      </c>
      <c r="L1670">
        <v>40</v>
      </c>
      <c r="N1670">
        <v>40</v>
      </c>
      <c r="O1670">
        <v>40</v>
      </c>
    </row>
    <row r="1671" spans="1:15" x14ac:dyDescent="0.3">
      <c r="A1671" t="s">
        <v>649</v>
      </c>
      <c r="B1671">
        <v>2</v>
      </c>
      <c r="D1671">
        <v>3</v>
      </c>
      <c r="E1671">
        <v>3</v>
      </c>
      <c r="F1671">
        <v>3</v>
      </c>
      <c r="H1671">
        <v>3</v>
      </c>
      <c r="I1671">
        <v>3</v>
      </c>
      <c r="J1671">
        <v>3</v>
      </c>
      <c r="K1671">
        <v>3</v>
      </c>
      <c r="L1671">
        <v>3</v>
      </c>
      <c r="N1671">
        <v>3</v>
      </c>
      <c r="O1671">
        <v>3</v>
      </c>
    </row>
    <row r="1672" spans="1:15" x14ac:dyDescent="0.3">
      <c r="A1672" t="s">
        <v>650</v>
      </c>
      <c r="B1672">
        <v>2</v>
      </c>
      <c r="D1672">
        <v>0</v>
      </c>
      <c r="E1672">
        <v>0</v>
      </c>
      <c r="F1672">
        <v>0</v>
      </c>
      <c r="H1672">
        <v>0</v>
      </c>
      <c r="I1672">
        <v>0</v>
      </c>
      <c r="J1672">
        <v>0</v>
      </c>
      <c r="K1672">
        <v>0</v>
      </c>
      <c r="L1672">
        <v>0</v>
      </c>
      <c r="N1672">
        <v>0</v>
      </c>
      <c r="O1672">
        <v>0</v>
      </c>
    </row>
    <row r="1673" spans="1:15" x14ac:dyDescent="0.3">
      <c r="A1673" t="s">
        <v>651</v>
      </c>
      <c r="B1673">
        <v>2</v>
      </c>
      <c r="D1673">
        <v>0</v>
      </c>
      <c r="E1673">
        <v>0</v>
      </c>
      <c r="F1673">
        <v>0</v>
      </c>
      <c r="H1673">
        <v>0</v>
      </c>
      <c r="I1673">
        <v>0</v>
      </c>
      <c r="J1673">
        <v>0</v>
      </c>
      <c r="K1673">
        <v>0</v>
      </c>
      <c r="L1673">
        <v>0</v>
      </c>
      <c r="N1673">
        <v>0</v>
      </c>
      <c r="O1673">
        <v>0</v>
      </c>
    </row>
    <row r="1674" spans="1:15" x14ac:dyDescent="0.3">
      <c r="A1674" t="s">
        <v>652</v>
      </c>
      <c r="B1674">
        <v>2</v>
      </c>
      <c r="D1674">
        <v>0</v>
      </c>
      <c r="E1674">
        <v>0</v>
      </c>
      <c r="F1674">
        <v>0</v>
      </c>
      <c r="H1674">
        <v>0</v>
      </c>
      <c r="I1674">
        <v>0</v>
      </c>
      <c r="J1674">
        <v>0</v>
      </c>
      <c r="K1674">
        <v>0</v>
      </c>
      <c r="L1674">
        <v>0</v>
      </c>
      <c r="N1674">
        <v>0</v>
      </c>
      <c r="O1674">
        <v>0</v>
      </c>
    </row>
    <row r="1675" spans="1:15" x14ac:dyDescent="0.3">
      <c r="A1675" t="s">
        <v>653</v>
      </c>
      <c r="B1675">
        <v>2</v>
      </c>
      <c r="E1675">
        <v>0</v>
      </c>
      <c r="I1675">
        <v>0</v>
      </c>
    </row>
    <row r="1676" spans="1:15" x14ac:dyDescent="0.3">
      <c r="A1676" t="s">
        <v>654</v>
      </c>
      <c r="B1676">
        <v>2</v>
      </c>
      <c r="E1676">
        <v>0</v>
      </c>
      <c r="I1676">
        <v>0</v>
      </c>
    </row>
    <row r="1677" spans="1:15" x14ac:dyDescent="0.3">
      <c r="A1677" t="s">
        <v>655</v>
      </c>
      <c r="B1677">
        <v>2</v>
      </c>
      <c r="E1677">
        <v>3</v>
      </c>
      <c r="I1677">
        <v>3</v>
      </c>
    </row>
    <row r="1678" spans="1:15" x14ac:dyDescent="0.3">
      <c r="A1678" t="s">
        <v>656</v>
      </c>
      <c r="B1678">
        <v>2</v>
      </c>
      <c r="E1678">
        <v>0</v>
      </c>
      <c r="I1678">
        <v>0</v>
      </c>
    </row>
    <row r="1679" spans="1:15" x14ac:dyDescent="0.3">
      <c r="A1679" t="s">
        <v>657</v>
      </c>
      <c r="B1679">
        <v>2</v>
      </c>
      <c r="E1679">
        <v>0</v>
      </c>
      <c r="I1679">
        <v>0</v>
      </c>
      <c r="L1679">
        <v>0</v>
      </c>
      <c r="O1679">
        <v>0</v>
      </c>
    </row>
    <row r="1680" spans="1:15" x14ac:dyDescent="0.3">
      <c r="A1680" t="s">
        <v>408</v>
      </c>
      <c r="B1680">
        <v>2</v>
      </c>
      <c r="E1680">
        <v>0</v>
      </c>
    </row>
    <row r="1681" spans="1:22" x14ac:dyDescent="0.3">
      <c r="A1681" t="s">
        <v>658</v>
      </c>
      <c r="B1681">
        <v>2</v>
      </c>
      <c r="C1681">
        <v>0</v>
      </c>
      <c r="D1681">
        <v>71</v>
      </c>
      <c r="E1681">
        <v>1087</v>
      </c>
      <c r="F1681">
        <v>27</v>
      </c>
      <c r="G1681">
        <v>0</v>
      </c>
      <c r="H1681">
        <v>16</v>
      </c>
      <c r="I1681">
        <v>489</v>
      </c>
      <c r="J1681">
        <v>54</v>
      </c>
      <c r="K1681">
        <v>71</v>
      </c>
      <c r="L1681">
        <v>169</v>
      </c>
      <c r="M1681">
        <v>0</v>
      </c>
      <c r="N1681">
        <v>11</v>
      </c>
      <c r="O1681">
        <v>158</v>
      </c>
      <c r="P1681">
        <v>0</v>
      </c>
    </row>
    <row r="1682" spans="1:22" x14ac:dyDescent="0.3">
      <c r="A1682" t="s">
        <v>34</v>
      </c>
      <c r="B1682">
        <v>3</v>
      </c>
      <c r="C1682">
        <v>18</v>
      </c>
      <c r="D1682">
        <v>18</v>
      </c>
      <c r="E1682">
        <v>18</v>
      </c>
      <c r="F1682">
        <v>18</v>
      </c>
      <c r="G1682">
        <v>4</v>
      </c>
      <c r="H1682">
        <v>4</v>
      </c>
      <c r="I1682">
        <v>4</v>
      </c>
      <c r="J1682">
        <v>4</v>
      </c>
      <c r="Q1682">
        <v>107</v>
      </c>
      <c r="R1682">
        <v>107</v>
      </c>
      <c r="S1682">
        <v>107</v>
      </c>
      <c r="T1682">
        <v>106</v>
      </c>
      <c r="U1682">
        <v>106</v>
      </c>
      <c r="V1682">
        <v>106</v>
      </c>
    </row>
    <row r="1683" spans="1:22" x14ac:dyDescent="0.3">
      <c r="A1683" t="s">
        <v>35</v>
      </c>
      <c r="B1683">
        <v>3</v>
      </c>
      <c r="C1683">
        <v>18</v>
      </c>
      <c r="D1683">
        <v>106</v>
      </c>
      <c r="E1683">
        <v>4</v>
      </c>
      <c r="F1683">
        <v>107</v>
      </c>
      <c r="G1683">
        <v>4</v>
      </c>
      <c r="H1683">
        <v>107</v>
      </c>
      <c r="I1683">
        <v>18</v>
      </c>
      <c r="J1683">
        <v>106</v>
      </c>
      <c r="Q1683">
        <v>18</v>
      </c>
      <c r="R1683">
        <v>106</v>
      </c>
      <c r="S1683">
        <v>4</v>
      </c>
      <c r="T1683">
        <v>4</v>
      </c>
      <c r="U1683">
        <v>107</v>
      </c>
      <c r="V1683">
        <v>18</v>
      </c>
    </row>
    <row r="1684" spans="1:22" x14ac:dyDescent="0.3">
      <c r="A1684" t="s">
        <v>36</v>
      </c>
      <c r="B1684">
        <v>3</v>
      </c>
      <c r="C1684">
        <v>0</v>
      </c>
      <c r="D1684">
        <v>1</v>
      </c>
      <c r="E1684">
        <v>2</v>
      </c>
      <c r="F1684">
        <v>0</v>
      </c>
      <c r="G1684">
        <v>0</v>
      </c>
      <c r="H1684">
        <v>1</v>
      </c>
      <c r="I1684">
        <v>2</v>
      </c>
      <c r="J1684">
        <v>1</v>
      </c>
      <c r="Q1684">
        <v>1</v>
      </c>
      <c r="R1684">
        <v>1</v>
      </c>
      <c r="S1684">
        <v>1</v>
      </c>
      <c r="T1684">
        <v>1</v>
      </c>
      <c r="U1684">
        <v>1</v>
      </c>
      <c r="V1684">
        <v>0</v>
      </c>
    </row>
    <row r="1685" spans="1:22" x14ac:dyDescent="0.3">
      <c r="A1685" t="s">
        <v>37</v>
      </c>
      <c r="B1685">
        <v>3</v>
      </c>
      <c r="D1685">
        <v>0</v>
      </c>
      <c r="E1685">
        <v>2</v>
      </c>
      <c r="H1685">
        <v>0</v>
      </c>
      <c r="I1685">
        <v>0</v>
      </c>
      <c r="Q1685">
        <v>0</v>
      </c>
      <c r="R1685">
        <v>0</v>
      </c>
      <c r="T1685">
        <v>0</v>
      </c>
      <c r="U1685">
        <v>2</v>
      </c>
    </row>
    <row r="1686" spans="1:22" x14ac:dyDescent="0.3">
      <c r="A1686" t="s">
        <v>38</v>
      </c>
      <c r="B1686">
        <v>3</v>
      </c>
      <c r="C1686">
        <v>12</v>
      </c>
      <c r="D1686">
        <v>12</v>
      </c>
      <c r="E1686">
        <v>12</v>
      </c>
      <c r="F1686">
        <v>12</v>
      </c>
      <c r="G1686">
        <v>12</v>
      </c>
      <c r="H1686">
        <v>12</v>
      </c>
      <c r="I1686">
        <v>12</v>
      </c>
      <c r="J1686">
        <v>12</v>
      </c>
      <c r="Q1686">
        <v>12</v>
      </c>
      <c r="R1686">
        <v>12</v>
      </c>
      <c r="S1686">
        <v>12</v>
      </c>
      <c r="T1686">
        <v>12</v>
      </c>
      <c r="U1686">
        <v>12</v>
      </c>
      <c r="V1686">
        <v>12</v>
      </c>
    </row>
    <row r="1687" spans="1:22" x14ac:dyDescent="0.3">
      <c r="A1687" t="s">
        <v>39</v>
      </c>
      <c r="B1687">
        <v>3</v>
      </c>
      <c r="D1687">
        <v>200</v>
      </c>
      <c r="H1687">
        <v>500</v>
      </c>
      <c r="J1687">
        <v>250</v>
      </c>
      <c r="Q1687">
        <v>100</v>
      </c>
      <c r="S1687">
        <v>120</v>
      </c>
      <c r="T1687">
        <v>100</v>
      </c>
    </row>
    <row r="1688" spans="1:22" x14ac:dyDescent="0.3">
      <c r="A1688" t="s">
        <v>631</v>
      </c>
      <c r="B1688">
        <v>3</v>
      </c>
      <c r="D1688">
        <v>25</v>
      </c>
      <c r="H1688">
        <v>25</v>
      </c>
      <c r="J1688">
        <v>25</v>
      </c>
      <c r="Q1688">
        <v>25</v>
      </c>
      <c r="S1688">
        <v>25</v>
      </c>
      <c r="T1688">
        <v>25</v>
      </c>
    </row>
    <row r="1689" spans="1:22" x14ac:dyDescent="0.3">
      <c r="A1689" t="s">
        <v>40</v>
      </c>
      <c r="B1689">
        <v>3</v>
      </c>
      <c r="D1689">
        <v>1</v>
      </c>
      <c r="H1689">
        <v>1</v>
      </c>
      <c r="J1689">
        <v>1</v>
      </c>
      <c r="Q1689">
        <v>1</v>
      </c>
      <c r="S1689">
        <v>1</v>
      </c>
      <c r="T1689">
        <v>1</v>
      </c>
    </row>
    <row r="1690" spans="1:22" x14ac:dyDescent="0.3">
      <c r="A1690" t="s">
        <v>41</v>
      </c>
      <c r="B1690">
        <v>3</v>
      </c>
    </row>
    <row r="1691" spans="1:22" x14ac:dyDescent="0.3">
      <c r="A1691" t="s">
        <v>42</v>
      </c>
      <c r="B1691">
        <v>3</v>
      </c>
      <c r="E1691">
        <v>45</v>
      </c>
      <c r="I1691">
        <v>45</v>
      </c>
      <c r="R1691">
        <v>30</v>
      </c>
      <c r="U1691">
        <v>30</v>
      </c>
    </row>
    <row r="1692" spans="1:22" x14ac:dyDescent="0.3">
      <c r="A1692" t="s">
        <v>45</v>
      </c>
      <c r="B1692">
        <v>3</v>
      </c>
      <c r="D1692">
        <v>5</v>
      </c>
      <c r="E1692">
        <v>2</v>
      </c>
      <c r="H1692">
        <v>1</v>
      </c>
      <c r="I1692">
        <v>6</v>
      </c>
      <c r="R1692">
        <v>8</v>
      </c>
      <c r="U1692">
        <v>4</v>
      </c>
    </row>
    <row r="1693" spans="1:22" x14ac:dyDescent="0.3">
      <c r="A1693" t="s">
        <v>46</v>
      </c>
      <c r="B1693">
        <v>3</v>
      </c>
      <c r="D1693">
        <v>2</v>
      </c>
      <c r="H1693">
        <v>6</v>
      </c>
      <c r="J1693">
        <v>6</v>
      </c>
      <c r="Q1693">
        <v>8</v>
      </c>
      <c r="S1693">
        <v>8</v>
      </c>
      <c r="T1693">
        <v>4</v>
      </c>
    </row>
    <row r="1694" spans="1:22" x14ac:dyDescent="0.3">
      <c r="A1694" t="s">
        <v>49</v>
      </c>
      <c r="B1694">
        <v>3</v>
      </c>
      <c r="C1694">
        <v>4</v>
      </c>
      <c r="D1694">
        <v>6.4</v>
      </c>
      <c r="E1694">
        <v>6.4</v>
      </c>
      <c r="F1694">
        <v>4</v>
      </c>
      <c r="G1694">
        <v>4</v>
      </c>
      <c r="H1694">
        <v>6.4</v>
      </c>
      <c r="I1694">
        <v>6.4</v>
      </c>
      <c r="J1694">
        <v>6.4</v>
      </c>
      <c r="Q1694">
        <v>6</v>
      </c>
      <c r="R1694">
        <v>6</v>
      </c>
      <c r="S1694">
        <v>6</v>
      </c>
      <c r="T1694">
        <v>6</v>
      </c>
      <c r="U1694">
        <v>6</v>
      </c>
      <c r="V1694">
        <v>4</v>
      </c>
    </row>
    <row r="1695" spans="1:22" x14ac:dyDescent="0.3">
      <c r="A1695" t="s">
        <v>632</v>
      </c>
      <c r="B1695">
        <v>3</v>
      </c>
      <c r="C1695">
        <v>0</v>
      </c>
      <c r="D1695">
        <v>0</v>
      </c>
      <c r="E1695">
        <v>0</v>
      </c>
      <c r="F1695">
        <v>0</v>
      </c>
      <c r="G1695">
        <v>0</v>
      </c>
      <c r="H1695">
        <v>0</v>
      </c>
      <c r="I1695">
        <v>0</v>
      </c>
      <c r="J1695">
        <v>0</v>
      </c>
      <c r="Q1695">
        <v>0</v>
      </c>
      <c r="R1695">
        <v>0</v>
      </c>
      <c r="S1695">
        <v>0</v>
      </c>
      <c r="T1695">
        <v>0</v>
      </c>
      <c r="U1695">
        <v>0</v>
      </c>
      <c r="V1695">
        <v>0</v>
      </c>
    </row>
    <row r="1696" spans="1:22" x14ac:dyDescent="0.3">
      <c r="A1696" t="s">
        <v>48</v>
      </c>
      <c r="B1696">
        <v>3</v>
      </c>
      <c r="C1696">
        <v>1900</v>
      </c>
      <c r="D1696">
        <v>1900</v>
      </c>
      <c r="E1696">
        <v>1900</v>
      </c>
      <c r="F1696">
        <v>1900</v>
      </c>
      <c r="G1696">
        <v>1900</v>
      </c>
      <c r="H1696">
        <v>1900</v>
      </c>
      <c r="I1696">
        <v>1900</v>
      </c>
      <c r="J1696">
        <v>1900</v>
      </c>
      <c r="Q1696">
        <v>1900</v>
      </c>
      <c r="R1696">
        <v>1900</v>
      </c>
      <c r="S1696">
        <v>1900</v>
      </c>
      <c r="T1696">
        <v>1900</v>
      </c>
      <c r="U1696">
        <v>1900</v>
      </c>
      <c r="V1696">
        <v>1900</v>
      </c>
    </row>
    <row r="1697" spans="1:22" x14ac:dyDescent="0.3">
      <c r="A1697" t="s">
        <v>633</v>
      </c>
      <c r="B1697">
        <v>3</v>
      </c>
      <c r="C1697">
        <v>0</v>
      </c>
      <c r="D1697">
        <v>1770</v>
      </c>
      <c r="E1697">
        <v>3536</v>
      </c>
      <c r="F1697">
        <v>0</v>
      </c>
      <c r="G1697">
        <v>0</v>
      </c>
      <c r="H1697">
        <v>1770</v>
      </c>
      <c r="I1697">
        <v>3539</v>
      </c>
      <c r="J1697">
        <v>1583</v>
      </c>
      <c r="Q1697">
        <v>1770</v>
      </c>
      <c r="R1697">
        <v>1863</v>
      </c>
      <c r="S1697">
        <v>1583</v>
      </c>
      <c r="T1697">
        <v>1770</v>
      </c>
      <c r="U1697">
        <v>1716</v>
      </c>
      <c r="V1697">
        <v>0</v>
      </c>
    </row>
    <row r="1698" spans="1:22" x14ac:dyDescent="0.3">
      <c r="A1698" t="s">
        <v>50</v>
      </c>
      <c r="B1698">
        <v>3</v>
      </c>
      <c r="C1698">
        <v>0</v>
      </c>
      <c r="D1698">
        <v>859</v>
      </c>
      <c r="E1698">
        <v>3536</v>
      </c>
      <c r="F1698">
        <v>0</v>
      </c>
      <c r="G1698">
        <v>0</v>
      </c>
      <c r="H1698">
        <v>453</v>
      </c>
      <c r="I1698">
        <v>3539</v>
      </c>
      <c r="J1698">
        <v>1583</v>
      </c>
      <c r="Q1698">
        <v>963</v>
      </c>
      <c r="R1698">
        <v>1863</v>
      </c>
      <c r="S1698">
        <v>1583</v>
      </c>
      <c r="T1698">
        <v>682</v>
      </c>
      <c r="U1698">
        <v>1716</v>
      </c>
      <c r="V1698">
        <v>0</v>
      </c>
    </row>
    <row r="1699" spans="1:22" x14ac:dyDescent="0.3">
      <c r="A1699" t="s">
        <v>634</v>
      </c>
      <c r="B1699">
        <v>3</v>
      </c>
      <c r="C1699">
        <v>1</v>
      </c>
      <c r="D1699">
        <v>1</v>
      </c>
      <c r="E1699">
        <v>1</v>
      </c>
      <c r="F1699">
        <v>1</v>
      </c>
      <c r="G1699">
        <v>1</v>
      </c>
      <c r="H1699">
        <v>1</v>
      </c>
      <c r="I1699">
        <v>1</v>
      </c>
      <c r="J1699">
        <v>1</v>
      </c>
      <c r="Q1699">
        <v>1</v>
      </c>
      <c r="R1699">
        <v>1</v>
      </c>
      <c r="S1699">
        <v>1</v>
      </c>
      <c r="T1699">
        <v>1</v>
      </c>
      <c r="U1699">
        <v>1</v>
      </c>
      <c r="V1699">
        <v>1</v>
      </c>
    </row>
    <row r="1700" spans="1:22" x14ac:dyDescent="0.3">
      <c r="A1700" t="s">
        <v>51</v>
      </c>
      <c r="B1700">
        <v>3</v>
      </c>
      <c r="C1700">
        <v>0</v>
      </c>
      <c r="D1700">
        <v>0</v>
      </c>
      <c r="E1700">
        <v>1</v>
      </c>
      <c r="F1700">
        <v>0</v>
      </c>
      <c r="G1700">
        <v>0</v>
      </c>
      <c r="H1700">
        <v>0</v>
      </c>
      <c r="I1700">
        <v>0</v>
      </c>
      <c r="J1700">
        <v>85</v>
      </c>
      <c r="Q1700">
        <v>0</v>
      </c>
      <c r="R1700">
        <v>0</v>
      </c>
      <c r="S1700">
        <v>137</v>
      </c>
      <c r="T1700">
        <v>0</v>
      </c>
      <c r="U1700">
        <v>46</v>
      </c>
      <c r="V1700">
        <v>0</v>
      </c>
    </row>
    <row r="1701" spans="1:22" x14ac:dyDescent="0.3">
      <c r="A1701" t="s">
        <v>53</v>
      </c>
      <c r="B1701">
        <v>3</v>
      </c>
      <c r="C1701">
        <v>0</v>
      </c>
      <c r="D1701">
        <v>124</v>
      </c>
      <c r="E1701">
        <v>958</v>
      </c>
      <c r="F1701">
        <v>6</v>
      </c>
      <c r="G1701">
        <v>0</v>
      </c>
      <c r="H1701">
        <v>33</v>
      </c>
      <c r="I1701">
        <v>413</v>
      </c>
      <c r="J1701">
        <v>7</v>
      </c>
      <c r="Q1701">
        <v>6</v>
      </c>
      <c r="R1701">
        <v>202</v>
      </c>
      <c r="S1701">
        <v>126</v>
      </c>
      <c r="T1701">
        <v>24</v>
      </c>
      <c r="U1701">
        <v>72</v>
      </c>
      <c r="V1701">
        <v>79</v>
      </c>
    </row>
    <row r="1702" spans="1:22" x14ac:dyDescent="0.3">
      <c r="A1702" t="s">
        <v>54</v>
      </c>
      <c r="B1702">
        <v>3</v>
      </c>
      <c r="C1702">
        <v>0</v>
      </c>
      <c r="D1702">
        <v>0</v>
      </c>
      <c r="E1702">
        <v>0</v>
      </c>
      <c r="F1702">
        <v>0</v>
      </c>
      <c r="G1702">
        <v>0</v>
      </c>
      <c r="H1702">
        <v>0</v>
      </c>
      <c r="I1702">
        <v>0</v>
      </c>
      <c r="J1702">
        <v>0</v>
      </c>
      <c r="Q1702">
        <v>0</v>
      </c>
      <c r="R1702">
        <v>0</v>
      </c>
      <c r="S1702">
        <v>0</v>
      </c>
      <c r="T1702">
        <v>0</v>
      </c>
      <c r="U1702">
        <v>0</v>
      </c>
      <c r="V1702">
        <v>0</v>
      </c>
    </row>
    <row r="1703" spans="1:22" x14ac:dyDescent="0.3">
      <c r="A1703" t="s">
        <v>55</v>
      </c>
      <c r="B1703">
        <v>3</v>
      </c>
      <c r="C1703">
        <v>0</v>
      </c>
      <c r="D1703">
        <v>0</v>
      </c>
      <c r="E1703">
        <v>0</v>
      </c>
      <c r="F1703">
        <v>0</v>
      </c>
      <c r="G1703">
        <v>0</v>
      </c>
      <c r="H1703">
        <v>0</v>
      </c>
      <c r="I1703">
        <v>0</v>
      </c>
      <c r="J1703">
        <v>0</v>
      </c>
      <c r="Q1703">
        <v>0</v>
      </c>
      <c r="R1703">
        <v>0</v>
      </c>
      <c r="S1703">
        <v>0</v>
      </c>
      <c r="T1703">
        <v>0</v>
      </c>
      <c r="U1703">
        <v>0</v>
      </c>
      <c r="V1703">
        <v>0</v>
      </c>
    </row>
    <row r="1704" spans="1:22" x14ac:dyDescent="0.3">
      <c r="A1704" t="s">
        <v>56</v>
      </c>
      <c r="B1704">
        <v>3</v>
      </c>
      <c r="C1704">
        <v>0.92</v>
      </c>
      <c r="D1704">
        <v>0.92</v>
      </c>
      <c r="E1704">
        <v>0.92</v>
      </c>
      <c r="F1704">
        <v>0.92</v>
      </c>
      <c r="G1704">
        <v>0.92</v>
      </c>
      <c r="H1704">
        <v>0.92</v>
      </c>
      <c r="I1704">
        <v>0.92</v>
      </c>
      <c r="J1704">
        <v>0.92</v>
      </c>
      <c r="Q1704">
        <v>0.92</v>
      </c>
      <c r="R1704">
        <v>0.92</v>
      </c>
      <c r="S1704">
        <v>0.92</v>
      </c>
      <c r="T1704">
        <v>0.92</v>
      </c>
      <c r="U1704">
        <v>0.92</v>
      </c>
      <c r="V1704">
        <v>0.92</v>
      </c>
    </row>
    <row r="1705" spans="1:22" x14ac:dyDescent="0.3">
      <c r="A1705" t="s">
        <v>57</v>
      </c>
      <c r="B1705">
        <v>3</v>
      </c>
      <c r="C1705">
        <v>100</v>
      </c>
      <c r="D1705">
        <v>100</v>
      </c>
      <c r="E1705">
        <v>100</v>
      </c>
      <c r="F1705">
        <v>100</v>
      </c>
      <c r="G1705">
        <v>100</v>
      </c>
      <c r="H1705">
        <v>100</v>
      </c>
      <c r="I1705">
        <v>100</v>
      </c>
      <c r="J1705">
        <v>100</v>
      </c>
      <c r="Q1705">
        <v>100</v>
      </c>
      <c r="R1705">
        <v>100</v>
      </c>
      <c r="S1705">
        <v>100</v>
      </c>
      <c r="T1705">
        <v>100</v>
      </c>
      <c r="U1705">
        <v>100</v>
      </c>
      <c r="V1705">
        <v>100</v>
      </c>
    </row>
    <row r="1706" spans="1:22" x14ac:dyDescent="0.3">
      <c r="A1706" t="s">
        <v>58</v>
      </c>
      <c r="B1706">
        <v>3</v>
      </c>
      <c r="C1706">
        <v>2</v>
      </c>
      <c r="D1706">
        <v>2</v>
      </c>
      <c r="E1706">
        <v>2</v>
      </c>
      <c r="F1706">
        <v>2</v>
      </c>
      <c r="G1706">
        <v>2</v>
      </c>
      <c r="H1706">
        <v>2</v>
      </c>
      <c r="I1706">
        <v>2</v>
      </c>
      <c r="J1706">
        <v>2</v>
      </c>
      <c r="Q1706">
        <v>2</v>
      </c>
      <c r="R1706">
        <v>2</v>
      </c>
      <c r="S1706">
        <v>2</v>
      </c>
      <c r="T1706">
        <v>2</v>
      </c>
      <c r="U1706">
        <v>2</v>
      </c>
      <c r="V1706">
        <v>2</v>
      </c>
    </row>
    <row r="1707" spans="1:22" x14ac:dyDescent="0.3">
      <c r="A1707" t="s">
        <v>59</v>
      </c>
      <c r="B1707">
        <v>3</v>
      </c>
      <c r="C1707">
        <v>0</v>
      </c>
      <c r="D1707">
        <v>0</v>
      </c>
      <c r="E1707">
        <v>0</v>
      </c>
      <c r="F1707">
        <v>0</v>
      </c>
      <c r="G1707">
        <v>0</v>
      </c>
      <c r="H1707">
        <v>0</v>
      </c>
      <c r="I1707">
        <v>0</v>
      </c>
      <c r="J1707">
        <v>0</v>
      </c>
      <c r="Q1707">
        <v>0</v>
      </c>
      <c r="R1707">
        <v>0</v>
      </c>
      <c r="S1707">
        <v>0</v>
      </c>
      <c r="T1707">
        <v>0</v>
      </c>
      <c r="U1707">
        <v>0</v>
      </c>
      <c r="V1707">
        <v>0</v>
      </c>
    </row>
    <row r="1708" spans="1:22" x14ac:dyDescent="0.3">
      <c r="A1708" t="s">
        <v>635</v>
      </c>
      <c r="B1708">
        <v>3</v>
      </c>
      <c r="E1708">
        <v>0</v>
      </c>
      <c r="I1708">
        <v>0</v>
      </c>
      <c r="R1708">
        <v>0</v>
      </c>
      <c r="U1708">
        <v>0</v>
      </c>
    </row>
    <row r="1709" spans="1:22" x14ac:dyDescent="0.3">
      <c r="A1709" t="s">
        <v>574</v>
      </c>
      <c r="B1709">
        <v>3</v>
      </c>
      <c r="E1709">
        <v>434</v>
      </c>
      <c r="I1709">
        <v>2890</v>
      </c>
      <c r="R1709">
        <v>1381</v>
      </c>
      <c r="U1709">
        <v>1438</v>
      </c>
    </row>
    <row r="1710" spans="1:22" x14ac:dyDescent="0.3">
      <c r="A1710" t="s">
        <v>78</v>
      </c>
      <c r="B1710">
        <v>3</v>
      </c>
      <c r="E1710">
        <v>6.6</v>
      </c>
      <c r="I1710">
        <v>43.8</v>
      </c>
      <c r="R1710">
        <v>31.4</v>
      </c>
      <c r="U1710">
        <v>32.700000000000003</v>
      </c>
    </row>
    <row r="1711" spans="1:22" x14ac:dyDescent="0.3">
      <c r="A1711" t="s">
        <v>636</v>
      </c>
      <c r="B1711">
        <v>3</v>
      </c>
      <c r="F1711">
        <v>1</v>
      </c>
      <c r="J1711">
        <v>0</v>
      </c>
      <c r="S1711">
        <v>1</v>
      </c>
      <c r="V1711">
        <v>0</v>
      </c>
    </row>
    <row r="1712" spans="1:22" x14ac:dyDescent="0.3">
      <c r="A1712" t="s">
        <v>637</v>
      </c>
      <c r="B1712">
        <v>3</v>
      </c>
      <c r="F1712">
        <v>50</v>
      </c>
      <c r="S1712">
        <v>100</v>
      </c>
    </row>
    <row r="1713" spans="1:22" x14ac:dyDescent="0.3">
      <c r="A1713" t="s">
        <v>638</v>
      </c>
      <c r="B1713">
        <v>3</v>
      </c>
      <c r="F1713">
        <v>0</v>
      </c>
      <c r="S1713">
        <v>0</v>
      </c>
    </row>
    <row r="1714" spans="1:22" x14ac:dyDescent="0.3">
      <c r="A1714" t="s">
        <v>639</v>
      </c>
      <c r="B1714">
        <v>3</v>
      </c>
      <c r="C1714">
        <v>3</v>
      </c>
      <c r="D1714">
        <v>0</v>
      </c>
      <c r="E1714">
        <v>0</v>
      </c>
      <c r="F1714">
        <v>1</v>
      </c>
      <c r="G1714">
        <v>3</v>
      </c>
      <c r="H1714">
        <v>0</v>
      </c>
      <c r="I1714">
        <v>0</v>
      </c>
      <c r="J1714">
        <v>1</v>
      </c>
      <c r="Q1714">
        <v>0</v>
      </c>
      <c r="R1714">
        <v>0</v>
      </c>
      <c r="S1714">
        <v>1</v>
      </c>
      <c r="T1714">
        <v>0</v>
      </c>
      <c r="U1714">
        <v>0</v>
      </c>
      <c r="V1714">
        <v>1</v>
      </c>
    </row>
    <row r="1715" spans="1:22" x14ac:dyDescent="0.3">
      <c r="A1715" t="s">
        <v>640</v>
      </c>
      <c r="B1715">
        <v>3</v>
      </c>
      <c r="C1715">
        <v>0</v>
      </c>
      <c r="D1715">
        <v>0</v>
      </c>
      <c r="E1715">
        <v>0</v>
      </c>
      <c r="F1715">
        <v>0</v>
      </c>
      <c r="G1715">
        <v>0</v>
      </c>
      <c r="H1715">
        <v>0</v>
      </c>
      <c r="I1715">
        <v>0</v>
      </c>
      <c r="J1715">
        <v>0</v>
      </c>
      <c r="Q1715">
        <v>0</v>
      </c>
      <c r="R1715">
        <v>0</v>
      </c>
      <c r="S1715">
        <v>0</v>
      </c>
      <c r="T1715">
        <v>0</v>
      </c>
      <c r="U1715">
        <v>0</v>
      </c>
      <c r="V1715">
        <v>0</v>
      </c>
    </row>
    <row r="1716" spans="1:22" x14ac:dyDescent="0.3">
      <c r="A1716" t="s">
        <v>52</v>
      </c>
      <c r="B1716">
        <v>3</v>
      </c>
      <c r="C1716">
        <v>1</v>
      </c>
      <c r="D1716">
        <v>1</v>
      </c>
      <c r="E1716">
        <v>1</v>
      </c>
      <c r="F1716">
        <v>1</v>
      </c>
      <c r="G1716">
        <v>1</v>
      </c>
      <c r="H1716">
        <v>1</v>
      </c>
      <c r="I1716">
        <v>1</v>
      </c>
      <c r="J1716">
        <v>1</v>
      </c>
      <c r="Q1716">
        <v>1</v>
      </c>
      <c r="R1716">
        <v>1</v>
      </c>
      <c r="S1716">
        <v>1</v>
      </c>
      <c r="T1716">
        <v>1</v>
      </c>
      <c r="U1716">
        <v>1</v>
      </c>
      <c r="V1716">
        <v>1</v>
      </c>
    </row>
    <row r="1717" spans="1:22" x14ac:dyDescent="0.3">
      <c r="A1717" t="s">
        <v>641</v>
      </c>
      <c r="B1717">
        <v>3</v>
      </c>
      <c r="C1717">
        <v>9</v>
      </c>
      <c r="D1717">
        <v>15</v>
      </c>
      <c r="E1717">
        <v>60</v>
      </c>
      <c r="F1717">
        <v>9</v>
      </c>
      <c r="G1717">
        <v>9</v>
      </c>
      <c r="H1717">
        <v>15</v>
      </c>
      <c r="I1717">
        <v>60</v>
      </c>
      <c r="J1717">
        <v>9</v>
      </c>
      <c r="Q1717">
        <v>15</v>
      </c>
      <c r="R1717">
        <v>60</v>
      </c>
      <c r="S1717">
        <v>9</v>
      </c>
      <c r="T1717">
        <v>15</v>
      </c>
      <c r="U1717">
        <v>60</v>
      </c>
      <c r="V1717">
        <v>9</v>
      </c>
    </row>
    <row r="1718" spans="1:22" x14ac:dyDescent="0.3">
      <c r="A1718" t="s">
        <v>43</v>
      </c>
      <c r="B1718">
        <v>3</v>
      </c>
      <c r="D1718">
        <v>40</v>
      </c>
      <c r="E1718">
        <v>336</v>
      </c>
      <c r="H1718">
        <v>40</v>
      </c>
      <c r="I1718">
        <v>336</v>
      </c>
      <c r="J1718">
        <v>0</v>
      </c>
      <c r="Q1718">
        <v>40</v>
      </c>
      <c r="R1718">
        <v>40</v>
      </c>
      <c r="S1718">
        <v>0</v>
      </c>
      <c r="T1718">
        <v>40</v>
      </c>
      <c r="U1718">
        <v>40</v>
      </c>
    </row>
    <row r="1719" spans="1:22" x14ac:dyDescent="0.3">
      <c r="A1719" t="s">
        <v>44</v>
      </c>
      <c r="B1719">
        <v>3</v>
      </c>
      <c r="D1719">
        <v>0</v>
      </c>
      <c r="E1719">
        <v>0</v>
      </c>
      <c r="H1719">
        <v>0</v>
      </c>
      <c r="I1719">
        <v>0</v>
      </c>
      <c r="J1719">
        <v>0</v>
      </c>
      <c r="Q1719">
        <v>0</v>
      </c>
      <c r="R1719">
        <v>0</v>
      </c>
      <c r="S1719">
        <v>0</v>
      </c>
      <c r="T1719">
        <v>0</v>
      </c>
      <c r="U1719">
        <v>0</v>
      </c>
    </row>
    <row r="1720" spans="1:22" x14ac:dyDescent="0.3">
      <c r="A1720" t="s">
        <v>47</v>
      </c>
      <c r="B1720">
        <v>3</v>
      </c>
      <c r="D1720">
        <v>5</v>
      </c>
      <c r="E1720">
        <v>2</v>
      </c>
      <c r="H1720">
        <v>1</v>
      </c>
      <c r="I1720">
        <v>6</v>
      </c>
      <c r="J1720">
        <v>6</v>
      </c>
      <c r="Q1720">
        <v>8</v>
      </c>
      <c r="R1720">
        <v>8</v>
      </c>
      <c r="S1720">
        <v>8</v>
      </c>
      <c r="T1720">
        <v>4</v>
      </c>
      <c r="U1720">
        <v>4</v>
      </c>
    </row>
    <row r="1721" spans="1:22" x14ac:dyDescent="0.3">
      <c r="A1721" t="s">
        <v>642</v>
      </c>
      <c r="B1721">
        <v>3</v>
      </c>
      <c r="D1721">
        <v>0</v>
      </c>
      <c r="E1721">
        <v>0</v>
      </c>
      <c r="H1721">
        <v>0</v>
      </c>
      <c r="I1721">
        <v>0</v>
      </c>
      <c r="J1721">
        <v>0</v>
      </c>
      <c r="Q1721">
        <v>0</v>
      </c>
      <c r="R1721">
        <v>0</v>
      </c>
      <c r="S1721">
        <v>0</v>
      </c>
      <c r="T1721">
        <v>0</v>
      </c>
      <c r="U1721">
        <v>0</v>
      </c>
    </row>
    <row r="1722" spans="1:22" x14ac:dyDescent="0.3">
      <c r="A1722" t="s">
        <v>643</v>
      </c>
      <c r="B1722">
        <v>3</v>
      </c>
      <c r="D1722">
        <v>0</v>
      </c>
      <c r="E1722">
        <v>0</v>
      </c>
      <c r="H1722">
        <v>0</v>
      </c>
      <c r="I1722">
        <v>0</v>
      </c>
      <c r="J1722">
        <v>0</v>
      </c>
      <c r="Q1722">
        <v>0</v>
      </c>
      <c r="R1722">
        <v>0</v>
      </c>
      <c r="S1722">
        <v>0</v>
      </c>
      <c r="T1722">
        <v>0</v>
      </c>
      <c r="U1722">
        <v>0</v>
      </c>
    </row>
    <row r="1723" spans="1:22" x14ac:dyDescent="0.3">
      <c r="A1723" t="s">
        <v>644</v>
      </c>
      <c r="B1723">
        <v>3</v>
      </c>
      <c r="D1723">
        <v>0</v>
      </c>
      <c r="E1723">
        <v>0</v>
      </c>
      <c r="H1723">
        <v>0</v>
      </c>
      <c r="I1723">
        <v>0</v>
      </c>
      <c r="J1723">
        <v>0</v>
      </c>
      <c r="Q1723">
        <v>0</v>
      </c>
      <c r="R1723">
        <v>0</v>
      </c>
      <c r="S1723">
        <v>0</v>
      </c>
      <c r="T1723">
        <v>0</v>
      </c>
      <c r="U1723">
        <v>0</v>
      </c>
    </row>
    <row r="1724" spans="1:22" x14ac:dyDescent="0.3">
      <c r="A1724" t="s">
        <v>645</v>
      </c>
      <c r="B1724">
        <v>3</v>
      </c>
      <c r="D1724">
        <v>0</v>
      </c>
      <c r="E1724">
        <v>0</v>
      </c>
      <c r="H1724">
        <v>0</v>
      </c>
      <c r="I1724">
        <v>0</v>
      </c>
      <c r="J1724">
        <v>0</v>
      </c>
      <c r="Q1724">
        <v>0</v>
      </c>
      <c r="R1724">
        <v>0</v>
      </c>
      <c r="S1724">
        <v>0</v>
      </c>
      <c r="T1724">
        <v>0</v>
      </c>
      <c r="U1724">
        <v>0</v>
      </c>
    </row>
    <row r="1725" spans="1:22" x14ac:dyDescent="0.3">
      <c r="A1725" t="s">
        <v>646</v>
      </c>
      <c r="B1725">
        <v>3</v>
      </c>
      <c r="D1725">
        <v>1</v>
      </c>
      <c r="E1725">
        <v>2</v>
      </c>
      <c r="H1725">
        <v>1</v>
      </c>
      <c r="I1725">
        <v>2</v>
      </c>
      <c r="J1725">
        <v>1</v>
      </c>
      <c r="Q1725">
        <v>1</v>
      </c>
      <c r="R1725">
        <v>1</v>
      </c>
      <c r="S1725">
        <v>1</v>
      </c>
      <c r="T1725">
        <v>1</v>
      </c>
      <c r="U1725">
        <v>1</v>
      </c>
    </row>
    <row r="1726" spans="1:22" x14ac:dyDescent="0.3">
      <c r="A1726" t="s">
        <v>647</v>
      </c>
      <c r="B1726">
        <v>3</v>
      </c>
      <c r="D1726">
        <v>0</v>
      </c>
      <c r="E1726">
        <v>330</v>
      </c>
      <c r="H1726">
        <v>0</v>
      </c>
      <c r="I1726">
        <v>330</v>
      </c>
      <c r="J1726">
        <v>0</v>
      </c>
      <c r="Q1726">
        <v>0</v>
      </c>
      <c r="R1726">
        <v>0</v>
      </c>
      <c r="S1726">
        <v>0</v>
      </c>
      <c r="T1726">
        <v>0</v>
      </c>
      <c r="U1726">
        <v>0</v>
      </c>
    </row>
    <row r="1727" spans="1:22" x14ac:dyDescent="0.3">
      <c r="A1727" t="s">
        <v>648</v>
      </c>
      <c r="B1727">
        <v>3</v>
      </c>
      <c r="D1727">
        <v>40</v>
      </c>
      <c r="E1727">
        <v>6</v>
      </c>
      <c r="H1727">
        <v>40</v>
      </c>
      <c r="I1727">
        <v>6</v>
      </c>
      <c r="J1727">
        <v>0</v>
      </c>
      <c r="Q1727">
        <v>40</v>
      </c>
      <c r="R1727">
        <v>40</v>
      </c>
      <c r="S1727">
        <v>0</v>
      </c>
      <c r="T1727">
        <v>40</v>
      </c>
      <c r="U1727">
        <v>40</v>
      </c>
    </row>
    <row r="1728" spans="1:22" x14ac:dyDescent="0.3">
      <c r="A1728" t="s">
        <v>649</v>
      </c>
      <c r="B1728">
        <v>3</v>
      </c>
      <c r="D1728">
        <v>3</v>
      </c>
      <c r="E1728">
        <v>3</v>
      </c>
      <c r="H1728">
        <v>3</v>
      </c>
      <c r="I1728">
        <v>3</v>
      </c>
      <c r="J1728">
        <v>3</v>
      </c>
      <c r="Q1728">
        <v>3</v>
      </c>
      <c r="R1728">
        <v>3</v>
      </c>
      <c r="S1728">
        <v>3</v>
      </c>
      <c r="T1728">
        <v>3</v>
      </c>
      <c r="U1728">
        <v>3</v>
      </c>
    </row>
    <row r="1729" spans="1:22" x14ac:dyDescent="0.3">
      <c r="A1729" t="s">
        <v>650</v>
      </c>
      <c r="B1729">
        <v>3</v>
      </c>
      <c r="D1729">
        <v>0</v>
      </c>
      <c r="E1729">
        <v>0</v>
      </c>
      <c r="H1729">
        <v>0</v>
      </c>
      <c r="I1729">
        <v>0</v>
      </c>
      <c r="J1729">
        <v>0</v>
      </c>
      <c r="Q1729">
        <v>0</v>
      </c>
      <c r="R1729">
        <v>0</v>
      </c>
      <c r="S1729">
        <v>0</v>
      </c>
      <c r="T1729">
        <v>0</v>
      </c>
      <c r="U1729">
        <v>0</v>
      </c>
    </row>
    <row r="1730" spans="1:22" x14ac:dyDescent="0.3">
      <c r="A1730" t="s">
        <v>651</v>
      </c>
      <c r="B1730">
        <v>3</v>
      </c>
      <c r="D1730">
        <v>0</v>
      </c>
      <c r="E1730">
        <v>0</v>
      </c>
      <c r="H1730">
        <v>0</v>
      </c>
      <c r="I1730">
        <v>0</v>
      </c>
      <c r="J1730">
        <v>0</v>
      </c>
      <c r="Q1730">
        <v>0</v>
      </c>
      <c r="R1730">
        <v>0</v>
      </c>
      <c r="S1730">
        <v>0</v>
      </c>
      <c r="T1730">
        <v>0</v>
      </c>
      <c r="U1730">
        <v>0</v>
      </c>
    </row>
    <row r="1731" spans="1:22" x14ac:dyDescent="0.3">
      <c r="A1731" t="s">
        <v>652</v>
      </c>
      <c r="B1731">
        <v>3</v>
      </c>
      <c r="D1731">
        <v>0</v>
      </c>
      <c r="E1731">
        <v>0</v>
      </c>
      <c r="H1731">
        <v>0</v>
      </c>
      <c r="I1731">
        <v>0</v>
      </c>
      <c r="J1731">
        <v>0</v>
      </c>
      <c r="Q1731">
        <v>0</v>
      </c>
      <c r="R1731">
        <v>0</v>
      </c>
      <c r="S1731">
        <v>0</v>
      </c>
      <c r="T1731">
        <v>0</v>
      </c>
      <c r="U1731">
        <v>0</v>
      </c>
    </row>
    <row r="1732" spans="1:22" x14ac:dyDescent="0.3">
      <c r="A1732" t="s">
        <v>653</v>
      </c>
      <c r="B1732">
        <v>3</v>
      </c>
      <c r="E1732">
        <v>0</v>
      </c>
      <c r="I1732">
        <v>0</v>
      </c>
    </row>
    <row r="1733" spans="1:22" x14ac:dyDescent="0.3">
      <c r="A1733" t="s">
        <v>654</v>
      </c>
      <c r="B1733">
        <v>3</v>
      </c>
      <c r="E1733">
        <v>0</v>
      </c>
      <c r="I1733">
        <v>0</v>
      </c>
    </row>
    <row r="1734" spans="1:22" x14ac:dyDescent="0.3">
      <c r="A1734" t="s">
        <v>655</v>
      </c>
      <c r="B1734">
        <v>3</v>
      </c>
      <c r="E1734">
        <v>3</v>
      </c>
      <c r="I1734">
        <v>3</v>
      </c>
    </row>
    <row r="1735" spans="1:22" x14ac:dyDescent="0.3">
      <c r="A1735" t="s">
        <v>656</v>
      </c>
      <c r="B1735">
        <v>3</v>
      </c>
      <c r="E1735">
        <v>0</v>
      </c>
      <c r="I1735">
        <v>0</v>
      </c>
    </row>
    <row r="1736" spans="1:22" x14ac:dyDescent="0.3">
      <c r="A1736" t="s">
        <v>657</v>
      </c>
      <c r="B1736">
        <v>3</v>
      </c>
      <c r="E1736">
        <v>0</v>
      </c>
      <c r="I1736">
        <v>0</v>
      </c>
      <c r="R1736">
        <v>0</v>
      </c>
      <c r="U1736">
        <v>0</v>
      </c>
    </row>
    <row r="1737" spans="1:22" x14ac:dyDescent="0.3">
      <c r="A1737" t="s">
        <v>408</v>
      </c>
      <c r="B1737">
        <v>3</v>
      </c>
      <c r="E1737">
        <v>0</v>
      </c>
    </row>
    <row r="1738" spans="1:22" x14ac:dyDescent="0.3">
      <c r="A1738" t="s">
        <v>658</v>
      </c>
      <c r="B1738">
        <v>3</v>
      </c>
      <c r="C1738">
        <v>0</v>
      </c>
      <c r="D1738">
        <v>135</v>
      </c>
      <c r="E1738">
        <v>1048</v>
      </c>
      <c r="F1738">
        <v>0</v>
      </c>
      <c r="G1738">
        <v>0</v>
      </c>
      <c r="H1738">
        <v>36</v>
      </c>
      <c r="I1738">
        <v>449</v>
      </c>
      <c r="J1738">
        <v>8</v>
      </c>
      <c r="Q1738">
        <v>7</v>
      </c>
      <c r="R1738">
        <v>220</v>
      </c>
      <c r="S1738">
        <v>137</v>
      </c>
      <c r="T1738">
        <v>26</v>
      </c>
      <c r="U1738">
        <v>164</v>
      </c>
      <c r="V1738">
        <v>0</v>
      </c>
    </row>
    <row r="1739" spans="1:22" x14ac:dyDescent="0.3">
      <c r="A1739" t="s">
        <v>34</v>
      </c>
      <c r="B1739">
        <v>4</v>
      </c>
      <c r="C1739">
        <v>3</v>
      </c>
      <c r="D1739">
        <v>3</v>
      </c>
      <c r="E1739">
        <v>3</v>
      </c>
      <c r="F1739">
        <v>3</v>
      </c>
      <c r="G1739">
        <v>5</v>
      </c>
      <c r="H1739">
        <v>5</v>
      </c>
      <c r="I1739">
        <v>5</v>
      </c>
      <c r="J1739">
        <v>5</v>
      </c>
      <c r="K1739">
        <v>108</v>
      </c>
      <c r="L1739">
        <v>108</v>
      </c>
      <c r="M1739">
        <v>108</v>
      </c>
      <c r="N1739">
        <v>6</v>
      </c>
      <c r="O1739">
        <v>6</v>
      </c>
      <c r="P1739">
        <v>6</v>
      </c>
    </row>
    <row r="1740" spans="1:22" x14ac:dyDescent="0.3">
      <c r="A1740" t="s">
        <v>35</v>
      </c>
      <c r="B1740">
        <v>4</v>
      </c>
      <c r="C1740">
        <v>3</v>
      </c>
      <c r="D1740">
        <v>108</v>
      </c>
      <c r="E1740">
        <v>5</v>
      </c>
      <c r="F1740">
        <v>6</v>
      </c>
      <c r="G1740">
        <v>5</v>
      </c>
      <c r="H1740">
        <v>6</v>
      </c>
      <c r="I1740">
        <v>3</v>
      </c>
      <c r="J1740">
        <v>108</v>
      </c>
      <c r="K1740">
        <v>5</v>
      </c>
      <c r="L1740">
        <v>6</v>
      </c>
      <c r="M1740">
        <v>3</v>
      </c>
      <c r="N1740">
        <v>3</v>
      </c>
      <c r="O1740">
        <v>108</v>
      </c>
      <c r="P1740">
        <v>5</v>
      </c>
    </row>
    <row r="1741" spans="1:22" x14ac:dyDescent="0.3">
      <c r="A1741" t="s">
        <v>36</v>
      </c>
      <c r="B1741">
        <v>4</v>
      </c>
      <c r="C1741">
        <v>0</v>
      </c>
      <c r="D1741">
        <v>0</v>
      </c>
      <c r="E1741">
        <v>2</v>
      </c>
      <c r="F1741">
        <v>0</v>
      </c>
      <c r="G1741">
        <v>0</v>
      </c>
      <c r="H1741">
        <v>1</v>
      </c>
      <c r="I1741">
        <v>2</v>
      </c>
      <c r="J1741">
        <v>0</v>
      </c>
      <c r="K1741">
        <v>1</v>
      </c>
      <c r="L1741">
        <v>2</v>
      </c>
      <c r="M1741">
        <v>0</v>
      </c>
      <c r="N1741">
        <v>0</v>
      </c>
      <c r="O1741">
        <v>0</v>
      </c>
      <c r="P1741">
        <v>0</v>
      </c>
    </row>
    <row r="1742" spans="1:22" x14ac:dyDescent="0.3">
      <c r="A1742" t="s">
        <v>37</v>
      </c>
      <c r="B1742">
        <v>4</v>
      </c>
      <c r="D1742">
        <v>0</v>
      </c>
      <c r="E1742">
        <v>2</v>
      </c>
      <c r="H1742">
        <v>0</v>
      </c>
      <c r="I1742">
        <v>0</v>
      </c>
      <c r="K1742">
        <v>0</v>
      </c>
      <c r="L1742">
        <v>3</v>
      </c>
      <c r="N1742">
        <v>0</v>
      </c>
      <c r="O1742">
        <v>0</v>
      </c>
    </row>
    <row r="1743" spans="1:22" x14ac:dyDescent="0.3">
      <c r="A1743" t="s">
        <v>38</v>
      </c>
      <c r="B1743">
        <v>4</v>
      </c>
      <c r="C1743">
        <v>12</v>
      </c>
      <c r="D1743">
        <v>12</v>
      </c>
      <c r="E1743">
        <v>12</v>
      </c>
      <c r="F1743">
        <v>12</v>
      </c>
      <c r="G1743">
        <v>12</v>
      </c>
      <c r="H1743">
        <v>12</v>
      </c>
      <c r="I1743">
        <v>12</v>
      </c>
      <c r="J1743">
        <v>12</v>
      </c>
      <c r="K1743">
        <v>12</v>
      </c>
      <c r="L1743">
        <v>12</v>
      </c>
      <c r="M1743">
        <v>12</v>
      </c>
      <c r="N1743">
        <v>12</v>
      </c>
      <c r="O1743">
        <v>12</v>
      </c>
      <c r="P1743">
        <v>12</v>
      </c>
    </row>
    <row r="1744" spans="1:22" x14ac:dyDescent="0.3">
      <c r="A1744" t="s">
        <v>39</v>
      </c>
      <c r="B1744">
        <v>4</v>
      </c>
      <c r="H1744">
        <v>150</v>
      </c>
    </row>
    <row r="1745" spans="1:16" x14ac:dyDescent="0.3">
      <c r="A1745" t="s">
        <v>631</v>
      </c>
      <c r="B1745">
        <v>4</v>
      </c>
      <c r="H1745">
        <v>25</v>
      </c>
    </row>
    <row r="1746" spans="1:16" x14ac:dyDescent="0.3">
      <c r="A1746" t="s">
        <v>40</v>
      </c>
      <c r="B1746">
        <v>4</v>
      </c>
      <c r="H1746">
        <v>1</v>
      </c>
    </row>
    <row r="1747" spans="1:16" x14ac:dyDescent="0.3">
      <c r="A1747" t="s">
        <v>41</v>
      </c>
      <c r="B1747">
        <v>4</v>
      </c>
    </row>
    <row r="1748" spans="1:16" x14ac:dyDescent="0.3">
      <c r="A1748" t="s">
        <v>42</v>
      </c>
      <c r="B1748">
        <v>4</v>
      </c>
      <c r="E1748">
        <v>45</v>
      </c>
      <c r="I1748">
        <v>35</v>
      </c>
      <c r="L1748">
        <v>30</v>
      </c>
      <c r="O1748">
        <v>30</v>
      </c>
    </row>
    <row r="1749" spans="1:16" x14ac:dyDescent="0.3">
      <c r="A1749" t="s">
        <v>45</v>
      </c>
      <c r="B1749">
        <v>4</v>
      </c>
      <c r="E1749">
        <v>6</v>
      </c>
      <c r="H1749">
        <v>5</v>
      </c>
      <c r="I1749">
        <v>2</v>
      </c>
      <c r="K1749">
        <v>4</v>
      </c>
      <c r="L1749">
        <v>4</v>
      </c>
    </row>
    <row r="1750" spans="1:16" x14ac:dyDescent="0.3">
      <c r="A1750" t="s">
        <v>46</v>
      </c>
      <c r="B1750">
        <v>4</v>
      </c>
      <c r="H1750">
        <v>2</v>
      </c>
    </row>
    <row r="1751" spans="1:16" x14ac:dyDescent="0.3">
      <c r="A1751" t="s">
        <v>49</v>
      </c>
      <c r="B1751">
        <v>4</v>
      </c>
      <c r="C1751">
        <v>4</v>
      </c>
      <c r="D1751">
        <v>4</v>
      </c>
      <c r="E1751">
        <v>5.6</v>
      </c>
      <c r="F1751">
        <v>4</v>
      </c>
      <c r="G1751">
        <v>4</v>
      </c>
      <c r="H1751">
        <v>5.6</v>
      </c>
      <c r="I1751">
        <v>5.6</v>
      </c>
      <c r="J1751">
        <v>4</v>
      </c>
      <c r="K1751">
        <v>6.1</v>
      </c>
      <c r="L1751">
        <v>6.1</v>
      </c>
      <c r="M1751">
        <v>4</v>
      </c>
      <c r="N1751">
        <v>4</v>
      </c>
      <c r="O1751">
        <v>4</v>
      </c>
      <c r="P1751">
        <v>4</v>
      </c>
    </row>
    <row r="1752" spans="1:16" x14ac:dyDescent="0.3">
      <c r="A1752" t="s">
        <v>632</v>
      </c>
      <c r="B1752">
        <v>4</v>
      </c>
      <c r="C1752">
        <v>0</v>
      </c>
      <c r="D1752">
        <v>0</v>
      </c>
      <c r="E1752">
        <v>0</v>
      </c>
      <c r="F1752">
        <v>0</v>
      </c>
      <c r="G1752">
        <v>0</v>
      </c>
      <c r="H1752">
        <v>0</v>
      </c>
      <c r="I1752">
        <v>0</v>
      </c>
      <c r="J1752">
        <v>0</v>
      </c>
      <c r="K1752">
        <v>0</v>
      </c>
      <c r="L1752">
        <v>0</v>
      </c>
      <c r="M1752">
        <v>0</v>
      </c>
      <c r="N1752">
        <v>0</v>
      </c>
      <c r="O1752">
        <v>0</v>
      </c>
      <c r="P1752">
        <v>0</v>
      </c>
    </row>
    <row r="1753" spans="1:16" x14ac:dyDescent="0.3">
      <c r="A1753" t="s">
        <v>48</v>
      </c>
      <c r="B1753">
        <v>4</v>
      </c>
      <c r="C1753">
        <v>1900</v>
      </c>
      <c r="D1753">
        <v>1900</v>
      </c>
      <c r="E1753">
        <v>1900</v>
      </c>
      <c r="F1753">
        <v>1900</v>
      </c>
      <c r="G1753">
        <v>1900</v>
      </c>
      <c r="H1753">
        <v>1900</v>
      </c>
      <c r="I1753">
        <v>1900</v>
      </c>
      <c r="J1753">
        <v>1900</v>
      </c>
      <c r="K1753">
        <v>1900</v>
      </c>
      <c r="L1753">
        <v>1900</v>
      </c>
      <c r="M1753">
        <v>1900</v>
      </c>
      <c r="N1753">
        <v>1900</v>
      </c>
      <c r="O1753">
        <v>1900</v>
      </c>
      <c r="P1753">
        <v>1900</v>
      </c>
    </row>
    <row r="1754" spans="1:16" x14ac:dyDescent="0.3">
      <c r="A1754" t="s">
        <v>633</v>
      </c>
      <c r="B1754">
        <v>4</v>
      </c>
      <c r="C1754">
        <v>0</v>
      </c>
      <c r="D1754">
        <v>0</v>
      </c>
      <c r="E1754">
        <v>3486</v>
      </c>
      <c r="F1754">
        <v>0</v>
      </c>
      <c r="G1754">
        <v>0</v>
      </c>
      <c r="H1754">
        <v>1770</v>
      </c>
      <c r="I1754">
        <v>3539</v>
      </c>
      <c r="J1754">
        <v>0</v>
      </c>
      <c r="K1754">
        <v>1610</v>
      </c>
      <c r="L1754">
        <v>3333</v>
      </c>
      <c r="M1754">
        <v>0</v>
      </c>
      <c r="N1754">
        <v>0</v>
      </c>
      <c r="O1754">
        <v>0</v>
      </c>
      <c r="P1754">
        <v>0</v>
      </c>
    </row>
    <row r="1755" spans="1:16" x14ac:dyDescent="0.3">
      <c r="A1755" t="s">
        <v>50</v>
      </c>
      <c r="B1755">
        <v>4</v>
      </c>
      <c r="C1755">
        <v>0</v>
      </c>
      <c r="D1755">
        <v>0</v>
      </c>
      <c r="E1755">
        <v>3486</v>
      </c>
      <c r="F1755">
        <v>0</v>
      </c>
      <c r="G1755">
        <v>0</v>
      </c>
      <c r="H1755">
        <v>177</v>
      </c>
      <c r="I1755">
        <v>3539</v>
      </c>
      <c r="J1755">
        <v>0</v>
      </c>
      <c r="K1755">
        <v>1610</v>
      </c>
      <c r="L1755">
        <v>3333</v>
      </c>
      <c r="M1755">
        <v>0</v>
      </c>
      <c r="N1755">
        <v>0</v>
      </c>
      <c r="O1755">
        <v>0</v>
      </c>
      <c r="P1755">
        <v>0</v>
      </c>
    </row>
    <row r="1756" spans="1:16" x14ac:dyDescent="0.3">
      <c r="A1756" t="s">
        <v>634</v>
      </c>
      <c r="B1756">
        <v>4</v>
      </c>
      <c r="C1756">
        <v>1</v>
      </c>
      <c r="D1756">
        <v>1</v>
      </c>
      <c r="E1756">
        <v>1</v>
      </c>
      <c r="F1756">
        <v>1</v>
      </c>
      <c r="G1756">
        <v>1</v>
      </c>
      <c r="H1756">
        <v>1</v>
      </c>
      <c r="I1756">
        <v>1</v>
      </c>
      <c r="J1756">
        <v>1</v>
      </c>
      <c r="K1756">
        <v>1</v>
      </c>
      <c r="L1756">
        <v>1</v>
      </c>
      <c r="M1756">
        <v>1</v>
      </c>
      <c r="N1756">
        <v>1</v>
      </c>
      <c r="O1756">
        <v>1</v>
      </c>
      <c r="P1756">
        <v>1</v>
      </c>
    </row>
    <row r="1757" spans="1:16" x14ac:dyDescent="0.3">
      <c r="A1757" t="s">
        <v>51</v>
      </c>
      <c r="B1757">
        <v>4</v>
      </c>
      <c r="C1757">
        <v>0</v>
      </c>
      <c r="D1757">
        <v>0</v>
      </c>
      <c r="E1757">
        <v>13</v>
      </c>
      <c r="F1757">
        <v>0</v>
      </c>
      <c r="G1757">
        <v>0</v>
      </c>
      <c r="H1757">
        <v>0</v>
      </c>
      <c r="I1757">
        <v>0</v>
      </c>
      <c r="J1757">
        <v>0</v>
      </c>
      <c r="K1757">
        <v>0</v>
      </c>
      <c r="L1757">
        <v>5</v>
      </c>
      <c r="M1757">
        <v>0</v>
      </c>
      <c r="N1757">
        <v>0</v>
      </c>
      <c r="O1757">
        <v>0</v>
      </c>
      <c r="P1757">
        <v>0</v>
      </c>
    </row>
    <row r="1758" spans="1:16" x14ac:dyDescent="0.3">
      <c r="A1758" t="s">
        <v>53</v>
      </c>
      <c r="B1758">
        <v>4</v>
      </c>
      <c r="C1758">
        <v>0</v>
      </c>
      <c r="D1758">
        <v>0</v>
      </c>
      <c r="E1758">
        <v>1160</v>
      </c>
      <c r="F1758">
        <v>124</v>
      </c>
      <c r="G1758">
        <v>0</v>
      </c>
      <c r="H1758">
        <v>80</v>
      </c>
      <c r="I1758">
        <v>565</v>
      </c>
      <c r="J1758">
        <v>0</v>
      </c>
      <c r="K1758">
        <v>396</v>
      </c>
      <c r="L1758">
        <v>490</v>
      </c>
      <c r="M1758">
        <v>39</v>
      </c>
      <c r="N1758">
        <v>0</v>
      </c>
      <c r="O1758">
        <v>0</v>
      </c>
      <c r="P1758">
        <v>0</v>
      </c>
    </row>
    <row r="1759" spans="1:16" x14ac:dyDescent="0.3">
      <c r="A1759" t="s">
        <v>54</v>
      </c>
      <c r="B1759">
        <v>4</v>
      </c>
      <c r="C1759">
        <v>0</v>
      </c>
      <c r="D1759">
        <v>0</v>
      </c>
      <c r="E1759">
        <v>0</v>
      </c>
      <c r="F1759">
        <v>0</v>
      </c>
      <c r="G1759">
        <v>0</v>
      </c>
      <c r="H1759">
        <v>0</v>
      </c>
      <c r="I1759">
        <v>0</v>
      </c>
      <c r="J1759">
        <v>0</v>
      </c>
      <c r="K1759">
        <v>0</v>
      </c>
      <c r="L1759">
        <v>0</v>
      </c>
      <c r="M1759">
        <v>0</v>
      </c>
      <c r="N1759">
        <v>0</v>
      </c>
      <c r="O1759">
        <v>0</v>
      </c>
      <c r="P1759">
        <v>0</v>
      </c>
    </row>
    <row r="1760" spans="1:16" x14ac:dyDescent="0.3">
      <c r="A1760" t="s">
        <v>55</v>
      </c>
      <c r="B1760">
        <v>4</v>
      </c>
      <c r="C1760">
        <v>0</v>
      </c>
      <c r="D1760">
        <v>0</v>
      </c>
      <c r="E1760">
        <v>0</v>
      </c>
      <c r="F1760">
        <v>0</v>
      </c>
      <c r="G1760">
        <v>0</v>
      </c>
      <c r="H1760">
        <v>0</v>
      </c>
      <c r="I1760">
        <v>0</v>
      </c>
      <c r="J1760">
        <v>0</v>
      </c>
      <c r="K1760">
        <v>0</v>
      </c>
      <c r="L1760">
        <v>0</v>
      </c>
      <c r="M1760">
        <v>0</v>
      </c>
      <c r="N1760">
        <v>0</v>
      </c>
      <c r="O1760">
        <v>0</v>
      </c>
      <c r="P1760">
        <v>0</v>
      </c>
    </row>
    <row r="1761" spans="1:16" x14ac:dyDescent="0.3">
      <c r="A1761" t="s">
        <v>56</v>
      </c>
      <c r="B1761">
        <v>4</v>
      </c>
      <c r="C1761">
        <v>0.92</v>
      </c>
      <c r="D1761">
        <v>0.92</v>
      </c>
      <c r="E1761">
        <v>0.92</v>
      </c>
      <c r="F1761">
        <v>0.92</v>
      </c>
      <c r="G1761">
        <v>0.92</v>
      </c>
      <c r="H1761">
        <v>0.92</v>
      </c>
      <c r="I1761">
        <v>0.92</v>
      </c>
      <c r="J1761">
        <v>0.92</v>
      </c>
      <c r="K1761">
        <v>0.92</v>
      </c>
      <c r="L1761">
        <v>0.92</v>
      </c>
      <c r="M1761">
        <v>0.92</v>
      </c>
      <c r="N1761">
        <v>0.92</v>
      </c>
      <c r="O1761">
        <v>0.92</v>
      </c>
      <c r="P1761">
        <v>0.92</v>
      </c>
    </row>
    <row r="1762" spans="1:16" x14ac:dyDescent="0.3">
      <c r="A1762" t="s">
        <v>57</v>
      </c>
      <c r="B1762">
        <v>4</v>
      </c>
      <c r="C1762">
        <v>100</v>
      </c>
      <c r="D1762">
        <v>100</v>
      </c>
      <c r="E1762">
        <v>100</v>
      </c>
      <c r="F1762">
        <v>100</v>
      </c>
      <c r="G1762">
        <v>100</v>
      </c>
      <c r="H1762">
        <v>100</v>
      </c>
      <c r="I1762">
        <v>100</v>
      </c>
      <c r="J1762">
        <v>100</v>
      </c>
      <c r="K1762">
        <v>100</v>
      </c>
      <c r="L1762">
        <v>100</v>
      </c>
      <c r="M1762">
        <v>100</v>
      </c>
      <c r="N1762">
        <v>100</v>
      </c>
      <c r="O1762">
        <v>100</v>
      </c>
      <c r="P1762">
        <v>100</v>
      </c>
    </row>
    <row r="1763" spans="1:16" x14ac:dyDescent="0.3">
      <c r="A1763" t="s">
        <v>58</v>
      </c>
      <c r="B1763">
        <v>4</v>
      </c>
      <c r="C1763">
        <v>2</v>
      </c>
      <c r="D1763">
        <v>2</v>
      </c>
      <c r="E1763">
        <v>2</v>
      </c>
      <c r="F1763">
        <v>2</v>
      </c>
      <c r="G1763">
        <v>2</v>
      </c>
      <c r="H1763">
        <v>2</v>
      </c>
      <c r="I1763">
        <v>2</v>
      </c>
      <c r="J1763">
        <v>2</v>
      </c>
      <c r="K1763">
        <v>2</v>
      </c>
      <c r="L1763">
        <v>2</v>
      </c>
      <c r="M1763">
        <v>2</v>
      </c>
      <c r="N1763">
        <v>2</v>
      </c>
      <c r="O1763">
        <v>2</v>
      </c>
      <c r="P1763">
        <v>2</v>
      </c>
    </row>
    <row r="1764" spans="1:16" x14ac:dyDescent="0.3">
      <c r="A1764" t="s">
        <v>59</v>
      </c>
      <c r="B1764">
        <v>4</v>
      </c>
      <c r="C1764">
        <v>0</v>
      </c>
      <c r="D1764">
        <v>0</v>
      </c>
      <c r="E1764">
        <v>0</v>
      </c>
      <c r="F1764">
        <v>0</v>
      </c>
      <c r="G1764">
        <v>0</v>
      </c>
      <c r="H1764">
        <v>0</v>
      </c>
      <c r="I1764">
        <v>0</v>
      </c>
      <c r="J1764">
        <v>0</v>
      </c>
      <c r="K1764">
        <v>0</v>
      </c>
      <c r="L1764">
        <v>0</v>
      </c>
      <c r="M1764">
        <v>0</v>
      </c>
      <c r="N1764">
        <v>0</v>
      </c>
      <c r="O1764">
        <v>0</v>
      </c>
      <c r="P1764">
        <v>0</v>
      </c>
    </row>
    <row r="1765" spans="1:16" x14ac:dyDescent="0.3">
      <c r="A1765" t="s">
        <v>635</v>
      </c>
      <c r="B1765">
        <v>4</v>
      </c>
      <c r="E1765">
        <v>0</v>
      </c>
      <c r="I1765">
        <v>0</v>
      </c>
      <c r="L1765">
        <v>0</v>
      </c>
      <c r="O1765">
        <v>0</v>
      </c>
    </row>
    <row r="1766" spans="1:16" x14ac:dyDescent="0.3">
      <c r="A1766" t="s">
        <v>574</v>
      </c>
      <c r="B1766">
        <v>4</v>
      </c>
      <c r="E1766">
        <v>2890</v>
      </c>
      <c r="I1766">
        <v>326</v>
      </c>
      <c r="L1766">
        <v>955</v>
      </c>
      <c r="O1766">
        <v>1509</v>
      </c>
    </row>
    <row r="1767" spans="1:16" x14ac:dyDescent="0.3">
      <c r="A1767" t="s">
        <v>78</v>
      </c>
      <c r="B1767">
        <v>4</v>
      </c>
      <c r="E1767">
        <v>43.8</v>
      </c>
      <c r="I1767">
        <v>6.4</v>
      </c>
      <c r="L1767">
        <v>21.7</v>
      </c>
      <c r="O1767">
        <v>34.299999999999997</v>
      </c>
    </row>
    <row r="1768" spans="1:16" x14ac:dyDescent="0.3">
      <c r="A1768" t="s">
        <v>636</v>
      </c>
      <c r="B1768">
        <v>4</v>
      </c>
      <c r="F1768">
        <v>0</v>
      </c>
      <c r="J1768">
        <v>0</v>
      </c>
      <c r="M1768">
        <v>0</v>
      </c>
      <c r="P1768">
        <v>0</v>
      </c>
    </row>
    <row r="1769" spans="1:16" x14ac:dyDescent="0.3">
      <c r="A1769" t="s">
        <v>639</v>
      </c>
      <c r="B1769">
        <v>4</v>
      </c>
      <c r="C1769">
        <v>3</v>
      </c>
      <c r="D1769">
        <v>0</v>
      </c>
      <c r="E1769">
        <v>0</v>
      </c>
      <c r="F1769">
        <v>1</v>
      </c>
      <c r="G1769">
        <v>3</v>
      </c>
      <c r="H1769">
        <v>0</v>
      </c>
      <c r="I1769">
        <v>0</v>
      </c>
      <c r="J1769">
        <v>1</v>
      </c>
      <c r="K1769">
        <v>0</v>
      </c>
      <c r="L1769">
        <v>0</v>
      </c>
      <c r="M1769">
        <v>1</v>
      </c>
      <c r="N1769">
        <v>0</v>
      </c>
      <c r="O1769">
        <v>0</v>
      </c>
      <c r="P1769">
        <v>1</v>
      </c>
    </row>
    <row r="1770" spans="1:16" x14ac:dyDescent="0.3">
      <c r="A1770" t="s">
        <v>640</v>
      </c>
      <c r="B1770">
        <v>4</v>
      </c>
      <c r="C1770">
        <v>0</v>
      </c>
      <c r="D1770">
        <v>0</v>
      </c>
      <c r="E1770">
        <v>0</v>
      </c>
      <c r="F1770">
        <v>0</v>
      </c>
      <c r="G1770">
        <v>0</v>
      </c>
      <c r="H1770">
        <v>0</v>
      </c>
      <c r="I1770">
        <v>0</v>
      </c>
      <c r="J1770">
        <v>0</v>
      </c>
      <c r="K1770">
        <v>0</v>
      </c>
      <c r="L1770">
        <v>0</v>
      </c>
      <c r="M1770">
        <v>0</v>
      </c>
      <c r="N1770">
        <v>0</v>
      </c>
      <c r="O1770">
        <v>0</v>
      </c>
      <c r="P1770">
        <v>0</v>
      </c>
    </row>
    <row r="1771" spans="1:16" x14ac:dyDescent="0.3">
      <c r="A1771" t="s">
        <v>52</v>
      </c>
      <c r="B1771">
        <v>4</v>
      </c>
      <c r="C1771">
        <v>1</v>
      </c>
      <c r="D1771">
        <v>1</v>
      </c>
      <c r="E1771">
        <v>1</v>
      </c>
      <c r="F1771">
        <v>1</v>
      </c>
      <c r="G1771">
        <v>1</v>
      </c>
      <c r="H1771">
        <v>1</v>
      </c>
      <c r="I1771">
        <v>1</v>
      </c>
      <c r="J1771">
        <v>1</v>
      </c>
      <c r="K1771">
        <v>1</v>
      </c>
      <c r="L1771">
        <v>1</v>
      </c>
      <c r="M1771">
        <v>1</v>
      </c>
      <c r="N1771">
        <v>1</v>
      </c>
      <c r="O1771">
        <v>1</v>
      </c>
      <c r="P1771">
        <v>1</v>
      </c>
    </row>
    <row r="1772" spans="1:16" x14ac:dyDescent="0.3">
      <c r="A1772" t="s">
        <v>641</v>
      </c>
      <c r="B1772">
        <v>4</v>
      </c>
      <c r="C1772">
        <v>9</v>
      </c>
      <c r="D1772">
        <v>15</v>
      </c>
      <c r="E1772">
        <v>60</v>
      </c>
      <c r="F1772">
        <v>9</v>
      </c>
      <c r="G1772">
        <v>9</v>
      </c>
      <c r="H1772">
        <v>15</v>
      </c>
      <c r="I1772">
        <v>60</v>
      </c>
      <c r="J1772">
        <v>9</v>
      </c>
      <c r="K1772">
        <v>15</v>
      </c>
      <c r="L1772">
        <v>60</v>
      </c>
      <c r="M1772">
        <v>9</v>
      </c>
      <c r="N1772">
        <v>15</v>
      </c>
      <c r="O1772">
        <v>60</v>
      </c>
      <c r="P1772">
        <v>9</v>
      </c>
    </row>
    <row r="1773" spans="1:16" x14ac:dyDescent="0.3">
      <c r="A1773" t="s">
        <v>43</v>
      </c>
      <c r="B1773">
        <v>4</v>
      </c>
      <c r="E1773">
        <v>256</v>
      </c>
      <c r="H1773">
        <v>40</v>
      </c>
      <c r="I1773">
        <v>256</v>
      </c>
      <c r="K1773">
        <v>40</v>
      </c>
      <c r="L1773">
        <v>40</v>
      </c>
    </row>
    <row r="1774" spans="1:16" x14ac:dyDescent="0.3">
      <c r="A1774" t="s">
        <v>44</v>
      </c>
      <c r="B1774">
        <v>4</v>
      </c>
      <c r="E1774">
        <v>0</v>
      </c>
      <c r="H1774">
        <v>0</v>
      </c>
      <c r="I1774">
        <v>0</v>
      </c>
      <c r="K1774">
        <v>0</v>
      </c>
      <c r="L1774">
        <v>0</v>
      </c>
    </row>
    <row r="1775" spans="1:16" x14ac:dyDescent="0.3">
      <c r="A1775" t="s">
        <v>47</v>
      </c>
      <c r="B1775">
        <v>4</v>
      </c>
      <c r="E1775">
        <v>6</v>
      </c>
      <c r="H1775">
        <v>5</v>
      </c>
      <c r="I1775">
        <v>2</v>
      </c>
      <c r="K1775">
        <v>4</v>
      </c>
      <c r="L1775">
        <v>4</v>
      </c>
    </row>
    <row r="1776" spans="1:16" x14ac:dyDescent="0.3">
      <c r="A1776" t="s">
        <v>642</v>
      </c>
      <c r="B1776">
        <v>4</v>
      </c>
      <c r="E1776">
        <v>0</v>
      </c>
      <c r="H1776">
        <v>0</v>
      </c>
      <c r="I1776">
        <v>0</v>
      </c>
      <c r="K1776">
        <v>0</v>
      </c>
      <c r="L1776">
        <v>0</v>
      </c>
    </row>
    <row r="1777" spans="1:15" x14ac:dyDescent="0.3">
      <c r="A1777" t="s">
        <v>643</v>
      </c>
      <c r="B1777">
        <v>4</v>
      </c>
      <c r="E1777">
        <v>0</v>
      </c>
      <c r="H1777">
        <v>0</v>
      </c>
      <c r="I1777">
        <v>0</v>
      </c>
      <c r="K1777">
        <v>0</v>
      </c>
      <c r="L1777">
        <v>0</v>
      </c>
    </row>
    <row r="1778" spans="1:15" x14ac:dyDescent="0.3">
      <c r="A1778" t="s">
        <v>644</v>
      </c>
      <c r="B1778">
        <v>4</v>
      </c>
      <c r="E1778">
        <v>0</v>
      </c>
      <c r="H1778">
        <v>0</v>
      </c>
      <c r="I1778">
        <v>0</v>
      </c>
      <c r="K1778">
        <v>0</v>
      </c>
      <c r="L1778">
        <v>0</v>
      </c>
    </row>
    <row r="1779" spans="1:15" x14ac:dyDescent="0.3">
      <c r="A1779" t="s">
        <v>645</v>
      </c>
      <c r="B1779">
        <v>4</v>
      </c>
      <c r="E1779">
        <v>0</v>
      </c>
      <c r="H1779">
        <v>0</v>
      </c>
      <c r="I1779">
        <v>0</v>
      </c>
      <c r="K1779">
        <v>0</v>
      </c>
      <c r="L1779">
        <v>0</v>
      </c>
    </row>
    <row r="1780" spans="1:15" x14ac:dyDescent="0.3">
      <c r="A1780" t="s">
        <v>646</v>
      </c>
      <c r="B1780">
        <v>4</v>
      </c>
      <c r="E1780">
        <v>2</v>
      </c>
      <c r="H1780">
        <v>1</v>
      </c>
      <c r="I1780">
        <v>2</v>
      </c>
      <c r="K1780">
        <v>1</v>
      </c>
      <c r="L1780">
        <v>1</v>
      </c>
    </row>
    <row r="1781" spans="1:15" x14ac:dyDescent="0.3">
      <c r="A1781" t="s">
        <v>647</v>
      </c>
      <c r="B1781">
        <v>4</v>
      </c>
      <c r="E1781">
        <v>250</v>
      </c>
      <c r="H1781">
        <v>0</v>
      </c>
      <c r="I1781">
        <v>250</v>
      </c>
      <c r="K1781">
        <v>0</v>
      </c>
      <c r="L1781">
        <v>0</v>
      </c>
    </row>
    <row r="1782" spans="1:15" x14ac:dyDescent="0.3">
      <c r="A1782" t="s">
        <v>648</v>
      </c>
      <c r="B1782">
        <v>4</v>
      </c>
      <c r="E1782">
        <v>6</v>
      </c>
      <c r="H1782">
        <v>40</v>
      </c>
      <c r="I1782">
        <v>6</v>
      </c>
      <c r="K1782">
        <v>40</v>
      </c>
      <c r="L1782">
        <v>40</v>
      </c>
    </row>
    <row r="1783" spans="1:15" x14ac:dyDescent="0.3">
      <c r="A1783" t="s">
        <v>649</v>
      </c>
      <c r="B1783">
        <v>4</v>
      </c>
      <c r="E1783">
        <v>3</v>
      </c>
      <c r="H1783">
        <v>3</v>
      </c>
      <c r="I1783">
        <v>3</v>
      </c>
      <c r="K1783">
        <v>3</v>
      </c>
      <c r="L1783">
        <v>3</v>
      </c>
    </row>
    <row r="1784" spans="1:15" x14ac:dyDescent="0.3">
      <c r="A1784" t="s">
        <v>650</v>
      </c>
      <c r="B1784">
        <v>4</v>
      </c>
      <c r="E1784">
        <v>0</v>
      </c>
      <c r="H1784">
        <v>0</v>
      </c>
      <c r="I1784">
        <v>0</v>
      </c>
      <c r="K1784">
        <v>0</v>
      </c>
      <c r="L1784">
        <v>0</v>
      </c>
    </row>
    <row r="1785" spans="1:15" x14ac:dyDescent="0.3">
      <c r="A1785" t="s">
        <v>651</v>
      </c>
      <c r="B1785">
        <v>4</v>
      </c>
      <c r="E1785">
        <v>0</v>
      </c>
      <c r="H1785">
        <v>0</v>
      </c>
      <c r="I1785">
        <v>0</v>
      </c>
      <c r="K1785">
        <v>0</v>
      </c>
      <c r="L1785">
        <v>0</v>
      </c>
    </row>
    <row r="1786" spans="1:15" x14ac:dyDescent="0.3">
      <c r="A1786" t="s">
        <v>652</v>
      </c>
      <c r="B1786">
        <v>4</v>
      </c>
      <c r="E1786">
        <v>0</v>
      </c>
      <c r="H1786">
        <v>0</v>
      </c>
      <c r="I1786">
        <v>0</v>
      </c>
      <c r="K1786">
        <v>0</v>
      </c>
      <c r="L1786">
        <v>0</v>
      </c>
    </row>
    <row r="1787" spans="1:15" x14ac:dyDescent="0.3">
      <c r="A1787" t="s">
        <v>653</v>
      </c>
      <c r="B1787">
        <v>4</v>
      </c>
      <c r="E1787">
        <v>0</v>
      </c>
      <c r="I1787">
        <v>0</v>
      </c>
    </row>
    <row r="1788" spans="1:15" x14ac:dyDescent="0.3">
      <c r="A1788" t="s">
        <v>654</v>
      </c>
      <c r="B1788">
        <v>4</v>
      </c>
      <c r="E1788">
        <v>0</v>
      </c>
      <c r="I1788">
        <v>0</v>
      </c>
    </row>
    <row r="1789" spans="1:15" x14ac:dyDescent="0.3">
      <c r="A1789" t="s">
        <v>655</v>
      </c>
      <c r="B1789">
        <v>4</v>
      </c>
      <c r="E1789">
        <v>3</v>
      </c>
      <c r="I1789">
        <v>3</v>
      </c>
    </row>
    <row r="1790" spans="1:15" x14ac:dyDescent="0.3">
      <c r="A1790" t="s">
        <v>656</v>
      </c>
      <c r="B1790">
        <v>4</v>
      </c>
      <c r="E1790">
        <v>0</v>
      </c>
      <c r="I1790">
        <v>0</v>
      </c>
    </row>
    <row r="1791" spans="1:15" x14ac:dyDescent="0.3">
      <c r="A1791" t="s">
        <v>657</v>
      </c>
      <c r="B1791">
        <v>4</v>
      </c>
      <c r="E1791">
        <v>0</v>
      </c>
      <c r="I1791">
        <v>0</v>
      </c>
      <c r="L1791">
        <v>0</v>
      </c>
      <c r="O1791">
        <v>0</v>
      </c>
    </row>
    <row r="1792" spans="1:15" x14ac:dyDescent="0.3">
      <c r="A1792" t="s">
        <v>408</v>
      </c>
      <c r="B1792">
        <v>4</v>
      </c>
      <c r="E1792">
        <v>0</v>
      </c>
    </row>
    <row r="1793" spans="1:16" x14ac:dyDescent="0.3">
      <c r="A1793" t="s">
        <v>659</v>
      </c>
      <c r="B1793">
        <v>4</v>
      </c>
      <c r="K1793">
        <v>24</v>
      </c>
    </row>
    <row r="1794" spans="1:16" x14ac:dyDescent="0.3">
      <c r="A1794" t="s">
        <v>658</v>
      </c>
      <c r="B1794">
        <v>4</v>
      </c>
      <c r="C1794">
        <v>0</v>
      </c>
      <c r="D1794">
        <v>0</v>
      </c>
      <c r="E1794">
        <v>1396</v>
      </c>
      <c r="F1794">
        <v>0</v>
      </c>
      <c r="G1794">
        <v>0</v>
      </c>
      <c r="H1794">
        <v>87</v>
      </c>
      <c r="I1794">
        <v>614</v>
      </c>
      <c r="J1794">
        <v>0</v>
      </c>
      <c r="K1794">
        <v>327</v>
      </c>
      <c r="L1794">
        <v>678</v>
      </c>
      <c r="M1794">
        <v>0</v>
      </c>
      <c r="N1794">
        <v>0</v>
      </c>
      <c r="O1794">
        <v>0</v>
      </c>
      <c r="P1794">
        <v>0</v>
      </c>
    </row>
    <row r="1795" spans="1:16" x14ac:dyDescent="0.3">
      <c r="A1795" t="s">
        <v>34</v>
      </c>
      <c r="B1795">
        <v>5</v>
      </c>
      <c r="C1795">
        <v>4</v>
      </c>
      <c r="D1795">
        <v>4</v>
      </c>
      <c r="E1795">
        <v>4</v>
      </c>
      <c r="F1795">
        <v>4</v>
      </c>
      <c r="G1795">
        <v>9</v>
      </c>
      <c r="H1795">
        <v>9</v>
      </c>
      <c r="I1795">
        <v>9</v>
      </c>
      <c r="J1795">
        <v>9</v>
      </c>
      <c r="K1795">
        <v>109</v>
      </c>
      <c r="L1795">
        <v>109</v>
      </c>
      <c r="M1795">
        <v>109</v>
      </c>
      <c r="N1795">
        <v>7</v>
      </c>
      <c r="O1795">
        <v>7</v>
      </c>
      <c r="P1795">
        <v>7</v>
      </c>
    </row>
    <row r="1796" spans="1:16" x14ac:dyDescent="0.3">
      <c r="A1796" t="s">
        <v>35</v>
      </c>
      <c r="B1796">
        <v>5</v>
      </c>
      <c r="C1796">
        <v>4</v>
      </c>
      <c r="D1796">
        <v>109</v>
      </c>
      <c r="E1796">
        <v>9</v>
      </c>
      <c r="F1796">
        <v>7</v>
      </c>
      <c r="G1796">
        <v>9</v>
      </c>
      <c r="H1796">
        <v>7</v>
      </c>
      <c r="I1796">
        <v>4</v>
      </c>
      <c r="J1796">
        <v>109</v>
      </c>
      <c r="K1796">
        <v>9</v>
      </c>
      <c r="L1796">
        <v>7</v>
      </c>
      <c r="M1796">
        <v>4</v>
      </c>
      <c r="N1796">
        <v>4</v>
      </c>
      <c r="O1796">
        <v>109</v>
      </c>
      <c r="P1796">
        <v>9</v>
      </c>
    </row>
    <row r="1797" spans="1:16" x14ac:dyDescent="0.3">
      <c r="A1797" t="s">
        <v>36</v>
      </c>
      <c r="B1797">
        <v>5</v>
      </c>
      <c r="C1797">
        <v>0</v>
      </c>
      <c r="D1797">
        <v>1</v>
      </c>
      <c r="E1797">
        <v>2</v>
      </c>
      <c r="F1797">
        <v>0</v>
      </c>
      <c r="G1797">
        <v>0</v>
      </c>
      <c r="H1797">
        <v>0</v>
      </c>
      <c r="I1797">
        <v>2</v>
      </c>
      <c r="J1797">
        <v>1</v>
      </c>
      <c r="K1797">
        <v>0</v>
      </c>
      <c r="L1797">
        <v>0</v>
      </c>
      <c r="M1797">
        <v>0</v>
      </c>
      <c r="N1797">
        <v>1</v>
      </c>
      <c r="O1797">
        <v>2</v>
      </c>
      <c r="P1797">
        <v>0</v>
      </c>
    </row>
    <row r="1798" spans="1:16" x14ac:dyDescent="0.3">
      <c r="A1798" t="s">
        <v>37</v>
      </c>
      <c r="B1798">
        <v>5</v>
      </c>
      <c r="D1798">
        <v>0</v>
      </c>
      <c r="E1798">
        <v>0</v>
      </c>
      <c r="H1798">
        <v>0</v>
      </c>
      <c r="I1798">
        <v>0</v>
      </c>
      <c r="K1798">
        <v>0</v>
      </c>
      <c r="L1798">
        <v>0</v>
      </c>
      <c r="N1798">
        <v>0</v>
      </c>
      <c r="O1798">
        <v>3</v>
      </c>
    </row>
    <row r="1799" spans="1:16" x14ac:dyDescent="0.3">
      <c r="A1799" t="s">
        <v>38</v>
      </c>
      <c r="B1799">
        <v>5</v>
      </c>
      <c r="C1799">
        <v>12</v>
      </c>
      <c r="D1799">
        <v>12</v>
      </c>
      <c r="E1799">
        <v>12</v>
      </c>
      <c r="F1799">
        <v>12</v>
      </c>
      <c r="G1799">
        <v>12</v>
      </c>
      <c r="H1799">
        <v>12</v>
      </c>
      <c r="I1799">
        <v>12</v>
      </c>
      <c r="J1799">
        <v>12</v>
      </c>
      <c r="K1799">
        <v>12</v>
      </c>
      <c r="L1799">
        <v>12</v>
      </c>
      <c r="M1799">
        <v>12</v>
      </c>
      <c r="N1799">
        <v>12</v>
      </c>
      <c r="O1799">
        <v>12</v>
      </c>
      <c r="P1799">
        <v>12</v>
      </c>
    </row>
    <row r="1800" spans="1:16" x14ac:dyDescent="0.3">
      <c r="A1800" t="s">
        <v>39</v>
      </c>
      <c r="B1800">
        <v>5</v>
      </c>
      <c r="D1800">
        <v>150</v>
      </c>
      <c r="J1800">
        <v>75</v>
      </c>
    </row>
    <row r="1801" spans="1:16" x14ac:dyDescent="0.3">
      <c r="A1801" t="s">
        <v>631</v>
      </c>
      <c r="B1801">
        <v>5</v>
      </c>
      <c r="D1801">
        <v>25</v>
      </c>
      <c r="J1801">
        <v>25</v>
      </c>
    </row>
    <row r="1802" spans="1:16" x14ac:dyDescent="0.3">
      <c r="A1802" t="s">
        <v>40</v>
      </c>
      <c r="B1802">
        <v>5</v>
      </c>
      <c r="D1802">
        <v>1</v>
      </c>
      <c r="J1802">
        <v>1</v>
      </c>
    </row>
    <row r="1803" spans="1:16" x14ac:dyDescent="0.3">
      <c r="A1803" t="s">
        <v>41</v>
      </c>
      <c r="B1803">
        <v>5</v>
      </c>
    </row>
    <row r="1804" spans="1:16" x14ac:dyDescent="0.3">
      <c r="A1804" t="s">
        <v>42</v>
      </c>
      <c r="B1804">
        <v>5</v>
      </c>
      <c r="E1804">
        <v>35</v>
      </c>
      <c r="I1804">
        <v>35</v>
      </c>
      <c r="L1804">
        <v>30</v>
      </c>
      <c r="O1804">
        <v>30</v>
      </c>
    </row>
    <row r="1805" spans="1:16" x14ac:dyDescent="0.3">
      <c r="A1805" t="s">
        <v>45</v>
      </c>
      <c r="B1805">
        <v>5</v>
      </c>
      <c r="D1805">
        <v>1</v>
      </c>
      <c r="E1805">
        <v>6</v>
      </c>
      <c r="I1805">
        <v>2</v>
      </c>
      <c r="O1805">
        <v>4</v>
      </c>
    </row>
    <row r="1806" spans="1:16" x14ac:dyDescent="0.3">
      <c r="A1806" t="s">
        <v>46</v>
      </c>
      <c r="B1806">
        <v>5</v>
      </c>
      <c r="D1806">
        <v>6</v>
      </c>
      <c r="J1806">
        <v>6</v>
      </c>
      <c r="N1806">
        <v>4</v>
      </c>
    </row>
    <row r="1807" spans="1:16" x14ac:dyDescent="0.3">
      <c r="A1807" t="s">
        <v>49</v>
      </c>
      <c r="B1807">
        <v>5</v>
      </c>
      <c r="C1807">
        <v>4</v>
      </c>
      <c r="D1807">
        <v>6</v>
      </c>
      <c r="E1807">
        <v>9</v>
      </c>
      <c r="F1807">
        <v>4</v>
      </c>
      <c r="G1807">
        <v>4</v>
      </c>
      <c r="H1807">
        <v>4</v>
      </c>
      <c r="I1807">
        <v>6</v>
      </c>
      <c r="J1807">
        <v>6</v>
      </c>
      <c r="K1807">
        <v>4</v>
      </c>
      <c r="L1807">
        <v>4</v>
      </c>
      <c r="M1807">
        <v>4</v>
      </c>
      <c r="N1807">
        <v>6</v>
      </c>
      <c r="O1807">
        <v>6</v>
      </c>
      <c r="P1807">
        <v>4</v>
      </c>
    </row>
    <row r="1808" spans="1:16" x14ac:dyDescent="0.3">
      <c r="A1808" t="s">
        <v>632</v>
      </c>
      <c r="B1808">
        <v>5</v>
      </c>
      <c r="C1808">
        <v>0</v>
      </c>
      <c r="D1808">
        <v>0</v>
      </c>
      <c r="E1808">
        <v>3</v>
      </c>
      <c r="F1808">
        <v>0</v>
      </c>
      <c r="G1808">
        <v>0</v>
      </c>
      <c r="H1808">
        <v>0</v>
      </c>
      <c r="I1808">
        <v>0</v>
      </c>
      <c r="J1808">
        <v>0</v>
      </c>
      <c r="K1808">
        <v>0</v>
      </c>
      <c r="L1808">
        <v>0</v>
      </c>
      <c r="M1808">
        <v>0</v>
      </c>
      <c r="N1808">
        <v>0</v>
      </c>
      <c r="O1808">
        <v>0</v>
      </c>
      <c r="P1808">
        <v>0</v>
      </c>
    </row>
    <row r="1809" spans="1:16" x14ac:dyDescent="0.3">
      <c r="A1809" t="s">
        <v>48</v>
      </c>
      <c r="B1809">
        <v>5</v>
      </c>
      <c r="C1809">
        <v>1900</v>
      </c>
      <c r="D1809">
        <v>1900</v>
      </c>
      <c r="E1809">
        <v>1900</v>
      </c>
      <c r="F1809">
        <v>1900</v>
      </c>
      <c r="G1809">
        <v>1900</v>
      </c>
      <c r="H1809">
        <v>1900</v>
      </c>
      <c r="I1809">
        <v>1900</v>
      </c>
      <c r="J1809">
        <v>1900</v>
      </c>
      <c r="K1809">
        <v>1900</v>
      </c>
      <c r="L1809">
        <v>1900</v>
      </c>
      <c r="M1809">
        <v>1900</v>
      </c>
      <c r="N1809">
        <v>1900</v>
      </c>
      <c r="O1809">
        <v>1900</v>
      </c>
      <c r="P1809">
        <v>1900</v>
      </c>
    </row>
    <row r="1810" spans="1:16" x14ac:dyDescent="0.3">
      <c r="A1810" t="s">
        <v>633</v>
      </c>
      <c r="B1810">
        <v>5</v>
      </c>
      <c r="C1810">
        <v>0</v>
      </c>
      <c r="D1810">
        <v>1593</v>
      </c>
      <c r="E1810">
        <v>3185</v>
      </c>
      <c r="F1810">
        <v>0</v>
      </c>
      <c r="G1810">
        <v>0</v>
      </c>
      <c r="H1810">
        <v>0</v>
      </c>
      <c r="I1810">
        <v>3185</v>
      </c>
      <c r="J1810">
        <v>1425</v>
      </c>
      <c r="K1810">
        <v>0</v>
      </c>
      <c r="L1810">
        <v>0</v>
      </c>
      <c r="M1810">
        <v>0</v>
      </c>
      <c r="N1810">
        <v>1449</v>
      </c>
      <c r="O1810">
        <v>2960</v>
      </c>
      <c r="P1810">
        <v>0</v>
      </c>
    </row>
    <row r="1811" spans="1:16" x14ac:dyDescent="0.3">
      <c r="A1811" t="s">
        <v>50</v>
      </c>
      <c r="B1811">
        <v>5</v>
      </c>
      <c r="C1811">
        <v>0</v>
      </c>
      <c r="D1811">
        <v>768</v>
      </c>
      <c r="E1811">
        <v>3185</v>
      </c>
      <c r="F1811">
        <v>0</v>
      </c>
      <c r="G1811">
        <v>0</v>
      </c>
      <c r="H1811">
        <v>0</v>
      </c>
      <c r="I1811">
        <v>3185</v>
      </c>
      <c r="J1811">
        <v>1425</v>
      </c>
      <c r="K1811">
        <v>0</v>
      </c>
      <c r="L1811">
        <v>0</v>
      </c>
      <c r="M1811">
        <v>0</v>
      </c>
      <c r="N1811">
        <v>1449</v>
      </c>
      <c r="O1811">
        <v>2960</v>
      </c>
      <c r="P1811">
        <v>0</v>
      </c>
    </row>
    <row r="1812" spans="1:16" x14ac:dyDescent="0.3">
      <c r="A1812" t="s">
        <v>634</v>
      </c>
      <c r="B1812">
        <v>5</v>
      </c>
      <c r="C1812">
        <v>1</v>
      </c>
      <c r="D1812">
        <v>1</v>
      </c>
      <c r="E1812">
        <v>1</v>
      </c>
      <c r="F1812">
        <v>1</v>
      </c>
      <c r="G1812">
        <v>1</v>
      </c>
      <c r="H1812">
        <v>1</v>
      </c>
      <c r="I1812">
        <v>1</v>
      </c>
      <c r="J1812">
        <v>1</v>
      </c>
      <c r="K1812">
        <v>1</v>
      </c>
      <c r="L1812">
        <v>1</v>
      </c>
      <c r="M1812">
        <v>1</v>
      </c>
      <c r="N1812">
        <v>1</v>
      </c>
      <c r="O1812">
        <v>1</v>
      </c>
      <c r="P1812">
        <v>1</v>
      </c>
    </row>
    <row r="1813" spans="1:16" x14ac:dyDescent="0.3">
      <c r="A1813" t="s">
        <v>51</v>
      </c>
      <c r="B1813">
        <v>5</v>
      </c>
      <c r="C1813">
        <v>0</v>
      </c>
      <c r="D1813">
        <v>0</v>
      </c>
      <c r="E1813">
        <v>0</v>
      </c>
      <c r="F1813">
        <v>0</v>
      </c>
      <c r="G1813">
        <v>0</v>
      </c>
      <c r="H1813">
        <v>0</v>
      </c>
      <c r="I1813">
        <v>0</v>
      </c>
      <c r="J1813">
        <v>32</v>
      </c>
      <c r="K1813">
        <v>0</v>
      </c>
      <c r="L1813">
        <v>0</v>
      </c>
      <c r="M1813">
        <v>0</v>
      </c>
      <c r="N1813">
        <v>0</v>
      </c>
      <c r="O1813">
        <v>23</v>
      </c>
      <c r="P1813">
        <v>0</v>
      </c>
    </row>
    <row r="1814" spans="1:16" x14ac:dyDescent="0.3">
      <c r="A1814" t="s">
        <v>53</v>
      </c>
      <c r="B1814">
        <v>5</v>
      </c>
      <c r="C1814">
        <v>0</v>
      </c>
      <c r="D1814">
        <v>106</v>
      </c>
      <c r="E1814">
        <v>1433</v>
      </c>
      <c r="F1814">
        <v>0</v>
      </c>
      <c r="G1814">
        <v>0</v>
      </c>
      <c r="H1814">
        <v>0</v>
      </c>
      <c r="I1814">
        <v>410</v>
      </c>
      <c r="J1814">
        <v>275</v>
      </c>
      <c r="K1814">
        <v>0</v>
      </c>
      <c r="L1814">
        <v>0</v>
      </c>
      <c r="M1814">
        <v>0</v>
      </c>
      <c r="N1814">
        <v>130</v>
      </c>
      <c r="O1814">
        <v>720</v>
      </c>
      <c r="P1814">
        <v>176</v>
      </c>
    </row>
    <row r="1815" spans="1:16" x14ac:dyDescent="0.3">
      <c r="A1815" t="s">
        <v>54</v>
      </c>
      <c r="B1815">
        <v>5</v>
      </c>
      <c r="C1815">
        <v>0</v>
      </c>
      <c r="D1815">
        <v>0</v>
      </c>
      <c r="E1815">
        <v>0</v>
      </c>
      <c r="F1815">
        <v>0</v>
      </c>
      <c r="G1815">
        <v>0</v>
      </c>
      <c r="H1815">
        <v>0</v>
      </c>
      <c r="I1815">
        <v>0</v>
      </c>
      <c r="J1815">
        <v>0</v>
      </c>
      <c r="K1815">
        <v>0</v>
      </c>
      <c r="L1815">
        <v>0</v>
      </c>
      <c r="M1815">
        <v>0</v>
      </c>
      <c r="N1815">
        <v>0</v>
      </c>
      <c r="O1815">
        <v>0</v>
      </c>
      <c r="P1815">
        <v>0</v>
      </c>
    </row>
    <row r="1816" spans="1:16" x14ac:dyDescent="0.3">
      <c r="A1816" t="s">
        <v>55</v>
      </c>
      <c r="B1816">
        <v>5</v>
      </c>
      <c r="C1816">
        <v>0</v>
      </c>
      <c r="D1816">
        <v>0</v>
      </c>
      <c r="E1816">
        <v>0</v>
      </c>
      <c r="F1816">
        <v>0</v>
      </c>
      <c r="G1816">
        <v>0</v>
      </c>
      <c r="H1816">
        <v>0</v>
      </c>
      <c r="I1816">
        <v>0</v>
      </c>
      <c r="J1816">
        <v>0</v>
      </c>
      <c r="K1816">
        <v>0</v>
      </c>
      <c r="L1816">
        <v>0</v>
      </c>
      <c r="M1816">
        <v>0</v>
      </c>
      <c r="N1816">
        <v>0</v>
      </c>
      <c r="O1816">
        <v>0</v>
      </c>
      <c r="P1816">
        <v>0</v>
      </c>
    </row>
    <row r="1817" spans="1:16" x14ac:dyDescent="0.3">
      <c r="A1817" t="s">
        <v>56</v>
      </c>
      <c r="B1817">
        <v>5</v>
      </c>
      <c r="C1817">
        <v>0.92</v>
      </c>
      <c r="D1817">
        <v>0.92</v>
      </c>
      <c r="E1817">
        <v>0.92</v>
      </c>
      <c r="F1817">
        <v>0.92</v>
      </c>
      <c r="G1817">
        <v>0.92</v>
      </c>
      <c r="H1817">
        <v>0.92</v>
      </c>
      <c r="I1817">
        <v>0.92</v>
      </c>
      <c r="J1817">
        <v>0.92</v>
      </c>
      <c r="K1817">
        <v>0.92</v>
      </c>
      <c r="L1817">
        <v>0.92</v>
      </c>
      <c r="M1817">
        <v>0.92</v>
      </c>
      <c r="N1817">
        <v>0.92</v>
      </c>
      <c r="O1817">
        <v>0.92</v>
      </c>
      <c r="P1817">
        <v>0.92</v>
      </c>
    </row>
    <row r="1818" spans="1:16" x14ac:dyDescent="0.3">
      <c r="A1818" t="s">
        <v>57</v>
      </c>
      <c r="B1818">
        <v>5</v>
      </c>
      <c r="C1818">
        <v>100</v>
      </c>
      <c r="D1818">
        <v>100</v>
      </c>
      <c r="E1818">
        <v>100</v>
      </c>
      <c r="F1818">
        <v>100</v>
      </c>
      <c r="G1818">
        <v>100</v>
      </c>
      <c r="H1818">
        <v>100</v>
      </c>
      <c r="I1818">
        <v>100</v>
      </c>
      <c r="J1818">
        <v>100</v>
      </c>
      <c r="K1818">
        <v>100</v>
      </c>
      <c r="L1818">
        <v>100</v>
      </c>
      <c r="M1818">
        <v>100</v>
      </c>
      <c r="N1818">
        <v>100</v>
      </c>
      <c r="O1818">
        <v>100</v>
      </c>
      <c r="P1818">
        <v>100</v>
      </c>
    </row>
    <row r="1819" spans="1:16" x14ac:dyDescent="0.3">
      <c r="A1819" t="s">
        <v>58</v>
      </c>
      <c r="B1819">
        <v>5</v>
      </c>
      <c r="C1819">
        <v>2</v>
      </c>
      <c r="D1819">
        <v>2</v>
      </c>
      <c r="E1819">
        <v>2</v>
      </c>
      <c r="F1819">
        <v>2</v>
      </c>
      <c r="G1819">
        <v>2</v>
      </c>
      <c r="H1819">
        <v>2</v>
      </c>
      <c r="I1819">
        <v>2</v>
      </c>
      <c r="J1819">
        <v>2</v>
      </c>
      <c r="K1819">
        <v>2</v>
      </c>
      <c r="L1819">
        <v>2</v>
      </c>
      <c r="M1819">
        <v>2</v>
      </c>
      <c r="N1819">
        <v>2</v>
      </c>
      <c r="O1819">
        <v>2</v>
      </c>
      <c r="P1819">
        <v>2</v>
      </c>
    </row>
    <row r="1820" spans="1:16" x14ac:dyDescent="0.3">
      <c r="A1820" t="s">
        <v>59</v>
      </c>
      <c r="B1820">
        <v>5</v>
      </c>
      <c r="C1820">
        <v>0</v>
      </c>
      <c r="D1820">
        <v>0</v>
      </c>
      <c r="E1820">
        <v>0</v>
      </c>
      <c r="F1820">
        <v>0</v>
      </c>
      <c r="G1820">
        <v>0</v>
      </c>
      <c r="H1820">
        <v>0</v>
      </c>
      <c r="I1820">
        <v>0</v>
      </c>
      <c r="J1820">
        <v>0</v>
      </c>
      <c r="K1820">
        <v>0</v>
      </c>
      <c r="L1820">
        <v>0</v>
      </c>
      <c r="M1820">
        <v>0</v>
      </c>
      <c r="N1820">
        <v>0</v>
      </c>
      <c r="O1820">
        <v>0</v>
      </c>
      <c r="P1820">
        <v>0</v>
      </c>
    </row>
    <row r="1821" spans="1:16" x14ac:dyDescent="0.3">
      <c r="A1821" t="s">
        <v>635</v>
      </c>
      <c r="B1821">
        <v>5</v>
      </c>
      <c r="E1821">
        <v>0</v>
      </c>
      <c r="I1821">
        <v>0</v>
      </c>
      <c r="L1821">
        <v>0</v>
      </c>
      <c r="O1821">
        <v>0</v>
      </c>
    </row>
    <row r="1822" spans="1:16" x14ac:dyDescent="0.3">
      <c r="A1822" t="s">
        <v>574</v>
      </c>
      <c r="B1822">
        <v>5</v>
      </c>
      <c r="E1822">
        <v>326</v>
      </c>
      <c r="I1822">
        <v>2995</v>
      </c>
      <c r="L1822">
        <v>693</v>
      </c>
      <c r="O1822">
        <v>1424</v>
      </c>
    </row>
    <row r="1823" spans="1:16" x14ac:dyDescent="0.3">
      <c r="A1823" t="s">
        <v>78</v>
      </c>
      <c r="B1823">
        <v>5</v>
      </c>
      <c r="E1823">
        <v>6.4</v>
      </c>
      <c r="I1823">
        <v>58.3</v>
      </c>
      <c r="L1823">
        <v>15.8</v>
      </c>
      <c r="O1823">
        <v>32.4</v>
      </c>
    </row>
    <row r="1824" spans="1:16" x14ac:dyDescent="0.3">
      <c r="A1824" t="s">
        <v>636</v>
      </c>
      <c r="B1824">
        <v>5</v>
      </c>
      <c r="F1824">
        <v>0</v>
      </c>
      <c r="J1824">
        <v>0</v>
      </c>
      <c r="M1824">
        <v>0</v>
      </c>
      <c r="P1824">
        <v>0</v>
      </c>
    </row>
    <row r="1825" spans="1:16" x14ac:dyDescent="0.3">
      <c r="A1825" t="s">
        <v>639</v>
      </c>
      <c r="B1825">
        <v>5</v>
      </c>
      <c r="C1825">
        <v>3</v>
      </c>
      <c r="D1825">
        <v>0</v>
      </c>
      <c r="E1825">
        <v>0</v>
      </c>
      <c r="F1825">
        <v>1</v>
      </c>
      <c r="G1825">
        <v>3</v>
      </c>
      <c r="H1825">
        <v>0</v>
      </c>
      <c r="I1825">
        <v>0</v>
      </c>
      <c r="J1825">
        <v>1</v>
      </c>
      <c r="K1825">
        <v>0</v>
      </c>
      <c r="L1825">
        <v>0</v>
      </c>
      <c r="M1825">
        <v>1</v>
      </c>
      <c r="N1825">
        <v>0</v>
      </c>
      <c r="O1825">
        <v>0</v>
      </c>
      <c r="P1825">
        <v>1</v>
      </c>
    </row>
    <row r="1826" spans="1:16" x14ac:dyDescent="0.3">
      <c r="A1826" t="s">
        <v>640</v>
      </c>
      <c r="B1826">
        <v>5</v>
      </c>
      <c r="C1826">
        <v>0</v>
      </c>
      <c r="D1826">
        <v>0</v>
      </c>
      <c r="E1826">
        <v>0</v>
      </c>
      <c r="F1826">
        <v>0</v>
      </c>
      <c r="G1826">
        <v>0</v>
      </c>
      <c r="H1826">
        <v>0</v>
      </c>
      <c r="I1826">
        <v>0</v>
      </c>
      <c r="J1826">
        <v>0</v>
      </c>
      <c r="K1826">
        <v>0</v>
      </c>
      <c r="L1826">
        <v>0</v>
      </c>
      <c r="M1826">
        <v>0</v>
      </c>
      <c r="N1826">
        <v>0</v>
      </c>
      <c r="O1826">
        <v>0</v>
      </c>
      <c r="P1826">
        <v>0</v>
      </c>
    </row>
    <row r="1827" spans="1:16" x14ac:dyDescent="0.3">
      <c r="A1827" t="s">
        <v>52</v>
      </c>
      <c r="B1827">
        <v>5</v>
      </c>
      <c r="C1827">
        <v>1.1399999999999999</v>
      </c>
      <c r="D1827">
        <v>1.1399999999999999</v>
      </c>
      <c r="E1827">
        <v>1.1399999999999999</v>
      </c>
      <c r="F1827">
        <v>1.1399999999999999</v>
      </c>
      <c r="G1827">
        <v>1.1399999999999999</v>
      </c>
      <c r="H1827">
        <v>1.1399999999999999</v>
      </c>
      <c r="I1827">
        <v>1.1399999999999999</v>
      </c>
      <c r="J1827">
        <v>1.1399999999999999</v>
      </c>
      <c r="K1827">
        <v>1.1399999999999999</v>
      </c>
      <c r="L1827">
        <v>1.1399999999999999</v>
      </c>
      <c r="M1827">
        <v>1.1399999999999999</v>
      </c>
      <c r="N1827">
        <v>1.1399999999999999</v>
      </c>
      <c r="O1827">
        <v>1.1399999999999999</v>
      </c>
      <c r="P1827">
        <v>1.1399999999999999</v>
      </c>
    </row>
    <row r="1828" spans="1:16" x14ac:dyDescent="0.3">
      <c r="A1828" t="s">
        <v>641</v>
      </c>
      <c r="B1828">
        <v>5</v>
      </c>
      <c r="C1828">
        <v>9</v>
      </c>
      <c r="D1828">
        <v>15</v>
      </c>
      <c r="E1828">
        <v>60</v>
      </c>
      <c r="F1828">
        <v>9</v>
      </c>
      <c r="G1828">
        <v>9</v>
      </c>
      <c r="H1828">
        <v>15</v>
      </c>
      <c r="I1828">
        <v>60</v>
      </c>
      <c r="J1828">
        <v>9</v>
      </c>
      <c r="K1828">
        <v>15</v>
      </c>
      <c r="L1828">
        <v>60</v>
      </c>
      <c r="M1828">
        <v>9</v>
      </c>
      <c r="N1828">
        <v>15</v>
      </c>
      <c r="O1828">
        <v>60</v>
      </c>
      <c r="P1828">
        <v>9</v>
      </c>
    </row>
    <row r="1829" spans="1:16" x14ac:dyDescent="0.3">
      <c r="A1829" t="s">
        <v>43</v>
      </c>
      <c r="B1829">
        <v>5</v>
      </c>
      <c r="D1829">
        <v>40</v>
      </c>
      <c r="E1829">
        <v>256</v>
      </c>
      <c r="I1829">
        <v>256</v>
      </c>
      <c r="J1829">
        <v>0</v>
      </c>
      <c r="N1829">
        <v>40</v>
      </c>
      <c r="O1829">
        <v>40</v>
      </c>
    </row>
    <row r="1830" spans="1:16" x14ac:dyDescent="0.3">
      <c r="A1830" t="s">
        <v>44</v>
      </c>
      <c r="B1830">
        <v>5</v>
      </c>
      <c r="D1830">
        <v>0</v>
      </c>
      <c r="E1830">
        <v>0</v>
      </c>
      <c r="I1830">
        <v>0</v>
      </c>
      <c r="J1830">
        <v>0</v>
      </c>
      <c r="N1830">
        <v>0</v>
      </c>
      <c r="O1830">
        <v>0</v>
      </c>
    </row>
    <row r="1831" spans="1:16" x14ac:dyDescent="0.3">
      <c r="A1831" t="s">
        <v>47</v>
      </c>
      <c r="B1831">
        <v>5</v>
      </c>
      <c r="D1831">
        <v>1</v>
      </c>
      <c r="E1831">
        <v>6</v>
      </c>
      <c r="I1831">
        <v>2</v>
      </c>
      <c r="J1831">
        <v>6</v>
      </c>
      <c r="N1831">
        <v>4</v>
      </c>
      <c r="O1831">
        <v>4</v>
      </c>
    </row>
    <row r="1832" spans="1:16" x14ac:dyDescent="0.3">
      <c r="A1832" t="s">
        <v>642</v>
      </c>
      <c r="B1832">
        <v>5</v>
      </c>
      <c r="D1832">
        <v>0</v>
      </c>
      <c r="E1832">
        <v>0</v>
      </c>
      <c r="I1832">
        <v>0</v>
      </c>
      <c r="J1832">
        <v>0</v>
      </c>
      <c r="N1832">
        <v>0</v>
      </c>
      <c r="O1832">
        <v>0</v>
      </c>
    </row>
    <row r="1833" spans="1:16" x14ac:dyDescent="0.3">
      <c r="A1833" t="s">
        <v>643</v>
      </c>
      <c r="B1833">
        <v>5</v>
      </c>
      <c r="D1833">
        <v>0</v>
      </c>
      <c r="E1833">
        <v>0</v>
      </c>
      <c r="I1833">
        <v>0</v>
      </c>
      <c r="J1833">
        <v>0</v>
      </c>
      <c r="N1833">
        <v>0</v>
      </c>
      <c r="O1833">
        <v>0</v>
      </c>
    </row>
    <row r="1834" spans="1:16" x14ac:dyDescent="0.3">
      <c r="A1834" t="s">
        <v>644</v>
      </c>
      <c r="B1834">
        <v>5</v>
      </c>
      <c r="D1834">
        <v>0</v>
      </c>
      <c r="E1834">
        <v>0</v>
      </c>
      <c r="I1834">
        <v>0</v>
      </c>
      <c r="J1834">
        <v>0</v>
      </c>
      <c r="N1834">
        <v>0</v>
      </c>
      <c r="O1834">
        <v>0</v>
      </c>
    </row>
    <row r="1835" spans="1:16" x14ac:dyDescent="0.3">
      <c r="A1835" t="s">
        <v>645</v>
      </c>
      <c r="B1835">
        <v>5</v>
      </c>
      <c r="D1835">
        <v>0</v>
      </c>
      <c r="E1835">
        <v>0</v>
      </c>
      <c r="I1835">
        <v>0</v>
      </c>
      <c r="J1835">
        <v>0</v>
      </c>
      <c r="N1835">
        <v>0</v>
      </c>
      <c r="O1835">
        <v>0</v>
      </c>
    </row>
    <row r="1836" spans="1:16" x14ac:dyDescent="0.3">
      <c r="A1836" t="s">
        <v>646</v>
      </c>
      <c r="B1836">
        <v>5</v>
      </c>
      <c r="D1836">
        <v>1</v>
      </c>
      <c r="E1836">
        <v>2</v>
      </c>
      <c r="I1836">
        <v>2</v>
      </c>
      <c r="J1836">
        <v>1</v>
      </c>
      <c r="N1836">
        <v>1</v>
      </c>
      <c r="O1836">
        <v>1</v>
      </c>
    </row>
    <row r="1837" spans="1:16" x14ac:dyDescent="0.3">
      <c r="A1837" t="s">
        <v>647</v>
      </c>
      <c r="B1837">
        <v>5</v>
      </c>
      <c r="D1837">
        <v>0</v>
      </c>
      <c r="E1837">
        <v>250</v>
      </c>
      <c r="I1837">
        <v>250</v>
      </c>
      <c r="J1837">
        <v>0</v>
      </c>
      <c r="N1837">
        <v>0</v>
      </c>
      <c r="O1837">
        <v>0</v>
      </c>
    </row>
    <row r="1838" spans="1:16" x14ac:dyDescent="0.3">
      <c r="A1838" t="s">
        <v>648</v>
      </c>
      <c r="B1838">
        <v>5</v>
      </c>
      <c r="D1838">
        <v>40</v>
      </c>
      <c r="E1838">
        <v>6</v>
      </c>
      <c r="I1838">
        <v>6</v>
      </c>
      <c r="J1838">
        <v>0</v>
      </c>
      <c r="N1838">
        <v>40</v>
      </c>
      <c r="O1838">
        <v>40</v>
      </c>
    </row>
    <row r="1839" spans="1:16" x14ac:dyDescent="0.3">
      <c r="A1839" t="s">
        <v>649</v>
      </c>
      <c r="B1839">
        <v>5</v>
      </c>
      <c r="D1839">
        <v>3</v>
      </c>
      <c r="E1839">
        <v>3</v>
      </c>
      <c r="I1839">
        <v>3</v>
      </c>
      <c r="J1839">
        <v>3</v>
      </c>
      <c r="N1839">
        <v>3</v>
      </c>
      <c r="O1839">
        <v>3</v>
      </c>
    </row>
    <row r="1840" spans="1:16" x14ac:dyDescent="0.3">
      <c r="A1840" t="s">
        <v>650</v>
      </c>
      <c r="B1840">
        <v>5</v>
      </c>
      <c r="D1840">
        <v>0</v>
      </c>
      <c r="E1840">
        <v>0</v>
      </c>
      <c r="I1840">
        <v>0</v>
      </c>
      <c r="J1840">
        <v>0</v>
      </c>
      <c r="N1840">
        <v>0</v>
      </c>
      <c r="O1840">
        <v>0</v>
      </c>
    </row>
    <row r="1841" spans="1:16" x14ac:dyDescent="0.3">
      <c r="A1841" t="s">
        <v>651</v>
      </c>
      <c r="B1841">
        <v>5</v>
      </c>
      <c r="D1841">
        <v>0</v>
      </c>
      <c r="E1841">
        <v>0</v>
      </c>
      <c r="I1841">
        <v>0</v>
      </c>
      <c r="J1841">
        <v>0</v>
      </c>
      <c r="N1841">
        <v>0</v>
      </c>
      <c r="O1841">
        <v>0</v>
      </c>
    </row>
    <row r="1842" spans="1:16" x14ac:dyDescent="0.3">
      <c r="A1842" t="s">
        <v>652</v>
      </c>
      <c r="B1842">
        <v>5</v>
      </c>
      <c r="D1842">
        <v>0</v>
      </c>
      <c r="E1842">
        <v>0</v>
      </c>
      <c r="I1842">
        <v>0</v>
      </c>
      <c r="J1842">
        <v>0</v>
      </c>
      <c r="N1842">
        <v>0</v>
      </c>
      <c r="O1842">
        <v>0</v>
      </c>
    </row>
    <row r="1843" spans="1:16" x14ac:dyDescent="0.3">
      <c r="A1843" t="s">
        <v>653</v>
      </c>
      <c r="B1843">
        <v>5</v>
      </c>
      <c r="E1843">
        <v>0</v>
      </c>
      <c r="I1843">
        <v>0</v>
      </c>
    </row>
    <row r="1844" spans="1:16" x14ac:dyDescent="0.3">
      <c r="A1844" t="s">
        <v>654</v>
      </c>
      <c r="B1844">
        <v>5</v>
      </c>
      <c r="E1844">
        <v>0</v>
      </c>
      <c r="I1844">
        <v>0</v>
      </c>
    </row>
    <row r="1845" spans="1:16" x14ac:dyDescent="0.3">
      <c r="A1845" t="s">
        <v>655</v>
      </c>
      <c r="B1845">
        <v>5</v>
      </c>
      <c r="E1845">
        <v>3</v>
      </c>
      <c r="I1845">
        <v>3</v>
      </c>
    </row>
    <row r="1846" spans="1:16" x14ac:dyDescent="0.3">
      <c r="A1846" t="s">
        <v>656</v>
      </c>
      <c r="B1846">
        <v>5</v>
      </c>
      <c r="E1846">
        <v>0</v>
      </c>
      <c r="I1846">
        <v>0</v>
      </c>
    </row>
    <row r="1847" spans="1:16" x14ac:dyDescent="0.3">
      <c r="A1847" t="s">
        <v>657</v>
      </c>
      <c r="B1847">
        <v>5</v>
      </c>
      <c r="E1847">
        <v>0</v>
      </c>
      <c r="I1847">
        <v>0</v>
      </c>
      <c r="L1847">
        <v>0</v>
      </c>
      <c r="O1847">
        <v>0</v>
      </c>
    </row>
    <row r="1848" spans="1:16" x14ac:dyDescent="0.3">
      <c r="A1848" t="s">
        <v>408</v>
      </c>
      <c r="B1848">
        <v>5</v>
      </c>
      <c r="E1848">
        <v>1</v>
      </c>
    </row>
    <row r="1849" spans="1:16" x14ac:dyDescent="0.3">
      <c r="A1849" t="s">
        <v>659</v>
      </c>
      <c r="B1849">
        <v>5</v>
      </c>
      <c r="N1849">
        <v>10</v>
      </c>
    </row>
    <row r="1850" spans="1:16" x14ac:dyDescent="0.3">
      <c r="A1850" t="s">
        <v>658</v>
      </c>
      <c r="B1850">
        <v>5</v>
      </c>
      <c r="C1850">
        <v>0</v>
      </c>
      <c r="D1850">
        <v>115</v>
      </c>
      <c r="E1850">
        <v>1558</v>
      </c>
      <c r="F1850">
        <v>0</v>
      </c>
      <c r="G1850">
        <v>0</v>
      </c>
      <c r="H1850">
        <v>0</v>
      </c>
      <c r="I1850">
        <v>446</v>
      </c>
      <c r="J1850">
        <v>299</v>
      </c>
      <c r="K1850">
        <v>0</v>
      </c>
      <c r="L1850">
        <v>0</v>
      </c>
      <c r="M1850">
        <v>0</v>
      </c>
      <c r="N1850">
        <v>127</v>
      </c>
      <c r="O1850">
        <v>988</v>
      </c>
      <c r="P1850">
        <v>0</v>
      </c>
    </row>
    <row r="1851" spans="1:16" x14ac:dyDescent="0.3">
      <c r="A1851" t="s">
        <v>34</v>
      </c>
      <c r="B1851">
        <v>6</v>
      </c>
      <c r="C1851">
        <v>110</v>
      </c>
      <c r="D1851">
        <v>110</v>
      </c>
      <c r="E1851">
        <v>110</v>
      </c>
      <c r="F1851">
        <v>110</v>
      </c>
      <c r="G1851">
        <v>7</v>
      </c>
      <c r="H1851">
        <v>7</v>
      </c>
      <c r="I1851">
        <v>7</v>
      </c>
      <c r="J1851">
        <v>7</v>
      </c>
      <c r="K1851">
        <v>4</v>
      </c>
      <c r="L1851">
        <v>4</v>
      </c>
      <c r="M1851">
        <v>4</v>
      </c>
      <c r="N1851">
        <v>111</v>
      </c>
      <c r="O1851">
        <v>111</v>
      </c>
      <c r="P1851">
        <v>111</v>
      </c>
    </row>
    <row r="1852" spans="1:16" x14ac:dyDescent="0.3">
      <c r="A1852" t="s">
        <v>35</v>
      </c>
      <c r="B1852">
        <v>6</v>
      </c>
      <c r="C1852">
        <v>110</v>
      </c>
      <c r="D1852">
        <v>4</v>
      </c>
      <c r="E1852">
        <v>7</v>
      </c>
      <c r="F1852">
        <v>111</v>
      </c>
      <c r="G1852">
        <v>7</v>
      </c>
      <c r="H1852">
        <v>111</v>
      </c>
      <c r="I1852">
        <v>110</v>
      </c>
      <c r="J1852">
        <v>4</v>
      </c>
      <c r="K1852">
        <v>7</v>
      </c>
      <c r="L1852">
        <v>111</v>
      </c>
      <c r="M1852">
        <v>110</v>
      </c>
      <c r="N1852">
        <v>110</v>
      </c>
      <c r="O1852">
        <v>4</v>
      </c>
      <c r="P1852">
        <v>7</v>
      </c>
    </row>
    <row r="1853" spans="1:16" x14ac:dyDescent="0.3">
      <c r="A1853" t="s">
        <v>36</v>
      </c>
      <c r="B1853">
        <v>6</v>
      </c>
      <c r="C1853">
        <v>0</v>
      </c>
      <c r="D1853">
        <v>0</v>
      </c>
      <c r="E1853">
        <v>2</v>
      </c>
      <c r="F1853">
        <v>0</v>
      </c>
      <c r="G1853">
        <v>0</v>
      </c>
      <c r="H1853">
        <v>1</v>
      </c>
      <c r="I1853">
        <v>2</v>
      </c>
      <c r="J1853">
        <v>0</v>
      </c>
      <c r="K1853">
        <v>1</v>
      </c>
      <c r="L1853">
        <v>2</v>
      </c>
      <c r="M1853">
        <v>0</v>
      </c>
      <c r="N1853">
        <v>0</v>
      </c>
      <c r="O1853">
        <v>0</v>
      </c>
      <c r="P1853">
        <v>0</v>
      </c>
    </row>
    <row r="1854" spans="1:16" x14ac:dyDescent="0.3">
      <c r="A1854" t="s">
        <v>37</v>
      </c>
      <c r="B1854">
        <v>6</v>
      </c>
      <c r="D1854">
        <v>0</v>
      </c>
      <c r="E1854">
        <v>2</v>
      </c>
      <c r="H1854">
        <v>0</v>
      </c>
      <c r="I1854">
        <v>0</v>
      </c>
      <c r="K1854">
        <v>0</v>
      </c>
      <c r="L1854">
        <v>2</v>
      </c>
      <c r="N1854">
        <v>0</v>
      </c>
      <c r="O1854">
        <v>0</v>
      </c>
    </row>
    <row r="1855" spans="1:16" x14ac:dyDescent="0.3">
      <c r="A1855" t="s">
        <v>38</v>
      </c>
      <c r="B1855">
        <v>6</v>
      </c>
      <c r="C1855">
        <v>12</v>
      </c>
      <c r="D1855">
        <v>12</v>
      </c>
      <c r="E1855">
        <v>12</v>
      </c>
      <c r="F1855">
        <v>12</v>
      </c>
      <c r="G1855">
        <v>12</v>
      </c>
      <c r="H1855">
        <v>12</v>
      </c>
      <c r="I1855">
        <v>12</v>
      </c>
      <c r="J1855">
        <v>12</v>
      </c>
      <c r="K1855">
        <v>12</v>
      </c>
      <c r="L1855">
        <v>12</v>
      </c>
      <c r="M1855">
        <v>12</v>
      </c>
      <c r="N1855">
        <v>12</v>
      </c>
      <c r="O1855">
        <v>12</v>
      </c>
      <c r="P1855">
        <v>12</v>
      </c>
    </row>
    <row r="1856" spans="1:16" x14ac:dyDescent="0.3">
      <c r="A1856" t="s">
        <v>39</v>
      </c>
      <c r="B1856">
        <v>6</v>
      </c>
      <c r="H1856">
        <v>200</v>
      </c>
      <c r="K1856">
        <v>1000</v>
      </c>
    </row>
    <row r="1857" spans="1:16" x14ac:dyDescent="0.3">
      <c r="A1857" t="s">
        <v>631</v>
      </c>
      <c r="B1857">
        <v>6</v>
      </c>
      <c r="H1857">
        <v>25</v>
      </c>
      <c r="K1857">
        <v>25</v>
      </c>
    </row>
    <row r="1858" spans="1:16" x14ac:dyDescent="0.3">
      <c r="A1858" t="s">
        <v>40</v>
      </c>
      <c r="B1858">
        <v>6</v>
      </c>
      <c r="H1858">
        <v>1</v>
      </c>
      <c r="K1858">
        <v>1</v>
      </c>
    </row>
    <row r="1859" spans="1:16" x14ac:dyDescent="0.3">
      <c r="A1859" t="s">
        <v>41</v>
      </c>
      <c r="B1859">
        <v>6</v>
      </c>
    </row>
    <row r="1860" spans="1:16" x14ac:dyDescent="0.3">
      <c r="A1860" t="s">
        <v>42</v>
      </c>
      <c r="B1860">
        <v>6</v>
      </c>
      <c r="E1860">
        <v>30</v>
      </c>
      <c r="I1860">
        <v>30</v>
      </c>
      <c r="L1860">
        <v>30</v>
      </c>
      <c r="O1860">
        <v>30</v>
      </c>
    </row>
    <row r="1861" spans="1:16" x14ac:dyDescent="0.3">
      <c r="A1861" t="s">
        <v>45</v>
      </c>
      <c r="B1861">
        <v>6</v>
      </c>
      <c r="E1861">
        <v>2</v>
      </c>
      <c r="H1861">
        <v>1</v>
      </c>
      <c r="I1861">
        <v>6</v>
      </c>
      <c r="L1861">
        <v>4</v>
      </c>
    </row>
    <row r="1862" spans="1:16" x14ac:dyDescent="0.3">
      <c r="A1862" t="s">
        <v>46</v>
      </c>
      <c r="B1862">
        <v>6</v>
      </c>
      <c r="H1862">
        <v>6</v>
      </c>
      <c r="K1862">
        <v>4</v>
      </c>
    </row>
    <row r="1863" spans="1:16" x14ac:dyDescent="0.3">
      <c r="A1863" t="s">
        <v>49</v>
      </c>
      <c r="B1863">
        <v>6</v>
      </c>
      <c r="C1863">
        <v>4</v>
      </c>
      <c r="D1863">
        <v>4</v>
      </c>
      <c r="E1863">
        <v>7</v>
      </c>
      <c r="F1863">
        <v>4</v>
      </c>
      <c r="G1863">
        <v>4</v>
      </c>
      <c r="H1863">
        <v>5</v>
      </c>
      <c r="I1863">
        <v>7</v>
      </c>
      <c r="J1863">
        <v>4</v>
      </c>
      <c r="K1863">
        <v>5</v>
      </c>
      <c r="L1863">
        <v>5</v>
      </c>
      <c r="M1863">
        <v>4</v>
      </c>
      <c r="N1863">
        <v>4</v>
      </c>
      <c r="O1863">
        <v>4</v>
      </c>
      <c r="P1863">
        <v>4</v>
      </c>
    </row>
    <row r="1864" spans="1:16" x14ac:dyDescent="0.3">
      <c r="A1864" t="s">
        <v>632</v>
      </c>
      <c r="B1864">
        <v>6</v>
      </c>
      <c r="C1864">
        <v>0</v>
      </c>
      <c r="D1864">
        <v>0</v>
      </c>
      <c r="E1864">
        <v>0</v>
      </c>
      <c r="F1864">
        <v>0</v>
      </c>
      <c r="G1864">
        <v>0</v>
      </c>
      <c r="H1864">
        <v>0</v>
      </c>
      <c r="I1864">
        <v>0</v>
      </c>
      <c r="J1864">
        <v>0</v>
      </c>
      <c r="K1864">
        <v>0</v>
      </c>
      <c r="L1864">
        <v>0</v>
      </c>
      <c r="M1864">
        <v>0</v>
      </c>
      <c r="N1864">
        <v>0</v>
      </c>
      <c r="O1864">
        <v>0</v>
      </c>
      <c r="P1864">
        <v>0</v>
      </c>
    </row>
    <row r="1865" spans="1:16" x14ac:dyDescent="0.3">
      <c r="A1865" t="s">
        <v>48</v>
      </c>
      <c r="B1865">
        <v>6</v>
      </c>
      <c r="C1865">
        <v>1900</v>
      </c>
      <c r="D1865">
        <v>1900</v>
      </c>
      <c r="E1865">
        <v>1900</v>
      </c>
      <c r="F1865">
        <v>1900</v>
      </c>
      <c r="G1865">
        <v>1900</v>
      </c>
      <c r="H1865">
        <v>1900</v>
      </c>
      <c r="I1865">
        <v>1900</v>
      </c>
      <c r="J1865">
        <v>1900</v>
      </c>
      <c r="K1865">
        <v>1900</v>
      </c>
      <c r="L1865">
        <v>1900</v>
      </c>
      <c r="M1865">
        <v>1900</v>
      </c>
      <c r="N1865">
        <v>1900</v>
      </c>
      <c r="O1865">
        <v>1900</v>
      </c>
      <c r="P1865">
        <v>1900</v>
      </c>
    </row>
    <row r="1866" spans="1:16" x14ac:dyDescent="0.3">
      <c r="A1866" t="s">
        <v>633</v>
      </c>
      <c r="B1866">
        <v>6</v>
      </c>
      <c r="C1866">
        <v>0</v>
      </c>
      <c r="D1866">
        <v>0</v>
      </c>
      <c r="E1866">
        <v>3447</v>
      </c>
      <c r="F1866">
        <v>0</v>
      </c>
      <c r="G1866">
        <v>0</v>
      </c>
      <c r="H1866">
        <v>1770</v>
      </c>
      <c r="I1866">
        <v>3539</v>
      </c>
      <c r="J1866">
        <v>0</v>
      </c>
      <c r="K1866">
        <v>1770</v>
      </c>
      <c r="L1866">
        <v>3539</v>
      </c>
      <c r="M1866">
        <v>0</v>
      </c>
      <c r="N1866">
        <v>0</v>
      </c>
      <c r="O1866">
        <v>0</v>
      </c>
      <c r="P1866">
        <v>0</v>
      </c>
    </row>
    <row r="1867" spans="1:16" x14ac:dyDescent="0.3">
      <c r="A1867" t="s">
        <v>50</v>
      </c>
      <c r="B1867">
        <v>6</v>
      </c>
      <c r="C1867">
        <v>0</v>
      </c>
      <c r="D1867">
        <v>0</v>
      </c>
      <c r="E1867">
        <v>3447</v>
      </c>
      <c r="F1867">
        <v>0</v>
      </c>
      <c r="G1867">
        <v>0</v>
      </c>
      <c r="H1867">
        <v>445</v>
      </c>
      <c r="I1867">
        <v>3539</v>
      </c>
      <c r="J1867">
        <v>0</v>
      </c>
      <c r="K1867">
        <v>1770</v>
      </c>
      <c r="L1867">
        <v>3539</v>
      </c>
      <c r="M1867">
        <v>0</v>
      </c>
      <c r="N1867">
        <v>0</v>
      </c>
      <c r="O1867">
        <v>0</v>
      </c>
      <c r="P1867">
        <v>0</v>
      </c>
    </row>
    <row r="1868" spans="1:16" x14ac:dyDescent="0.3">
      <c r="A1868" t="s">
        <v>634</v>
      </c>
      <c r="B1868">
        <v>6</v>
      </c>
      <c r="C1868">
        <v>1</v>
      </c>
      <c r="D1868">
        <v>1</v>
      </c>
      <c r="E1868">
        <v>1</v>
      </c>
      <c r="F1868">
        <v>1</v>
      </c>
      <c r="G1868">
        <v>1</v>
      </c>
      <c r="H1868">
        <v>1</v>
      </c>
      <c r="I1868">
        <v>1</v>
      </c>
      <c r="J1868">
        <v>1</v>
      </c>
      <c r="K1868">
        <v>1</v>
      </c>
      <c r="L1868">
        <v>1</v>
      </c>
      <c r="M1868">
        <v>1</v>
      </c>
      <c r="N1868">
        <v>1</v>
      </c>
      <c r="O1868">
        <v>1</v>
      </c>
      <c r="P1868">
        <v>1</v>
      </c>
    </row>
    <row r="1869" spans="1:16" x14ac:dyDescent="0.3">
      <c r="A1869" t="s">
        <v>51</v>
      </c>
      <c r="B1869">
        <v>6</v>
      </c>
      <c r="C1869">
        <v>0</v>
      </c>
      <c r="D1869">
        <v>0</v>
      </c>
      <c r="E1869">
        <v>26</v>
      </c>
      <c r="F1869">
        <v>0</v>
      </c>
      <c r="G1869">
        <v>0</v>
      </c>
      <c r="H1869">
        <v>0</v>
      </c>
      <c r="I1869">
        <v>0</v>
      </c>
      <c r="J1869">
        <v>0</v>
      </c>
      <c r="K1869">
        <v>0</v>
      </c>
      <c r="L1869">
        <v>0</v>
      </c>
      <c r="M1869">
        <v>0</v>
      </c>
      <c r="N1869">
        <v>0</v>
      </c>
      <c r="O1869">
        <v>0</v>
      </c>
      <c r="P1869">
        <v>0</v>
      </c>
    </row>
    <row r="1870" spans="1:16" x14ac:dyDescent="0.3">
      <c r="A1870" t="s">
        <v>53</v>
      </c>
      <c r="B1870">
        <v>6</v>
      </c>
      <c r="C1870">
        <v>0</v>
      </c>
      <c r="D1870">
        <v>0</v>
      </c>
      <c r="E1870">
        <v>700</v>
      </c>
      <c r="F1870">
        <v>150</v>
      </c>
      <c r="G1870">
        <v>0</v>
      </c>
      <c r="H1870">
        <v>150</v>
      </c>
      <c r="I1870">
        <v>750</v>
      </c>
      <c r="J1870">
        <v>0</v>
      </c>
      <c r="K1870">
        <v>200</v>
      </c>
      <c r="L1870">
        <v>500</v>
      </c>
      <c r="M1870">
        <v>0</v>
      </c>
      <c r="N1870">
        <v>0</v>
      </c>
      <c r="O1870">
        <v>0</v>
      </c>
      <c r="P1870">
        <v>0</v>
      </c>
    </row>
    <row r="1871" spans="1:16" x14ac:dyDescent="0.3">
      <c r="A1871" t="s">
        <v>54</v>
      </c>
      <c r="B1871">
        <v>6</v>
      </c>
      <c r="C1871">
        <v>0</v>
      </c>
      <c r="D1871">
        <v>0</v>
      </c>
      <c r="E1871">
        <v>0</v>
      </c>
      <c r="F1871">
        <v>0</v>
      </c>
      <c r="G1871">
        <v>0</v>
      </c>
      <c r="H1871">
        <v>0</v>
      </c>
      <c r="I1871">
        <v>0</v>
      </c>
      <c r="J1871">
        <v>0</v>
      </c>
      <c r="K1871">
        <v>0</v>
      </c>
      <c r="L1871">
        <v>0</v>
      </c>
      <c r="M1871">
        <v>0</v>
      </c>
      <c r="N1871">
        <v>0</v>
      </c>
      <c r="O1871">
        <v>0</v>
      </c>
      <c r="P1871">
        <v>0</v>
      </c>
    </row>
    <row r="1872" spans="1:16" x14ac:dyDescent="0.3">
      <c r="A1872" t="s">
        <v>55</v>
      </c>
      <c r="B1872">
        <v>6</v>
      </c>
      <c r="C1872">
        <v>0</v>
      </c>
      <c r="D1872">
        <v>0</v>
      </c>
      <c r="E1872">
        <v>0</v>
      </c>
      <c r="F1872">
        <v>0</v>
      </c>
      <c r="G1872">
        <v>0</v>
      </c>
      <c r="H1872">
        <v>0</v>
      </c>
      <c r="I1872">
        <v>0</v>
      </c>
      <c r="J1872">
        <v>0</v>
      </c>
      <c r="K1872">
        <v>0</v>
      </c>
      <c r="L1872">
        <v>0</v>
      </c>
      <c r="M1872">
        <v>0</v>
      </c>
      <c r="N1872">
        <v>0</v>
      </c>
      <c r="O1872">
        <v>0</v>
      </c>
      <c r="P1872">
        <v>0</v>
      </c>
    </row>
    <row r="1873" spans="1:16" x14ac:dyDescent="0.3">
      <c r="A1873" t="s">
        <v>56</v>
      </c>
      <c r="B1873">
        <v>6</v>
      </c>
      <c r="C1873">
        <v>0.92</v>
      </c>
      <c r="D1873">
        <v>0.92</v>
      </c>
      <c r="E1873">
        <v>0.92</v>
      </c>
      <c r="F1873">
        <v>0.92</v>
      </c>
      <c r="G1873">
        <v>0.92</v>
      </c>
      <c r="H1873">
        <v>0.92</v>
      </c>
      <c r="I1873">
        <v>0.92</v>
      </c>
      <c r="J1873">
        <v>0.92</v>
      </c>
      <c r="K1873">
        <v>0.92</v>
      </c>
      <c r="L1873">
        <v>0.92</v>
      </c>
      <c r="M1873">
        <v>0.92</v>
      </c>
      <c r="N1873">
        <v>0.92</v>
      </c>
      <c r="O1873">
        <v>0.92</v>
      </c>
      <c r="P1873">
        <v>0.92</v>
      </c>
    </row>
    <row r="1874" spans="1:16" x14ac:dyDescent="0.3">
      <c r="A1874" t="s">
        <v>57</v>
      </c>
      <c r="B1874">
        <v>6</v>
      </c>
      <c r="C1874">
        <v>100</v>
      </c>
      <c r="D1874">
        <v>100</v>
      </c>
      <c r="E1874">
        <v>100</v>
      </c>
      <c r="F1874">
        <v>100</v>
      </c>
      <c r="G1874">
        <v>100</v>
      </c>
      <c r="H1874">
        <v>100</v>
      </c>
      <c r="I1874">
        <v>100</v>
      </c>
      <c r="J1874">
        <v>100</v>
      </c>
      <c r="K1874">
        <v>100</v>
      </c>
      <c r="L1874">
        <v>100</v>
      </c>
      <c r="M1874">
        <v>100</v>
      </c>
      <c r="N1874">
        <v>100</v>
      </c>
      <c r="O1874">
        <v>100</v>
      </c>
      <c r="P1874">
        <v>100</v>
      </c>
    </row>
    <row r="1875" spans="1:16" x14ac:dyDescent="0.3">
      <c r="A1875" t="s">
        <v>58</v>
      </c>
      <c r="B1875">
        <v>6</v>
      </c>
      <c r="C1875">
        <v>2</v>
      </c>
      <c r="D1875">
        <v>2</v>
      </c>
      <c r="E1875">
        <v>2</v>
      </c>
      <c r="F1875">
        <v>2</v>
      </c>
      <c r="G1875">
        <v>2</v>
      </c>
      <c r="H1875">
        <v>2</v>
      </c>
      <c r="I1875">
        <v>2</v>
      </c>
      <c r="J1875">
        <v>2</v>
      </c>
      <c r="K1875">
        <v>2</v>
      </c>
      <c r="L1875">
        <v>2</v>
      </c>
      <c r="M1875">
        <v>2</v>
      </c>
      <c r="N1875">
        <v>2</v>
      </c>
      <c r="O1875">
        <v>2</v>
      </c>
      <c r="P1875">
        <v>2</v>
      </c>
    </row>
    <row r="1876" spans="1:16" x14ac:dyDescent="0.3">
      <c r="A1876" t="s">
        <v>59</v>
      </c>
      <c r="B1876">
        <v>6</v>
      </c>
      <c r="C1876">
        <v>0</v>
      </c>
      <c r="D1876">
        <v>0</v>
      </c>
      <c r="E1876">
        <v>0</v>
      </c>
      <c r="F1876">
        <v>0</v>
      </c>
      <c r="G1876">
        <v>0</v>
      </c>
      <c r="H1876">
        <v>0</v>
      </c>
      <c r="I1876">
        <v>0</v>
      </c>
      <c r="J1876">
        <v>0</v>
      </c>
      <c r="K1876">
        <v>0</v>
      </c>
      <c r="L1876">
        <v>0</v>
      </c>
      <c r="M1876">
        <v>0</v>
      </c>
      <c r="N1876">
        <v>0</v>
      </c>
      <c r="O1876">
        <v>0</v>
      </c>
      <c r="P1876">
        <v>0</v>
      </c>
    </row>
    <row r="1877" spans="1:16" x14ac:dyDescent="0.3">
      <c r="A1877" t="s">
        <v>635</v>
      </c>
      <c r="B1877">
        <v>6</v>
      </c>
      <c r="E1877">
        <v>0</v>
      </c>
      <c r="I1877">
        <v>0</v>
      </c>
      <c r="L1877">
        <v>0</v>
      </c>
      <c r="O1877">
        <v>0</v>
      </c>
    </row>
    <row r="1878" spans="1:16" x14ac:dyDescent="0.3">
      <c r="A1878" t="s">
        <v>574</v>
      </c>
      <c r="B1878">
        <v>6</v>
      </c>
      <c r="E1878">
        <v>738</v>
      </c>
      <c r="I1878">
        <v>335</v>
      </c>
      <c r="L1878">
        <v>1509</v>
      </c>
      <c r="O1878">
        <v>708</v>
      </c>
    </row>
    <row r="1879" spans="1:16" x14ac:dyDescent="0.3">
      <c r="A1879" t="s">
        <v>78</v>
      </c>
      <c r="B1879">
        <v>6</v>
      </c>
      <c r="E1879">
        <v>16.8</v>
      </c>
      <c r="I1879">
        <v>7.6</v>
      </c>
      <c r="L1879">
        <v>34.299999999999997</v>
      </c>
      <c r="O1879">
        <v>16.100000000000001</v>
      </c>
    </row>
    <row r="1880" spans="1:16" x14ac:dyDescent="0.3">
      <c r="A1880" t="s">
        <v>636</v>
      </c>
      <c r="B1880">
        <v>6</v>
      </c>
      <c r="F1880">
        <v>0</v>
      </c>
      <c r="J1880">
        <v>0</v>
      </c>
      <c r="M1880">
        <v>0</v>
      </c>
      <c r="P1880">
        <v>0</v>
      </c>
    </row>
    <row r="1881" spans="1:16" x14ac:dyDescent="0.3">
      <c r="A1881" t="s">
        <v>639</v>
      </c>
      <c r="B1881">
        <v>6</v>
      </c>
      <c r="C1881">
        <v>3</v>
      </c>
      <c r="D1881">
        <v>0</v>
      </c>
      <c r="E1881">
        <v>0</v>
      </c>
      <c r="F1881">
        <v>1</v>
      </c>
      <c r="G1881">
        <v>3</v>
      </c>
      <c r="H1881">
        <v>0</v>
      </c>
      <c r="I1881">
        <v>0</v>
      </c>
      <c r="J1881">
        <v>1</v>
      </c>
      <c r="K1881">
        <v>0</v>
      </c>
      <c r="L1881">
        <v>0</v>
      </c>
      <c r="M1881">
        <v>1</v>
      </c>
      <c r="N1881">
        <v>0</v>
      </c>
      <c r="O1881">
        <v>0</v>
      </c>
      <c r="P1881">
        <v>1</v>
      </c>
    </row>
    <row r="1882" spans="1:16" x14ac:dyDescent="0.3">
      <c r="A1882" t="s">
        <v>640</v>
      </c>
      <c r="B1882">
        <v>6</v>
      </c>
      <c r="C1882">
        <v>0</v>
      </c>
      <c r="D1882">
        <v>0</v>
      </c>
      <c r="E1882">
        <v>0</v>
      </c>
      <c r="F1882">
        <v>0</v>
      </c>
      <c r="G1882">
        <v>0</v>
      </c>
      <c r="H1882">
        <v>0</v>
      </c>
      <c r="I1882">
        <v>0</v>
      </c>
      <c r="J1882">
        <v>0</v>
      </c>
      <c r="K1882">
        <v>0</v>
      </c>
      <c r="L1882">
        <v>0</v>
      </c>
      <c r="M1882">
        <v>0</v>
      </c>
      <c r="N1882">
        <v>0</v>
      </c>
      <c r="O1882">
        <v>0</v>
      </c>
      <c r="P1882">
        <v>0</v>
      </c>
    </row>
    <row r="1883" spans="1:16" x14ac:dyDescent="0.3">
      <c r="A1883" t="s">
        <v>52</v>
      </c>
      <c r="B1883">
        <v>6</v>
      </c>
      <c r="C1883">
        <v>1</v>
      </c>
      <c r="D1883">
        <v>1</v>
      </c>
      <c r="E1883">
        <v>1</v>
      </c>
      <c r="F1883">
        <v>1</v>
      </c>
      <c r="G1883">
        <v>1</v>
      </c>
      <c r="H1883">
        <v>1</v>
      </c>
      <c r="I1883">
        <v>1</v>
      </c>
      <c r="J1883">
        <v>1</v>
      </c>
      <c r="K1883">
        <v>1</v>
      </c>
      <c r="L1883">
        <v>1</v>
      </c>
      <c r="M1883">
        <v>1</v>
      </c>
      <c r="N1883">
        <v>1</v>
      </c>
      <c r="O1883">
        <v>1</v>
      </c>
      <c r="P1883">
        <v>1</v>
      </c>
    </row>
    <row r="1884" spans="1:16" x14ac:dyDescent="0.3">
      <c r="A1884" t="s">
        <v>641</v>
      </c>
      <c r="B1884">
        <v>6</v>
      </c>
      <c r="C1884">
        <v>9</v>
      </c>
      <c r="D1884">
        <v>15</v>
      </c>
      <c r="E1884">
        <v>60</v>
      </c>
      <c r="F1884">
        <v>9</v>
      </c>
      <c r="G1884">
        <v>9</v>
      </c>
      <c r="H1884">
        <v>15</v>
      </c>
      <c r="I1884">
        <v>60</v>
      </c>
      <c r="J1884">
        <v>9</v>
      </c>
      <c r="K1884">
        <v>15</v>
      </c>
      <c r="L1884">
        <v>60</v>
      </c>
      <c r="M1884">
        <v>9</v>
      </c>
      <c r="N1884">
        <v>15</v>
      </c>
      <c r="O1884">
        <v>60</v>
      </c>
      <c r="P1884">
        <v>9</v>
      </c>
    </row>
    <row r="1885" spans="1:16" x14ac:dyDescent="0.3">
      <c r="A1885" t="s">
        <v>43</v>
      </c>
      <c r="B1885">
        <v>6</v>
      </c>
      <c r="E1885">
        <v>256</v>
      </c>
      <c r="H1885">
        <v>40</v>
      </c>
      <c r="I1885">
        <v>256</v>
      </c>
      <c r="K1885">
        <v>40</v>
      </c>
      <c r="L1885">
        <v>40</v>
      </c>
    </row>
    <row r="1886" spans="1:16" x14ac:dyDescent="0.3">
      <c r="A1886" t="s">
        <v>44</v>
      </c>
      <c r="B1886">
        <v>6</v>
      </c>
      <c r="E1886">
        <v>0</v>
      </c>
      <c r="H1886">
        <v>0</v>
      </c>
      <c r="I1886">
        <v>0</v>
      </c>
      <c r="K1886">
        <v>0</v>
      </c>
      <c r="L1886">
        <v>0</v>
      </c>
    </row>
    <row r="1887" spans="1:16" x14ac:dyDescent="0.3">
      <c r="A1887" t="s">
        <v>47</v>
      </c>
      <c r="B1887">
        <v>6</v>
      </c>
      <c r="E1887">
        <v>2</v>
      </c>
      <c r="H1887">
        <v>1</v>
      </c>
      <c r="I1887">
        <v>6</v>
      </c>
      <c r="K1887">
        <v>4</v>
      </c>
      <c r="L1887">
        <v>4</v>
      </c>
    </row>
    <row r="1888" spans="1:16" x14ac:dyDescent="0.3">
      <c r="A1888" t="s">
        <v>642</v>
      </c>
      <c r="B1888">
        <v>6</v>
      </c>
      <c r="E1888">
        <v>0</v>
      </c>
      <c r="H1888">
        <v>0</v>
      </c>
      <c r="I1888">
        <v>0</v>
      </c>
      <c r="K1888">
        <v>0</v>
      </c>
      <c r="L1888">
        <v>0</v>
      </c>
    </row>
    <row r="1889" spans="1:15" x14ac:dyDescent="0.3">
      <c r="A1889" t="s">
        <v>643</v>
      </c>
      <c r="B1889">
        <v>6</v>
      </c>
      <c r="E1889">
        <v>0</v>
      </c>
      <c r="H1889">
        <v>0</v>
      </c>
      <c r="I1889">
        <v>0</v>
      </c>
      <c r="K1889">
        <v>0</v>
      </c>
      <c r="L1889">
        <v>0</v>
      </c>
    </row>
    <row r="1890" spans="1:15" x14ac:dyDescent="0.3">
      <c r="A1890" t="s">
        <v>644</v>
      </c>
      <c r="B1890">
        <v>6</v>
      </c>
      <c r="E1890">
        <v>0</v>
      </c>
      <c r="H1890">
        <v>0</v>
      </c>
      <c r="I1890">
        <v>0</v>
      </c>
      <c r="K1890">
        <v>0</v>
      </c>
      <c r="L1890">
        <v>0</v>
      </c>
    </row>
    <row r="1891" spans="1:15" x14ac:dyDescent="0.3">
      <c r="A1891" t="s">
        <v>645</v>
      </c>
      <c r="B1891">
        <v>6</v>
      </c>
      <c r="E1891">
        <v>0</v>
      </c>
      <c r="H1891">
        <v>0</v>
      </c>
      <c r="I1891">
        <v>0</v>
      </c>
      <c r="K1891">
        <v>0</v>
      </c>
      <c r="L1891">
        <v>0</v>
      </c>
    </row>
    <row r="1892" spans="1:15" x14ac:dyDescent="0.3">
      <c r="A1892" t="s">
        <v>646</v>
      </c>
      <c r="B1892">
        <v>6</v>
      </c>
      <c r="E1892">
        <v>2</v>
      </c>
      <c r="H1892">
        <v>1</v>
      </c>
      <c r="I1892">
        <v>2</v>
      </c>
      <c r="K1892">
        <v>1</v>
      </c>
      <c r="L1892">
        <v>1</v>
      </c>
    </row>
    <row r="1893" spans="1:15" x14ac:dyDescent="0.3">
      <c r="A1893" t="s">
        <v>647</v>
      </c>
      <c r="B1893">
        <v>6</v>
      </c>
      <c r="E1893">
        <v>250</v>
      </c>
      <c r="H1893">
        <v>0</v>
      </c>
      <c r="I1893">
        <v>250</v>
      </c>
      <c r="K1893">
        <v>0</v>
      </c>
      <c r="L1893">
        <v>0</v>
      </c>
    </row>
    <row r="1894" spans="1:15" x14ac:dyDescent="0.3">
      <c r="A1894" t="s">
        <v>648</v>
      </c>
      <c r="B1894">
        <v>6</v>
      </c>
      <c r="E1894">
        <v>6</v>
      </c>
      <c r="H1894">
        <v>40</v>
      </c>
      <c r="I1894">
        <v>6</v>
      </c>
      <c r="K1894">
        <v>40</v>
      </c>
      <c r="L1894">
        <v>40</v>
      </c>
    </row>
    <row r="1895" spans="1:15" x14ac:dyDescent="0.3">
      <c r="A1895" t="s">
        <v>649</v>
      </c>
      <c r="B1895">
        <v>6</v>
      </c>
      <c r="E1895">
        <v>3</v>
      </c>
      <c r="H1895">
        <v>3</v>
      </c>
      <c r="I1895">
        <v>3</v>
      </c>
      <c r="K1895">
        <v>3</v>
      </c>
      <c r="L1895">
        <v>3</v>
      </c>
    </row>
    <row r="1896" spans="1:15" x14ac:dyDescent="0.3">
      <c r="A1896" t="s">
        <v>650</v>
      </c>
      <c r="B1896">
        <v>6</v>
      </c>
      <c r="E1896">
        <v>0</v>
      </c>
      <c r="H1896">
        <v>0</v>
      </c>
      <c r="I1896">
        <v>0</v>
      </c>
      <c r="K1896">
        <v>0</v>
      </c>
      <c r="L1896">
        <v>0</v>
      </c>
    </row>
    <row r="1897" spans="1:15" x14ac:dyDescent="0.3">
      <c r="A1897" t="s">
        <v>651</v>
      </c>
      <c r="B1897">
        <v>6</v>
      </c>
      <c r="E1897">
        <v>0</v>
      </c>
      <c r="H1897">
        <v>0</v>
      </c>
      <c r="I1897">
        <v>0</v>
      </c>
      <c r="K1897">
        <v>0</v>
      </c>
      <c r="L1897">
        <v>0</v>
      </c>
    </row>
    <row r="1898" spans="1:15" x14ac:dyDescent="0.3">
      <c r="A1898" t="s">
        <v>652</v>
      </c>
      <c r="B1898">
        <v>6</v>
      </c>
      <c r="E1898">
        <v>0</v>
      </c>
      <c r="H1898">
        <v>0</v>
      </c>
      <c r="I1898">
        <v>0</v>
      </c>
      <c r="K1898">
        <v>0</v>
      </c>
      <c r="L1898">
        <v>0</v>
      </c>
    </row>
    <row r="1899" spans="1:15" x14ac:dyDescent="0.3">
      <c r="A1899" t="s">
        <v>653</v>
      </c>
      <c r="B1899">
        <v>6</v>
      </c>
      <c r="E1899">
        <v>0</v>
      </c>
      <c r="I1899">
        <v>0</v>
      </c>
    </row>
    <row r="1900" spans="1:15" x14ac:dyDescent="0.3">
      <c r="A1900" t="s">
        <v>654</v>
      </c>
      <c r="B1900">
        <v>6</v>
      </c>
      <c r="E1900">
        <v>0</v>
      </c>
      <c r="I1900">
        <v>0</v>
      </c>
    </row>
    <row r="1901" spans="1:15" x14ac:dyDescent="0.3">
      <c r="A1901" t="s">
        <v>655</v>
      </c>
      <c r="B1901">
        <v>6</v>
      </c>
      <c r="E1901">
        <v>3</v>
      </c>
      <c r="I1901">
        <v>3</v>
      </c>
    </row>
    <row r="1902" spans="1:15" x14ac:dyDescent="0.3">
      <c r="A1902" t="s">
        <v>656</v>
      </c>
      <c r="B1902">
        <v>6</v>
      </c>
      <c r="E1902">
        <v>0</v>
      </c>
      <c r="I1902">
        <v>0</v>
      </c>
    </row>
    <row r="1903" spans="1:15" x14ac:dyDescent="0.3">
      <c r="A1903" t="s">
        <v>657</v>
      </c>
      <c r="B1903">
        <v>6</v>
      </c>
      <c r="E1903">
        <v>0</v>
      </c>
      <c r="I1903">
        <v>0</v>
      </c>
      <c r="L1903">
        <v>0</v>
      </c>
      <c r="O1903">
        <v>0</v>
      </c>
    </row>
    <row r="1904" spans="1:15" x14ac:dyDescent="0.3">
      <c r="A1904" t="s">
        <v>408</v>
      </c>
      <c r="B1904">
        <v>6</v>
      </c>
      <c r="E1904">
        <v>0</v>
      </c>
    </row>
    <row r="1905" spans="1:16" x14ac:dyDescent="0.3">
      <c r="A1905" t="s">
        <v>658</v>
      </c>
      <c r="B1905">
        <v>6</v>
      </c>
      <c r="C1905">
        <v>0</v>
      </c>
      <c r="D1905">
        <v>0</v>
      </c>
      <c r="E1905">
        <v>924</v>
      </c>
      <c r="F1905">
        <v>0</v>
      </c>
      <c r="G1905">
        <v>0</v>
      </c>
      <c r="H1905">
        <v>163</v>
      </c>
      <c r="I1905">
        <v>815</v>
      </c>
      <c r="J1905">
        <v>0</v>
      </c>
      <c r="K1905">
        <v>217</v>
      </c>
      <c r="L1905">
        <v>543</v>
      </c>
      <c r="M1905">
        <v>0</v>
      </c>
      <c r="N1905">
        <v>0</v>
      </c>
      <c r="O1905">
        <v>0</v>
      </c>
      <c r="P1905">
        <v>0</v>
      </c>
    </row>
    <row r="1906" spans="1:16" x14ac:dyDescent="0.3">
      <c r="A1906" t="s">
        <v>34</v>
      </c>
      <c r="B1906">
        <v>7</v>
      </c>
      <c r="C1906">
        <v>6</v>
      </c>
      <c r="D1906">
        <v>6</v>
      </c>
      <c r="E1906">
        <v>6</v>
      </c>
      <c r="F1906">
        <v>6</v>
      </c>
      <c r="G1906">
        <v>60</v>
      </c>
      <c r="H1906">
        <v>60</v>
      </c>
      <c r="I1906">
        <v>60</v>
      </c>
      <c r="J1906">
        <v>60</v>
      </c>
      <c r="K1906">
        <v>5</v>
      </c>
      <c r="L1906">
        <v>5</v>
      </c>
      <c r="M1906">
        <v>5</v>
      </c>
      <c r="N1906">
        <v>112</v>
      </c>
      <c r="O1906">
        <v>112</v>
      </c>
      <c r="P1906">
        <v>112</v>
      </c>
    </row>
    <row r="1907" spans="1:16" x14ac:dyDescent="0.3">
      <c r="A1907" t="s">
        <v>35</v>
      </c>
      <c r="B1907">
        <v>7</v>
      </c>
      <c r="C1907">
        <v>6</v>
      </c>
      <c r="D1907">
        <v>5</v>
      </c>
      <c r="E1907">
        <v>60</v>
      </c>
      <c r="F1907">
        <v>112</v>
      </c>
      <c r="G1907">
        <v>60</v>
      </c>
      <c r="H1907">
        <v>112</v>
      </c>
      <c r="I1907">
        <v>6</v>
      </c>
      <c r="J1907">
        <v>5</v>
      </c>
      <c r="K1907">
        <v>60</v>
      </c>
      <c r="L1907">
        <v>112</v>
      </c>
      <c r="M1907">
        <v>6</v>
      </c>
      <c r="N1907">
        <v>6</v>
      </c>
      <c r="O1907">
        <v>5</v>
      </c>
      <c r="P1907">
        <v>60</v>
      </c>
    </row>
    <row r="1908" spans="1:16" x14ac:dyDescent="0.3">
      <c r="A1908" t="s">
        <v>36</v>
      </c>
      <c r="B1908">
        <v>7</v>
      </c>
      <c r="C1908">
        <v>0</v>
      </c>
      <c r="D1908">
        <v>1</v>
      </c>
      <c r="E1908">
        <v>2</v>
      </c>
      <c r="F1908">
        <v>0</v>
      </c>
      <c r="G1908">
        <v>0</v>
      </c>
      <c r="H1908">
        <v>0</v>
      </c>
      <c r="I1908">
        <v>2</v>
      </c>
      <c r="J1908">
        <v>0</v>
      </c>
      <c r="K1908">
        <v>0</v>
      </c>
      <c r="L1908">
        <v>0</v>
      </c>
      <c r="M1908">
        <v>0</v>
      </c>
      <c r="N1908">
        <v>1</v>
      </c>
      <c r="O1908">
        <v>2</v>
      </c>
      <c r="P1908">
        <v>0</v>
      </c>
    </row>
    <row r="1909" spans="1:16" x14ac:dyDescent="0.3">
      <c r="A1909" t="s">
        <v>37</v>
      </c>
      <c r="B1909">
        <v>7</v>
      </c>
      <c r="D1909">
        <v>0</v>
      </c>
      <c r="E1909">
        <v>0</v>
      </c>
      <c r="H1909">
        <v>0</v>
      </c>
      <c r="I1909">
        <v>2</v>
      </c>
      <c r="K1909">
        <v>0</v>
      </c>
      <c r="L1909">
        <v>0</v>
      </c>
      <c r="N1909">
        <v>0</v>
      </c>
      <c r="O1909">
        <v>3</v>
      </c>
    </row>
    <row r="1910" spans="1:16" x14ac:dyDescent="0.3">
      <c r="A1910" t="s">
        <v>38</v>
      </c>
      <c r="B1910">
        <v>7</v>
      </c>
      <c r="C1910">
        <v>12</v>
      </c>
      <c r="D1910">
        <v>12</v>
      </c>
      <c r="E1910">
        <v>12</v>
      </c>
      <c r="F1910">
        <v>12</v>
      </c>
      <c r="G1910">
        <v>12</v>
      </c>
      <c r="H1910">
        <v>12</v>
      </c>
      <c r="I1910">
        <v>12</v>
      </c>
      <c r="J1910">
        <v>12</v>
      </c>
      <c r="K1910">
        <v>12</v>
      </c>
      <c r="L1910">
        <v>12</v>
      </c>
      <c r="M1910">
        <v>12</v>
      </c>
      <c r="N1910">
        <v>12</v>
      </c>
      <c r="O1910">
        <v>12</v>
      </c>
      <c r="P1910">
        <v>12</v>
      </c>
    </row>
    <row r="1911" spans="1:16" x14ac:dyDescent="0.3">
      <c r="A1911" t="s">
        <v>39</v>
      </c>
      <c r="B1911">
        <v>7</v>
      </c>
      <c r="D1911">
        <v>200</v>
      </c>
      <c r="J1911">
        <v>300</v>
      </c>
    </row>
    <row r="1912" spans="1:16" x14ac:dyDescent="0.3">
      <c r="A1912" t="s">
        <v>631</v>
      </c>
      <c r="B1912">
        <v>7</v>
      </c>
      <c r="D1912">
        <v>25</v>
      </c>
      <c r="J1912">
        <v>25</v>
      </c>
    </row>
    <row r="1913" spans="1:16" x14ac:dyDescent="0.3">
      <c r="A1913" t="s">
        <v>40</v>
      </c>
      <c r="B1913">
        <v>7</v>
      </c>
      <c r="D1913">
        <v>1</v>
      </c>
      <c r="J1913">
        <v>0</v>
      </c>
    </row>
    <row r="1914" spans="1:16" x14ac:dyDescent="0.3">
      <c r="A1914" t="s">
        <v>41</v>
      </c>
      <c r="B1914">
        <v>7</v>
      </c>
    </row>
    <row r="1915" spans="1:16" x14ac:dyDescent="0.3">
      <c r="A1915" t="s">
        <v>42</v>
      </c>
      <c r="B1915">
        <v>7</v>
      </c>
      <c r="E1915">
        <v>30</v>
      </c>
      <c r="I1915">
        <v>30</v>
      </c>
      <c r="L1915">
        <v>30</v>
      </c>
      <c r="O1915">
        <v>30</v>
      </c>
    </row>
    <row r="1916" spans="1:16" x14ac:dyDescent="0.3">
      <c r="A1916" t="s">
        <v>45</v>
      </c>
      <c r="B1916">
        <v>7</v>
      </c>
      <c r="D1916">
        <v>5</v>
      </c>
      <c r="E1916">
        <v>2</v>
      </c>
      <c r="I1916">
        <v>6</v>
      </c>
      <c r="O1916">
        <v>8</v>
      </c>
    </row>
    <row r="1917" spans="1:16" x14ac:dyDescent="0.3">
      <c r="A1917" t="s">
        <v>46</v>
      </c>
      <c r="B1917">
        <v>7</v>
      </c>
      <c r="D1917">
        <v>2</v>
      </c>
      <c r="N1917">
        <v>8</v>
      </c>
    </row>
    <row r="1918" spans="1:16" x14ac:dyDescent="0.3">
      <c r="A1918" t="s">
        <v>49</v>
      </c>
      <c r="B1918">
        <v>7</v>
      </c>
      <c r="C1918">
        <v>4</v>
      </c>
      <c r="D1918">
        <v>5</v>
      </c>
      <c r="E1918">
        <v>5.5</v>
      </c>
      <c r="F1918">
        <v>4</v>
      </c>
      <c r="G1918">
        <v>4</v>
      </c>
      <c r="H1918">
        <v>4</v>
      </c>
      <c r="I1918">
        <v>5.5</v>
      </c>
      <c r="J1918">
        <v>4</v>
      </c>
      <c r="K1918">
        <v>4</v>
      </c>
      <c r="L1918">
        <v>4</v>
      </c>
      <c r="M1918">
        <v>4</v>
      </c>
      <c r="N1918">
        <v>6</v>
      </c>
      <c r="O1918">
        <v>6</v>
      </c>
      <c r="P1918">
        <v>4</v>
      </c>
    </row>
    <row r="1919" spans="1:16" x14ac:dyDescent="0.3">
      <c r="A1919" t="s">
        <v>632</v>
      </c>
      <c r="B1919">
        <v>7</v>
      </c>
      <c r="C1919">
        <v>0</v>
      </c>
      <c r="D1919">
        <v>0</v>
      </c>
      <c r="E1919">
        <v>0</v>
      </c>
      <c r="F1919">
        <v>0</v>
      </c>
      <c r="G1919">
        <v>0</v>
      </c>
      <c r="H1919">
        <v>0</v>
      </c>
      <c r="I1919">
        <v>0</v>
      </c>
      <c r="J1919">
        <v>0</v>
      </c>
      <c r="K1919">
        <v>0</v>
      </c>
      <c r="L1919">
        <v>0</v>
      </c>
      <c r="M1919">
        <v>0</v>
      </c>
      <c r="N1919">
        <v>0</v>
      </c>
      <c r="O1919">
        <v>0</v>
      </c>
      <c r="P1919">
        <v>0</v>
      </c>
    </row>
    <row r="1920" spans="1:16" x14ac:dyDescent="0.3">
      <c r="A1920" t="s">
        <v>48</v>
      </c>
      <c r="B1920">
        <v>7</v>
      </c>
      <c r="C1920">
        <v>1900</v>
      </c>
      <c r="D1920">
        <v>1900</v>
      </c>
      <c r="E1920">
        <v>1900</v>
      </c>
      <c r="F1920">
        <v>1900</v>
      </c>
      <c r="G1920">
        <v>1900</v>
      </c>
      <c r="H1920">
        <v>1900</v>
      </c>
      <c r="I1920">
        <v>1900</v>
      </c>
      <c r="J1920">
        <v>1900</v>
      </c>
      <c r="K1920">
        <v>1900</v>
      </c>
      <c r="L1920">
        <v>1900</v>
      </c>
      <c r="M1920">
        <v>1900</v>
      </c>
      <c r="N1920">
        <v>1900</v>
      </c>
      <c r="O1920">
        <v>1900</v>
      </c>
      <c r="P1920">
        <v>1900</v>
      </c>
    </row>
    <row r="1921" spans="1:16" x14ac:dyDescent="0.3">
      <c r="A1921" t="s">
        <v>633</v>
      </c>
      <c r="B1921">
        <v>7</v>
      </c>
      <c r="C1921">
        <v>0</v>
      </c>
      <c r="D1921">
        <v>1770</v>
      </c>
      <c r="E1921">
        <v>3539</v>
      </c>
      <c r="F1921">
        <v>0</v>
      </c>
      <c r="G1921">
        <v>0</v>
      </c>
      <c r="H1921">
        <v>0</v>
      </c>
      <c r="I1921">
        <v>3465</v>
      </c>
      <c r="J1921">
        <v>0</v>
      </c>
      <c r="K1921">
        <v>0</v>
      </c>
      <c r="L1921">
        <v>0</v>
      </c>
      <c r="M1921">
        <v>0</v>
      </c>
      <c r="N1921">
        <v>1610</v>
      </c>
      <c r="O1921">
        <v>3285</v>
      </c>
      <c r="P1921">
        <v>0</v>
      </c>
    </row>
    <row r="1922" spans="1:16" x14ac:dyDescent="0.3">
      <c r="A1922" t="s">
        <v>50</v>
      </c>
      <c r="B1922">
        <v>7</v>
      </c>
      <c r="C1922">
        <v>0</v>
      </c>
      <c r="D1922">
        <v>883</v>
      </c>
      <c r="E1922">
        <v>3539</v>
      </c>
      <c r="F1922">
        <v>0</v>
      </c>
      <c r="G1922">
        <v>0</v>
      </c>
      <c r="H1922">
        <v>0</v>
      </c>
      <c r="I1922">
        <v>3465</v>
      </c>
      <c r="J1922">
        <v>0</v>
      </c>
      <c r="K1922">
        <v>0</v>
      </c>
      <c r="L1922">
        <v>0</v>
      </c>
      <c r="M1922">
        <v>0</v>
      </c>
      <c r="N1922">
        <v>1610</v>
      </c>
      <c r="O1922">
        <v>3285</v>
      </c>
      <c r="P1922">
        <v>0</v>
      </c>
    </row>
    <row r="1923" spans="1:16" x14ac:dyDescent="0.3">
      <c r="A1923" t="s">
        <v>634</v>
      </c>
      <c r="B1923">
        <v>7</v>
      </c>
      <c r="C1923">
        <v>1</v>
      </c>
      <c r="D1923">
        <v>1</v>
      </c>
      <c r="E1923">
        <v>1</v>
      </c>
      <c r="F1923">
        <v>1</v>
      </c>
      <c r="G1923">
        <v>1</v>
      </c>
      <c r="H1923">
        <v>1</v>
      </c>
      <c r="I1923">
        <v>1</v>
      </c>
      <c r="J1923">
        <v>1</v>
      </c>
      <c r="K1923">
        <v>1</v>
      </c>
      <c r="L1923">
        <v>1</v>
      </c>
      <c r="M1923">
        <v>1</v>
      </c>
      <c r="N1923">
        <v>1</v>
      </c>
      <c r="O1923">
        <v>1</v>
      </c>
      <c r="P1923">
        <v>1</v>
      </c>
    </row>
    <row r="1924" spans="1:16" x14ac:dyDescent="0.3">
      <c r="A1924" t="s">
        <v>51</v>
      </c>
      <c r="B1924">
        <v>7</v>
      </c>
      <c r="C1924">
        <v>0</v>
      </c>
      <c r="D1924">
        <v>0</v>
      </c>
      <c r="E1924">
        <v>0</v>
      </c>
      <c r="F1924">
        <v>0</v>
      </c>
      <c r="G1924">
        <v>0</v>
      </c>
      <c r="H1924">
        <v>0</v>
      </c>
      <c r="I1924">
        <v>21</v>
      </c>
      <c r="J1924">
        <v>0</v>
      </c>
      <c r="K1924">
        <v>0</v>
      </c>
      <c r="L1924">
        <v>0</v>
      </c>
      <c r="M1924">
        <v>0</v>
      </c>
      <c r="N1924">
        <v>0</v>
      </c>
      <c r="O1924">
        <v>23</v>
      </c>
      <c r="P1924">
        <v>0</v>
      </c>
    </row>
    <row r="1925" spans="1:16" x14ac:dyDescent="0.3">
      <c r="A1925" t="s">
        <v>53</v>
      </c>
      <c r="B1925">
        <v>7</v>
      </c>
      <c r="C1925">
        <v>0</v>
      </c>
      <c r="D1925">
        <v>100</v>
      </c>
      <c r="E1925">
        <v>800</v>
      </c>
      <c r="F1925">
        <v>0</v>
      </c>
      <c r="G1925">
        <v>0</v>
      </c>
      <c r="H1925">
        <v>0</v>
      </c>
      <c r="I1925">
        <v>300</v>
      </c>
      <c r="J1925">
        <v>50</v>
      </c>
      <c r="K1925">
        <v>0</v>
      </c>
      <c r="L1925">
        <v>0</v>
      </c>
      <c r="M1925">
        <v>0</v>
      </c>
      <c r="N1925">
        <v>150</v>
      </c>
      <c r="O1925">
        <v>800</v>
      </c>
      <c r="P1925">
        <v>200</v>
      </c>
    </row>
    <row r="1926" spans="1:16" x14ac:dyDescent="0.3">
      <c r="A1926" t="s">
        <v>54</v>
      </c>
      <c r="B1926">
        <v>7</v>
      </c>
      <c r="C1926">
        <v>0</v>
      </c>
      <c r="D1926">
        <v>0</v>
      </c>
      <c r="E1926">
        <v>0</v>
      </c>
      <c r="F1926">
        <v>0</v>
      </c>
      <c r="G1926">
        <v>0</v>
      </c>
      <c r="H1926">
        <v>0</v>
      </c>
      <c r="I1926">
        <v>0</v>
      </c>
      <c r="J1926">
        <v>0</v>
      </c>
      <c r="K1926">
        <v>0</v>
      </c>
      <c r="L1926">
        <v>0</v>
      </c>
      <c r="M1926">
        <v>0</v>
      </c>
      <c r="N1926">
        <v>0</v>
      </c>
      <c r="O1926">
        <v>0</v>
      </c>
      <c r="P1926">
        <v>0</v>
      </c>
    </row>
    <row r="1927" spans="1:16" x14ac:dyDescent="0.3">
      <c r="A1927" t="s">
        <v>55</v>
      </c>
      <c r="B1927">
        <v>7</v>
      </c>
      <c r="C1927">
        <v>0</v>
      </c>
      <c r="D1927">
        <v>0</v>
      </c>
      <c r="E1927">
        <v>0</v>
      </c>
      <c r="F1927">
        <v>0</v>
      </c>
      <c r="G1927">
        <v>0</v>
      </c>
      <c r="H1927">
        <v>0</v>
      </c>
      <c r="I1927">
        <v>0</v>
      </c>
      <c r="J1927">
        <v>0</v>
      </c>
      <c r="K1927">
        <v>0</v>
      </c>
      <c r="L1927">
        <v>0</v>
      </c>
      <c r="M1927">
        <v>0</v>
      </c>
      <c r="N1927">
        <v>0</v>
      </c>
      <c r="O1927">
        <v>0</v>
      </c>
      <c r="P1927">
        <v>0</v>
      </c>
    </row>
    <row r="1928" spans="1:16" x14ac:dyDescent="0.3">
      <c r="A1928" t="s">
        <v>56</v>
      </c>
      <c r="B1928">
        <v>7</v>
      </c>
      <c r="C1928">
        <v>0.92</v>
      </c>
      <c r="D1928">
        <v>0.92</v>
      </c>
      <c r="E1928">
        <v>0.92</v>
      </c>
      <c r="F1928">
        <v>0.92</v>
      </c>
      <c r="G1928">
        <v>0.92</v>
      </c>
      <c r="H1928">
        <v>0.92</v>
      </c>
      <c r="I1928">
        <v>0.92</v>
      </c>
      <c r="J1928">
        <v>0.92</v>
      </c>
      <c r="K1928">
        <v>0.92</v>
      </c>
      <c r="L1928">
        <v>0.92</v>
      </c>
      <c r="M1928">
        <v>0.92</v>
      </c>
      <c r="N1928">
        <v>0.92</v>
      </c>
      <c r="O1928">
        <v>0.92</v>
      </c>
      <c r="P1928">
        <v>0.92</v>
      </c>
    </row>
    <row r="1929" spans="1:16" x14ac:dyDescent="0.3">
      <c r="A1929" t="s">
        <v>57</v>
      </c>
      <c r="B1929">
        <v>7</v>
      </c>
      <c r="C1929">
        <v>100</v>
      </c>
      <c r="D1929">
        <v>100</v>
      </c>
      <c r="E1929">
        <v>100</v>
      </c>
      <c r="F1929">
        <v>100</v>
      </c>
      <c r="G1929">
        <v>100</v>
      </c>
      <c r="H1929">
        <v>100</v>
      </c>
      <c r="I1929">
        <v>100</v>
      </c>
      <c r="J1929">
        <v>100</v>
      </c>
      <c r="K1929">
        <v>100</v>
      </c>
      <c r="L1929">
        <v>100</v>
      </c>
      <c r="M1929">
        <v>100</v>
      </c>
      <c r="N1929">
        <v>100</v>
      </c>
      <c r="O1929">
        <v>100</v>
      </c>
      <c r="P1929">
        <v>100</v>
      </c>
    </row>
    <row r="1930" spans="1:16" x14ac:dyDescent="0.3">
      <c r="A1930" t="s">
        <v>58</v>
      </c>
      <c r="B1930">
        <v>7</v>
      </c>
      <c r="C1930">
        <v>2</v>
      </c>
      <c r="D1930">
        <v>2</v>
      </c>
      <c r="E1930">
        <v>2</v>
      </c>
      <c r="F1930">
        <v>2</v>
      </c>
      <c r="G1930">
        <v>2</v>
      </c>
      <c r="H1930">
        <v>2</v>
      </c>
      <c r="I1930">
        <v>2</v>
      </c>
      <c r="J1930">
        <v>2</v>
      </c>
      <c r="K1930">
        <v>2</v>
      </c>
      <c r="L1930">
        <v>2</v>
      </c>
      <c r="M1930">
        <v>2</v>
      </c>
      <c r="N1930">
        <v>2</v>
      </c>
      <c r="O1930">
        <v>2</v>
      </c>
      <c r="P1930">
        <v>2</v>
      </c>
    </row>
    <row r="1931" spans="1:16" x14ac:dyDescent="0.3">
      <c r="A1931" t="s">
        <v>59</v>
      </c>
      <c r="B1931">
        <v>7</v>
      </c>
      <c r="C1931">
        <v>0</v>
      </c>
      <c r="D1931">
        <v>0</v>
      </c>
      <c r="E1931">
        <v>0</v>
      </c>
      <c r="F1931">
        <v>0</v>
      </c>
      <c r="G1931">
        <v>0</v>
      </c>
      <c r="H1931">
        <v>0</v>
      </c>
      <c r="I1931">
        <v>0</v>
      </c>
      <c r="J1931">
        <v>0</v>
      </c>
      <c r="K1931">
        <v>0</v>
      </c>
      <c r="L1931">
        <v>0</v>
      </c>
      <c r="M1931">
        <v>0</v>
      </c>
      <c r="N1931">
        <v>0</v>
      </c>
      <c r="O1931">
        <v>0</v>
      </c>
      <c r="P1931">
        <v>0</v>
      </c>
    </row>
    <row r="1932" spans="1:16" x14ac:dyDescent="0.3">
      <c r="A1932" t="s">
        <v>635</v>
      </c>
      <c r="B1932">
        <v>7</v>
      </c>
      <c r="E1932">
        <v>0</v>
      </c>
      <c r="I1932">
        <v>0</v>
      </c>
      <c r="L1932">
        <v>0</v>
      </c>
      <c r="O1932">
        <v>0</v>
      </c>
    </row>
    <row r="1933" spans="1:16" x14ac:dyDescent="0.3">
      <c r="A1933" t="s">
        <v>574</v>
      </c>
      <c r="B1933">
        <v>7</v>
      </c>
      <c r="E1933">
        <v>335</v>
      </c>
      <c r="I1933">
        <v>5914</v>
      </c>
      <c r="L1933">
        <v>1424</v>
      </c>
      <c r="O1933">
        <v>794</v>
      </c>
    </row>
    <row r="1934" spans="1:16" x14ac:dyDescent="0.3">
      <c r="A1934" t="s">
        <v>78</v>
      </c>
      <c r="B1934">
        <v>7</v>
      </c>
      <c r="E1934">
        <v>7.6</v>
      </c>
      <c r="I1934">
        <v>134.4</v>
      </c>
      <c r="L1934">
        <v>32.4</v>
      </c>
      <c r="O1934">
        <v>18</v>
      </c>
    </row>
    <row r="1935" spans="1:16" x14ac:dyDescent="0.3">
      <c r="A1935" t="s">
        <v>636</v>
      </c>
      <c r="B1935">
        <v>7</v>
      </c>
      <c r="F1935">
        <v>0</v>
      </c>
      <c r="J1935">
        <v>0</v>
      </c>
      <c r="M1935">
        <v>0</v>
      </c>
      <c r="P1935">
        <v>1</v>
      </c>
    </row>
    <row r="1936" spans="1:16" x14ac:dyDescent="0.3">
      <c r="A1936" t="s">
        <v>637</v>
      </c>
      <c r="B1936">
        <v>7</v>
      </c>
      <c r="P1936">
        <v>50</v>
      </c>
    </row>
    <row r="1937" spans="1:16" x14ac:dyDescent="0.3">
      <c r="A1937" t="s">
        <v>638</v>
      </c>
      <c r="B1937">
        <v>7</v>
      </c>
      <c r="P1937">
        <v>0</v>
      </c>
    </row>
    <row r="1938" spans="1:16" x14ac:dyDescent="0.3">
      <c r="A1938" t="s">
        <v>639</v>
      </c>
      <c r="B1938">
        <v>7</v>
      </c>
      <c r="C1938">
        <v>3</v>
      </c>
      <c r="D1938">
        <v>0</v>
      </c>
      <c r="E1938">
        <v>0</v>
      </c>
      <c r="F1938">
        <v>1</v>
      </c>
      <c r="G1938">
        <v>3</v>
      </c>
      <c r="H1938">
        <v>0</v>
      </c>
      <c r="I1938">
        <v>0</v>
      </c>
      <c r="J1938">
        <v>1</v>
      </c>
      <c r="K1938">
        <v>0</v>
      </c>
      <c r="L1938">
        <v>0</v>
      </c>
      <c r="M1938">
        <v>1</v>
      </c>
      <c r="N1938">
        <v>0</v>
      </c>
      <c r="O1938">
        <v>0</v>
      </c>
      <c r="P1938">
        <v>1</v>
      </c>
    </row>
    <row r="1939" spans="1:16" x14ac:dyDescent="0.3">
      <c r="A1939" t="s">
        <v>640</v>
      </c>
      <c r="B1939">
        <v>7</v>
      </c>
      <c r="C1939">
        <v>0</v>
      </c>
      <c r="D1939">
        <v>0</v>
      </c>
      <c r="E1939">
        <v>0</v>
      </c>
      <c r="F1939">
        <v>0</v>
      </c>
      <c r="G1939">
        <v>0</v>
      </c>
      <c r="H1939">
        <v>0</v>
      </c>
      <c r="I1939">
        <v>0</v>
      </c>
      <c r="J1939">
        <v>0</v>
      </c>
      <c r="K1939">
        <v>0</v>
      </c>
      <c r="L1939">
        <v>0</v>
      </c>
      <c r="M1939">
        <v>0</v>
      </c>
      <c r="N1939">
        <v>0</v>
      </c>
      <c r="O1939">
        <v>0</v>
      </c>
      <c r="P1939">
        <v>0</v>
      </c>
    </row>
    <row r="1940" spans="1:16" x14ac:dyDescent="0.3">
      <c r="A1940" t="s">
        <v>52</v>
      </c>
      <c r="B1940">
        <v>7</v>
      </c>
      <c r="C1940">
        <v>1</v>
      </c>
      <c r="D1940">
        <v>1</v>
      </c>
      <c r="E1940">
        <v>1</v>
      </c>
      <c r="F1940">
        <v>1</v>
      </c>
      <c r="G1940">
        <v>1</v>
      </c>
      <c r="H1940">
        <v>1</v>
      </c>
      <c r="I1940">
        <v>1</v>
      </c>
      <c r="J1940">
        <v>1</v>
      </c>
      <c r="K1940">
        <v>1</v>
      </c>
      <c r="L1940">
        <v>1</v>
      </c>
      <c r="M1940">
        <v>1</v>
      </c>
      <c r="N1940">
        <v>1</v>
      </c>
      <c r="O1940">
        <v>1</v>
      </c>
      <c r="P1940">
        <v>1</v>
      </c>
    </row>
    <row r="1941" spans="1:16" x14ac:dyDescent="0.3">
      <c r="A1941" t="s">
        <v>641</v>
      </c>
      <c r="B1941">
        <v>7</v>
      </c>
      <c r="C1941">
        <v>9</v>
      </c>
      <c r="D1941">
        <v>15</v>
      </c>
      <c r="E1941">
        <v>60</v>
      </c>
      <c r="F1941">
        <v>9</v>
      </c>
      <c r="G1941">
        <v>9</v>
      </c>
      <c r="H1941">
        <v>15</v>
      </c>
      <c r="I1941">
        <v>60</v>
      </c>
      <c r="J1941">
        <v>9</v>
      </c>
      <c r="K1941">
        <v>15</v>
      </c>
      <c r="L1941">
        <v>60</v>
      </c>
      <c r="M1941">
        <v>9</v>
      </c>
      <c r="N1941">
        <v>15</v>
      </c>
      <c r="O1941">
        <v>60</v>
      </c>
      <c r="P1941">
        <v>9</v>
      </c>
    </row>
    <row r="1942" spans="1:16" x14ac:dyDescent="0.3">
      <c r="A1942" t="s">
        <v>43</v>
      </c>
      <c r="B1942">
        <v>7</v>
      </c>
      <c r="D1942">
        <v>40</v>
      </c>
      <c r="E1942">
        <v>256</v>
      </c>
      <c r="I1942">
        <v>256</v>
      </c>
      <c r="N1942">
        <v>40</v>
      </c>
      <c r="O1942">
        <v>40</v>
      </c>
    </row>
    <row r="1943" spans="1:16" x14ac:dyDescent="0.3">
      <c r="A1943" t="s">
        <v>44</v>
      </c>
      <c r="B1943">
        <v>7</v>
      </c>
      <c r="D1943">
        <v>0</v>
      </c>
      <c r="E1943">
        <v>0</v>
      </c>
      <c r="I1943">
        <v>0</v>
      </c>
      <c r="N1943">
        <v>0</v>
      </c>
      <c r="O1943">
        <v>0</v>
      </c>
    </row>
    <row r="1944" spans="1:16" x14ac:dyDescent="0.3">
      <c r="A1944" t="s">
        <v>47</v>
      </c>
      <c r="B1944">
        <v>7</v>
      </c>
      <c r="D1944">
        <v>5</v>
      </c>
      <c r="E1944">
        <v>2</v>
      </c>
      <c r="I1944">
        <v>6</v>
      </c>
      <c r="N1944">
        <v>8</v>
      </c>
      <c r="O1944">
        <v>8</v>
      </c>
    </row>
    <row r="1945" spans="1:16" x14ac:dyDescent="0.3">
      <c r="A1945" t="s">
        <v>642</v>
      </c>
      <c r="B1945">
        <v>7</v>
      </c>
      <c r="D1945">
        <v>0</v>
      </c>
      <c r="E1945">
        <v>0</v>
      </c>
      <c r="I1945">
        <v>0</v>
      </c>
      <c r="N1945">
        <v>0</v>
      </c>
      <c r="O1945">
        <v>0</v>
      </c>
    </row>
    <row r="1946" spans="1:16" x14ac:dyDescent="0.3">
      <c r="A1946" t="s">
        <v>643</v>
      </c>
      <c r="B1946">
        <v>7</v>
      </c>
      <c r="D1946">
        <v>0</v>
      </c>
      <c r="E1946">
        <v>0</v>
      </c>
      <c r="I1946">
        <v>0</v>
      </c>
      <c r="N1946">
        <v>0</v>
      </c>
      <c r="O1946">
        <v>0</v>
      </c>
    </row>
    <row r="1947" spans="1:16" x14ac:dyDescent="0.3">
      <c r="A1947" t="s">
        <v>644</v>
      </c>
      <c r="B1947">
        <v>7</v>
      </c>
      <c r="D1947">
        <v>0</v>
      </c>
      <c r="E1947">
        <v>0</v>
      </c>
      <c r="I1947">
        <v>0</v>
      </c>
      <c r="N1947">
        <v>0</v>
      </c>
      <c r="O1947">
        <v>0</v>
      </c>
    </row>
    <row r="1948" spans="1:16" x14ac:dyDescent="0.3">
      <c r="A1948" t="s">
        <v>645</v>
      </c>
      <c r="B1948">
        <v>7</v>
      </c>
      <c r="D1948">
        <v>0</v>
      </c>
      <c r="E1948">
        <v>0</v>
      </c>
      <c r="I1948">
        <v>0</v>
      </c>
      <c r="N1948">
        <v>0</v>
      </c>
      <c r="O1948">
        <v>0</v>
      </c>
    </row>
    <row r="1949" spans="1:16" x14ac:dyDescent="0.3">
      <c r="A1949" t="s">
        <v>646</v>
      </c>
      <c r="B1949">
        <v>7</v>
      </c>
      <c r="D1949">
        <v>1</v>
      </c>
      <c r="E1949">
        <v>2</v>
      </c>
      <c r="I1949">
        <v>2</v>
      </c>
      <c r="N1949">
        <v>1</v>
      </c>
      <c r="O1949">
        <v>1</v>
      </c>
    </row>
    <row r="1950" spans="1:16" x14ac:dyDescent="0.3">
      <c r="A1950" t="s">
        <v>647</v>
      </c>
      <c r="B1950">
        <v>7</v>
      </c>
      <c r="D1950">
        <v>0</v>
      </c>
      <c r="E1950">
        <v>250</v>
      </c>
      <c r="I1950">
        <v>250</v>
      </c>
      <c r="N1950">
        <v>0</v>
      </c>
      <c r="O1950">
        <v>0</v>
      </c>
    </row>
    <row r="1951" spans="1:16" x14ac:dyDescent="0.3">
      <c r="A1951" t="s">
        <v>648</v>
      </c>
      <c r="B1951">
        <v>7</v>
      </c>
      <c r="D1951">
        <v>40</v>
      </c>
      <c r="E1951">
        <v>6</v>
      </c>
      <c r="I1951">
        <v>6</v>
      </c>
      <c r="N1951">
        <v>40</v>
      </c>
      <c r="O1951">
        <v>40</v>
      </c>
    </row>
    <row r="1952" spans="1:16" x14ac:dyDescent="0.3">
      <c r="A1952" t="s">
        <v>649</v>
      </c>
      <c r="B1952">
        <v>7</v>
      </c>
      <c r="D1952">
        <v>3</v>
      </c>
      <c r="E1952">
        <v>3</v>
      </c>
      <c r="I1952">
        <v>3</v>
      </c>
      <c r="N1952">
        <v>3</v>
      </c>
      <c r="O1952">
        <v>3</v>
      </c>
    </row>
    <row r="1953" spans="1:16" x14ac:dyDescent="0.3">
      <c r="A1953" t="s">
        <v>650</v>
      </c>
      <c r="B1953">
        <v>7</v>
      </c>
      <c r="D1953">
        <v>0</v>
      </c>
      <c r="E1953">
        <v>0</v>
      </c>
      <c r="I1953">
        <v>0</v>
      </c>
      <c r="N1953">
        <v>0</v>
      </c>
      <c r="O1953">
        <v>0</v>
      </c>
    </row>
    <row r="1954" spans="1:16" x14ac:dyDescent="0.3">
      <c r="A1954" t="s">
        <v>651</v>
      </c>
      <c r="B1954">
        <v>7</v>
      </c>
      <c r="D1954">
        <v>0</v>
      </c>
      <c r="E1954">
        <v>0</v>
      </c>
      <c r="I1954">
        <v>0</v>
      </c>
      <c r="N1954">
        <v>0</v>
      </c>
      <c r="O1954">
        <v>0</v>
      </c>
    </row>
    <row r="1955" spans="1:16" x14ac:dyDescent="0.3">
      <c r="A1955" t="s">
        <v>652</v>
      </c>
      <c r="B1955">
        <v>7</v>
      </c>
      <c r="D1955">
        <v>0</v>
      </c>
      <c r="E1955">
        <v>0</v>
      </c>
      <c r="I1955">
        <v>0</v>
      </c>
      <c r="N1955">
        <v>0</v>
      </c>
      <c r="O1955">
        <v>0</v>
      </c>
    </row>
    <row r="1956" spans="1:16" x14ac:dyDescent="0.3">
      <c r="A1956" t="s">
        <v>653</v>
      </c>
      <c r="B1956">
        <v>7</v>
      </c>
      <c r="E1956">
        <v>0</v>
      </c>
      <c r="I1956">
        <v>0</v>
      </c>
    </row>
    <row r="1957" spans="1:16" x14ac:dyDescent="0.3">
      <c r="A1957" t="s">
        <v>654</v>
      </c>
      <c r="B1957">
        <v>7</v>
      </c>
      <c r="E1957">
        <v>0</v>
      </c>
      <c r="I1957">
        <v>0</v>
      </c>
    </row>
    <row r="1958" spans="1:16" x14ac:dyDescent="0.3">
      <c r="A1958" t="s">
        <v>655</v>
      </c>
      <c r="B1958">
        <v>7</v>
      </c>
      <c r="E1958">
        <v>3</v>
      </c>
      <c r="I1958">
        <v>3</v>
      </c>
    </row>
    <row r="1959" spans="1:16" x14ac:dyDescent="0.3">
      <c r="A1959" t="s">
        <v>656</v>
      </c>
      <c r="B1959">
        <v>7</v>
      </c>
      <c r="E1959">
        <v>0</v>
      </c>
      <c r="I1959">
        <v>0</v>
      </c>
    </row>
    <row r="1960" spans="1:16" x14ac:dyDescent="0.3">
      <c r="A1960" t="s">
        <v>657</v>
      </c>
      <c r="B1960">
        <v>7</v>
      </c>
      <c r="E1960">
        <v>0</v>
      </c>
      <c r="I1960">
        <v>0</v>
      </c>
      <c r="L1960">
        <v>0</v>
      </c>
      <c r="O1960">
        <v>0</v>
      </c>
    </row>
    <row r="1961" spans="1:16" x14ac:dyDescent="0.3">
      <c r="A1961" t="s">
        <v>408</v>
      </c>
      <c r="B1961">
        <v>7</v>
      </c>
      <c r="E1961">
        <v>0</v>
      </c>
    </row>
    <row r="1962" spans="1:16" x14ac:dyDescent="0.3">
      <c r="A1962" t="s">
        <v>659</v>
      </c>
      <c r="B1962">
        <v>7</v>
      </c>
      <c r="N1962">
        <v>10</v>
      </c>
    </row>
    <row r="1963" spans="1:16" x14ac:dyDescent="0.3">
      <c r="A1963" t="s">
        <v>658</v>
      </c>
      <c r="B1963">
        <v>7</v>
      </c>
      <c r="C1963">
        <v>0</v>
      </c>
      <c r="D1963">
        <v>109</v>
      </c>
      <c r="E1963">
        <v>870</v>
      </c>
      <c r="F1963">
        <v>0</v>
      </c>
      <c r="G1963">
        <v>0</v>
      </c>
      <c r="H1963">
        <v>0</v>
      </c>
      <c r="I1963">
        <v>380</v>
      </c>
      <c r="J1963">
        <v>0</v>
      </c>
      <c r="K1963">
        <v>0</v>
      </c>
      <c r="L1963">
        <v>0</v>
      </c>
      <c r="M1963">
        <v>0</v>
      </c>
      <c r="N1963">
        <v>147</v>
      </c>
      <c r="O1963">
        <v>1103</v>
      </c>
      <c r="P1963">
        <v>0</v>
      </c>
    </row>
    <row r="1964" spans="1:16" x14ac:dyDescent="0.3">
      <c r="A1964" t="s">
        <v>34</v>
      </c>
      <c r="B1964">
        <v>9</v>
      </c>
      <c r="C1964">
        <v>5</v>
      </c>
      <c r="D1964">
        <v>5</v>
      </c>
      <c r="E1964">
        <v>5</v>
      </c>
      <c r="F1964">
        <v>5</v>
      </c>
      <c r="G1964">
        <v>10</v>
      </c>
      <c r="H1964">
        <v>10</v>
      </c>
      <c r="I1964">
        <v>10</v>
      </c>
      <c r="J1964">
        <v>10</v>
      </c>
      <c r="K1964">
        <v>113</v>
      </c>
      <c r="L1964">
        <v>113</v>
      </c>
      <c r="M1964">
        <v>113</v>
      </c>
      <c r="N1964">
        <v>114</v>
      </c>
      <c r="O1964">
        <v>114</v>
      </c>
      <c r="P1964">
        <v>114</v>
      </c>
    </row>
    <row r="1965" spans="1:16" x14ac:dyDescent="0.3">
      <c r="A1965" t="s">
        <v>35</v>
      </c>
      <c r="B1965">
        <v>9</v>
      </c>
      <c r="C1965">
        <v>5</v>
      </c>
      <c r="D1965">
        <v>113</v>
      </c>
      <c r="E1965">
        <v>10</v>
      </c>
      <c r="F1965">
        <v>114</v>
      </c>
      <c r="G1965">
        <v>10</v>
      </c>
      <c r="H1965">
        <v>114</v>
      </c>
      <c r="I1965">
        <v>5</v>
      </c>
      <c r="J1965">
        <v>113</v>
      </c>
      <c r="K1965">
        <v>10</v>
      </c>
      <c r="L1965">
        <v>114</v>
      </c>
      <c r="M1965">
        <v>5</v>
      </c>
      <c r="N1965">
        <v>5</v>
      </c>
      <c r="O1965">
        <v>113</v>
      </c>
      <c r="P1965">
        <v>10</v>
      </c>
    </row>
    <row r="1966" spans="1:16" x14ac:dyDescent="0.3">
      <c r="A1966" t="s">
        <v>36</v>
      </c>
      <c r="B1966">
        <v>9</v>
      </c>
      <c r="C1966">
        <v>0</v>
      </c>
      <c r="D1966">
        <v>1</v>
      </c>
      <c r="E1966">
        <v>2</v>
      </c>
      <c r="F1966">
        <v>1</v>
      </c>
      <c r="G1966">
        <v>0</v>
      </c>
      <c r="H1966">
        <v>1</v>
      </c>
      <c r="I1966">
        <v>2</v>
      </c>
      <c r="J1966">
        <v>1</v>
      </c>
      <c r="K1966">
        <v>1</v>
      </c>
      <c r="L1966">
        <v>1</v>
      </c>
      <c r="M1966">
        <v>0</v>
      </c>
      <c r="N1966">
        <v>0</v>
      </c>
      <c r="O1966">
        <v>1</v>
      </c>
      <c r="P1966">
        <v>0</v>
      </c>
    </row>
    <row r="1967" spans="1:16" x14ac:dyDescent="0.3">
      <c r="A1967" t="s">
        <v>37</v>
      </c>
      <c r="B1967">
        <v>9</v>
      </c>
      <c r="D1967">
        <v>0</v>
      </c>
      <c r="E1967">
        <v>0</v>
      </c>
      <c r="H1967">
        <v>0</v>
      </c>
      <c r="I1967">
        <v>0</v>
      </c>
      <c r="K1967">
        <v>0</v>
      </c>
      <c r="L1967">
        <v>2</v>
      </c>
      <c r="N1967">
        <v>0</v>
      </c>
      <c r="O1967">
        <v>3</v>
      </c>
    </row>
    <row r="1968" spans="1:16" x14ac:dyDescent="0.3">
      <c r="A1968" t="s">
        <v>38</v>
      </c>
      <c r="B1968">
        <v>9</v>
      </c>
      <c r="C1968">
        <v>12</v>
      </c>
      <c r="D1968">
        <v>12</v>
      </c>
      <c r="E1968">
        <v>12</v>
      </c>
      <c r="F1968">
        <v>12</v>
      </c>
      <c r="G1968">
        <v>12</v>
      </c>
      <c r="H1968">
        <v>12</v>
      </c>
      <c r="I1968">
        <v>12</v>
      </c>
      <c r="J1968">
        <v>12</v>
      </c>
      <c r="K1968">
        <v>12</v>
      </c>
      <c r="L1968">
        <v>12</v>
      </c>
      <c r="M1968">
        <v>12</v>
      </c>
      <c r="N1968">
        <v>12</v>
      </c>
      <c r="O1968">
        <v>12</v>
      </c>
      <c r="P1968">
        <v>12</v>
      </c>
    </row>
    <row r="1969" spans="1:16" x14ac:dyDescent="0.3">
      <c r="A1969" t="s">
        <v>39</v>
      </c>
      <c r="B1969">
        <v>9</v>
      </c>
      <c r="D1969">
        <v>300</v>
      </c>
      <c r="F1969">
        <v>100</v>
      </c>
      <c r="H1969">
        <v>300</v>
      </c>
      <c r="J1969">
        <v>300</v>
      </c>
      <c r="K1969">
        <v>500</v>
      </c>
    </row>
    <row r="1970" spans="1:16" x14ac:dyDescent="0.3">
      <c r="A1970" t="s">
        <v>631</v>
      </c>
      <c r="B1970">
        <v>9</v>
      </c>
      <c r="D1970">
        <v>25</v>
      </c>
      <c r="F1970">
        <v>25</v>
      </c>
      <c r="H1970">
        <v>25</v>
      </c>
      <c r="J1970">
        <v>25</v>
      </c>
      <c r="K1970">
        <v>25</v>
      </c>
    </row>
    <row r="1971" spans="1:16" x14ac:dyDescent="0.3">
      <c r="A1971" t="s">
        <v>40</v>
      </c>
      <c r="B1971">
        <v>9</v>
      </c>
      <c r="D1971">
        <v>1</v>
      </c>
      <c r="F1971">
        <v>1</v>
      </c>
      <c r="H1971">
        <v>1</v>
      </c>
      <c r="J1971">
        <v>1</v>
      </c>
      <c r="K1971">
        <v>1</v>
      </c>
    </row>
    <row r="1972" spans="1:16" x14ac:dyDescent="0.3">
      <c r="A1972" t="s">
        <v>41</v>
      </c>
      <c r="B1972">
        <v>9</v>
      </c>
    </row>
    <row r="1973" spans="1:16" x14ac:dyDescent="0.3">
      <c r="A1973" t="s">
        <v>42</v>
      </c>
      <c r="B1973">
        <v>9</v>
      </c>
      <c r="E1973">
        <v>35</v>
      </c>
      <c r="I1973">
        <v>40</v>
      </c>
      <c r="L1973">
        <v>30</v>
      </c>
      <c r="O1973">
        <v>30</v>
      </c>
    </row>
    <row r="1974" spans="1:16" x14ac:dyDescent="0.3">
      <c r="A1974" t="s">
        <v>45</v>
      </c>
      <c r="B1974">
        <v>9</v>
      </c>
      <c r="D1974">
        <v>5</v>
      </c>
      <c r="E1974">
        <v>2</v>
      </c>
      <c r="H1974">
        <v>1</v>
      </c>
      <c r="I1974">
        <v>6</v>
      </c>
      <c r="L1974">
        <v>4</v>
      </c>
      <c r="O1974">
        <v>8</v>
      </c>
    </row>
    <row r="1975" spans="1:16" x14ac:dyDescent="0.3">
      <c r="A1975" t="s">
        <v>46</v>
      </c>
      <c r="B1975">
        <v>9</v>
      </c>
      <c r="D1975">
        <v>2</v>
      </c>
      <c r="F1975">
        <v>2</v>
      </c>
      <c r="H1975">
        <v>6</v>
      </c>
      <c r="J1975">
        <v>6</v>
      </c>
      <c r="K1975">
        <v>4</v>
      </c>
      <c r="N1975">
        <v>8</v>
      </c>
    </row>
    <row r="1976" spans="1:16" x14ac:dyDescent="0.3">
      <c r="A1976" t="s">
        <v>49</v>
      </c>
      <c r="B1976">
        <v>9</v>
      </c>
      <c r="C1976">
        <v>4</v>
      </c>
      <c r="D1976">
        <v>6.2</v>
      </c>
      <c r="E1976">
        <v>6.2</v>
      </c>
      <c r="F1976">
        <v>6.2</v>
      </c>
      <c r="G1976">
        <v>4</v>
      </c>
      <c r="H1976">
        <v>6.2</v>
      </c>
      <c r="I1976">
        <v>6.2</v>
      </c>
      <c r="J1976">
        <v>6.2</v>
      </c>
      <c r="K1976">
        <v>6.7</v>
      </c>
      <c r="L1976">
        <v>6.7</v>
      </c>
      <c r="M1976">
        <v>4</v>
      </c>
      <c r="N1976">
        <v>6.7</v>
      </c>
      <c r="O1976">
        <v>6.7</v>
      </c>
      <c r="P1976">
        <v>4</v>
      </c>
    </row>
    <row r="1977" spans="1:16" x14ac:dyDescent="0.3">
      <c r="A1977" t="s">
        <v>632</v>
      </c>
      <c r="B1977">
        <v>9</v>
      </c>
      <c r="C1977">
        <v>0</v>
      </c>
      <c r="D1977">
        <v>0</v>
      </c>
      <c r="E1977">
        <v>0</v>
      </c>
      <c r="F1977">
        <v>0</v>
      </c>
      <c r="G1977">
        <v>0</v>
      </c>
      <c r="H1977">
        <v>0</v>
      </c>
      <c r="I1977">
        <v>0</v>
      </c>
      <c r="J1977">
        <v>0</v>
      </c>
      <c r="K1977">
        <v>0</v>
      </c>
      <c r="L1977">
        <v>0</v>
      </c>
      <c r="M1977">
        <v>0</v>
      </c>
      <c r="N1977">
        <v>0</v>
      </c>
      <c r="O1977">
        <v>0</v>
      </c>
      <c r="P1977">
        <v>0</v>
      </c>
    </row>
    <row r="1978" spans="1:16" x14ac:dyDescent="0.3">
      <c r="A1978" t="s">
        <v>48</v>
      </c>
      <c r="B1978">
        <v>9</v>
      </c>
      <c r="C1978">
        <v>1900</v>
      </c>
      <c r="D1978">
        <v>1900</v>
      </c>
      <c r="E1978">
        <v>1900</v>
      </c>
      <c r="F1978">
        <v>1900</v>
      </c>
      <c r="G1978">
        <v>1900</v>
      </c>
      <c r="H1978">
        <v>1900</v>
      </c>
      <c r="I1978">
        <v>1900</v>
      </c>
      <c r="J1978">
        <v>1900</v>
      </c>
      <c r="K1978">
        <v>1900</v>
      </c>
      <c r="L1978">
        <v>1900</v>
      </c>
      <c r="M1978">
        <v>1900</v>
      </c>
      <c r="N1978">
        <v>1900</v>
      </c>
      <c r="O1978">
        <v>1900</v>
      </c>
      <c r="P1978">
        <v>1900</v>
      </c>
    </row>
    <row r="1979" spans="1:16" x14ac:dyDescent="0.3">
      <c r="A1979" t="s">
        <v>633</v>
      </c>
      <c r="B1979">
        <v>9</v>
      </c>
      <c r="C1979">
        <v>0</v>
      </c>
      <c r="D1979">
        <v>1770</v>
      </c>
      <c r="E1979">
        <v>3539</v>
      </c>
      <c r="F1979">
        <v>1583</v>
      </c>
      <c r="G1979">
        <v>0</v>
      </c>
      <c r="H1979">
        <v>1770</v>
      </c>
      <c r="I1979">
        <v>3539</v>
      </c>
      <c r="J1979">
        <v>1583</v>
      </c>
      <c r="K1979">
        <v>1770</v>
      </c>
      <c r="L1979">
        <v>1596</v>
      </c>
      <c r="M1979">
        <v>0</v>
      </c>
      <c r="N1979">
        <v>0</v>
      </c>
      <c r="O1979">
        <v>1784</v>
      </c>
      <c r="P1979">
        <v>0</v>
      </c>
    </row>
    <row r="1980" spans="1:16" x14ac:dyDescent="0.3">
      <c r="A1980" t="s">
        <v>50</v>
      </c>
      <c r="B1980">
        <v>9</v>
      </c>
      <c r="C1980">
        <v>0</v>
      </c>
      <c r="D1980">
        <v>564</v>
      </c>
      <c r="E1980">
        <v>3539</v>
      </c>
      <c r="F1980">
        <v>1583</v>
      </c>
      <c r="G1980">
        <v>0</v>
      </c>
      <c r="H1980">
        <v>468</v>
      </c>
      <c r="I1980">
        <v>3539</v>
      </c>
      <c r="J1980">
        <v>1583</v>
      </c>
      <c r="K1980">
        <v>1349</v>
      </c>
      <c r="L1980">
        <v>1596</v>
      </c>
      <c r="M1980">
        <v>0</v>
      </c>
      <c r="N1980">
        <v>0</v>
      </c>
      <c r="O1980">
        <v>1236</v>
      </c>
      <c r="P1980">
        <v>0</v>
      </c>
    </row>
    <row r="1981" spans="1:16" x14ac:dyDescent="0.3">
      <c r="A1981" t="s">
        <v>634</v>
      </c>
      <c r="B1981">
        <v>9</v>
      </c>
      <c r="C1981">
        <v>1</v>
      </c>
      <c r="D1981">
        <v>1</v>
      </c>
      <c r="E1981">
        <v>1</v>
      </c>
      <c r="F1981">
        <v>1</v>
      </c>
      <c r="G1981">
        <v>1</v>
      </c>
      <c r="H1981">
        <v>1</v>
      </c>
      <c r="I1981">
        <v>1</v>
      </c>
      <c r="J1981">
        <v>1</v>
      </c>
      <c r="K1981">
        <v>1</v>
      </c>
      <c r="L1981">
        <v>1</v>
      </c>
      <c r="M1981">
        <v>1</v>
      </c>
      <c r="N1981">
        <v>1</v>
      </c>
      <c r="O1981">
        <v>1</v>
      </c>
      <c r="P1981">
        <v>1</v>
      </c>
    </row>
    <row r="1982" spans="1:16" x14ac:dyDescent="0.3">
      <c r="A1982" t="s">
        <v>51</v>
      </c>
      <c r="B1982">
        <v>9</v>
      </c>
      <c r="C1982">
        <v>0</v>
      </c>
      <c r="D1982">
        <v>0</v>
      </c>
      <c r="E1982">
        <v>0</v>
      </c>
      <c r="F1982">
        <v>90</v>
      </c>
      <c r="G1982">
        <v>0</v>
      </c>
      <c r="H1982">
        <v>0</v>
      </c>
      <c r="I1982">
        <v>0</v>
      </c>
      <c r="J1982">
        <v>90</v>
      </c>
      <c r="K1982">
        <v>0</v>
      </c>
      <c r="L1982">
        <v>190</v>
      </c>
      <c r="M1982">
        <v>0</v>
      </c>
      <c r="N1982">
        <v>0</v>
      </c>
      <c r="O1982">
        <v>7</v>
      </c>
      <c r="P1982">
        <v>0</v>
      </c>
    </row>
    <row r="1983" spans="1:16" x14ac:dyDescent="0.3">
      <c r="A1983" t="s">
        <v>53</v>
      </c>
      <c r="B1983">
        <v>9</v>
      </c>
      <c r="C1983">
        <v>0</v>
      </c>
      <c r="D1983">
        <v>283</v>
      </c>
      <c r="E1983">
        <v>1043</v>
      </c>
      <c r="F1983">
        <v>2</v>
      </c>
      <c r="G1983">
        <v>0</v>
      </c>
      <c r="H1983">
        <v>1</v>
      </c>
      <c r="I1983">
        <v>646</v>
      </c>
      <c r="J1983">
        <v>48</v>
      </c>
      <c r="K1983">
        <v>149</v>
      </c>
      <c r="L1983">
        <v>8</v>
      </c>
      <c r="M1983">
        <v>175</v>
      </c>
      <c r="N1983">
        <v>21</v>
      </c>
      <c r="O1983">
        <v>18</v>
      </c>
      <c r="P1983">
        <v>7</v>
      </c>
    </row>
    <row r="1984" spans="1:16" x14ac:dyDescent="0.3">
      <c r="A1984" t="s">
        <v>54</v>
      </c>
      <c r="B1984">
        <v>9</v>
      </c>
      <c r="C1984">
        <v>0</v>
      </c>
      <c r="D1984">
        <v>0</v>
      </c>
      <c r="E1984">
        <v>0</v>
      </c>
      <c r="F1984">
        <v>0</v>
      </c>
      <c r="G1984">
        <v>0</v>
      </c>
      <c r="H1984">
        <v>0</v>
      </c>
      <c r="I1984">
        <v>0</v>
      </c>
      <c r="J1984">
        <v>0</v>
      </c>
      <c r="K1984">
        <v>0</v>
      </c>
      <c r="L1984">
        <v>0</v>
      </c>
      <c r="M1984">
        <v>0</v>
      </c>
      <c r="N1984">
        <v>0</v>
      </c>
      <c r="O1984">
        <v>0</v>
      </c>
      <c r="P1984">
        <v>0</v>
      </c>
    </row>
    <row r="1985" spans="1:16" x14ac:dyDescent="0.3">
      <c r="A1985" t="s">
        <v>55</v>
      </c>
      <c r="B1985">
        <v>9</v>
      </c>
      <c r="C1985">
        <v>0</v>
      </c>
      <c r="D1985">
        <v>0</v>
      </c>
      <c r="E1985">
        <v>0</v>
      </c>
      <c r="F1985">
        <v>0</v>
      </c>
      <c r="G1985">
        <v>0</v>
      </c>
      <c r="H1985">
        <v>0</v>
      </c>
      <c r="I1985">
        <v>0</v>
      </c>
      <c r="J1985">
        <v>0</v>
      </c>
      <c r="K1985">
        <v>0</v>
      </c>
      <c r="L1985">
        <v>0</v>
      </c>
      <c r="M1985">
        <v>0</v>
      </c>
      <c r="N1985">
        <v>0</v>
      </c>
      <c r="O1985">
        <v>0</v>
      </c>
      <c r="P1985">
        <v>0</v>
      </c>
    </row>
    <row r="1986" spans="1:16" x14ac:dyDescent="0.3">
      <c r="A1986" t="s">
        <v>56</v>
      </c>
      <c r="B1986">
        <v>9</v>
      </c>
      <c r="C1986">
        <v>0.92</v>
      </c>
      <c r="D1986">
        <v>0.92</v>
      </c>
      <c r="E1986">
        <v>0.92</v>
      </c>
      <c r="F1986">
        <v>0.92</v>
      </c>
      <c r="G1986">
        <v>0.92</v>
      </c>
      <c r="H1986">
        <v>0.92</v>
      </c>
      <c r="I1986">
        <v>0.92</v>
      </c>
      <c r="J1986">
        <v>0.92</v>
      </c>
      <c r="K1986">
        <v>0.92</v>
      </c>
      <c r="L1986">
        <v>0.92</v>
      </c>
      <c r="M1986">
        <v>0.92</v>
      </c>
      <c r="N1986">
        <v>0.92</v>
      </c>
      <c r="O1986">
        <v>0.92</v>
      </c>
      <c r="P1986">
        <v>0.92</v>
      </c>
    </row>
    <row r="1987" spans="1:16" x14ac:dyDescent="0.3">
      <c r="A1987" t="s">
        <v>57</v>
      </c>
      <c r="B1987">
        <v>9</v>
      </c>
      <c r="C1987">
        <v>100</v>
      </c>
      <c r="D1987">
        <v>100</v>
      </c>
      <c r="E1987">
        <v>100</v>
      </c>
      <c r="F1987">
        <v>100</v>
      </c>
      <c r="G1987">
        <v>100</v>
      </c>
      <c r="H1987">
        <v>100</v>
      </c>
      <c r="I1987">
        <v>100</v>
      </c>
      <c r="J1987">
        <v>100</v>
      </c>
      <c r="K1987">
        <v>100</v>
      </c>
      <c r="L1987">
        <v>100</v>
      </c>
      <c r="M1987">
        <v>100</v>
      </c>
      <c r="N1987">
        <v>100</v>
      </c>
      <c r="O1987">
        <v>100</v>
      </c>
      <c r="P1987">
        <v>100</v>
      </c>
    </row>
    <row r="1988" spans="1:16" x14ac:dyDescent="0.3">
      <c r="A1988" t="s">
        <v>58</v>
      </c>
      <c r="B1988">
        <v>9</v>
      </c>
      <c r="C1988">
        <v>2</v>
      </c>
      <c r="D1988">
        <v>2</v>
      </c>
      <c r="E1988">
        <v>2</v>
      </c>
      <c r="F1988">
        <v>2</v>
      </c>
      <c r="G1988">
        <v>2</v>
      </c>
      <c r="H1988">
        <v>2</v>
      </c>
      <c r="I1988">
        <v>2</v>
      </c>
      <c r="J1988">
        <v>2</v>
      </c>
      <c r="K1988">
        <v>2</v>
      </c>
      <c r="L1988">
        <v>2</v>
      </c>
      <c r="M1988">
        <v>2</v>
      </c>
      <c r="N1988">
        <v>2</v>
      </c>
      <c r="O1988">
        <v>2</v>
      </c>
      <c r="P1988">
        <v>2</v>
      </c>
    </row>
    <row r="1989" spans="1:16" x14ac:dyDescent="0.3">
      <c r="A1989" t="s">
        <v>59</v>
      </c>
      <c r="B1989">
        <v>9</v>
      </c>
      <c r="C1989">
        <v>0</v>
      </c>
      <c r="D1989">
        <v>0</v>
      </c>
      <c r="E1989">
        <v>0</v>
      </c>
      <c r="F1989">
        <v>0</v>
      </c>
      <c r="G1989">
        <v>0</v>
      </c>
      <c r="H1989">
        <v>0</v>
      </c>
      <c r="I1989">
        <v>0</v>
      </c>
      <c r="J1989">
        <v>0</v>
      </c>
      <c r="K1989">
        <v>0</v>
      </c>
      <c r="L1989">
        <v>0</v>
      </c>
      <c r="M1989">
        <v>0</v>
      </c>
      <c r="N1989">
        <v>0</v>
      </c>
      <c r="O1989">
        <v>0</v>
      </c>
      <c r="P1989">
        <v>0</v>
      </c>
    </row>
    <row r="1990" spans="1:16" x14ac:dyDescent="0.3">
      <c r="A1990" t="s">
        <v>635</v>
      </c>
      <c r="B1990">
        <v>9</v>
      </c>
      <c r="E1990">
        <v>0</v>
      </c>
      <c r="I1990">
        <v>0</v>
      </c>
      <c r="L1990">
        <v>0</v>
      </c>
      <c r="O1990">
        <v>0</v>
      </c>
    </row>
    <row r="1991" spans="1:16" x14ac:dyDescent="0.3">
      <c r="A1991" t="s">
        <v>574</v>
      </c>
      <c r="B1991">
        <v>9</v>
      </c>
      <c r="E1991">
        <v>2995</v>
      </c>
      <c r="I1991">
        <v>2827</v>
      </c>
      <c r="L1991">
        <v>714</v>
      </c>
      <c r="O1991">
        <v>597</v>
      </c>
    </row>
    <row r="1992" spans="1:16" x14ac:dyDescent="0.3">
      <c r="A1992" t="s">
        <v>78</v>
      </c>
      <c r="B1992">
        <v>9</v>
      </c>
      <c r="E1992">
        <v>58.3</v>
      </c>
      <c r="I1992">
        <v>48.2</v>
      </c>
      <c r="L1992">
        <v>16.2</v>
      </c>
      <c r="O1992">
        <v>13.6</v>
      </c>
    </row>
    <row r="1993" spans="1:16" x14ac:dyDescent="0.3">
      <c r="A1993" t="s">
        <v>636</v>
      </c>
      <c r="B1993">
        <v>9</v>
      </c>
      <c r="F1993">
        <v>0</v>
      </c>
      <c r="J1993">
        <v>0</v>
      </c>
      <c r="M1993">
        <v>0</v>
      </c>
      <c r="P1993">
        <v>0</v>
      </c>
    </row>
    <row r="1994" spans="1:16" x14ac:dyDescent="0.3">
      <c r="A1994" t="s">
        <v>639</v>
      </c>
      <c r="B1994">
        <v>9</v>
      </c>
      <c r="C1994">
        <v>3</v>
      </c>
      <c r="D1994">
        <v>0</v>
      </c>
      <c r="E1994">
        <v>0</v>
      </c>
      <c r="F1994">
        <v>1</v>
      </c>
      <c r="G1994">
        <v>3</v>
      </c>
      <c r="H1994">
        <v>0</v>
      </c>
      <c r="I1994">
        <v>0</v>
      </c>
      <c r="J1994">
        <v>1</v>
      </c>
      <c r="K1994">
        <v>0</v>
      </c>
      <c r="L1994">
        <v>0</v>
      </c>
      <c r="M1994">
        <v>1</v>
      </c>
      <c r="N1994">
        <v>0</v>
      </c>
      <c r="O1994">
        <v>0</v>
      </c>
      <c r="P1994">
        <v>1</v>
      </c>
    </row>
    <row r="1995" spans="1:16" x14ac:dyDescent="0.3">
      <c r="A1995" t="s">
        <v>640</v>
      </c>
      <c r="B1995">
        <v>9</v>
      </c>
      <c r="C1995">
        <v>0</v>
      </c>
      <c r="D1995">
        <v>0</v>
      </c>
      <c r="E1995">
        <v>0</v>
      </c>
      <c r="F1995">
        <v>0</v>
      </c>
      <c r="G1995">
        <v>0</v>
      </c>
      <c r="H1995">
        <v>0</v>
      </c>
      <c r="I1995">
        <v>0</v>
      </c>
      <c r="J1995">
        <v>0</v>
      </c>
      <c r="K1995">
        <v>0</v>
      </c>
      <c r="L1995">
        <v>0</v>
      </c>
      <c r="M1995">
        <v>0</v>
      </c>
      <c r="N1995">
        <v>0</v>
      </c>
      <c r="O1995">
        <v>0</v>
      </c>
      <c r="P1995">
        <v>0</v>
      </c>
    </row>
    <row r="1996" spans="1:16" x14ac:dyDescent="0.3">
      <c r="A1996" t="s">
        <v>52</v>
      </c>
      <c r="B1996">
        <v>9</v>
      </c>
      <c r="C1996">
        <v>1</v>
      </c>
      <c r="D1996">
        <v>1</v>
      </c>
      <c r="E1996">
        <v>1</v>
      </c>
      <c r="F1996">
        <v>1</v>
      </c>
      <c r="G1996">
        <v>1</v>
      </c>
      <c r="H1996">
        <v>1</v>
      </c>
      <c r="I1996">
        <v>1</v>
      </c>
      <c r="J1996">
        <v>1</v>
      </c>
      <c r="K1996">
        <v>1</v>
      </c>
      <c r="L1996">
        <v>1</v>
      </c>
      <c r="M1996">
        <v>1</v>
      </c>
      <c r="N1996">
        <v>1</v>
      </c>
      <c r="O1996">
        <v>1</v>
      </c>
      <c r="P1996">
        <v>1</v>
      </c>
    </row>
    <row r="1997" spans="1:16" x14ac:dyDescent="0.3">
      <c r="A1997" t="s">
        <v>641</v>
      </c>
      <c r="B1997">
        <v>9</v>
      </c>
      <c r="C1997">
        <v>9</v>
      </c>
      <c r="D1997">
        <v>15</v>
      </c>
      <c r="E1997">
        <v>60</v>
      </c>
      <c r="F1997">
        <v>9</v>
      </c>
      <c r="G1997">
        <v>9</v>
      </c>
      <c r="H1997">
        <v>15</v>
      </c>
      <c r="I1997">
        <v>60</v>
      </c>
      <c r="J1997">
        <v>9</v>
      </c>
      <c r="K1997">
        <v>15</v>
      </c>
      <c r="L1997">
        <v>60</v>
      </c>
      <c r="M1997">
        <v>9</v>
      </c>
      <c r="N1997">
        <v>15</v>
      </c>
      <c r="O1997">
        <v>60</v>
      </c>
      <c r="P1997">
        <v>9</v>
      </c>
    </row>
    <row r="1998" spans="1:16" x14ac:dyDescent="0.3">
      <c r="A1998" t="s">
        <v>43</v>
      </c>
      <c r="B1998">
        <v>9</v>
      </c>
      <c r="D1998">
        <v>40</v>
      </c>
      <c r="E1998">
        <v>336</v>
      </c>
      <c r="F1998">
        <v>0</v>
      </c>
      <c r="H1998">
        <v>40</v>
      </c>
      <c r="I1998">
        <v>336</v>
      </c>
      <c r="J1998">
        <v>0</v>
      </c>
      <c r="K1998">
        <v>40</v>
      </c>
      <c r="L1998">
        <v>40</v>
      </c>
      <c r="N1998">
        <v>40</v>
      </c>
      <c r="O1998">
        <v>40</v>
      </c>
    </row>
    <row r="1999" spans="1:16" x14ac:dyDescent="0.3">
      <c r="A1999" t="s">
        <v>44</v>
      </c>
      <c r="B1999">
        <v>9</v>
      </c>
      <c r="D1999">
        <v>0</v>
      </c>
      <c r="E1999">
        <v>0</v>
      </c>
      <c r="F1999">
        <v>0</v>
      </c>
      <c r="H1999">
        <v>0</v>
      </c>
      <c r="I1999">
        <v>0</v>
      </c>
      <c r="J1999">
        <v>0</v>
      </c>
      <c r="K1999">
        <v>0</v>
      </c>
      <c r="L1999">
        <v>0</v>
      </c>
      <c r="N1999">
        <v>0</v>
      </c>
      <c r="O1999">
        <v>0</v>
      </c>
    </row>
    <row r="2000" spans="1:16" x14ac:dyDescent="0.3">
      <c r="A2000" t="s">
        <v>47</v>
      </c>
      <c r="B2000">
        <v>9</v>
      </c>
      <c r="D2000">
        <v>5</v>
      </c>
      <c r="E2000">
        <v>2</v>
      </c>
      <c r="F2000">
        <v>2</v>
      </c>
      <c r="H2000">
        <v>1</v>
      </c>
      <c r="I2000">
        <v>6</v>
      </c>
      <c r="J2000">
        <v>6</v>
      </c>
      <c r="K2000">
        <v>4</v>
      </c>
      <c r="L2000">
        <v>4</v>
      </c>
      <c r="N2000">
        <v>8</v>
      </c>
      <c r="O2000">
        <v>8</v>
      </c>
    </row>
    <row r="2001" spans="1:15" x14ac:dyDescent="0.3">
      <c r="A2001" t="s">
        <v>642</v>
      </c>
      <c r="B2001">
        <v>9</v>
      </c>
      <c r="D2001">
        <v>0</v>
      </c>
      <c r="E2001">
        <v>0</v>
      </c>
      <c r="F2001">
        <v>0</v>
      </c>
      <c r="H2001">
        <v>0</v>
      </c>
      <c r="I2001">
        <v>0</v>
      </c>
      <c r="J2001">
        <v>0</v>
      </c>
      <c r="K2001">
        <v>0</v>
      </c>
      <c r="L2001">
        <v>0</v>
      </c>
      <c r="N2001">
        <v>0</v>
      </c>
      <c r="O2001">
        <v>0</v>
      </c>
    </row>
    <row r="2002" spans="1:15" x14ac:dyDescent="0.3">
      <c r="A2002" t="s">
        <v>643</v>
      </c>
      <c r="B2002">
        <v>9</v>
      </c>
      <c r="D2002">
        <v>0</v>
      </c>
      <c r="E2002">
        <v>0</v>
      </c>
      <c r="F2002">
        <v>0</v>
      </c>
      <c r="H2002">
        <v>0</v>
      </c>
      <c r="I2002">
        <v>0</v>
      </c>
      <c r="J2002">
        <v>0</v>
      </c>
      <c r="K2002">
        <v>0</v>
      </c>
      <c r="L2002">
        <v>0</v>
      </c>
      <c r="N2002">
        <v>0</v>
      </c>
      <c r="O2002">
        <v>0</v>
      </c>
    </row>
    <row r="2003" spans="1:15" x14ac:dyDescent="0.3">
      <c r="A2003" t="s">
        <v>644</v>
      </c>
      <c r="B2003">
        <v>9</v>
      </c>
      <c r="D2003">
        <v>0</v>
      </c>
      <c r="E2003">
        <v>0</v>
      </c>
      <c r="F2003">
        <v>0</v>
      </c>
      <c r="H2003">
        <v>0</v>
      </c>
      <c r="I2003">
        <v>0</v>
      </c>
      <c r="J2003">
        <v>0</v>
      </c>
      <c r="K2003">
        <v>0</v>
      </c>
      <c r="L2003">
        <v>0</v>
      </c>
      <c r="N2003">
        <v>0</v>
      </c>
      <c r="O2003">
        <v>0</v>
      </c>
    </row>
    <row r="2004" spans="1:15" x14ac:dyDescent="0.3">
      <c r="A2004" t="s">
        <v>645</v>
      </c>
      <c r="B2004">
        <v>9</v>
      </c>
      <c r="D2004">
        <v>0</v>
      </c>
      <c r="E2004">
        <v>0</v>
      </c>
      <c r="F2004">
        <v>0</v>
      </c>
      <c r="H2004">
        <v>0</v>
      </c>
      <c r="I2004">
        <v>0</v>
      </c>
      <c r="J2004">
        <v>0</v>
      </c>
      <c r="K2004">
        <v>0</v>
      </c>
      <c r="L2004">
        <v>0</v>
      </c>
      <c r="N2004">
        <v>0</v>
      </c>
      <c r="O2004">
        <v>0</v>
      </c>
    </row>
    <row r="2005" spans="1:15" x14ac:dyDescent="0.3">
      <c r="A2005" t="s">
        <v>646</v>
      </c>
      <c r="B2005">
        <v>9</v>
      </c>
      <c r="D2005">
        <v>1</v>
      </c>
      <c r="E2005">
        <v>2</v>
      </c>
      <c r="F2005">
        <v>1</v>
      </c>
      <c r="H2005">
        <v>1</v>
      </c>
      <c r="I2005">
        <v>2</v>
      </c>
      <c r="J2005">
        <v>1</v>
      </c>
      <c r="K2005">
        <v>1</v>
      </c>
      <c r="L2005">
        <v>1</v>
      </c>
      <c r="N2005">
        <v>1</v>
      </c>
      <c r="O2005">
        <v>1</v>
      </c>
    </row>
    <row r="2006" spans="1:15" x14ac:dyDescent="0.3">
      <c r="A2006" t="s">
        <v>647</v>
      </c>
      <c r="B2006">
        <v>9</v>
      </c>
      <c r="D2006">
        <v>0</v>
      </c>
      <c r="E2006">
        <v>330</v>
      </c>
      <c r="F2006">
        <v>0</v>
      </c>
      <c r="H2006">
        <v>0</v>
      </c>
      <c r="I2006">
        <v>330</v>
      </c>
      <c r="J2006">
        <v>0</v>
      </c>
      <c r="K2006">
        <v>0</v>
      </c>
      <c r="L2006">
        <v>0</v>
      </c>
      <c r="N2006">
        <v>0</v>
      </c>
      <c r="O2006">
        <v>0</v>
      </c>
    </row>
    <row r="2007" spans="1:15" x14ac:dyDescent="0.3">
      <c r="A2007" t="s">
        <v>648</v>
      </c>
      <c r="B2007">
        <v>9</v>
      </c>
      <c r="D2007">
        <v>40</v>
      </c>
      <c r="E2007">
        <v>6</v>
      </c>
      <c r="F2007">
        <v>0</v>
      </c>
      <c r="H2007">
        <v>40</v>
      </c>
      <c r="I2007">
        <v>6</v>
      </c>
      <c r="J2007">
        <v>0</v>
      </c>
      <c r="K2007">
        <v>40</v>
      </c>
      <c r="L2007">
        <v>40</v>
      </c>
      <c r="N2007">
        <v>40</v>
      </c>
      <c r="O2007">
        <v>40</v>
      </c>
    </row>
    <row r="2008" spans="1:15" x14ac:dyDescent="0.3">
      <c r="A2008" t="s">
        <v>649</v>
      </c>
      <c r="B2008">
        <v>9</v>
      </c>
      <c r="D2008">
        <v>3</v>
      </c>
      <c r="E2008">
        <v>3</v>
      </c>
      <c r="F2008">
        <v>3</v>
      </c>
      <c r="H2008">
        <v>3</v>
      </c>
      <c r="I2008">
        <v>3</v>
      </c>
      <c r="J2008">
        <v>3</v>
      </c>
      <c r="K2008">
        <v>3</v>
      </c>
      <c r="L2008">
        <v>3</v>
      </c>
      <c r="N2008">
        <v>3</v>
      </c>
      <c r="O2008">
        <v>3</v>
      </c>
    </row>
    <row r="2009" spans="1:15" x14ac:dyDescent="0.3">
      <c r="A2009" t="s">
        <v>650</v>
      </c>
      <c r="B2009">
        <v>9</v>
      </c>
      <c r="D2009">
        <v>0</v>
      </c>
      <c r="E2009">
        <v>0</v>
      </c>
      <c r="F2009">
        <v>0</v>
      </c>
      <c r="H2009">
        <v>0</v>
      </c>
      <c r="I2009">
        <v>0</v>
      </c>
      <c r="J2009">
        <v>0</v>
      </c>
      <c r="K2009">
        <v>0</v>
      </c>
      <c r="L2009">
        <v>0</v>
      </c>
      <c r="N2009">
        <v>0</v>
      </c>
      <c r="O2009">
        <v>0</v>
      </c>
    </row>
    <row r="2010" spans="1:15" x14ac:dyDescent="0.3">
      <c r="A2010" t="s">
        <v>651</v>
      </c>
      <c r="B2010">
        <v>9</v>
      </c>
      <c r="D2010">
        <v>0</v>
      </c>
      <c r="E2010">
        <v>0</v>
      </c>
      <c r="F2010">
        <v>0</v>
      </c>
      <c r="H2010">
        <v>0</v>
      </c>
      <c r="I2010">
        <v>0</v>
      </c>
      <c r="J2010">
        <v>0</v>
      </c>
      <c r="K2010">
        <v>0</v>
      </c>
      <c r="L2010">
        <v>0</v>
      </c>
      <c r="N2010">
        <v>0</v>
      </c>
      <c r="O2010">
        <v>0</v>
      </c>
    </row>
    <row r="2011" spans="1:15" x14ac:dyDescent="0.3">
      <c r="A2011" t="s">
        <v>652</v>
      </c>
      <c r="B2011">
        <v>9</v>
      </c>
      <c r="D2011">
        <v>0</v>
      </c>
      <c r="E2011">
        <v>0</v>
      </c>
      <c r="F2011">
        <v>0</v>
      </c>
      <c r="H2011">
        <v>0</v>
      </c>
      <c r="I2011">
        <v>0</v>
      </c>
      <c r="J2011">
        <v>0</v>
      </c>
      <c r="K2011">
        <v>0</v>
      </c>
      <c r="L2011">
        <v>0</v>
      </c>
      <c r="N2011">
        <v>0</v>
      </c>
      <c r="O2011">
        <v>0</v>
      </c>
    </row>
    <row r="2012" spans="1:15" x14ac:dyDescent="0.3">
      <c r="A2012" t="s">
        <v>653</v>
      </c>
      <c r="B2012">
        <v>9</v>
      </c>
      <c r="E2012">
        <v>0</v>
      </c>
      <c r="I2012">
        <v>0</v>
      </c>
    </row>
    <row r="2013" spans="1:15" x14ac:dyDescent="0.3">
      <c r="A2013" t="s">
        <v>654</v>
      </c>
      <c r="B2013">
        <v>9</v>
      </c>
      <c r="E2013">
        <v>0</v>
      </c>
      <c r="I2013">
        <v>0</v>
      </c>
    </row>
    <row r="2014" spans="1:15" x14ac:dyDescent="0.3">
      <c r="A2014" t="s">
        <v>655</v>
      </c>
      <c r="B2014">
        <v>9</v>
      </c>
      <c r="E2014">
        <v>3</v>
      </c>
      <c r="I2014">
        <v>3</v>
      </c>
    </row>
    <row r="2015" spans="1:15" x14ac:dyDescent="0.3">
      <c r="A2015" t="s">
        <v>656</v>
      </c>
      <c r="B2015">
        <v>9</v>
      </c>
      <c r="E2015">
        <v>0</v>
      </c>
      <c r="I2015">
        <v>0</v>
      </c>
    </row>
    <row r="2016" spans="1:15" x14ac:dyDescent="0.3">
      <c r="A2016" t="s">
        <v>657</v>
      </c>
      <c r="B2016">
        <v>9</v>
      </c>
      <c r="E2016">
        <v>0</v>
      </c>
      <c r="I2016">
        <v>0</v>
      </c>
      <c r="L2016">
        <v>0</v>
      </c>
      <c r="O2016">
        <v>0</v>
      </c>
    </row>
    <row r="2017" spans="1:16" x14ac:dyDescent="0.3">
      <c r="A2017" t="s">
        <v>408</v>
      </c>
      <c r="B2017">
        <v>9</v>
      </c>
      <c r="E2017">
        <v>0</v>
      </c>
    </row>
    <row r="2018" spans="1:16" x14ac:dyDescent="0.3">
      <c r="A2018" t="s">
        <v>658</v>
      </c>
      <c r="B2018">
        <v>9</v>
      </c>
      <c r="C2018">
        <v>0</v>
      </c>
      <c r="D2018">
        <v>308</v>
      </c>
      <c r="E2018">
        <v>1134</v>
      </c>
      <c r="F2018">
        <v>2</v>
      </c>
      <c r="G2018">
        <v>0</v>
      </c>
      <c r="H2018">
        <v>1</v>
      </c>
      <c r="I2018">
        <v>702</v>
      </c>
      <c r="J2018">
        <v>52</v>
      </c>
      <c r="K2018">
        <v>162</v>
      </c>
      <c r="L2018">
        <v>199</v>
      </c>
      <c r="M2018">
        <v>0</v>
      </c>
      <c r="N2018">
        <v>0</v>
      </c>
      <c r="O2018">
        <v>51</v>
      </c>
      <c r="P2018">
        <v>0</v>
      </c>
    </row>
    <row r="2019" spans="1:16" x14ac:dyDescent="0.3">
      <c r="A2019" t="s">
        <v>34</v>
      </c>
      <c r="B2019">
        <v>10</v>
      </c>
      <c r="C2019">
        <v>9</v>
      </c>
      <c r="D2019">
        <v>9</v>
      </c>
      <c r="E2019">
        <v>9</v>
      </c>
      <c r="F2019">
        <v>9</v>
      </c>
      <c r="G2019">
        <v>11</v>
      </c>
      <c r="H2019">
        <v>11</v>
      </c>
      <c r="I2019">
        <v>11</v>
      </c>
      <c r="J2019">
        <v>11</v>
      </c>
      <c r="K2019">
        <v>46</v>
      </c>
      <c r="L2019">
        <v>46</v>
      </c>
      <c r="M2019">
        <v>46</v>
      </c>
      <c r="N2019">
        <v>60</v>
      </c>
      <c r="O2019">
        <v>60</v>
      </c>
      <c r="P2019">
        <v>60</v>
      </c>
    </row>
    <row r="2020" spans="1:16" x14ac:dyDescent="0.3">
      <c r="A2020" t="s">
        <v>35</v>
      </c>
      <c r="B2020">
        <v>10</v>
      </c>
      <c r="C2020">
        <v>9</v>
      </c>
      <c r="D2020">
        <v>46</v>
      </c>
      <c r="E2020">
        <v>11</v>
      </c>
      <c r="F2020">
        <v>60</v>
      </c>
      <c r="G2020">
        <v>11</v>
      </c>
      <c r="H2020">
        <v>60</v>
      </c>
      <c r="I2020">
        <v>9</v>
      </c>
      <c r="J2020">
        <v>46</v>
      </c>
      <c r="K2020">
        <v>11</v>
      </c>
      <c r="L2020">
        <v>60</v>
      </c>
      <c r="M2020">
        <v>9</v>
      </c>
      <c r="N2020">
        <v>9</v>
      </c>
      <c r="O2020">
        <v>46</v>
      </c>
      <c r="P2020">
        <v>11</v>
      </c>
    </row>
    <row r="2021" spans="1:16" x14ac:dyDescent="0.3">
      <c r="A2021" t="s">
        <v>36</v>
      </c>
      <c r="B2021">
        <v>10</v>
      </c>
      <c r="C2021">
        <v>0</v>
      </c>
      <c r="D2021">
        <v>1</v>
      </c>
      <c r="E2021">
        <v>2</v>
      </c>
      <c r="F2021">
        <v>0</v>
      </c>
      <c r="G2021">
        <v>0</v>
      </c>
      <c r="H2021">
        <v>1</v>
      </c>
      <c r="I2021">
        <v>2</v>
      </c>
      <c r="J2021">
        <v>1</v>
      </c>
      <c r="K2021">
        <v>1</v>
      </c>
      <c r="L2021">
        <v>2</v>
      </c>
      <c r="M2021">
        <v>1</v>
      </c>
      <c r="N2021">
        <v>1</v>
      </c>
      <c r="O2021">
        <v>1</v>
      </c>
      <c r="P2021">
        <v>1</v>
      </c>
    </row>
    <row r="2022" spans="1:16" x14ac:dyDescent="0.3">
      <c r="A2022" t="s">
        <v>37</v>
      </c>
      <c r="B2022">
        <v>10</v>
      </c>
      <c r="D2022">
        <v>0</v>
      </c>
      <c r="E2022">
        <v>2</v>
      </c>
      <c r="H2022">
        <v>0</v>
      </c>
      <c r="I2022">
        <v>0</v>
      </c>
      <c r="K2022">
        <v>0</v>
      </c>
      <c r="L2022">
        <v>0</v>
      </c>
      <c r="N2022">
        <v>0</v>
      </c>
      <c r="O2022">
        <v>0</v>
      </c>
    </row>
    <row r="2023" spans="1:16" x14ac:dyDescent="0.3">
      <c r="A2023" t="s">
        <v>38</v>
      </c>
      <c r="B2023">
        <v>10</v>
      </c>
      <c r="C2023">
        <v>12</v>
      </c>
      <c r="D2023">
        <v>12</v>
      </c>
      <c r="E2023">
        <v>12</v>
      </c>
      <c r="F2023">
        <v>12</v>
      </c>
      <c r="G2023">
        <v>12</v>
      </c>
      <c r="H2023">
        <v>12</v>
      </c>
      <c r="I2023">
        <v>12</v>
      </c>
      <c r="J2023">
        <v>12</v>
      </c>
      <c r="K2023">
        <v>12</v>
      </c>
      <c r="L2023">
        <v>12</v>
      </c>
      <c r="M2023">
        <v>12</v>
      </c>
      <c r="N2023">
        <v>12</v>
      </c>
      <c r="O2023">
        <v>12</v>
      </c>
      <c r="P2023">
        <v>12</v>
      </c>
    </row>
    <row r="2024" spans="1:16" x14ac:dyDescent="0.3">
      <c r="A2024" t="s">
        <v>39</v>
      </c>
      <c r="B2024">
        <v>10</v>
      </c>
      <c r="D2024">
        <v>250</v>
      </c>
      <c r="H2024">
        <v>250</v>
      </c>
      <c r="J2024">
        <v>250</v>
      </c>
      <c r="K2024">
        <v>200</v>
      </c>
      <c r="M2024">
        <v>500</v>
      </c>
      <c r="N2024">
        <v>100</v>
      </c>
    </row>
    <row r="2025" spans="1:16" x14ac:dyDescent="0.3">
      <c r="A2025" t="s">
        <v>631</v>
      </c>
      <c r="B2025">
        <v>10</v>
      </c>
      <c r="D2025">
        <v>25</v>
      </c>
      <c r="H2025">
        <v>25</v>
      </c>
      <c r="J2025">
        <v>25</v>
      </c>
      <c r="K2025">
        <v>25</v>
      </c>
      <c r="M2025">
        <v>25</v>
      </c>
      <c r="N2025">
        <v>25</v>
      </c>
    </row>
    <row r="2026" spans="1:16" x14ac:dyDescent="0.3">
      <c r="A2026" t="s">
        <v>40</v>
      </c>
      <c r="B2026">
        <v>10</v>
      </c>
      <c r="D2026">
        <v>1</v>
      </c>
      <c r="H2026">
        <v>1</v>
      </c>
      <c r="J2026">
        <v>1</v>
      </c>
      <c r="K2026">
        <v>1</v>
      </c>
      <c r="M2026">
        <v>1</v>
      </c>
      <c r="N2026">
        <v>1</v>
      </c>
    </row>
    <row r="2027" spans="1:16" x14ac:dyDescent="0.3">
      <c r="A2027" t="s">
        <v>41</v>
      </c>
      <c r="B2027">
        <v>10</v>
      </c>
    </row>
    <row r="2028" spans="1:16" x14ac:dyDescent="0.3">
      <c r="A2028" t="s">
        <v>42</v>
      </c>
      <c r="B2028">
        <v>10</v>
      </c>
      <c r="E2028">
        <v>40</v>
      </c>
      <c r="I2028">
        <v>30</v>
      </c>
      <c r="L2028">
        <v>30</v>
      </c>
      <c r="O2028">
        <v>30</v>
      </c>
    </row>
    <row r="2029" spans="1:16" x14ac:dyDescent="0.3">
      <c r="A2029" t="s">
        <v>45</v>
      </c>
      <c r="B2029">
        <v>10</v>
      </c>
      <c r="D2029">
        <v>1</v>
      </c>
      <c r="E2029">
        <v>6</v>
      </c>
      <c r="H2029">
        <v>5</v>
      </c>
      <c r="I2029">
        <v>2</v>
      </c>
      <c r="L2029">
        <v>4</v>
      </c>
      <c r="O2029">
        <v>8</v>
      </c>
    </row>
    <row r="2030" spans="1:16" x14ac:dyDescent="0.3">
      <c r="A2030" t="s">
        <v>46</v>
      </c>
      <c r="B2030">
        <v>10</v>
      </c>
      <c r="D2030">
        <v>6</v>
      </c>
      <c r="H2030">
        <v>2</v>
      </c>
      <c r="J2030">
        <v>2</v>
      </c>
      <c r="K2030">
        <v>4</v>
      </c>
      <c r="M2030">
        <v>4</v>
      </c>
      <c r="N2030">
        <v>8</v>
      </c>
      <c r="P2030">
        <v>8</v>
      </c>
    </row>
    <row r="2031" spans="1:16" x14ac:dyDescent="0.3">
      <c r="A2031" t="s">
        <v>49</v>
      </c>
      <c r="B2031">
        <v>10</v>
      </c>
      <c r="C2031">
        <v>4</v>
      </c>
      <c r="D2031">
        <v>6</v>
      </c>
      <c r="E2031">
        <v>6.1</v>
      </c>
      <c r="F2031">
        <v>4</v>
      </c>
      <c r="G2031">
        <v>4</v>
      </c>
      <c r="H2031">
        <v>6</v>
      </c>
      <c r="I2031">
        <v>6.1</v>
      </c>
      <c r="J2031">
        <v>6.1</v>
      </c>
      <c r="K2031">
        <v>6</v>
      </c>
      <c r="L2031">
        <v>6</v>
      </c>
      <c r="M2031">
        <v>6</v>
      </c>
      <c r="N2031">
        <v>6</v>
      </c>
      <c r="O2031">
        <v>6</v>
      </c>
      <c r="P2031">
        <v>6</v>
      </c>
    </row>
    <row r="2032" spans="1:16" x14ac:dyDescent="0.3">
      <c r="A2032" t="s">
        <v>632</v>
      </c>
      <c r="B2032">
        <v>10</v>
      </c>
      <c r="C2032">
        <v>0</v>
      </c>
      <c r="D2032">
        <v>0</v>
      </c>
      <c r="E2032">
        <v>0</v>
      </c>
      <c r="F2032">
        <v>0</v>
      </c>
      <c r="G2032">
        <v>0</v>
      </c>
      <c r="H2032">
        <v>0</v>
      </c>
      <c r="I2032">
        <v>0</v>
      </c>
      <c r="J2032">
        <v>0</v>
      </c>
      <c r="K2032">
        <v>0</v>
      </c>
      <c r="L2032">
        <v>0</v>
      </c>
      <c r="M2032">
        <v>0</v>
      </c>
      <c r="N2032">
        <v>0</v>
      </c>
      <c r="O2032">
        <v>0</v>
      </c>
      <c r="P2032">
        <v>0</v>
      </c>
    </row>
    <row r="2033" spans="1:16" x14ac:dyDescent="0.3">
      <c r="A2033" t="s">
        <v>48</v>
      </c>
      <c r="B2033">
        <v>10</v>
      </c>
      <c r="C2033">
        <v>1900</v>
      </c>
      <c r="D2033">
        <v>1900</v>
      </c>
      <c r="E2033">
        <v>1900</v>
      </c>
      <c r="F2033">
        <v>1900</v>
      </c>
      <c r="G2033">
        <v>1900</v>
      </c>
      <c r="H2033">
        <v>1900</v>
      </c>
      <c r="I2033">
        <v>1900</v>
      </c>
      <c r="J2033">
        <v>1900</v>
      </c>
      <c r="K2033">
        <v>1900</v>
      </c>
      <c r="L2033">
        <v>1900</v>
      </c>
      <c r="M2033">
        <v>1900</v>
      </c>
      <c r="N2033">
        <v>1900</v>
      </c>
      <c r="O2033">
        <v>1900</v>
      </c>
      <c r="P2033">
        <v>1900</v>
      </c>
    </row>
    <row r="2034" spans="1:16" x14ac:dyDescent="0.3">
      <c r="A2034" t="s">
        <v>633</v>
      </c>
      <c r="B2034">
        <v>10</v>
      </c>
      <c r="C2034">
        <v>0</v>
      </c>
      <c r="D2034">
        <v>1770</v>
      </c>
      <c r="E2034">
        <v>3539</v>
      </c>
      <c r="F2034">
        <v>0</v>
      </c>
      <c r="G2034">
        <v>0</v>
      </c>
      <c r="H2034">
        <v>1770</v>
      </c>
      <c r="I2034">
        <v>3539</v>
      </c>
      <c r="J2034">
        <v>1583</v>
      </c>
      <c r="K2034">
        <v>1770</v>
      </c>
      <c r="L2034">
        <v>3539</v>
      </c>
      <c r="M2034">
        <v>1583</v>
      </c>
      <c r="N2034">
        <v>1770</v>
      </c>
      <c r="O2034">
        <v>1863</v>
      </c>
      <c r="P2034">
        <v>1583</v>
      </c>
    </row>
    <row r="2035" spans="1:16" x14ac:dyDescent="0.3">
      <c r="A2035" t="s">
        <v>50</v>
      </c>
      <c r="B2035">
        <v>10</v>
      </c>
      <c r="C2035">
        <v>0</v>
      </c>
      <c r="D2035">
        <v>780</v>
      </c>
      <c r="E2035">
        <v>3539</v>
      </c>
      <c r="F2035">
        <v>0</v>
      </c>
      <c r="G2035">
        <v>0</v>
      </c>
      <c r="H2035">
        <v>693</v>
      </c>
      <c r="I2035">
        <v>3539</v>
      </c>
      <c r="J2035">
        <v>1583</v>
      </c>
      <c r="K2035">
        <v>434</v>
      </c>
      <c r="L2035">
        <v>3539</v>
      </c>
      <c r="M2035">
        <v>1583</v>
      </c>
      <c r="N2035">
        <v>1283</v>
      </c>
      <c r="O2035">
        <v>1863</v>
      </c>
      <c r="P2035">
        <v>1583</v>
      </c>
    </row>
    <row r="2036" spans="1:16" x14ac:dyDescent="0.3">
      <c r="A2036" t="s">
        <v>634</v>
      </c>
      <c r="B2036">
        <v>10</v>
      </c>
      <c r="C2036">
        <v>1</v>
      </c>
      <c r="D2036">
        <v>1</v>
      </c>
      <c r="E2036">
        <v>1</v>
      </c>
      <c r="F2036">
        <v>1</v>
      </c>
      <c r="G2036">
        <v>1</v>
      </c>
      <c r="H2036">
        <v>1</v>
      </c>
      <c r="I2036">
        <v>1</v>
      </c>
      <c r="J2036">
        <v>1</v>
      </c>
      <c r="K2036">
        <v>1</v>
      </c>
      <c r="L2036">
        <v>1</v>
      </c>
      <c r="M2036">
        <v>1</v>
      </c>
      <c r="N2036">
        <v>1</v>
      </c>
      <c r="O2036">
        <v>1</v>
      </c>
      <c r="P2036">
        <v>1</v>
      </c>
    </row>
    <row r="2037" spans="1:16" x14ac:dyDescent="0.3">
      <c r="A2037" t="s">
        <v>51</v>
      </c>
      <c r="B2037">
        <v>10</v>
      </c>
      <c r="C2037">
        <v>0</v>
      </c>
      <c r="D2037">
        <v>0</v>
      </c>
      <c r="E2037">
        <v>0</v>
      </c>
      <c r="F2037">
        <v>0</v>
      </c>
      <c r="G2037">
        <v>0</v>
      </c>
      <c r="H2037">
        <v>0</v>
      </c>
      <c r="I2037">
        <v>0</v>
      </c>
      <c r="J2037">
        <v>136</v>
      </c>
      <c r="K2037">
        <v>0</v>
      </c>
      <c r="L2037">
        <v>0</v>
      </c>
      <c r="M2037">
        <v>312</v>
      </c>
      <c r="N2037">
        <v>0</v>
      </c>
      <c r="O2037">
        <v>0</v>
      </c>
      <c r="P2037">
        <v>344</v>
      </c>
    </row>
    <row r="2038" spans="1:16" x14ac:dyDescent="0.3">
      <c r="A2038" t="s">
        <v>53</v>
      </c>
      <c r="B2038">
        <v>10</v>
      </c>
      <c r="C2038">
        <v>0</v>
      </c>
      <c r="D2038">
        <v>431</v>
      </c>
      <c r="E2038">
        <v>675</v>
      </c>
      <c r="F2038">
        <v>1</v>
      </c>
      <c r="G2038">
        <v>0</v>
      </c>
      <c r="H2038">
        <v>94</v>
      </c>
      <c r="I2038">
        <v>409</v>
      </c>
      <c r="J2038">
        <v>2</v>
      </c>
      <c r="K2038">
        <v>6</v>
      </c>
      <c r="L2038">
        <v>92</v>
      </c>
      <c r="M2038">
        <v>287</v>
      </c>
      <c r="N2038">
        <v>7</v>
      </c>
      <c r="O2038">
        <v>316</v>
      </c>
      <c r="P2038">
        <v>339</v>
      </c>
    </row>
    <row r="2039" spans="1:16" x14ac:dyDescent="0.3">
      <c r="A2039" t="s">
        <v>54</v>
      </c>
      <c r="B2039">
        <v>10</v>
      </c>
      <c r="C2039">
        <v>0</v>
      </c>
      <c r="D2039">
        <v>0</v>
      </c>
      <c r="E2039">
        <v>0</v>
      </c>
      <c r="F2039">
        <v>0</v>
      </c>
      <c r="G2039">
        <v>0</v>
      </c>
      <c r="H2039">
        <v>0</v>
      </c>
      <c r="I2039">
        <v>0</v>
      </c>
      <c r="J2039">
        <v>0</v>
      </c>
      <c r="K2039">
        <v>0</v>
      </c>
      <c r="L2039">
        <v>0</v>
      </c>
      <c r="M2039">
        <v>0</v>
      </c>
      <c r="N2039">
        <v>0</v>
      </c>
      <c r="O2039">
        <v>0</v>
      </c>
      <c r="P2039">
        <v>0</v>
      </c>
    </row>
    <row r="2040" spans="1:16" x14ac:dyDescent="0.3">
      <c r="A2040" t="s">
        <v>55</v>
      </c>
      <c r="B2040">
        <v>10</v>
      </c>
      <c r="C2040">
        <v>0</v>
      </c>
      <c r="D2040">
        <v>0</v>
      </c>
      <c r="E2040">
        <v>0</v>
      </c>
      <c r="F2040">
        <v>0</v>
      </c>
      <c r="G2040">
        <v>0</v>
      </c>
      <c r="H2040">
        <v>0</v>
      </c>
      <c r="I2040">
        <v>0</v>
      </c>
      <c r="J2040">
        <v>0</v>
      </c>
      <c r="K2040">
        <v>0</v>
      </c>
      <c r="L2040">
        <v>0</v>
      </c>
      <c r="M2040">
        <v>0</v>
      </c>
      <c r="N2040">
        <v>0</v>
      </c>
      <c r="O2040">
        <v>0</v>
      </c>
      <c r="P2040">
        <v>0</v>
      </c>
    </row>
    <row r="2041" spans="1:16" x14ac:dyDescent="0.3">
      <c r="A2041" t="s">
        <v>56</v>
      </c>
      <c r="B2041">
        <v>10</v>
      </c>
      <c r="C2041">
        <v>0.92</v>
      </c>
      <c r="D2041">
        <v>0.92</v>
      </c>
      <c r="E2041">
        <v>0.92</v>
      </c>
      <c r="F2041">
        <v>0.92</v>
      </c>
      <c r="G2041">
        <v>0.92</v>
      </c>
      <c r="H2041">
        <v>0.92</v>
      </c>
      <c r="I2041">
        <v>0.92</v>
      </c>
      <c r="J2041">
        <v>0.92</v>
      </c>
      <c r="K2041">
        <v>0.92</v>
      </c>
      <c r="L2041">
        <v>0.92</v>
      </c>
      <c r="M2041">
        <v>0.92</v>
      </c>
      <c r="N2041">
        <v>0.92</v>
      </c>
      <c r="O2041">
        <v>0.92</v>
      </c>
      <c r="P2041">
        <v>0.92</v>
      </c>
    </row>
    <row r="2042" spans="1:16" x14ac:dyDescent="0.3">
      <c r="A2042" t="s">
        <v>57</v>
      </c>
      <c r="B2042">
        <v>10</v>
      </c>
      <c r="C2042">
        <v>100</v>
      </c>
      <c r="D2042">
        <v>100</v>
      </c>
      <c r="E2042">
        <v>100</v>
      </c>
      <c r="F2042">
        <v>100</v>
      </c>
      <c r="G2042">
        <v>100</v>
      </c>
      <c r="H2042">
        <v>100</v>
      </c>
      <c r="I2042">
        <v>100</v>
      </c>
      <c r="J2042">
        <v>100</v>
      </c>
      <c r="K2042">
        <v>100</v>
      </c>
      <c r="L2042">
        <v>100</v>
      </c>
      <c r="M2042">
        <v>100</v>
      </c>
      <c r="N2042">
        <v>100</v>
      </c>
      <c r="O2042">
        <v>100</v>
      </c>
      <c r="P2042">
        <v>100</v>
      </c>
    </row>
    <row r="2043" spans="1:16" x14ac:dyDescent="0.3">
      <c r="A2043" t="s">
        <v>58</v>
      </c>
      <c r="B2043">
        <v>10</v>
      </c>
      <c r="C2043">
        <v>2</v>
      </c>
      <c r="D2043">
        <v>2</v>
      </c>
      <c r="E2043">
        <v>2</v>
      </c>
      <c r="F2043">
        <v>2</v>
      </c>
      <c r="G2043">
        <v>2</v>
      </c>
      <c r="H2043">
        <v>2</v>
      </c>
      <c r="I2043">
        <v>2</v>
      </c>
      <c r="J2043">
        <v>2</v>
      </c>
      <c r="K2043">
        <v>2</v>
      </c>
      <c r="L2043">
        <v>2</v>
      </c>
      <c r="M2043">
        <v>2</v>
      </c>
      <c r="N2043">
        <v>2</v>
      </c>
      <c r="O2043">
        <v>2</v>
      </c>
      <c r="P2043">
        <v>2</v>
      </c>
    </row>
    <row r="2044" spans="1:16" x14ac:dyDescent="0.3">
      <c r="A2044" t="s">
        <v>59</v>
      </c>
      <c r="B2044">
        <v>10</v>
      </c>
      <c r="C2044">
        <v>0</v>
      </c>
      <c r="D2044">
        <v>0</v>
      </c>
      <c r="E2044">
        <v>0</v>
      </c>
      <c r="F2044">
        <v>0</v>
      </c>
      <c r="G2044">
        <v>0</v>
      </c>
      <c r="H2044">
        <v>0</v>
      </c>
      <c r="I2044">
        <v>0</v>
      </c>
      <c r="J2044">
        <v>0</v>
      </c>
      <c r="K2044">
        <v>0</v>
      </c>
      <c r="L2044">
        <v>0</v>
      </c>
      <c r="M2044">
        <v>0</v>
      </c>
      <c r="N2044">
        <v>0</v>
      </c>
      <c r="O2044">
        <v>0</v>
      </c>
      <c r="P2044">
        <v>0</v>
      </c>
    </row>
    <row r="2045" spans="1:16" x14ac:dyDescent="0.3">
      <c r="A2045" t="s">
        <v>635</v>
      </c>
      <c r="B2045">
        <v>10</v>
      </c>
      <c r="E2045">
        <v>0</v>
      </c>
      <c r="I2045">
        <v>0</v>
      </c>
      <c r="L2045">
        <v>0</v>
      </c>
      <c r="O2045">
        <v>0</v>
      </c>
    </row>
    <row r="2046" spans="1:16" x14ac:dyDescent="0.3">
      <c r="A2046" t="s">
        <v>574</v>
      </c>
      <c r="B2046">
        <v>10</v>
      </c>
      <c r="E2046">
        <v>2827</v>
      </c>
      <c r="I2046">
        <v>979</v>
      </c>
      <c r="L2046">
        <v>529</v>
      </c>
      <c r="O2046">
        <v>308</v>
      </c>
    </row>
    <row r="2047" spans="1:16" x14ac:dyDescent="0.3">
      <c r="A2047" t="s">
        <v>78</v>
      </c>
      <c r="B2047">
        <v>10</v>
      </c>
      <c r="E2047">
        <v>48.2</v>
      </c>
      <c r="I2047">
        <v>22.3</v>
      </c>
      <c r="L2047">
        <v>12</v>
      </c>
      <c r="O2047">
        <v>7</v>
      </c>
    </row>
    <row r="2048" spans="1:16" x14ac:dyDescent="0.3">
      <c r="A2048" t="s">
        <v>636</v>
      </c>
      <c r="B2048">
        <v>10</v>
      </c>
      <c r="F2048">
        <v>0</v>
      </c>
      <c r="J2048">
        <v>1</v>
      </c>
      <c r="M2048">
        <v>1</v>
      </c>
      <c r="P2048">
        <v>1</v>
      </c>
    </row>
    <row r="2049" spans="1:16" x14ac:dyDescent="0.3">
      <c r="A2049" t="s">
        <v>637</v>
      </c>
      <c r="B2049">
        <v>10</v>
      </c>
      <c r="J2049">
        <v>100</v>
      </c>
      <c r="M2049">
        <v>250</v>
      </c>
      <c r="P2049">
        <v>50</v>
      </c>
    </row>
    <row r="2050" spans="1:16" x14ac:dyDescent="0.3">
      <c r="A2050" t="s">
        <v>638</v>
      </c>
      <c r="B2050">
        <v>10</v>
      </c>
      <c r="J2050">
        <v>0</v>
      </c>
      <c r="M2050">
        <v>0</v>
      </c>
      <c r="P2050">
        <v>0</v>
      </c>
    </row>
    <row r="2051" spans="1:16" x14ac:dyDescent="0.3">
      <c r="A2051" t="s">
        <v>639</v>
      </c>
      <c r="B2051">
        <v>10</v>
      </c>
      <c r="C2051">
        <v>3</v>
      </c>
      <c r="D2051">
        <v>0</v>
      </c>
      <c r="E2051">
        <v>0</v>
      </c>
      <c r="F2051">
        <v>1</v>
      </c>
      <c r="G2051">
        <v>3</v>
      </c>
      <c r="H2051">
        <v>0</v>
      </c>
      <c r="I2051">
        <v>0</v>
      </c>
      <c r="J2051">
        <v>1</v>
      </c>
      <c r="K2051">
        <v>0</v>
      </c>
      <c r="L2051">
        <v>0</v>
      </c>
      <c r="M2051">
        <v>1</v>
      </c>
      <c r="N2051">
        <v>0</v>
      </c>
      <c r="O2051">
        <v>0</v>
      </c>
      <c r="P2051">
        <v>1</v>
      </c>
    </row>
    <row r="2052" spans="1:16" x14ac:dyDescent="0.3">
      <c r="A2052" t="s">
        <v>640</v>
      </c>
      <c r="B2052">
        <v>10</v>
      </c>
      <c r="C2052">
        <v>0</v>
      </c>
      <c r="D2052">
        <v>0</v>
      </c>
      <c r="E2052">
        <v>0</v>
      </c>
      <c r="F2052">
        <v>0</v>
      </c>
      <c r="G2052">
        <v>0</v>
      </c>
      <c r="H2052">
        <v>0</v>
      </c>
      <c r="I2052">
        <v>0</v>
      </c>
      <c r="J2052">
        <v>0</v>
      </c>
      <c r="K2052">
        <v>0</v>
      </c>
      <c r="L2052">
        <v>0</v>
      </c>
      <c r="M2052">
        <v>0</v>
      </c>
      <c r="N2052">
        <v>0</v>
      </c>
      <c r="O2052">
        <v>0</v>
      </c>
      <c r="P2052">
        <v>0</v>
      </c>
    </row>
    <row r="2053" spans="1:16" x14ac:dyDescent="0.3">
      <c r="A2053" t="s">
        <v>52</v>
      </c>
      <c r="B2053">
        <v>10</v>
      </c>
      <c r="C2053">
        <v>1</v>
      </c>
      <c r="D2053">
        <v>1</v>
      </c>
      <c r="E2053">
        <v>1</v>
      </c>
      <c r="F2053">
        <v>1</v>
      </c>
      <c r="G2053">
        <v>1</v>
      </c>
      <c r="H2053">
        <v>1</v>
      </c>
      <c r="I2053">
        <v>1</v>
      </c>
      <c r="J2053">
        <v>1</v>
      </c>
      <c r="K2053">
        <v>1</v>
      </c>
      <c r="L2053">
        <v>1</v>
      </c>
      <c r="M2053">
        <v>1</v>
      </c>
      <c r="N2053">
        <v>1</v>
      </c>
      <c r="O2053">
        <v>1</v>
      </c>
      <c r="P2053">
        <v>1</v>
      </c>
    </row>
    <row r="2054" spans="1:16" x14ac:dyDescent="0.3">
      <c r="A2054" t="s">
        <v>641</v>
      </c>
      <c r="B2054">
        <v>10</v>
      </c>
      <c r="C2054">
        <v>9</v>
      </c>
      <c r="D2054">
        <v>15</v>
      </c>
      <c r="E2054">
        <v>60</v>
      </c>
      <c r="F2054">
        <v>9</v>
      </c>
      <c r="G2054">
        <v>9</v>
      </c>
      <c r="H2054">
        <v>15</v>
      </c>
      <c r="I2054">
        <v>60</v>
      </c>
      <c r="J2054">
        <v>9</v>
      </c>
      <c r="K2054">
        <v>15</v>
      </c>
      <c r="L2054">
        <v>60</v>
      </c>
      <c r="M2054">
        <v>9</v>
      </c>
      <c r="N2054">
        <v>15</v>
      </c>
      <c r="O2054">
        <v>60</v>
      </c>
      <c r="P2054">
        <v>9</v>
      </c>
    </row>
    <row r="2055" spans="1:16" x14ac:dyDescent="0.3">
      <c r="A2055" t="s">
        <v>43</v>
      </c>
      <c r="B2055">
        <v>10</v>
      </c>
      <c r="D2055">
        <v>40</v>
      </c>
      <c r="E2055">
        <v>336</v>
      </c>
      <c r="H2055">
        <v>40</v>
      </c>
      <c r="I2055">
        <v>336</v>
      </c>
      <c r="J2055">
        <v>0</v>
      </c>
      <c r="K2055">
        <v>40</v>
      </c>
      <c r="L2055">
        <v>40</v>
      </c>
      <c r="M2055">
        <v>0</v>
      </c>
      <c r="N2055">
        <v>40</v>
      </c>
      <c r="O2055">
        <v>40</v>
      </c>
      <c r="P2055">
        <v>0</v>
      </c>
    </row>
    <row r="2056" spans="1:16" x14ac:dyDescent="0.3">
      <c r="A2056" t="s">
        <v>44</v>
      </c>
      <c r="B2056">
        <v>10</v>
      </c>
      <c r="D2056">
        <v>0</v>
      </c>
      <c r="E2056">
        <v>0</v>
      </c>
      <c r="H2056">
        <v>0</v>
      </c>
      <c r="I2056">
        <v>0</v>
      </c>
      <c r="J2056">
        <v>0</v>
      </c>
      <c r="K2056">
        <v>0</v>
      </c>
      <c r="L2056">
        <v>0</v>
      </c>
      <c r="M2056">
        <v>0</v>
      </c>
      <c r="N2056">
        <v>0</v>
      </c>
      <c r="O2056">
        <v>0</v>
      </c>
      <c r="P2056">
        <v>0</v>
      </c>
    </row>
    <row r="2057" spans="1:16" x14ac:dyDescent="0.3">
      <c r="A2057" t="s">
        <v>47</v>
      </c>
      <c r="B2057">
        <v>10</v>
      </c>
      <c r="D2057">
        <v>1</v>
      </c>
      <c r="E2057">
        <v>6</v>
      </c>
      <c r="H2057">
        <v>5</v>
      </c>
      <c r="I2057">
        <v>2</v>
      </c>
      <c r="J2057">
        <v>2</v>
      </c>
      <c r="K2057">
        <v>4</v>
      </c>
      <c r="L2057">
        <v>4</v>
      </c>
      <c r="M2057">
        <v>4</v>
      </c>
      <c r="N2057">
        <v>8</v>
      </c>
      <c r="O2057">
        <v>8</v>
      </c>
      <c r="P2057">
        <v>8</v>
      </c>
    </row>
    <row r="2058" spans="1:16" x14ac:dyDescent="0.3">
      <c r="A2058" t="s">
        <v>642</v>
      </c>
      <c r="B2058">
        <v>10</v>
      </c>
      <c r="D2058">
        <v>0</v>
      </c>
      <c r="E2058">
        <v>0</v>
      </c>
      <c r="H2058">
        <v>0</v>
      </c>
      <c r="I2058">
        <v>0</v>
      </c>
      <c r="J2058">
        <v>0</v>
      </c>
      <c r="K2058">
        <v>0</v>
      </c>
      <c r="L2058">
        <v>0</v>
      </c>
      <c r="M2058">
        <v>0</v>
      </c>
      <c r="N2058">
        <v>0</v>
      </c>
      <c r="O2058">
        <v>0</v>
      </c>
      <c r="P2058">
        <v>0</v>
      </c>
    </row>
    <row r="2059" spans="1:16" x14ac:dyDescent="0.3">
      <c r="A2059" t="s">
        <v>643</v>
      </c>
      <c r="B2059">
        <v>10</v>
      </c>
      <c r="D2059">
        <v>0</v>
      </c>
      <c r="E2059">
        <v>0</v>
      </c>
      <c r="H2059">
        <v>0</v>
      </c>
      <c r="I2059">
        <v>0</v>
      </c>
      <c r="J2059">
        <v>0</v>
      </c>
      <c r="K2059">
        <v>0</v>
      </c>
      <c r="L2059">
        <v>0</v>
      </c>
      <c r="M2059">
        <v>0</v>
      </c>
      <c r="N2059">
        <v>0</v>
      </c>
      <c r="O2059">
        <v>0</v>
      </c>
      <c r="P2059">
        <v>0</v>
      </c>
    </row>
    <row r="2060" spans="1:16" x14ac:dyDescent="0.3">
      <c r="A2060" t="s">
        <v>644</v>
      </c>
      <c r="B2060">
        <v>10</v>
      </c>
      <c r="D2060">
        <v>0</v>
      </c>
      <c r="E2060">
        <v>0</v>
      </c>
      <c r="H2060">
        <v>0</v>
      </c>
      <c r="I2060">
        <v>0</v>
      </c>
      <c r="J2060">
        <v>0</v>
      </c>
      <c r="K2060">
        <v>0</v>
      </c>
      <c r="L2060">
        <v>0</v>
      </c>
      <c r="M2060">
        <v>0</v>
      </c>
      <c r="N2060">
        <v>0</v>
      </c>
      <c r="O2060">
        <v>0</v>
      </c>
      <c r="P2060">
        <v>0</v>
      </c>
    </row>
    <row r="2061" spans="1:16" x14ac:dyDescent="0.3">
      <c r="A2061" t="s">
        <v>645</v>
      </c>
      <c r="B2061">
        <v>10</v>
      </c>
      <c r="D2061">
        <v>0</v>
      </c>
      <c r="E2061">
        <v>0</v>
      </c>
      <c r="H2061">
        <v>0</v>
      </c>
      <c r="I2061">
        <v>0</v>
      </c>
      <c r="J2061">
        <v>0</v>
      </c>
      <c r="K2061">
        <v>0</v>
      </c>
      <c r="L2061">
        <v>0</v>
      </c>
      <c r="M2061">
        <v>0</v>
      </c>
      <c r="N2061">
        <v>0</v>
      </c>
      <c r="O2061">
        <v>0</v>
      </c>
      <c r="P2061">
        <v>0</v>
      </c>
    </row>
    <row r="2062" spans="1:16" x14ac:dyDescent="0.3">
      <c r="A2062" t="s">
        <v>646</v>
      </c>
      <c r="B2062">
        <v>10</v>
      </c>
      <c r="D2062">
        <v>1</v>
      </c>
      <c r="E2062">
        <v>2</v>
      </c>
      <c r="H2062">
        <v>1</v>
      </c>
      <c r="I2062">
        <v>2</v>
      </c>
      <c r="J2062">
        <v>1</v>
      </c>
      <c r="K2062">
        <v>1</v>
      </c>
      <c r="L2062">
        <v>1</v>
      </c>
      <c r="M2062">
        <v>1</v>
      </c>
      <c r="N2062">
        <v>1</v>
      </c>
      <c r="O2062">
        <v>1</v>
      </c>
      <c r="P2062">
        <v>1</v>
      </c>
    </row>
    <row r="2063" spans="1:16" x14ac:dyDescent="0.3">
      <c r="A2063" t="s">
        <v>647</v>
      </c>
      <c r="B2063">
        <v>10</v>
      </c>
      <c r="D2063">
        <v>0</v>
      </c>
      <c r="E2063">
        <v>330</v>
      </c>
      <c r="H2063">
        <v>0</v>
      </c>
      <c r="I2063">
        <v>330</v>
      </c>
      <c r="J2063">
        <v>0</v>
      </c>
      <c r="K2063">
        <v>0</v>
      </c>
      <c r="L2063">
        <v>0</v>
      </c>
      <c r="M2063">
        <v>0</v>
      </c>
      <c r="N2063">
        <v>0</v>
      </c>
      <c r="O2063">
        <v>0</v>
      </c>
      <c r="P2063">
        <v>0</v>
      </c>
    </row>
    <row r="2064" spans="1:16" x14ac:dyDescent="0.3">
      <c r="A2064" t="s">
        <v>648</v>
      </c>
      <c r="B2064">
        <v>10</v>
      </c>
      <c r="D2064">
        <v>40</v>
      </c>
      <c r="E2064">
        <v>6</v>
      </c>
      <c r="H2064">
        <v>40</v>
      </c>
      <c r="I2064">
        <v>6</v>
      </c>
      <c r="J2064">
        <v>0</v>
      </c>
      <c r="K2064">
        <v>40</v>
      </c>
      <c r="L2064">
        <v>40</v>
      </c>
      <c r="M2064">
        <v>0</v>
      </c>
      <c r="N2064">
        <v>40</v>
      </c>
      <c r="O2064">
        <v>40</v>
      </c>
      <c r="P2064">
        <v>0</v>
      </c>
    </row>
    <row r="2065" spans="1:16" x14ac:dyDescent="0.3">
      <c r="A2065" t="s">
        <v>649</v>
      </c>
      <c r="B2065">
        <v>10</v>
      </c>
      <c r="D2065">
        <v>3</v>
      </c>
      <c r="E2065">
        <v>3</v>
      </c>
      <c r="H2065">
        <v>3</v>
      </c>
      <c r="I2065">
        <v>3</v>
      </c>
      <c r="J2065">
        <v>3</v>
      </c>
      <c r="K2065">
        <v>3</v>
      </c>
      <c r="L2065">
        <v>3</v>
      </c>
      <c r="M2065">
        <v>3</v>
      </c>
      <c r="N2065">
        <v>3</v>
      </c>
      <c r="O2065">
        <v>3</v>
      </c>
      <c r="P2065">
        <v>3</v>
      </c>
    </row>
    <row r="2066" spans="1:16" x14ac:dyDescent="0.3">
      <c r="A2066" t="s">
        <v>650</v>
      </c>
      <c r="B2066">
        <v>10</v>
      </c>
      <c r="D2066">
        <v>0</v>
      </c>
      <c r="E2066">
        <v>0</v>
      </c>
      <c r="H2066">
        <v>0</v>
      </c>
      <c r="I2066">
        <v>0</v>
      </c>
      <c r="J2066">
        <v>0</v>
      </c>
      <c r="K2066">
        <v>0</v>
      </c>
      <c r="L2066">
        <v>0</v>
      </c>
      <c r="M2066">
        <v>0</v>
      </c>
      <c r="N2066">
        <v>0</v>
      </c>
      <c r="O2066">
        <v>0</v>
      </c>
      <c r="P2066">
        <v>0</v>
      </c>
    </row>
    <row r="2067" spans="1:16" x14ac:dyDescent="0.3">
      <c r="A2067" t="s">
        <v>651</v>
      </c>
      <c r="B2067">
        <v>10</v>
      </c>
      <c r="D2067">
        <v>0</v>
      </c>
      <c r="E2067">
        <v>0</v>
      </c>
      <c r="H2067">
        <v>0</v>
      </c>
      <c r="I2067">
        <v>0</v>
      </c>
      <c r="J2067">
        <v>0</v>
      </c>
      <c r="K2067">
        <v>0</v>
      </c>
      <c r="L2067">
        <v>0</v>
      </c>
      <c r="M2067">
        <v>0</v>
      </c>
      <c r="N2067">
        <v>0</v>
      </c>
      <c r="O2067">
        <v>0</v>
      </c>
      <c r="P2067">
        <v>0</v>
      </c>
    </row>
    <row r="2068" spans="1:16" x14ac:dyDescent="0.3">
      <c r="A2068" t="s">
        <v>652</v>
      </c>
      <c r="B2068">
        <v>10</v>
      </c>
      <c r="D2068">
        <v>0</v>
      </c>
      <c r="E2068">
        <v>0</v>
      </c>
      <c r="H2068">
        <v>0</v>
      </c>
      <c r="I2068">
        <v>0</v>
      </c>
      <c r="J2068">
        <v>0</v>
      </c>
      <c r="K2068">
        <v>0</v>
      </c>
      <c r="L2068">
        <v>0</v>
      </c>
      <c r="M2068">
        <v>0</v>
      </c>
      <c r="N2068">
        <v>0</v>
      </c>
      <c r="O2068">
        <v>0</v>
      </c>
      <c r="P2068">
        <v>0</v>
      </c>
    </row>
    <row r="2069" spans="1:16" x14ac:dyDescent="0.3">
      <c r="A2069" t="s">
        <v>653</v>
      </c>
      <c r="B2069">
        <v>10</v>
      </c>
      <c r="E2069">
        <v>0</v>
      </c>
      <c r="I2069">
        <v>0</v>
      </c>
    </row>
    <row r="2070" spans="1:16" x14ac:dyDescent="0.3">
      <c r="A2070" t="s">
        <v>654</v>
      </c>
      <c r="B2070">
        <v>10</v>
      </c>
      <c r="E2070">
        <v>0</v>
      </c>
      <c r="I2070">
        <v>0</v>
      </c>
    </row>
    <row r="2071" spans="1:16" x14ac:dyDescent="0.3">
      <c r="A2071" t="s">
        <v>655</v>
      </c>
      <c r="B2071">
        <v>10</v>
      </c>
      <c r="E2071">
        <v>3</v>
      </c>
      <c r="I2071">
        <v>3</v>
      </c>
    </row>
    <row r="2072" spans="1:16" x14ac:dyDescent="0.3">
      <c r="A2072" t="s">
        <v>656</v>
      </c>
      <c r="B2072">
        <v>10</v>
      </c>
      <c r="E2072">
        <v>0</v>
      </c>
      <c r="I2072">
        <v>0</v>
      </c>
    </row>
    <row r="2073" spans="1:16" x14ac:dyDescent="0.3">
      <c r="A2073" t="s">
        <v>657</v>
      </c>
      <c r="B2073">
        <v>10</v>
      </c>
      <c r="E2073">
        <v>0</v>
      </c>
      <c r="I2073">
        <v>0</v>
      </c>
      <c r="L2073">
        <v>0</v>
      </c>
      <c r="O2073">
        <v>0</v>
      </c>
    </row>
    <row r="2074" spans="1:16" x14ac:dyDescent="0.3">
      <c r="A2074" t="s">
        <v>408</v>
      </c>
      <c r="B2074">
        <v>10</v>
      </c>
      <c r="E2074">
        <v>0</v>
      </c>
    </row>
    <row r="2075" spans="1:16" x14ac:dyDescent="0.3">
      <c r="A2075" t="s">
        <v>658</v>
      </c>
      <c r="B2075">
        <v>10</v>
      </c>
      <c r="C2075">
        <v>0</v>
      </c>
      <c r="D2075">
        <v>468</v>
      </c>
      <c r="E2075">
        <v>735</v>
      </c>
      <c r="F2075">
        <v>0</v>
      </c>
      <c r="G2075">
        <v>0</v>
      </c>
      <c r="H2075">
        <v>102</v>
      </c>
      <c r="I2075">
        <v>445</v>
      </c>
      <c r="J2075">
        <v>2</v>
      </c>
      <c r="K2075">
        <v>7</v>
      </c>
      <c r="L2075">
        <v>100</v>
      </c>
      <c r="M2075">
        <v>312</v>
      </c>
      <c r="N2075">
        <v>8</v>
      </c>
      <c r="O2075">
        <v>343</v>
      </c>
      <c r="P2075">
        <v>368</v>
      </c>
    </row>
    <row r="2076" spans="1:16" x14ac:dyDescent="0.3">
      <c r="A2076" t="s">
        <v>34</v>
      </c>
      <c r="B2076">
        <v>11</v>
      </c>
      <c r="C2076">
        <v>10</v>
      </c>
      <c r="D2076">
        <v>10</v>
      </c>
      <c r="E2076">
        <v>10</v>
      </c>
      <c r="F2076">
        <v>10</v>
      </c>
      <c r="G2076">
        <v>12</v>
      </c>
      <c r="H2076">
        <v>12</v>
      </c>
      <c r="I2076">
        <v>12</v>
      </c>
      <c r="J2076">
        <v>12</v>
      </c>
      <c r="K2076">
        <v>22</v>
      </c>
      <c r="L2076">
        <v>22</v>
      </c>
      <c r="M2076">
        <v>22</v>
      </c>
      <c r="N2076">
        <v>116</v>
      </c>
      <c r="O2076">
        <v>116</v>
      </c>
      <c r="P2076">
        <v>116</v>
      </c>
    </row>
    <row r="2077" spans="1:16" x14ac:dyDescent="0.3">
      <c r="A2077" t="s">
        <v>35</v>
      </c>
      <c r="B2077">
        <v>11</v>
      </c>
      <c r="C2077">
        <v>10</v>
      </c>
      <c r="D2077">
        <v>22</v>
      </c>
      <c r="E2077">
        <v>12</v>
      </c>
      <c r="F2077">
        <v>116</v>
      </c>
      <c r="G2077">
        <v>12</v>
      </c>
      <c r="H2077">
        <v>116</v>
      </c>
      <c r="I2077">
        <v>10</v>
      </c>
      <c r="J2077">
        <v>22</v>
      </c>
      <c r="K2077">
        <v>12</v>
      </c>
      <c r="L2077">
        <v>116</v>
      </c>
      <c r="M2077">
        <v>10</v>
      </c>
      <c r="N2077">
        <v>10</v>
      </c>
      <c r="O2077">
        <v>22</v>
      </c>
      <c r="P2077">
        <v>12</v>
      </c>
    </row>
    <row r="2078" spans="1:16" x14ac:dyDescent="0.3">
      <c r="A2078" t="s">
        <v>36</v>
      </c>
      <c r="B2078">
        <v>11</v>
      </c>
      <c r="C2078">
        <v>0</v>
      </c>
      <c r="D2078">
        <v>1</v>
      </c>
      <c r="E2078">
        <v>2</v>
      </c>
      <c r="F2078">
        <v>1</v>
      </c>
      <c r="G2078">
        <v>0</v>
      </c>
      <c r="H2078">
        <v>1</v>
      </c>
      <c r="I2078">
        <v>2</v>
      </c>
      <c r="J2078">
        <v>1</v>
      </c>
      <c r="K2078">
        <v>1</v>
      </c>
      <c r="L2078">
        <v>1</v>
      </c>
      <c r="M2078">
        <v>1</v>
      </c>
      <c r="N2078">
        <v>1</v>
      </c>
      <c r="O2078">
        <v>1</v>
      </c>
      <c r="P2078">
        <v>0</v>
      </c>
    </row>
    <row r="2079" spans="1:16" x14ac:dyDescent="0.3">
      <c r="A2079" t="s">
        <v>37</v>
      </c>
      <c r="B2079">
        <v>11</v>
      </c>
      <c r="D2079">
        <v>0</v>
      </c>
      <c r="E2079">
        <v>0</v>
      </c>
      <c r="H2079">
        <v>0</v>
      </c>
      <c r="I2079">
        <v>0</v>
      </c>
      <c r="K2079">
        <v>0</v>
      </c>
      <c r="L2079">
        <v>0</v>
      </c>
      <c r="N2079">
        <v>0</v>
      </c>
      <c r="O2079">
        <v>2</v>
      </c>
    </row>
    <row r="2080" spans="1:16" x14ac:dyDescent="0.3">
      <c r="A2080" t="s">
        <v>38</v>
      </c>
      <c r="B2080">
        <v>11</v>
      </c>
      <c r="C2080">
        <v>12</v>
      </c>
      <c r="D2080">
        <v>12</v>
      </c>
      <c r="E2080">
        <v>12</v>
      </c>
      <c r="F2080">
        <v>12</v>
      </c>
      <c r="G2080">
        <v>12</v>
      </c>
      <c r="H2080">
        <v>12</v>
      </c>
      <c r="I2080">
        <v>12</v>
      </c>
      <c r="J2080">
        <v>12</v>
      </c>
      <c r="K2080">
        <v>12</v>
      </c>
      <c r="L2080">
        <v>12</v>
      </c>
      <c r="M2080">
        <v>12</v>
      </c>
      <c r="N2080">
        <v>12</v>
      </c>
      <c r="O2080">
        <v>12</v>
      </c>
      <c r="P2080">
        <v>12</v>
      </c>
    </row>
    <row r="2081" spans="1:16" x14ac:dyDescent="0.3">
      <c r="A2081" t="s">
        <v>39</v>
      </c>
      <c r="B2081">
        <v>11</v>
      </c>
      <c r="D2081">
        <v>200</v>
      </c>
      <c r="F2081">
        <v>200</v>
      </c>
      <c r="H2081">
        <v>200</v>
      </c>
      <c r="J2081">
        <v>200</v>
      </c>
      <c r="K2081">
        <v>150</v>
      </c>
      <c r="N2081">
        <v>150</v>
      </c>
    </row>
    <row r="2082" spans="1:16" x14ac:dyDescent="0.3">
      <c r="A2082" t="s">
        <v>631</v>
      </c>
      <c r="B2082">
        <v>11</v>
      </c>
      <c r="D2082">
        <v>25</v>
      </c>
      <c r="F2082">
        <v>25</v>
      </c>
      <c r="H2082">
        <v>25</v>
      </c>
      <c r="J2082">
        <v>25</v>
      </c>
      <c r="K2082">
        <v>25</v>
      </c>
      <c r="N2082">
        <v>25</v>
      </c>
    </row>
    <row r="2083" spans="1:16" x14ac:dyDescent="0.3">
      <c r="A2083" t="s">
        <v>40</v>
      </c>
      <c r="B2083">
        <v>11</v>
      </c>
      <c r="D2083">
        <v>1</v>
      </c>
      <c r="F2083">
        <v>1</v>
      </c>
      <c r="H2083">
        <v>1</v>
      </c>
      <c r="J2083">
        <v>1</v>
      </c>
      <c r="K2083">
        <v>1</v>
      </c>
      <c r="N2083">
        <v>1</v>
      </c>
    </row>
    <row r="2084" spans="1:16" x14ac:dyDescent="0.3">
      <c r="A2084" t="s">
        <v>41</v>
      </c>
      <c r="B2084">
        <v>11</v>
      </c>
    </row>
    <row r="2085" spans="1:16" x14ac:dyDescent="0.3">
      <c r="A2085" t="s">
        <v>42</v>
      </c>
      <c r="B2085">
        <v>11</v>
      </c>
      <c r="E2085">
        <v>45</v>
      </c>
      <c r="I2085">
        <v>45</v>
      </c>
      <c r="L2085">
        <v>30</v>
      </c>
      <c r="O2085">
        <v>30</v>
      </c>
    </row>
    <row r="2086" spans="1:16" x14ac:dyDescent="0.3">
      <c r="A2086" t="s">
        <v>45</v>
      </c>
      <c r="B2086">
        <v>11</v>
      </c>
      <c r="D2086">
        <v>1</v>
      </c>
      <c r="E2086">
        <v>6</v>
      </c>
      <c r="H2086">
        <v>5</v>
      </c>
      <c r="I2086">
        <v>2</v>
      </c>
      <c r="L2086">
        <v>4</v>
      </c>
      <c r="O2086">
        <v>8</v>
      </c>
    </row>
    <row r="2087" spans="1:16" x14ac:dyDescent="0.3">
      <c r="A2087" t="s">
        <v>46</v>
      </c>
      <c r="B2087">
        <v>11</v>
      </c>
      <c r="D2087">
        <v>6</v>
      </c>
      <c r="F2087">
        <v>6</v>
      </c>
      <c r="H2087">
        <v>2</v>
      </c>
      <c r="J2087">
        <v>2</v>
      </c>
      <c r="K2087">
        <v>4</v>
      </c>
      <c r="M2087">
        <v>4</v>
      </c>
      <c r="N2087">
        <v>8</v>
      </c>
    </row>
    <row r="2088" spans="1:16" x14ac:dyDescent="0.3">
      <c r="A2088" t="s">
        <v>49</v>
      </c>
      <c r="B2088">
        <v>11</v>
      </c>
      <c r="C2088">
        <v>4</v>
      </c>
      <c r="D2088">
        <v>6</v>
      </c>
      <c r="E2088">
        <v>6.5</v>
      </c>
      <c r="F2088">
        <v>6.5</v>
      </c>
      <c r="G2088">
        <v>4</v>
      </c>
      <c r="H2088">
        <v>6</v>
      </c>
      <c r="I2088">
        <v>6.5</v>
      </c>
      <c r="J2088">
        <v>6.5</v>
      </c>
      <c r="K2088">
        <v>6.7</v>
      </c>
      <c r="L2088">
        <v>6.7</v>
      </c>
      <c r="M2088">
        <v>6.7</v>
      </c>
      <c r="N2088">
        <v>6.7</v>
      </c>
      <c r="O2088">
        <v>6.7</v>
      </c>
      <c r="P2088">
        <v>4</v>
      </c>
    </row>
    <row r="2089" spans="1:16" x14ac:dyDescent="0.3">
      <c r="A2089" t="s">
        <v>632</v>
      </c>
      <c r="B2089">
        <v>11</v>
      </c>
      <c r="C2089">
        <v>0</v>
      </c>
      <c r="D2089">
        <v>0</v>
      </c>
      <c r="E2089">
        <v>0</v>
      </c>
      <c r="F2089">
        <v>0</v>
      </c>
      <c r="G2089">
        <v>0</v>
      </c>
      <c r="H2089">
        <v>0</v>
      </c>
      <c r="I2089">
        <v>0</v>
      </c>
      <c r="J2089">
        <v>0</v>
      </c>
      <c r="K2089">
        <v>0</v>
      </c>
      <c r="L2089">
        <v>0</v>
      </c>
      <c r="M2089">
        <v>0</v>
      </c>
      <c r="N2089">
        <v>0</v>
      </c>
      <c r="O2089">
        <v>0</v>
      </c>
      <c r="P2089">
        <v>0</v>
      </c>
    </row>
    <row r="2090" spans="1:16" x14ac:dyDescent="0.3">
      <c r="A2090" t="s">
        <v>48</v>
      </c>
      <c r="B2090">
        <v>11</v>
      </c>
      <c r="C2090">
        <v>1900</v>
      </c>
      <c r="D2090">
        <v>1900</v>
      </c>
      <c r="E2090">
        <v>1900</v>
      </c>
      <c r="F2090">
        <v>1900</v>
      </c>
      <c r="G2090">
        <v>1900</v>
      </c>
      <c r="H2090">
        <v>1900</v>
      </c>
      <c r="I2090">
        <v>1900</v>
      </c>
      <c r="J2090">
        <v>1900</v>
      </c>
      <c r="K2090">
        <v>1900</v>
      </c>
      <c r="L2090">
        <v>1900</v>
      </c>
      <c r="M2090">
        <v>1900</v>
      </c>
      <c r="N2090">
        <v>1900</v>
      </c>
      <c r="O2090">
        <v>1900</v>
      </c>
      <c r="P2090">
        <v>1900</v>
      </c>
    </row>
    <row r="2091" spans="1:16" x14ac:dyDescent="0.3">
      <c r="A2091" t="s">
        <v>633</v>
      </c>
      <c r="B2091">
        <v>11</v>
      </c>
      <c r="C2091">
        <v>0</v>
      </c>
      <c r="D2091">
        <v>1770</v>
      </c>
      <c r="E2091">
        <v>3539</v>
      </c>
      <c r="F2091">
        <v>1583</v>
      </c>
      <c r="G2091">
        <v>0</v>
      </c>
      <c r="H2091">
        <v>1770</v>
      </c>
      <c r="I2091">
        <v>3539</v>
      </c>
      <c r="J2091">
        <v>1583</v>
      </c>
      <c r="K2091">
        <v>1770</v>
      </c>
      <c r="L2091">
        <v>1863</v>
      </c>
      <c r="M2091">
        <v>1583</v>
      </c>
      <c r="N2091">
        <v>1770</v>
      </c>
      <c r="O2091">
        <v>1723</v>
      </c>
      <c r="P2091">
        <v>0</v>
      </c>
    </row>
    <row r="2092" spans="1:16" x14ac:dyDescent="0.3">
      <c r="A2092" t="s">
        <v>50</v>
      </c>
      <c r="B2092">
        <v>11</v>
      </c>
      <c r="C2092">
        <v>0</v>
      </c>
      <c r="D2092">
        <v>883</v>
      </c>
      <c r="E2092">
        <v>3539</v>
      </c>
      <c r="F2092">
        <v>1583</v>
      </c>
      <c r="G2092">
        <v>0</v>
      </c>
      <c r="H2092">
        <v>503</v>
      </c>
      <c r="I2092">
        <v>3539</v>
      </c>
      <c r="J2092">
        <v>1583</v>
      </c>
      <c r="K2092">
        <v>1306</v>
      </c>
      <c r="L2092">
        <v>1863</v>
      </c>
      <c r="M2092">
        <v>1583</v>
      </c>
      <c r="N2092">
        <v>1345</v>
      </c>
      <c r="O2092">
        <v>1723</v>
      </c>
      <c r="P2092">
        <v>0</v>
      </c>
    </row>
    <row r="2093" spans="1:16" x14ac:dyDescent="0.3">
      <c r="A2093" t="s">
        <v>634</v>
      </c>
      <c r="B2093">
        <v>11</v>
      </c>
      <c r="C2093">
        <v>1</v>
      </c>
      <c r="D2093">
        <v>1</v>
      </c>
      <c r="E2093">
        <v>1</v>
      </c>
      <c r="F2093">
        <v>1</v>
      </c>
      <c r="G2093">
        <v>1</v>
      </c>
      <c r="H2093">
        <v>1</v>
      </c>
      <c r="I2093">
        <v>1</v>
      </c>
      <c r="J2093">
        <v>1</v>
      </c>
      <c r="K2093">
        <v>1</v>
      </c>
      <c r="L2093">
        <v>1</v>
      </c>
      <c r="M2093">
        <v>1</v>
      </c>
      <c r="N2093">
        <v>1</v>
      </c>
      <c r="O2093">
        <v>1</v>
      </c>
      <c r="P2093">
        <v>1</v>
      </c>
    </row>
    <row r="2094" spans="1:16" x14ac:dyDescent="0.3">
      <c r="A2094" t="s">
        <v>51</v>
      </c>
      <c r="B2094">
        <v>11</v>
      </c>
      <c r="C2094">
        <v>0</v>
      </c>
      <c r="D2094">
        <v>0</v>
      </c>
      <c r="E2094">
        <v>0</v>
      </c>
      <c r="F2094">
        <v>88</v>
      </c>
      <c r="G2094">
        <v>0</v>
      </c>
      <c r="H2094">
        <v>0</v>
      </c>
      <c r="I2094">
        <v>0</v>
      </c>
      <c r="J2094">
        <v>88</v>
      </c>
      <c r="K2094">
        <v>0</v>
      </c>
      <c r="L2094">
        <v>0</v>
      </c>
      <c r="M2094">
        <v>86</v>
      </c>
      <c r="N2094">
        <v>0</v>
      </c>
      <c r="O2094">
        <v>37</v>
      </c>
      <c r="P2094">
        <v>0</v>
      </c>
    </row>
    <row r="2095" spans="1:16" x14ac:dyDescent="0.3">
      <c r="A2095" t="s">
        <v>53</v>
      </c>
      <c r="B2095">
        <v>11</v>
      </c>
      <c r="C2095">
        <v>0</v>
      </c>
      <c r="D2095">
        <v>40</v>
      </c>
      <c r="E2095">
        <v>900</v>
      </c>
      <c r="F2095">
        <v>50</v>
      </c>
      <c r="G2095">
        <v>0</v>
      </c>
      <c r="H2095">
        <v>75</v>
      </c>
      <c r="I2095">
        <v>450</v>
      </c>
      <c r="J2095">
        <v>50</v>
      </c>
      <c r="K2095">
        <v>20</v>
      </c>
      <c r="L2095">
        <v>50</v>
      </c>
      <c r="M2095">
        <v>75</v>
      </c>
      <c r="N2095">
        <v>15</v>
      </c>
      <c r="O2095">
        <v>40</v>
      </c>
      <c r="P2095">
        <v>40</v>
      </c>
    </row>
    <row r="2096" spans="1:16" x14ac:dyDescent="0.3">
      <c r="A2096" t="s">
        <v>54</v>
      </c>
      <c r="B2096">
        <v>11</v>
      </c>
      <c r="C2096">
        <v>0</v>
      </c>
      <c r="D2096">
        <v>0</v>
      </c>
      <c r="E2096">
        <v>0</v>
      </c>
      <c r="F2096">
        <v>0</v>
      </c>
      <c r="G2096">
        <v>0</v>
      </c>
      <c r="H2096">
        <v>0</v>
      </c>
      <c r="I2096">
        <v>0</v>
      </c>
      <c r="J2096">
        <v>0</v>
      </c>
      <c r="K2096">
        <v>0</v>
      </c>
      <c r="L2096">
        <v>0</v>
      </c>
      <c r="M2096">
        <v>0</v>
      </c>
      <c r="N2096">
        <v>0</v>
      </c>
      <c r="O2096">
        <v>0</v>
      </c>
      <c r="P2096">
        <v>0</v>
      </c>
    </row>
    <row r="2097" spans="1:16" x14ac:dyDescent="0.3">
      <c r="A2097" t="s">
        <v>55</v>
      </c>
      <c r="B2097">
        <v>11</v>
      </c>
      <c r="C2097">
        <v>0</v>
      </c>
      <c r="D2097">
        <v>0</v>
      </c>
      <c r="E2097">
        <v>0</v>
      </c>
      <c r="F2097">
        <v>0</v>
      </c>
      <c r="G2097">
        <v>0</v>
      </c>
      <c r="H2097">
        <v>0</v>
      </c>
      <c r="I2097">
        <v>0</v>
      </c>
      <c r="J2097">
        <v>0</v>
      </c>
      <c r="K2097">
        <v>0</v>
      </c>
      <c r="L2097">
        <v>0</v>
      </c>
      <c r="M2097">
        <v>0</v>
      </c>
      <c r="N2097">
        <v>0</v>
      </c>
      <c r="O2097">
        <v>0</v>
      </c>
      <c r="P2097">
        <v>0</v>
      </c>
    </row>
    <row r="2098" spans="1:16" x14ac:dyDescent="0.3">
      <c r="A2098" t="s">
        <v>56</v>
      </c>
      <c r="B2098">
        <v>11</v>
      </c>
      <c r="C2098">
        <v>0.92</v>
      </c>
      <c r="D2098">
        <v>0.92</v>
      </c>
      <c r="E2098">
        <v>0.92</v>
      </c>
      <c r="F2098">
        <v>0.92</v>
      </c>
      <c r="G2098">
        <v>0.92</v>
      </c>
      <c r="H2098">
        <v>0.92</v>
      </c>
      <c r="I2098">
        <v>0.92</v>
      </c>
      <c r="J2098">
        <v>0.92</v>
      </c>
      <c r="K2098">
        <v>0.92</v>
      </c>
      <c r="L2098">
        <v>0.92</v>
      </c>
      <c r="M2098">
        <v>0.92</v>
      </c>
      <c r="N2098">
        <v>0.92</v>
      </c>
      <c r="O2098">
        <v>0.92</v>
      </c>
      <c r="P2098">
        <v>0.92</v>
      </c>
    </row>
    <row r="2099" spans="1:16" x14ac:dyDescent="0.3">
      <c r="A2099" t="s">
        <v>57</v>
      </c>
      <c r="B2099">
        <v>11</v>
      </c>
      <c r="C2099">
        <v>100</v>
      </c>
      <c r="D2099">
        <v>100</v>
      </c>
      <c r="E2099">
        <v>100</v>
      </c>
      <c r="F2099">
        <v>100</v>
      </c>
      <c r="G2099">
        <v>100</v>
      </c>
      <c r="H2099">
        <v>100</v>
      </c>
      <c r="I2099">
        <v>100</v>
      </c>
      <c r="J2099">
        <v>100</v>
      </c>
      <c r="K2099">
        <v>100</v>
      </c>
      <c r="L2099">
        <v>100</v>
      </c>
      <c r="M2099">
        <v>100</v>
      </c>
      <c r="N2099">
        <v>100</v>
      </c>
      <c r="O2099">
        <v>100</v>
      </c>
      <c r="P2099">
        <v>100</v>
      </c>
    </row>
    <row r="2100" spans="1:16" x14ac:dyDescent="0.3">
      <c r="A2100" t="s">
        <v>58</v>
      </c>
      <c r="B2100">
        <v>11</v>
      </c>
      <c r="C2100">
        <v>2</v>
      </c>
      <c r="D2100">
        <v>2</v>
      </c>
      <c r="E2100">
        <v>2</v>
      </c>
      <c r="F2100">
        <v>2</v>
      </c>
      <c r="G2100">
        <v>2</v>
      </c>
      <c r="H2100">
        <v>2</v>
      </c>
      <c r="I2100">
        <v>2</v>
      </c>
      <c r="J2100">
        <v>2</v>
      </c>
      <c r="K2100">
        <v>2</v>
      </c>
      <c r="L2100">
        <v>2</v>
      </c>
      <c r="M2100">
        <v>2</v>
      </c>
      <c r="N2100">
        <v>2</v>
      </c>
      <c r="O2100">
        <v>2</v>
      </c>
      <c r="P2100">
        <v>2</v>
      </c>
    </row>
    <row r="2101" spans="1:16" x14ac:dyDescent="0.3">
      <c r="A2101" t="s">
        <v>59</v>
      </c>
      <c r="B2101">
        <v>11</v>
      </c>
      <c r="C2101">
        <v>0</v>
      </c>
      <c r="D2101">
        <v>0</v>
      </c>
      <c r="E2101">
        <v>0</v>
      </c>
      <c r="F2101">
        <v>0</v>
      </c>
      <c r="G2101">
        <v>0</v>
      </c>
      <c r="H2101">
        <v>0</v>
      </c>
      <c r="I2101">
        <v>0</v>
      </c>
      <c r="J2101">
        <v>0</v>
      </c>
      <c r="K2101">
        <v>0</v>
      </c>
      <c r="L2101">
        <v>0</v>
      </c>
      <c r="M2101">
        <v>0</v>
      </c>
      <c r="N2101">
        <v>0</v>
      </c>
      <c r="O2101">
        <v>0</v>
      </c>
      <c r="P2101">
        <v>0</v>
      </c>
    </row>
    <row r="2102" spans="1:16" x14ac:dyDescent="0.3">
      <c r="A2102" t="s">
        <v>635</v>
      </c>
      <c r="B2102">
        <v>11</v>
      </c>
      <c r="E2102">
        <v>0</v>
      </c>
      <c r="I2102">
        <v>0</v>
      </c>
      <c r="L2102">
        <v>0</v>
      </c>
      <c r="O2102">
        <v>0</v>
      </c>
    </row>
    <row r="2103" spans="1:16" x14ac:dyDescent="0.3">
      <c r="A2103" t="s">
        <v>574</v>
      </c>
      <c r="B2103">
        <v>11</v>
      </c>
      <c r="E2103">
        <v>979</v>
      </c>
      <c r="I2103">
        <v>855</v>
      </c>
      <c r="L2103">
        <v>713</v>
      </c>
      <c r="O2103">
        <v>764</v>
      </c>
    </row>
    <row r="2104" spans="1:16" x14ac:dyDescent="0.3">
      <c r="A2104" t="s">
        <v>78</v>
      </c>
      <c r="B2104">
        <v>11</v>
      </c>
      <c r="E2104">
        <v>14.8</v>
      </c>
      <c r="I2104">
        <v>13</v>
      </c>
      <c r="L2104">
        <v>16.2</v>
      </c>
      <c r="O2104">
        <v>17.399999999999999</v>
      </c>
    </row>
    <row r="2105" spans="1:16" x14ac:dyDescent="0.3">
      <c r="A2105" t="s">
        <v>636</v>
      </c>
      <c r="B2105">
        <v>11</v>
      </c>
      <c r="F2105">
        <v>0</v>
      </c>
      <c r="J2105">
        <v>0</v>
      </c>
      <c r="M2105">
        <v>0</v>
      </c>
      <c r="P2105">
        <v>0</v>
      </c>
    </row>
    <row r="2106" spans="1:16" x14ac:dyDescent="0.3">
      <c r="A2106" t="s">
        <v>639</v>
      </c>
      <c r="B2106">
        <v>11</v>
      </c>
      <c r="C2106">
        <v>3</v>
      </c>
      <c r="D2106">
        <v>0</v>
      </c>
      <c r="E2106">
        <v>0</v>
      </c>
      <c r="F2106">
        <v>1</v>
      </c>
      <c r="G2106">
        <v>3</v>
      </c>
      <c r="H2106">
        <v>0</v>
      </c>
      <c r="I2106">
        <v>0</v>
      </c>
      <c r="J2106">
        <v>1</v>
      </c>
      <c r="K2106">
        <v>0</v>
      </c>
      <c r="L2106">
        <v>0</v>
      </c>
      <c r="M2106">
        <v>1</v>
      </c>
      <c r="N2106">
        <v>0</v>
      </c>
      <c r="O2106">
        <v>0</v>
      </c>
      <c r="P2106">
        <v>1</v>
      </c>
    </row>
    <row r="2107" spans="1:16" x14ac:dyDescent="0.3">
      <c r="A2107" t="s">
        <v>640</v>
      </c>
      <c r="B2107">
        <v>11</v>
      </c>
      <c r="C2107">
        <v>0</v>
      </c>
      <c r="D2107">
        <v>0</v>
      </c>
      <c r="E2107">
        <v>0</v>
      </c>
      <c r="F2107">
        <v>0</v>
      </c>
      <c r="G2107">
        <v>0</v>
      </c>
      <c r="H2107">
        <v>0</v>
      </c>
      <c r="I2107">
        <v>0</v>
      </c>
      <c r="J2107">
        <v>0</v>
      </c>
      <c r="K2107">
        <v>0</v>
      </c>
      <c r="L2107">
        <v>0</v>
      </c>
      <c r="M2107">
        <v>0</v>
      </c>
      <c r="N2107">
        <v>0</v>
      </c>
      <c r="O2107">
        <v>0</v>
      </c>
      <c r="P2107">
        <v>0</v>
      </c>
    </row>
    <row r="2108" spans="1:16" x14ac:dyDescent="0.3">
      <c r="A2108" t="s">
        <v>52</v>
      </c>
      <c r="B2108">
        <v>11</v>
      </c>
      <c r="C2108">
        <v>1</v>
      </c>
      <c r="D2108">
        <v>1</v>
      </c>
      <c r="E2108">
        <v>1</v>
      </c>
      <c r="F2108">
        <v>1</v>
      </c>
      <c r="G2108">
        <v>1</v>
      </c>
      <c r="H2108">
        <v>1</v>
      </c>
      <c r="I2108">
        <v>1</v>
      </c>
      <c r="J2108">
        <v>1</v>
      </c>
      <c r="K2108">
        <v>1</v>
      </c>
      <c r="L2108">
        <v>1</v>
      </c>
      <c r="M2108">
        <v>1</v>
      </c>
      <c r="N2108">
        <v>1</v>
      </c>
      <c r="O2108">
        <v>1</v>
      </c>
      <c r="P2108">
        <v>1</v>
      </c>
    </row>
    <row r="2109" spans="1:16" x14ac:dyDescent="0.3">
      <c r="A2109" t="s">
        <v>641</v>
      </c>
      <c r="B2109">
        <v>11</v>
      </c>
      <c r="C2109">
        <v>9</v>
      </c>
      <c r="D2109">
        <v>15</v>
      </c>
      <c r="E2109">
        <v>60</v>
      </c>
      <c r="F2109">
        <v>9</v>
      </c>
      <c r="G2109">
        <v>9</v>
      </c>
      <c r="H2109">
        <v>15</v>
      </c>
      <c r="I2109">
        <v>60</v>
      </c>
      <c r="J2109">
        <v>9</v>
      </c>
      <c r="K2109">
        <v>15</v>
      </c>
      <c r="L2109">
        <v>60</v>
      </c>
      <c r="M2109">
        <v>9</v>
      </c>
      <c r="N2109">
        <v>15</v>
      </c>
      <c r="O2109">
        <v>60</v>
      </c>
      <c r="P2109">
        <v>9</v>
      </c>
    </row>
    <row r="2110" spans="1:16" x14ac:dyDescent="0.3">
      <c r="A2110" t="s">
        <v>43</v>
      </c>
      <c r="B2110">
        <v>11</v>
      </c>
      <c r="D2110">
        <v>40</v>
      </c>
      <c r="E2110">
        <v>336</v>
      </c>
      <c r="F2110">
        <v>0</v>
      </c>
      <c r="H2110">
        <v>40</v>
      </c>
      <c r="I2110">
        <v>336</v>
      </c>
      <c r="J2110">
        <v>0</v>
      </c>
      <c r="K2110">
        <v>40</v>
      </c>
      <c r="L2110">
        <v>40</v>
      </c>
      <c r="M2110">
        <v>0</v>
      </c>
      <c r="N2110">
        <v>40</v>
      </c>
      <c r="O2110">
        <v>40</v>
      </c>
    </row>
    <row r="2111" spans="1:16" x14ac:dyDescent="0.3">
      <c r="A2111" t="s">
        <v>44</v>
      </c>
      <c r="B2111">
        <v>11</v>
      </c>
      <c r="D2111">
        <v>0</v>
      </c>
      <c r="E2111">
        <v>0</v>
      </c>
      <c r="F2111">
        <v>0</v>
      </c>
      <c r="H2111">
        <v>0</v>
      </c>
      <c r="I2111">
        <v>0</v>
      </c>
      <c r="J2111">
        <v>0</v>
      </c>
      <c r="K2111">
        <v>0</v>
      </c>
      <c r="L2111">
        <v>0</v>
      </c>
      <c r="M2111">
        <v>0</v>
      </c>
      <c r="N2111">
        <v>0</v>
      </c>
      <c r="O2111">
        <v>0</v>
      </c>
    </row>
    <row r="2112" spans="1:16" x14ac:dyDescent="0.3">
      <c r="A2112" t="s">
        <v>47</v>
      </c>
      <c r="B2112">
        <v>11</v>
      </c>
      <c r="D2112">
        <v>1</v>
      </c>
      <c r="E2112">
        <v>6</v>
      </c>
      <c r="F2112">
        <v>6</v>
      </c>
      <c r="H2112">
        <v>5</v>
      </c>
      <c r="I2112">
        <v>2</v>
      </c>
      <c r="J2112">
        <v>2</v>
      </c>
      <c r="K2112">
        <v>4</v>
      </c>
      <c r="L2112">
        <v>4</v>
      </c>
      <c r="M2112">
        <v>4</v>
      </c>
      <c r="N2112">
        <v>8</v>
      </c>
      <c r="O2112">
        <v>8</v>
      </c>
    </row>
    <row r="2113" spans="1:15" x14ac:dyDescent="0.3">
      <c r="A2113" t="s">
        <v>642</v>
      </c>
      <c r="B2113">
        <v>11</v>
      </c>
      <c r="D2113">
        <v>0</v>
      </c>
      <c r="E2113">
        <v>0</v>
      </c>
      <c r="F2113">
        <v>0</v>
      </c>
      <c r="H2113">
        <v>0</v>
      </c>
      <c r="I2113">
        <v>0</v>
      </c>
      <c r="J2113">
        <v>0</v>
      </c>
      <c r="K2113">
        <v>0</v>
      </c>
      <c r="L2113">
        <v>0</v>
      </c>
      <c r="M2113">
        <v>0</v>
      </c>
      <c r="N2113">
        <v>0</v>
      </c>
      <c r="O2113">
        <v>0</v>
      </c>
    </row>
    <row r="2114" spans="1:15" x14ac:dyDescent="0.3">
      <c r="A2114" t="s">
        <v>643</v>
      </c>
      <c r="B2114">
        <v>11</v>
      </c>
      <c r="D2114">
        <v>0</v>
      </c>
      <c r="E2114">
        <v>0</v>
      </c>
      <c r="F2114">
        <v>0</v>
      </c>
      <c r="H2114">
        <v>0</v>
      </c>
      <c r="I2114">
        <v>0</v>
      </c>
      <c r="J2114">
        <v>0</v>
      </c>
      <c r="K2114">
        <v>0</v>
      </c>
      <c r="L2114">
        <v>0</v>
      </c>
      <c r="M2114">
        <v>0</v>
      </c>
      <c r="N2114">
        <v>0</v>
      </c>
      <c r="O2114">
        <v>0</v>
      </c>
    </row>
    <row r="2115" spans="1:15" x14ac:dyDescent="0.3">
      <c r="A2115" t="s">
        <v>644</v>
      </c>
      <c r="B2115">
        <v>11</v>
      </c>
      <c r="D2115">
        <v>0</v>
      </c>
      <c r="E2115">
        <v>0</v>
      </c>
      <c r="F2115">
        <v>0</v>
      </c>
      <c r="H2115">
        <v>0</v>
      </c>
      <c r="I2115">
        <v>0</v>
      </c>
      <c r="J2115">
        <v>0</v>
      </c>
      <c r="K2115">
        <v>0</v>
      </c>
      <c r="L2115">
        <v>0</v>
      </c>
      <c r="M2115">
        <v>0</v>
      </c>
      <c r="N2115">
        <v>0</v>
      </c>
      <c r="O2115">
        <v>0</v>
      </c>
    </row>
    <row r="2116" spans="1:15" x14ac:dyDescent="0.3">
      <c r="A2116" t="s">
        <v>645</v>
      </c>
      <c r="B2116">
        <v>11</v>
      </c>
      <c r="D2116">
        <v>0</v>
      </c>
      <c r="E2116">
        <v>0</v>
      </c>
      <c r="F2116">
        <v>0</v>
      </c>
      <c r="H2116">
        <v>0</v>
      </c>
      <c r="I2116">
        <v>0</v>
      </c>
      <c r="J2116">
        <v>0</v>
      </c>
      <c r="K2116">
        <v>0</v>
      </c>
      <c r="L2116">
        <v>0</v>
      </c>
      <c r="M2116">
        <v>0</v>
      </c>
      <c r="N2116">
        <v>0</v>
      </c>
      <c r="O2116">
        <v>0</v>
      </c>
    </row>
    <row r="2117" spans="1:15" x14ac:dyDescent="0.3">
      <c r="A2117" t="s">
        <v>646</v>
      </c>
      <c r="B2117">
        <v>11</v>
      </c>
      <c r="D2117">
        <v>1</v>
      </c>
      <c r="E2117">
        <v>2</v>
      </c>
      <c r="F2117">
        <v>1</v>
      </c>
      <c r="H2117">
        <v>1</v>
      </c>
      <c r="I2117">
        <v>2</v>
      </c>
      <c r="J2117">
        <v>1</v>
      </c>
      <c r="K2117">
        <v>1</v>
      </c>
      <c r="L2117">
        <v>1</v>
      </c>
      <c r="M2117">
        <v>1</v>
      </c>
      <c r="N2117">
        <v>1</v>
      </c>
      <c r="O2117">
        <v>1</v>
      </c>
    </row>
    <row r="2118" spans="1:15" x14ac:dyDescent="0.3">
      <c r="A2118" t="s">
        <v>647</v>
      </c>
      <c r="B2118">
        <v>11</v>
      </c>
      <c r="D2118">
        <v>0</v>
      </c>
      <c r="E2118">
        <v>330</v>
      </c>
      <c r="F2118">
        <v>0</v>
      </c>
      <c r="H2118">
        <v>0</v>
      </c>
      <c r="I2118">
        <v>330</v>
      </c>
      <c r="J2118">
        <v>0</v>
      </c>
      <c r="K2118">
        <v>0</v>
      </c>
      <c r="L2118">
        <v>0</v>
      </c>
      <c r="M2118">
        <v>0</v>
      </c>
      <c r="N2118">
        <v>0</v>
      </c>
      <c r="O2118">
        <v>0</v>
      </c>
    </row>
    <row r="2119" spans="1:15" x14ac:dyDescent="0.3">
      <c r="A2119" t="s">
        <v>648</v>
      </c>
      <c r="B2119">
        <v>11</v>
      </c>
      <c r="D2119">
        <v>40</v>
      </c>
      <c r="E2119">
        <v>6</v>
      </c>
      <c r="F2119">
        <v>0</v>
      </c>
      <c r="H2119">
        <v>40</v>
      </c>
      <c r="I2119">
        <v>6</v>
      </c>
      <c r="J2119">
        <v>0</v>
      </c>
      <c r="K2119">
        <v>40</v>
      </c>
      <c r="L2119">
        <v>40</v>
      </c>
      <c r="M2119">
        <v>0</v>
      </c>
      <c r="N2119">
        <v>40</v>
      </c>
      <c r="O2119">
        <v>40</v>
      </c>
    </row>
    <row r="2120" spans="1:15" x14ac:dyDescent="0.3">
      <c r="A2120" t="s">
        <v>649</v>
      </c>
      <c r="B2120">
        <v>11</v>
      </c>
      <c r="D2120">
        <v>3</v>
      </c>
      <c r="E2120">
        <v>3</v>
      </c>
      <c r="F2120">
        <v>3</v>
      </c>
      <c r="H2120">
        <v>3</v>
      </c>
      <c r="I2120">
        <v>3</v>
      </c>
      <c r="J2120">
        <v>3</v>
      </c>
      <c r="K2120">
        <v>3</v>
      </c>
      <c r="L2120">
        <v>3</v>
      </c>
      <c r="M2120">
        <v>3</v>
      </c>
      <c r="N2120">
        <v>3</v>
      </c>
      <c r="O2120">
        <v>3</v>
      </c>
    </row>
    <row r="2121" spans="1:15" x14ac:dyDescent="0.3">
      <c r="A2121" t="s">
        <v>650</v>
      </c>
      <c r="B2121">
        <v>11</v>
      </c>
      <c r="D2121">
        <v>0</v>
      </c>
      <c r="E2121">
        <v>0</v>
      </c>
      <c r="F2121">
        <v>0</v>
      </c>
      <c r="H2121">
        <v>0</v>
      </c>
      <c r="I2121">
        <v>0</v>
      </c>
      <c r="J2121">
        <v>0</v>
      </c>
      <c r="K2121">
        <v>0</v>
      </c>
      <c r="L2121">
        <v>0</v>
      </c>
      <c r="M2121">
        <v>0</v>
      </c>
      <c r="N2121">
        <v>0</v>
      </c>
      <c r="O2121">
        <v>0</v>
      </c>
    </row>
    <row r="2122" spans="1:15" x14ac:dyDescent="0.3">
      <c r="A2122" t="s">
        <v>651</v>
      </c>
      <c r="B2122">
        <v>11</v>
      </c>
      <c r="D2122">
        <v>0</v>
      </c>
      <c r="E2122">
        <v>0</v>
      </c>
      <c r="F2122">
        <v>0</v>
      </c>
      <c r="H2122">
        <v>0</v>
      </c>
      <c r="I2122">
        <v>0</v>
      </c>
      <c r="J2122">
        <v>0</v>
      </c>
      <c r="K2122">
        <v>0</v>
      </c>
      <c r="L2122">
        <v>0</v>
      </c>
      <c r="M2122">
        <v>0</v>
      </c>
      <c r="N2122">
        <v>0</v>
      </c>
      <c r="O2122">
        <v>0</v>
      </c>
    </row>
    <row r="2123" spans="1:15" x14ac:dyDescent="0.3">
      <c r="A2123" t="s">
        <v>652</v>
      </c>
      <c r="B2123">
        <v>11</v>
      </c>
      <c r="D2123">
        <v>0</v>
      </c>
      <c r="E2123">
        <v>0</v>
      </c>
      <c r="F2123">
        <v>0</v>
      </c>
      <c r="H2123">
        <v>0</v>
      </c>
      <c r="I2123">
        <v>0</v>
      </c>
      <c r="J2123">
        <v>0</v>
      </c>
      <c r="K2123">
        <v>0</v>
      </c>
      <c r="L2123">
        <v>0</v>
      </c>
      <c r="M2123">
        <v>0</v>
      </c>
      <c r="N2123">
        <v>0</v>
      </c>
      <c r="O2123">
        <v>0</v>
      </c>
    </row>
    <row r="2124" spans="1:15" x14ac:dyDescent="0.3">
      <c r="A2124" t="s">
        <v>653</v>
      </c>
      <c r="B2124">
        <v>11</v>
      </c>
      <c r="E2124">
        <v>0</v>
      </c>
      <c r="I2124">
        <v>0</v>
      </c>
    </row>
    <row r="2125" spans="1:15" x14ac:dyDescent="0.3">
      <c r="A2125" t="s">
        <v>654</v>
      </c>
      <c r="B2125">
        <v>11</v>
      </c>
      <c r="E2125">
        <v>0</v>
      </c>
      <c r="I2125">
        <v>0</v>
      </c>
    </row>
    <row r="2126" spans="1:15" x14ac:dyDescent="0.3">
      <c r="A2126" t="s">
        <v>655</v>
      </c>
      <c r="B2126">
        <v>11</v>
      </c>
      <c r="E2126">
        <v>3</v>
      </c>
      <c r="I2126">
        <v>3</v>
      </c>
    </row>
    <row r="2127" spans="1:15" x14ac:dyDescent="0.3">
      <c r="A2127" t="s">
        <v>656</v>
      </c>
      <c r="B2127">
        <v>11</v>
      </c>
      <c r="E2127">
        <v>0</v>
      </c>
      <c r="I2127">
        <v>0</v>
      </c>
    </row>
    <row r="2128" spans="1:15" x14ac:dyDescent="0.3">
      <c r="A2128" t="s">
        <v>657</v>
      </c>
      <c r="B2128">
        <v>11</v>
      </c>
      <c r="E2128">
        <v>0</v>
      </c>
      <c r="I2128">
        <v>0</v>
      </c>
      <c r="L2128">
        <v>0</v>
      </c>
      <c r="O2128">
        <v>0</v>
      </c>
    </row>
    <row r="2129" spans="1:16" x14ac:dyDescent="0.3">
      <c r="A2129" t="s">
        <v>408</v>
      </c>
      <c r="B2129">
        <v>11</v>
      </c>
      <c r="E2129">
        <v>0</v>
      </c>
    </row>
    <row r="2130" spans="1:16" x14ac:dyDescent="0.3">
      <c r="A2130" t="s">
        <v>658</v>
      </c>
      <c r="B2130">
        <v>11</v>
      </c>
      <c r="C2130">
        <v>0</v>
      </c>
      <c r="D2130">
        <v>43</v>
      </c>
      <c r="E2130">
        <v>978</v>
      </c>
      <c r="F2130">
        <v>54</v>
      </c>
      <c r="G2130">
        <v>0</v>
      </c>
      <c r="H2130">
        <v>82</v>
      </c>
      <c r="I2130">
        <v>489</v>
      </c>
      <c r="J2130">
        <v>54</v>
      </c>
      <c r="K2130">
        <v>22</v>
      </c>
      <c r="L2130">
        <v>54</v>
      </c>
      <c r="M2130">
        <v>82</v>
      </c>
      <c r="N2130">
        <v>16</v>
      </c>
      <c r="O2130">
        <v>86</v>
      </c>
      <c r="P2130">
        <v>0</v>
      </c>
    </row>
    <row r="2131" spans="1:16" x14ac:dyDescent="0.3">
      <c r="A2131" t="s">
        <v>34</v>
      </c>
      <c r="B2131">
        <v>12</v>
      </c>
      <c r="C2131">
        <v>11</v>
      </c>
      <c r="D2131">
        <v>11</v>
      </c>
      <c r="E2131">
        <v>11</v>
      </c>
      <c r="F2131">
        <v>11</v>
      </c>
      <c r="G2131">
        <v>13</v>
      </c>
      <c r="H2131">
        <v>13</v>
      </c>
      <c r="I2131">
        <v>13</v>
      </c>
      <c r="J2131">
        <v>13</v>
      </c>
      <c r="K2131">
        <v>17</v>
      </c>
      <c r="L2131">
        <v>17</v>
      </c>
      <c r="M2131">
        <v>17</v>
      </c>
      <c r="N2131">
        <v>118</v>
      </c>
      <c r="O2131">
        <v>118</v>
      </c>
      <c r="P2131">
        <v>118</v>
      </c>
    </row>
    <row r="2132" spans="1:16" x14ac:dyDescent="0.3">
      <c r="A2132" t="s">
        <v>35</v>
      </c>
      <c r="B2132">
        <v>12</v>
      </c>
      <c r="C2132">
        <v>11</v>
      </c>
      <c r="D2132">
        <v>17</v>
      </c>
      <c r="E2132">
        <v>13</v>
      </c>
      <c r="F2132">
        <v>118</v>
      </c>
      <c r="G2132">
        <v>13</v>
      </c>
      <c r="H2132">
        <v>118</v>
      </c>
      <c r="I2132">
        <v>11</v>
      </c>
      <c r="J2132">
        <v>17</v>
      </c>
      <c r="K2132">
        <v>13</v>
      </c>
      <c r="L2132">
        <v>118</v>
      </c>
      <c r="M2132">
        <v>11</v>
      </c>
      <c r="N2132">
        <v>11</v>
      </c>
      <c r="O2132">
        <v>17</v>
      </c>
      <c r="P2132">
        <v>13</v>
      </c>
    </row>
    <row r="2133" spans="1:16" x14ac:dyDescent="0.3">
      <c r="A2133" t="s">
        <v>36</v>
      </c>
      <c r="B2133">
        <v>12</v>
      </c>
      <c r="C2133">
        <v>0</v>
      </c>
      <c r="D2133">
        <v>2</v>
      </c>
      <c r="E2133">
        <v>2</v>
      </c>
      <c r="F2133">
        <v>1</v>
      </c>
      <c r="G2133">
        <v>0</v>
      </c>
      <c r="H2133">
        <v>1</v>
      </c>
      <c r="I2133">
        <v>2</v>
      </c>
      <c r="J2133">
        <v>1</v>
      </c>
      <c r="K2133">
        <v>1</v>
      </c>
      <c r="L2133">
        <v>1</v>
      </c>
      <c r="M2133">
        <v>1</v>
      </c>
      <c r="N2133">
        <v>1</v>
      </c>
      <c r="O2133">
        <v>1</v>
      </c>
      <c r="P2133">
        <v>1</v>
      </c>
    </row>
    <row r="2134" spans="1:16" x14ac:dyDescent="0.3">
      <c r="A2134" t="s">
        <v>37</v>
      </c>
      <c r="B2134">
        <v>12</v>
      </c>
      <c r="D2134">
        <v>0</v>
      </c>
      <c r="E2134">
        <v>0</v>
      </c>
      <c r="H2134">
        <v>0</v>
      </c>
      <c r="I2134">
        <v>0</v>
      </c>
      <c r="K2134">
        <v>0</v>
      </c>
      <c r="L2134">
        <v>0</v>
      </c>
      <c r="N2134">
        <v>0</v>
      </c>
      <c r="O2134">
        <v>0</v>
      </c>
    </row>
    <row r="2135" spans="1:16" x14ac:dyDescent="0.3">
      <c r="A2135" t="s">
        <v>38</v>
      </c>
      <c r="B2135">
        <v>12</v>
      </c>
      <c r="C2135">
        <v>12</v>
      </c>
      <c r="D2135">
        <v>12</v>
      </c>
      <c r="E2135">
        <v>12</v>
      </c>
      <c r="F2135">
        <v>12</v>
      </c>
      <c r="G2135">
        <v>12</v>
      </c>
      <c r="H2135">
        <v>12</v>
      </c>
      <c r="I2135">
        <v>12</v>
      </c>
      <c r="J2135">
        <v>12</v>
      </c>
      <c r="K2135">
        <v>12</v>
      </c>
      <c r="L2135">
        <v>12</v>
      </c>
      <c r="M2135">
        <v>12</v>
      </c>
      <c r="N2135">
        <v>12</v>
      </c>
      <c r="O2135">
        <v>12</v>
      </c>
      <c r="P2135">
        <v>12</v>
      </c>
    </row>
    <row r="2136" spans="1:16" x14ac:dyDescent="0.3">
      <c r="A2136" t="s">
        <v>39</v>
      </c>
      <c r="B2136">
        <v>12</v>
      </c>
      <c r="D2136">
        <v>400</v>
      </c>
      <c r="F2136">
        <v>400</v>
      </c>
      <c r="H2136">
        <v>500</v>
      </c>
      <c r="J2136">
        <v>500</v>
      </c>
      <c r="K2136">
        <v>300</v>
      </c>
      <c r="N2136">
        <v>300</v>
      </c>
      <c r="P2136">
        <v>300</v>
      </c>
    </row>
    <row r="2137" spans="1:16" x14ac:dyDescent="0.3">
      <c r="A2137" t="s">
        <v>631</v>
      </c>
      <c r="B2137">
        <v>12</v>
      </c>
      <c r="D2137">
        <v>25</v>
      </c>
      <c r="F2137">
        <v>25</v>
      </c>
      <c r="H2137">
        <v>25</v>
      </c>
      <c r="J2137">
        <v>25</v>
      </c>
      <c r="K2137">
        <v>25</v>
      </c>
      <c r="N2137">
        <v>25</v>
      </c>
      <c r="P2137">
        <v>25</v>
      </c>
    </row>
    <row r="2138" spans="1:16" x14ac:dyDescent="0.3">
      <c r="A2138" t="s">
        <v>40</v>
      </c>
      <c r="B2138">
        <v>12</v>
      </c>
      <c r="D2138">
        <v>2</v>
      </c>
      <c r="F2138">
        <v>1</v>
      </c>
      <c r="H2138">
        <v>1</v>
      </c>
      <c r="J2138">
        <v>1</v>
      </c>
      <c r="K2138">
        <v>1</v>
      </c>
      <c r="N2138">
        <v>1</v>
      </c>
      <c r="P2138">
        <v>1</v>
      </c>
    </row>
    <row r="2139" spans="1:16" x14ac:dyDescent="0.3">
      <c r="A2139" t="s">
        <v>41</v>
      </c>
      <c r="B2139">
        <v>12</v>
      </c>
    </row>
    <row r="2140" spans="1:16" x14ac:dyDescent="0.3">
      <c r="A2140" t="s">
        <v>42</v>
      </c>
      <c r="B2140">
        <v>12</v>
      </c>
      <c r="E2140">
        <v>45</v>
      </c>
      <c r="I2140">
        <v>45</v>
      </c>
      <c r="L2140">
        <v>30</v>
      </c>
      <c r="O2140">
        <v>30</v>
      </c>
    </row>
    <row r="2141" spans="1:16" x14ac:dyDescent="0.3">
      <c r="A2141" t="s">
        <v>45</v>
      </c>
      <c r="B2141">
        <v>12</v>
      </c>
      <c r="D2141">
        <v>1</v>
      </c>
      <c r="E2141">
        <v>6</v>
      </c>
      <c r="H2141">
        <v>5</v>
      </c>
      <c r="I2141">
        <v>2</v>
      </c>
      <c r="K2141">
        <v>7</v>
      </c>
      <c r="L2141">
        <v>4</v>
      </c>
      <c r="N2141">
        <v>3</v>
      </c>
      <c r="O2141">
        <v>8</v>
      </c>
    </row>
    <row r="2142" spans="1:16" x14ac:dyDescent="0.3">
      <c r="A2142" t="s">
        <v>46</v>
      </c>
      <c r="B2142">
        <v>12</v>
      </c>
      <c r="F2142">
        <v>6</v>
      </c>
      <c r="J2142">
        <v>2</v>
      </c>
      <c r="K2142">
        <v>4</v>
      </c>
      <c r="M2142">
        <v>4</v>
      </c>
      <c r="N2142">
        <v>8</v>
      </c>
      <c r="P2142">
        <v>8</v>
      </c>
    </row>
    <row r="2143" spans="1:16" x14ac:dyDescent="0.3">
      <c r="A2143" t="s">
        <v>49</v>
      </c>
      <c r="B2143">
        <v>12</v>
      </c>
      <c r="C2143">
        <v>4</v>
      </c>
      <c r="D2143">
        <v>5.6</v>
      </c>
      <c r="E2143">
        <v>7.7</v>
      </c>
      <c r="F2143">
        <v>7.7</v>
      </c>
      <c r="G2143">
        <v>4</v>
      </c>
      <c r="H2143">
        <v>5.6</v>
      </c>
      <c r="I2143">
        <v>5.8</v>
      </c>
      <c r="J2143">
        <v>5.8</v>
      </c>
      <c r="K2143">
        <v>7.7</v>
      </c>
      <c r="L2143">
        <v>6.6</v>
      </c>
      <c r="M2143">
        <v>6.6</v>
      </c>
      <c r="N2143">
        <v>7.7</v>
      </c>
      <c r="O2143">
        <v>6.6</v>
      </c>
      <c r="P2143">
        <v>6.6</v>
      </c>
    </row>
    <row r="2144" spans="1:16" x14ac:dyDescent="0.3">
      <c r="A2144" t="s">
        <v>632</v>
      </c>
      <c r="B2144">
        <v>12</v>
      </c>
      <c r="C2144">
        <v>0</v>
      </c>
      <c r="D2144">
        <v>0</v>
      </c>
      <c r="E2144">
        <v>0</v>
      </c>
      <c r="F2144">
        <v>0</v>
      </c>
      <c r="G2144">
        <v>0</v>
      </c>
      <c r="H2144">
        <v>0</v>
      </c>
      <c r="I2144">
        <v>0</v>
      </c>
      <c r="J2144">
        <v>0</v>
      </c>
      <c r="K2144">
        <v>0</v>
      </c>
      <c r="L2144">
        <v>0</v>
      </c>
      <c r="M2144">
        <v>0</v>
      </c>
      <c r="N2144">
        <v>0</v>
      </c>
      <c r="O2144">
        <v>0</v>
      </c>
      <c r="P2144">
        <v>0</v>
      </c>
    </row>
    <row r="2145" spans="1:16" x14ac:dyDescent="0.3">
      <c r="A2145" t="s">
        <v>48</v>
      </c>
      <c r="B2145">
        <v>12</v>
      </c>
      <c r="C2145">
        <v>1900</v>
      </c>
      <c r="D2145">
        <v>1900</v>
      </c>
      <c r="E2145">
        <v>1900</v>
      </c>
      <c r="F2145">
        <v>1900</v>
      </c>
      <c r="G2145">
        <v>1900</v>
      </c>
      <c r="H2145">
        <v>1900</v>
      </c>
      <c r="I2145">
        <v>1900</v>
      </c>
      <c r="J2145">
        <v>1900</v>
      </c>
      <c r="K2145">
        <v>1900</v>
      </c>
      <c r="L2145">
        <v>1900</v>
      </c>
      <c r="M2145">
        <v>1900</v>
      </c>
      <c r="N2145">
        <v>1900</v>
      </c>
      <c r="O2145">
        <v>1900</v>
      </c>
      <c r="P2145">
        <v>1900</v>
      </c>
    </row>
    <row r="2146" spans="1:16" x14ac:dyDescent="0.3">
      <c r="A2146" t="s">
        <v>633</v>
      </c>
      <c r="B2146">
        <v>12</v>
      </c>
      <c r="C2146">
        <v>0</v>
      </c>
      <c r="D2146">
        <v>3433</v>
      </c>
      <c r="E2146">
        <v>3539</v>
      </c>
      <c r="F2146">
        <v>1583</v>
      </c>
      <c r="G2146">
        <v>0</v>
      </c>
      <c r="H2146">
        <v>1770</v>
      </c>
      <c r="I2146">
        <v>3539</v>
      </c>
      <c r="J2146">
        <v>1583</v>
      </c>
      <c r="K2146">
        <v>1770</v>
      </c>
      <c r="L2146">
        <v>1863</v>
      </c>
      <c r="M2146">
        <v>1583</v>
      </c>
      <c r="N2146">
        <v>1770</v>
      </c>
      <c r="O2146">
        <v>1863</v>
      </c>
      <c r="P2146">
        <v>1583</v>
      </c>
    </row>
    <row r="2147" spans="1:16" x14ac:dyDescent="0.3">
      <c r="A2147" t="s">
        <v>50</v>
      </c>
      <c r="B2147">
        <v>12</v>
      </c>
      <c r="C2147">
        <v>0</v>
      </c>
      <c r="D2147">
        <v>3433</v>
      </c>
      <c r="E2147">
        <v>3539</v>
      </c>
      <c r="F2147">
        <v>1583</v>
      </c>
      <c r="G2147">
        <v>0</v>
      </c>
      <c r="H2147">
        <v>1770</v>
      </c>
      <c r="I2147">
        <v>3539</v>
      </c>
      <c r="J2147">
        <v>1583</v>
      </c>
      <c r="K2147">
        <v>1311</v>
      </c>
      <c r="L2147">
        <v>1863</v>
      </c>
      <c r="M2147">
        <v>1583</v>
      </c>
      <c r="N2147">
        <v>905</v>
      </c>
      <c r="O2147">
        <v>1863</v>
      </c>
      <c r="P2147">
        <v>1583</v>
      </c>
    </row>
    <row r="2148" spans="1:16" x14ac:dyDescent="0.3">
      <c r="A2148" t="s">
        <v>634</v>
      </c>
      <c r="B2148">
        <v>12</v>
      </c>
      <c r="C2148">
        <v>1</v>
      </c>
      <c r="D2148">
        <v>1</v>
      </c>
      <c r="E2148">
        <v>1</v>
      </c>
      <c r="F2148">
        <v>1</v>
      </c>
      <c r="G2148">
        <v>1</v>
      </c>
      <c r="H2148">
        <v>1</v>
      </c>
      <c r="I2148">
        <v>1</v>
      </c>
      <c r="J2148">
        <v>1</v>
      </c>
      <c r="K2148">
        <v>1</v>
      </c>
      <c r="L2148">
        <v>1</v>
      </c>
      <c r="M2148">
        <v>1</v>
      </c>
      <c r="N2148">
        <v>1</v>
      </c>
      <c r="O2148">
        <v>1</v>
      </c>
      <c r="P2148">
        <v>1</v>
      </c>
    </row>
    <row r="2149" spans="1:16" x14ac:dyDescent="0.3">
      <c r="A2149" t="s">
        <v>51</v>
      </c>
      <c r="B2149">
        <v>12</v>
      </c>
      <c r="C2149">
        <v>0</v>
      </c>
      <c r="D2149">
        <v>0</v>
      </c>
      <c r="E2149">
        <v>0</v>
      </c>
      <c r="F2149">
        <v>154</v>
      </c>
      <c r="G2149">
        <v>0</v>
      </c>
      <c r="H2149">
        <v>0</v>
      </c>
      <c r="I2149">
        <v>0</v>
      </c>
      <c r="J2149">
        <v>173</v>
      </c>
      <c r="K2149">
        <v>0</v>
      </c>
      <c r="L2149">
        <v>0</v>
      </c>
      <c r="M2149">
        <v>216</v>
      </c>
      <c r="N2149">
        <v>0</v>
      </c>
      <c r="O2149">
        <v>0</v>
      </c>
      <c r="P2149">
        <v>216</v>
      </c>
    </row>
    <row r="2150" spans="1:16" x14ac:dyDescent="0.3">
      <c r="A2150" t="s">
        <v>53</v>
      </c>
      <c r="B2150">
        <v>12</v>
      </c>
      <c r="C2150">
        <v>0</v>
      </c>
      <c r="D2150">
        <v>75</v>
      </c>
      <c r="E2150">
        <v>800</v>
      </c>
      <c r="F2150">
        <v>50</v>
      </c>
      <c r="G2150">
        <v>0</v>
      </c>
      <c r="H2150">
        <v>100</v>
      </c>
      <c r="I2150">
        <v>400</v>
      </c>
      <c r="J2150">
        <v>65</v>
      </c>
      <c r="K2150">
        <v>75</v>
      </c>
      <c r="L2150">
        <v>100</v>
      </c>
      <c r="M2150">
        <v>50</v>
      </c>
      <c r="N2150">
        <v>125</v>
      </c>
      <c r="O2150">
        <v>75</v>
      </c>
      <c r="P2150">
        <v>150</v>
      </c>
    </row>
    <row r="2151" spans="1:16" x14ac:dyDescent="0.3">
      <c r="A2151" t="s">
        <v>54</v>
      </c>
      <c r="B2151">
        <v>12</v>
      </c>
      <c r="C2151">
        <v>0</v>
      </c>
      <c r="D2151">
        <v>0</v>
      </c>
      <c r="E2151">
        <v>0</v>
      </c>
      <c r="F2151">
        <v>0</v>
      </c>
      <c r="G2151">
        <v>0</v>
      </c>
      <c r="H2151">
        <v>0</v>
      </c>
      <c r="I2151">
        <v>0</v>
      </c>
      <c r="J2151">
        <v>0</v>
      </c>
      <c r="K2151">
        <v>0</v>
      </c>
      <c r="L2151">
        <v>0</v>
      </c>
      <c r="M2151">
        <v>0</v>
      </c>
      <c r="N2151">
        <v>0</v>
      </c>
      <c r="O2151">
        <v>0</v>
      </c>
      <c r="P2151">
        <v>0</v>
      </c>
    </row>
    <row r="2152" spans="1:16" x14ac:dyDescent="0.3">
      <c r="A2152" t="s">
        <v>55</v>
      </c>
      <c r="B2152">
        <v>12</v>
      </c>
      <c r="C2152">
        <v>0</v>
      </c>
      <c r="D2152">
        <v>0</v>
      </c>
      <c r="E2152">
        <v>0</v>
      </c>
      <c r="F2152">
        <v>0</v>
      </c>
      <c r="G2152">
        <v>0</v>
      </c>
      <c r="H2152">
        <v>0</v>
      </c>
      <c r="I2152">
        <v>0</v>
      </c>
      <c r="J2152">
        <v>0</v>
      </c>
      <c r="K2152">
        <v>0</v>
      </c>
      <c r="L2152">
        <v>0</v>
      </c>
      <c r="M2152">
        <v>0</v>
      </c>
      <c r="N2152">
        <v>0</v>
      </c>
      <c r="O2152">
        <v>0</v>
      </c>
      <c r="P2152">
        <v>0</v>
      </c>
    </row>
    <row r="2153" spans="1:16" x14ac:dyDescent="0.3">
      <c r="A2153" t="s">
        <v>56</v>
      </c>
      <c r="B2153">
        <v>12</v>
      </c>
      <c r="C2153">
        <v>0.92</v>
      </c>
      <c r="D2153">
        <v>0.92</v>
      </c>
      <c r="E2153">
        <v>0.92</v>
      </c>
      <c r="F2153">
        <v>0.92</v>
      </c>
      <c r="G2153">
        <v>0.92</v>
      </c>
      <c r="H2153">
        <v>0.92</v>
      </c>
      <c r="I2153">
        <v>0.92</v>
      </c>
      <c r="J2153">
        <v>0.92</v>
      </c>
      <c r="K2153">
        <v>0.92</v>
      </c>
      <c r="L2153">
        <v>0.92</v>
      </c>
      <c r="M2153">
        <v>0.92</v>
      </c>
      <c r="N2153">
        <v>0.92</v>
      </c>
      <c r="O2153">
        <v>0.92</v>
      </c>
      <c r="P2153">
        <v>0.92</v>
      </c>
    </row>
    <row r="2154" spans="1:16" x14ac:dyDescent="0.3">
      <c r="A2154" t="s">
        <v>57</v>
      </c>
      <c r="B2154">
        <v>12</v>
      </c>
      <c r="C2154">
        <v>100</v>
      </c>
      <c r="D2154">
        <v>100</v>
      </c>
      <c r="E2154">
        <v>100</v>
      </c>
      <c r="F2154">
        <v>100</v>
      </c>
      <c r="G2154">
        <v>100</v>
      </c>
      <c r="H2154">
        <v>100</v>
      </c>
      <c r="I2154">
        <v>100</v>
      </c>
      <c r="J2154">
        <v>100</v>
      </c>
      <c r="K2154">
        <v>100</v>
      </c>
      <c r="L2154">
        <v>100</v>
      </c>
      <c r="M2154">
        <v>100</v>
      </c>
      <c r="N2154">
        <v>100</v>
      </c>
      <c r="O2154">
        <v>100</v>
      </c>
      <c r="P2154">
        <v>100</v>
      </c>
    </row>
    <row r="2155" spans="1:16" x14ac:dyDescent="0.3">
      <c r="A2155" t="s">
        <v>58</v>
      </c>
      <c r="B2155">
        <v>12</v>
      </c>
      <c r="C2155">
        <v>2</v>
      </c>
      <c r="D2155">
        <v>2</v>
      </c>
      <c r="E2155">
        <v>2</v>
      </c>
      <c r="F2155">
        <v>2</v>
      </c>
      <c r="G2155">
        <v>2</v>
      </c>
      <c r="H2155">
        <v>2</v>
      </c>
      <c r="I2155">
        <v>2</v>
      </c>
      <c r="J2155">
        <v>2</v>
      </c>
      <c r="K2155">
        <v>2</v>
      </c>
      <c r="L2155">
        <v>2</v>
      </c>
      <c r="M2155">
        <v>2</v>
      </c>
      <c r="N2155">
        <v>2</v>
      </c>
      <c r="O2155">
        <v>2</v>
      </c>
      <c r="P2155">
        <v>2</v>
      </c>
    </row>
    <row r="2156" spans="1:16" x14ac:dyDescent="0.3">
      <c r="A2156" t="s">
        <v>59</v>
      </c>
      <c r="B2156">
        <v>12</v>
      </c>
      <c r="C2156">
        <v>0</v>
      </c>
      <c r="D2156">
        <v>0</v>
      </c>
      <c r="E2156">
        <v>0</v>
      </c>
      <c r="F2156">
        <v>0</v>
      </c>
      <c r="G2156">
        <v>0</v>
      </c>
      <c r="H2156">
        <v>0</v>
      </c>
      <c r="I2156">
        <v>0</v>
      </c>
      <c r="J2156">
        <v>0</v>
      </c>
      <c r="K2156">
        <v>0</v>
      </c>
      <c r="L2156">
        <v>0</v>
      </c>
      <c r="M2156">
        <v>0</v>
      </c>
      <c r="N2156">
        <v>0</v>
      </c>
      <c r="O2156">
        <v>0</v>
      </c>
      <c r="P2156">
        <v>0</v>
      </c>
    </row>
    <row r="2157" spans="1:16" x14ac:dyDescent="0.3">
      <c r="A2157" t="s">
        <v>635</v>
      </c>
      <c r="B2157">
        <v>12</v>
      </c>
      <c r="E2157">
        <v>0</v>
      </c>
      <c r="I2157">
        <v>0</v>
      </c>
      <c r="L2157">
        <v>0</v>
      </c>
      <c r="O2157">
        <v>0</v>
      </c>
    </row>
    <row r="2158" spans="1:16" x14ac:dyDescent="0.3">
      <c r="A2158" t="s">
        <v>574</v>
      </c>
      <c r="B2158">
        <v>12</v>
      </c>
      <c r="E2158">
        <v>855</v>
      </c>
      <c r="I2158">
        <v>1532</v>
      </c>
      <c r="L2158">
        <v>433</v>
      </c>
      <c r="O2158">
        <v>732</v>
      </c>
    </row>
    <row r="2159" spans="1:16" x14ac:dyDescent="0.3">
      <c r="A2159" t="s">
        <v>78</v>
      </c>
      <c r="B2159">
        <v>12</v>
      </c>
      <c r="E2159">
        <v>13</v>
      </c>
      <c r="I2159">
        <v>23.2</v>
      </c>
      <c r="L2159">
        <v>9.8000000000000007</v>
      </c>
      <c r="O2159">
        <v>16.600000000000001</v>
      </c>
    </row>
    <row r="2160" spans="1:16" x14ac:dyDescent="0.3">
      <c r="A2160" t="s">
        <v>636</v>
      </c>
      <c r="B2160">
        <v>12</v>
      </c>
      <c r="F2160">
        <v>1</v>
      </c>
      <c r="J2160">
        <v>1</v>
      </c>
      <c r="M2160">
        <v>1</v>
      </c>
      <c r="P2160">
        <v>1</v>
      </c>
    </row>
    <row r="2161" spans="1:16" x14ac:dyDescent="0.3">
      <c r="A2161" t="s">
        <v>637</v>
      </c>
      <c r="B2161">
        <v>12</v>
      </c>
      <c r="F2161">
        <v>50</v>
      </c>
      <c r="J2161">
        <v>50</v>
      </c>
      <c r="M2161">
        <v>50</v>
      </c>
      <c r="P2161">
        <v>50</v>
      </c>
    </row>
    <row r="2162" spans="1:16" x14ac:dyDescent="0.3">
      <c r="A2162" t="s">
        <v>638</v>
      </c>
      <c r="B2162">
        <v>12</v>
      </c>
      <c r="F2162">
        <v>0</v>
      </c>
      <c r="J2162">
        <v>0</v>
      </c>
      <c r="M2162">
        <v>0</v>
      </c>
      <c r="P2162">
        <v>0</v>
      </c>
    </row>
    <row r="2163" spans="1:16" x14ac:dyDescent="0.3">
      <c r="A2163" t="s">
        <v>639</v>
      </c>
      <c r="B2163">
        <v>12</v>
      </c>
      <c r="C2163">
        <v>3</v>
      </c>
      <c r="D2163">
        <v>0</v>
      </c>
      <c r="E2163">
        <v>0</v>
      </c>
      <c r="F2163">
        <v>1</v>
      </c>
      <c r="G2163">
        <v>3</v>
      </c>
      <c r="H2163">
        <v>0</v>
      </c>
      <c r="I2163">
        <v>0</v>
      </c>
      <c r="J2163">
        <v>1</v>
      </c>
      <c r="K2163">
        <v>0</v>
      </c>
      <c r="L2163">
        <v>0</v>
      </c>
      <c r="M2163">
        <v>1</v>
      </c>
      <c r="N2163">
        <v>0</v>
      </c>
      <c r="O2163">
        <v>0</v>
      </c>
      <c r="P2163">
        <v>1</v>
      </c>
    </row>
    <row r="2164" spans="1:16" x14ac:dyDescent="0.3">
      <c r="A2164" t="s">
        <v>640</v>
      </c>
      <c r="B2164">
        <v>12</v>
      </c>
      <c r="C2164">
        <v>0</v>
      </c>
      <c r="D2164">
        <v>0</v>
      </c>
      <c r="E2164">
        <v>0</v>
      </c>
      <c r="F2164">
        <v>0</v>
      </c>
      <c r="G2164">
        <v>0</v>
      </c>
      <c r="H2164">
        <v>0</v>
      </c>
      <c r="I2164">
        <v>0</v>
      </c>
      <c r="J2164">
        <v>0</v>
      </c>
      <c r="K2164">
        <v>0</v>
      </c>
      <c r="L2164">
        <v>0</v>
      </c>
      <c r="M2164">
        <v>0</v>
      </c>
      <c r="N2164">
        <v>0</v>
      </c>
      <c r="O2164">
        <v>0</v>
      </c>
      <c r="P2164">
        <v>0</v>
      </c>
    </row>
    <row r="2165" spans="1:16" x14ac:dyDescent="0.3">
      <c r="A2165" t="s">
        <v>52</v>
      </c>
      <c r="B2165">
        <v>12</v>
      </c>
      <c r="C2165">
        <v>1</v>
      </c>
      <c r="D2165">
        <v>1</v>
      </c>
      <c r="E2165">
        <v>1</v>
      </c>
      <c r="F2165">
        <v>1</v>
      </c>
      <c r="G2165">
        <v>1</v>
      </c>
      <c r="H2165">
        <v>1</v>
      </c>
      <c r="I2165">
        <v>1</v>
      </c>
      <c r="J2165">
        <v>1</v>
      </c>
      <c r="K2165">
        <v>1</v>
      </c>
      <c r="L2165">
        <v>1</v>
      </c>
      <c r="M2165">
        <v>1</v>
      </c>
      <c r="N2165">
        <v>1</v>
      </c>
      <c r="O2165">
        <v>1</v>
      </c>
      <c r="P2165">
        <v>1</v>
      </c>
    </row>
    <row r="2166" spans="1:16" x14ac:dyDescent="0.3">
      <c r="A2166" t="s">
        <v>641</v>
      </c>
      <c r="B2166">
        <v>12</v>
      </c>
      <c r="C2166">
        <v>9</v>
      </c>
      <c r="D2166">
        <v>15</v>
      </c>
      <c r="E2166">
        <v>60</v>
      </c>
      <c r="F2166">
        <v>9</v>
      </c>
      <c r="G2166">
        <v>9</v>
      </c>
      <c r="H2166">
        <v>15</v>
      </c>
      <c r="I2166">
        <v>60</v>
      </c>
      <c r="J2166">
        <v>9</v>
      </c>
      <c r="K2166">
        <v>15</v>
      </c>
      <c r="L2166">
        <v>60</v>
      </c>
      <c r="M2166">
        <v>9</v>
      </c>
      <c r="N2166">
        <v>15</v>
      </c>
      <c r="O2166">
        <v>60</v>
      </c>
      <c r="P2166">
        <v>9</v>
      </c>
    </row>
    <row r="2167" spans="1:16" x14ac:dyDescent="0.3">
      <c r="A2167" t="s">
        <v>43</v>
      </c>
      <c r="B2167">
        <v>12</v>
      </c>
      <c r="D2167">
        <v>40</v>
      </c>
      <c r="E2167">
        <v>336</v>
      </c>
      <c r="F2167">
        <v>0</v>
      </c>
      <c r="H2167">
        <v>40</v>
      </c>
      <c r="I2167">
        <v>336</v>
      </c>
      <c r="J2167">
        <v>0</v>
      </c>
      <c r="K2167">
        <v>40</v>
      </c>
      <c r="L2167">
        <v>40</v>
      </c>
      <c r="M2167">
        <v>0</v>
      </c>
      <c r="N2167">
        <v>40</v>
      </c>
      <c r="O2167">
        <v>40</v>
      </c>
      <c r="P2167">
        <v>0</v>
      </c>
    </row>
    <row r="2168" spans="1:16" x14ac:dyDescent="0.3">
      <c r="A2168" t="s">
        <v>44</v>
      </c>
      <c r="B2168">
        <v>12</v>
      </c>
      <c r="D2168">
        <v>0</v>
      </c>
      <c r="E2168">
        <v>0</v>
      </c>
      <c r="F2168">
        <v>0</v>
      </c>
      <c r="H2168">
        <v>0</v>
      </c>
      <c r="I2168">
        <v>0</v>
      </c>
      <c r="J2168">
        <v>0</v>
      </c>
      <c r="K2168">
        <v>0</v>
      </c>
      <c r="L2168">
        <v>0</v>
      </c>
      <c r="M2168">
        <v>0</v>
      </c>
      <c r="N2168">
        <v>0</v>
      </c>
      <c r="O2168">
        <v>0</v>
      </c>
      <c r="P2168">
        <v>0</v>
      </c>
    </row>
    <row r="2169" spans="1:16" x14ac:dyDescent="0.3">
      <c r="A2169" t="s">
        <v>47</v>
      </c>
      <c r="B2169">
        <v>12</v>
      </c>
      <c r="D2169">
        <v>1</v>
      </c>
      <c r="E2169">
        <v>6</v>
      </c>
      <c r="F2169">
        <v>6</v>
      </c>
      <c r="H2169">
        <v>5</v>
      </c>
      <c r="I2169">
        <v>2</v>
      </c>
      <c r="J2169">
        <v>2</v>
      </c>
      <c r="K2169">
        <v>7</v>
      </c>
      <c r="L2169">
        <v>4</v>
      </c>
      <c r="M2169">
        <v>4</v>
      </c>
      <c r="N2169">
        <v>3</v>
      </c>
      <c r="O2169">
        <v>8</v>
      </c>
      <c r="P2169">
        <v>8</v>
      </c>
    </row>
    <row r="2170" spans="1:16" x14ac:dyDescent="0.3">
      <c r="A2170" t="s">
        <v>642</v>
      </c>
      <c r="B2170">
        <v>12</v>
      </c>
      <c r="D2170">
        <v>0</v>
      </c>
      <c r="E2170">
        <v>0</v>
      </c>
      <c r="F2170">
        <v>0</v>
      </c>
      <c r="H2170">
        <v>0</v>
      </c>
      <c r="I2170">
        <v>0</v>
      </c>
      <c r="J2170">
        <v>0</v>
      </c>
      <c r="K2170">
        <v>0</v>
      </c>
      <c r="L2170">
        <v>0</v>
      </c>
      <c r="M2170">
        <v>0</v>
      </c>
      <c r="N2170">
        <v>0</v>
      </c>
      <c r="O2170">
        <v>0</v>
      </c>
      <c r="P2170">
        <v>0</v>
      </c>
    </row>
    <row r="2171" spans="1:16" x14ac:dyDescent="0.3">
      <c r="A2171" t="s">
        <v>643</v>
      </c>
      <c r="B2171">
        <v>12</v>
      </c>
      <c r="D2171">
        <v>0</v>
      </c>
      <c r="E2171">
        <v>0</v>
      </c>
      <c r="F2171">
        <v>0</v>
      </c>
      <c r="H2171">
        <v>0</v>
      </c>
      <c r="I2171">
        <v>0</v>
      </c>
      <c r="J2171">
        <v>0</v>
      </c>
      <c r="K2171">
        <v>0</v>
      </c>
      <c r="L2171">
        <v>0</v>
      </c>
      <c r="M2171">
        <v>0</v>
      </c>
      <c r="N2171">
        <v>0</v>
      </c>
      <c r="O2171">
        <v>0</v>
      </c>
      <c r="P2171">
        <v>0</v>
      </c>
    </row>
    <row r="2172" spans="1:16" x14ac:dyDescent="0.3">
      <c r="A2172" t="s">
        <v>644</v>
      </c>
      <c r="B2172">
        <v>12</v>
      </c>
      <c r="D2172">
        <v>0</v>
      </c>
      <c r="E2172">
        <v>0</v>
      </c>
      <c r="F2172">
        <v>0</v>
      </c>
      <c r="H2172">
        <v>0</v>
      </c>
      <c r="I2172">
        <v>0</v>
      </c>
      <c r="J2172">
        <v>0</v>
      </c>
      <c r="K2172">
        <v>0</v>
      </c>
      <c r="L2172">
        <v>0</v>
      </c>
      <c r="M2172">
        <v>0</v>
      </c>
      <c r="N2172">
        <v>0</v>
      </c>
      <c r="O2172">
        <v>0</v>
      </c>
      <c r="P2172">
        <v>0</v>
      </c>
    </row>
    <row r="2173" spans="1:16" x14ac:dyDescent="0.3">
      <c r="A2173" t="s">
        <v>645</v>
      </c>
      <c r="B2173">
        <v>12</v>
      </c>
      <c r="D2173">
        <v>0</v>
      </c>
      <c r="E2173">
        <v>0</v>
      </c>
      <c r="F2173">
        <v>0</v>
      </c>
      <c r="H2173">
        <v>0</v>
      </c>
      <c r="I2173">
        <v>0</v>
      </c>
      <c r="J2173">
        <v>0</v>
      </c>
      <c r="K2173">
        <v>0</v>
      </c>
      <c r="L2173">
        <v>0</v>
      </c>
      <c r="M2173">
        <v>0</v>
      </c>
      <c r="N2173">
        <v>0</v>
      </c>
      <c r="O2173">
        <v>0</v>
      </c>
      <c r="P2173">
        <v>0</v>
      </c>
    </row>
    <row r="2174" spans="1:16" x14ac:dyDescent="0.3">
      <c r="A2174" t="s">
        <v>646</v>
      </c>
      <c r="B2174">
        <v>12</v>
      </c>
      <c r="D2174">
        <v>1</v>
      </c>
      <c r="E2174">
        <v>2</v>
      </c>
      <c r="F2174">
        <v>1</v>
      </c>
      <c r="H2174">
        <v>1</v>
      </c>
      <c r="I2174">
        <v>2</v>
      </c>
      <c r="J2174">
        <v>1</v>
      </c>
      <c r="K2174">
        <v>1</v>
      </c>
      <c r="L2174">
        <v>1</v>
      </c>
      <c r="M2174">
        <v>1</v>
      </c>
      <c r="N2174">
        <v>1</v>
      </c>
      <c r="O2174">
        <v>1</v>
      </c>
      <c r="P2174">
        <v>1</v>
      </c>
    </row>
    <row r="2175" spans="1:16" x14ac:dyDescent="0.3">
      <c r="A2175" t="s">
        <v>647</v>
      </c>
      <c r="B2175">
        <v>12</v>
      </c>
      <c r="D2175">
        <v>0</v>
      </c>
      <c r="E2175">
        <v>330</v>
      </c>
      <c r="F2175">
        <v>0</v>
      </c>
      <c r="H2175">
        <v>0</v>
      </c>
      <c r="I2175">
        <v>330</v>
      </c>
      <c r="J2175">
        <v>0</v>
      </c>
      <c r="K2175">
        <v>0</v>
      </c>
      <c r="L2175">
        <v>0</v>
      </c>
      <c r="M2175">
        <v>0</v>
      </c>
      <c r="N2175">
        <v>0</v>
      </c>
      <c r="O2175">
        <v>0</v>
      </c>
      <c r="P2175">
        <v>0</v>
      </c>
    </row>
    <row r="2176" spans="1:16" x14ac:dyDescent="0.3">
      <c r="A2176" t="s">
        <v>648</v>
      </c>
      <c r="B2176">
        <v>12</v>
      </c>
      <c r="D2176">
        <v>40</v>
      </c>
      <c r="E2176">
        <v>6</v>
      </c>
      <c r="F2176">
        <v>0</v>
      </c>
      <c r="H2176">
        <v>40</v>
      </c>
      <c r="I2176">
        <v>6</v>
      </c>
      <c r="J2176">
        <v>0</v>
      </c>
      <c r="K2176">
        <v>40</v>
      </c>
      <c r="L2176">
        <v>40</v>
      </c>
      <c r="M2176">
        <v>0</v>
      </c>
      <c r="N2176">
        <v>40</v>
      </c>
      <c r="O2176">
        <v>40</v>
      </c>
      <c r="P2176">
        <v>0</v>
      </c>
    </row>
    <row r="2177" spans="1:16" x14ac:dyDescent="0.3">
      <c r="A2177" t="s">
        <v>649</v>
      </c>
      <c r="B2177">
        <v>12</v>
      </c>
      <c r="D2177">
        <v>3</v>
      </c>
      <c r="E2177">
        <v>3</v>
      </c>
      <c r="F2177">
        <v>3</v>
      </c>
      <c r="H2177">
        <v>3</v>
      </c>
      <c r="I2177">
        <v>3</v>
      </c>
      <c r="J2177">
        <v>3</v>
      </c>
      <c r="K2177">
        <v>3</v>
      </c>
      <c r="L2177">
        <v>3</v>
      </c>
      <c r="M2177">
        <v>3</v>
      </c>
      <c r="N2177">
        <v>3</v>
      </c>
      <c r="O2177">
        <v>3</v>
      </c>
      <c r="P2177">
        <v>3</v>
      </c>
    </row>
    <row r="2178" spans="1:16" x14ac:dyDescent="0.3">
      <c r="A2178" t="s">
        <v>650</v>
      </c>
      <c r="B2178">
        <v>12</v>
      </c>
      <c r="D2178">
        <v>0</v>
      </c>
      <c r="E2178">
        <v>0</v>
      </c>
      <c r="F2178">
        <v>0</v>
      </c>
      <c r="H2178">
        <v>0</v>
      </c>
      <c r="I2178">
        <v>0</v>
      </c>
      <c r="J2178">
        <v>0</v>
      </c>
      <c r="K2178">
        <v>0</v>
      </c>
      <c r="L2178">
        <v>0</v>
      </c>
      <c r="M2178">
        <v>0</v>
      </c>
      <c r="N2178">
        <v>0</v>
      </c>
      <c r="O2178">
        <v>0</v>
      </c>
      <c r="P2178">
        <v>0</v>
      </c>
    </row>
    <row r="2179" spans="1:16" x14ac:dyDescent="0.3">
      <c r="A2179" t="s">
        <v>651</v>
      </c>
      <c r="B2179">
        <v>12</v>
      </c>
      <c r="D2179">
        <v>0</v>
      </c>
      <c r="E2179">
        <v>0</v>
      </c>
      <c r="F2179">
        <v>0</v>
      </c>
      <c r="H2179">
        <v>0</v>
      </c>
      <c r="I2179">
        <v>0</v>
      </c>
      <c r="J2179">
        <v>0</v>
      </c>
      <c r="K2179">
        <v>0</v>
      </c>
      <c r="L2179">
        <v>0</v>
      </c>
      <c r="M2179">
        <v>0</v>
      </c>
      <c r="N2179">
        <v>0</v>
      </c>
      <c r="O2179">
        <v>0</v>
      </c>
      <c r="P2179">
        <v>0</v>
      </c>
    </row>
    <row r="2180" spans="1:16" x14ac:dyDescent="0.3">
      <c r="A2180" t="s">
        <v>652</v>
      </c>
      <c r="B2180">
        <v>12</v>
      </c>
      <c r="D2180">
        <v>0</v>
      </c>
      <c r="E2180">
        <v>0</v>
      </c>
      <c r="F2180">
        <v>0</v>
      </c>
      <c r="H2180">
        <v>0</v>
      </c>
      <c r="I2180">
        <v>0</v>
      </c>
      <c r="J2180">
        <v>0</v>
      </c>
      <c r="K2180">
        <v>0</v>
      </c>
      <c r="L2180">
        <v>0</v>
      </c>
      <c r="M2180">
        <v>0</v>
      </c>
      <c r="N2180">
        <v>0</v>
      </c>
      <c r="O2180">
        <v>0</v>
      </c>
      <c r="P2180">
        <v>0</v>
      </c>
    </row>
    <row r="2181" spans="1:16" x14ac:dyDescent="0.3">
      <c r="A2181" t="s">
        <v>653</v>
      </c>
      <c r="B2181">
        <v>12</v>
      </c>
      <c r="E2181">
        <v>0</v>
      </c>
      <c r="I2181">
        <v>0</v>
      </c>
    </row>
    <row r="2182" spans="1:16" x14ac:dyDescent="0.3">
      <c r="A2182" t="s">
        <v>654</v>
      </c>
      <c r="B2182">
        <v>12</v>
      </c>
      <c r="E2182">
        <v>0</v>
      </c>
      <c r="I2182">
        <v>0</v>
      </c>
    </row>
    <row r="2183" spans="1:16" x14ac:dyDescent="0.3">
      <c r="A2183" t="s">
        <v>655</v>
      </c>
      <c r="B2183">
        <v>12</v>
      </c>
      <c r="E2183">
        <v>3</v>
      </c>
      <c r="I2183">
        <v>3</v>
      </c>
    </row>
    <row r="2184" spans="1:16" x14ac:dyDescent="0.3">
      <c r="A2184" t="s">
        <v>656</v>
      </c>
      <c r="B2184">
        <v>12</v>
      </c>
      <c r="E2184">
        <v>0</v>
      </c>
      <c r="I2184">
        <v>0</v>
      </c>
    </row>
    <row r="2185" spans="1:16" x14ac:dyDescent="0.3">
      <c r="A2185" t="s">
        <v>657</v>
      </c>
      <c r="B2185">
        <v>12</v>
      </c>
      <c r="E2185">
        <v>0</v>
      </c>
      <c r="I2185">
        <v>0</v>
      </c>
      <c r="L2185">
        <v>0</v>
      </c>
      <c r="O2185">
        <v>0</v>
      </c>
    </row>
    <row r="2186" spans="1:16" x14ac:dyDescent="0.3">
      <c r="A2186" t="s">
        <v>408</v>
      </c>
      <c r="B2186">
        <v>12</v>
      </c>
      <c r="E2186">
        <v>0</v>
      </c>
    </row>
    <row r="2187" spans="1:16" x14ac:dyDescent="0.3">
      <c r="A2187" t="s">
        <v>658</v>
      </c>
      <c r="B2187">
        <v>12</v>
      </c>
      <c r="C2187">
        <v>0</v>
      </c>
      <c r="D2187">
        <v>82</v>
      </c>
      <c r="E2187">
        <v>870</v>
      </c>
      <c r="F2187">
        <v>54</v>
      </c>
      <c r="G2187">
        <v>0</v>
      </c>
      <c r="H2187">
        <v>109</v>
      </c>
      <c r="I2187">
        <v>435</v>
      </c>
      <c r="J2187">
        <v>71</v>
      </c>
      <c r="K2187">
        <v>82</v>
      </c>
      <c r="L2187">
        <v>109</v>
      </c>
      <c r="M2187">
        <v>54</v>
      </c>
      <c r="N2187">
        <v>136</v>
      </c>
      <c r="O2187">
        <v>82</v>
      </c>
      <c r="P2187">
        <v>163</v>
      </c>
    </row>
    <row r="2188" spans="1:16" x14ac:dyDescent="0.3">
      <c r="A2188" t="s">
        <v>34</v>
      </c>
      <c r="B2188">
        <v>13</v>
      </c>
      <c r="C2188">
        <v>12</v>
      </c>
      <c r="D2188">
        <v>12</v>
      </c>
      <c r="E2188">
        <v>12</v>
      </c>
      <c r="F2188">
        <v>12</v>
      </c>
      <c r="G2188">
        <v>14</v>
      </c>
      <c r="H2188">
        <v>14</v>
      </c>
      <c r="I2188">
        <v>14</v>
      </c>
      <c r="J2188">
        <v>14</v>
      </c>
      <c r="K2188">
        <v>24</v>
      </c>
      <c r="L2188">
        <v>24</v>
      </c>
      <c r="M2188">
        <v>24</v>
      </c>
      <c r="N2188">
        <v>120</v>
      </c>
      <c r="O2188">
        <v>120</v>
      </c>
      <c r="P2188">
        <v>120</v>
      </c>
    </row>
    <row r="2189" spans="1:16" x14ac:dyDescent="0.3">
      <c r="A2189" t="s">
        <v>35</v>
      </c>
      <c r="B2189">
        <v>13</v>
      </c>
      <c r="C2189">
        <v>12</v>
      </c>
      <c r="D2189">
        <v>24</v>
      </c>
      <c r="E2189">
        <v>14</v>
      </c>
      <c r="F2189">
        <v>120</v>
      </c>
      <c r="G2189">
        <v>14</v>
      </c>
      <c r="H2189">
        <v>120</v>
      </c>
      <c r="I2189">
        <v>12</v>
      </c>
      <c r="J2189">
        <v>24</v>
      </c>
      <c r="K2189">
        <v>14</v>
      </c>
      <c r="L2189">
        <v>120</v>
      </c>
      <c r="M2189">
        <v>12</v>
      </c>
      <c r="N2189">
        <v>12</v>
      </c>
      <c r="O2189">
        <v>24</v>
      </c>
      <c r="P2189">
        <v>14</v>
      </c>
    </row>
    <row r="2190" spans="1:16" x14ac:dyDescent="0.3">
      <c r="A2190" t="s">
        <v>36</v>
      </c>
      <c r="B2190">
        <v>13</v>
      </c>
      <c r="C2190">
        <v>0</v>
      </c>
      <c r="D2190">
        <v>1</v>
      </c>
      <c r="E2190">
        <v>2</v>
      </c>
      <c r="F2190">
        <v>0</v>
      </c>
      <c r="G2190">
        <v>1</v>
      </c>
      <c r="H2190">
        <v>0</v>
      </c>
      <c r="I2190">
        <v>2</v>
      </c>
      <c r="J2190">
        <v>1</v>
      </c>
      <c r="K2190">
        <v>0</v>
      </c>
      <c r="L2190">
        <v>1</v>
      </c>
      <c r="M2190">
        <v>1</v>
      </c>
      <c r="N2190">
        <v>0</v>
      </c>
      <c r="O2190">
        <v>1</v>
      </c>
      <c r="P2190">
        <v>0</v>
      </c>
    </row>
    <row r="2191" spans="1:16" x14ac:dyDescent="0.3">
      <c r="A2191" t="s">
        <v>37</v>
      </c>
      <c r="B2191">
        <v>13</v>
      </c>
      <c r="D2191">
        <v>0</v>
      </c>
      <c r="E2191">
        <v>0</v>
      </c>
      <c r="H2191">
        <v>0</v>
      </c>
      <c r="I2191">
        <v>0</v>
      </c>
      <c r="K2191">
        <v>0</v>
      </c>
      <c r="L2191">
        <v>1</v>
      </c>
      <c r="N2191">
        <v>0</v>
      </c>
      <c r="O2191">
        <v>3</v>
      </c>
    </row>
    <row r="2192" spans="1:16" x14ac:dyDescent="0.3">
      <c r="A2192" t="s">
        <v>38</v>
      </c>
      <c r="B2192">
        <v>13</v>
      </c>
      <c r="C2192">
        <v>12</v>
      </c>
      <c r="D2192">
        <v>12</v>
      </c>
      <c r="E2192">
        <v>12</v>
      </c>
      <c r="F2192">
        <v>12</v>
      </c>
      <c r="G2192">
        <v>12</v>
      </c>
      <c r="H2192">
        <v>12</v>
      </c>
      <c r="I2192">
        <v>12</v>
      </c>
      <c r="J2192">
        <v>12</v>
      </c>
      <c r="K2192">
        <v>12</v>
      </c>
      <c r="L2192">
        <v>12</v>
      </c>
      <c r="M2192">
        <v>12</v>
      </c>
      <c r="N2192">
        <v>12</v>
      </c>
      <c r="O2192">
        <v>12</v>
      </c>
      <c r="P2192">
        <v>12</v>
      </c>
    </row>
    <row r="2193" spans="1:16" x14ac:dyDescent="0.3">
      <c r="A2193" t="s">
        <v>39</v>
      </c>
      <c r="B2193">
        <v>13</v>
      </c>
      <c r="D2193">
        <v>300</v>
      </c>
      <c r="H2193">
        <v>200</v>
      </c>
      <c r="J2193">
        <v>200</v>
      </c>
      <c r="M2193">
        <v>200</v>
      </c>
    </row>
    <row r="2194" spans="1:16" x14ac:dyDescent="0.3">
      <c r="A2194" t="s">
        <v>631</v>
      </c>
      <c r="B2194">
        <v>13</v>
      </c>
      <c r="D2194">
        <v>25</v>
      </c>
      <c r="H2194">
        <v>25</v>
      </c>
      <c r="J2194">
        <v>25</v>
      </c>
      <c r="M2194">
        <v>25</v>
      </c>
    </row>
    <row r="2195" spans="1:16" x14ac:dyDescent="0.3">
      <c r="A2195" t="s">
        <v>40</v>
      </c>
      <c r="B2195">
        <v>13</v>
      </c>
      <c r="D2195">
        <v>1</v>
      </c>
      <c r="H2195">
        <v>1</v>
      </c>
      <c r="J2195">
        <v>1</v>
      </c>
      <c r="M2195">
        <v>1</v>
      </c>
    </row>
    <row r="2196" spans="1:16" x14ac:dyDescent="0.3">
      <c r="A2196" t="s">
        <v>41</v>
      </c>
      <c r="B2196">
        <v>13</v>
      </c>
    </row>
    <row r="2197" spans="1:16" x14ac:dyDescent="0.3">
      <c r="A2197" t="s">
        <v>42</v>
      </c>
      <c r="B2197">
        <v>13</v>
      </c>
      <c r="E2197">
        <v>45</v>
      </c>
      <c r="I2197">
        <v>45</v>
      </c>
      <c r="L2197">
        <v>30</v>
      </c>
      <c r="O2197">
        <v>30</v>
      </c>
    </row>
    <row r="2198" spans="1:16" x14ac:dyDescent="0.3">
      <c r="A2198" t="s">
        <v>45</v>
      </c>
      <c r="B2198">
        <v>13</v>
      </c>
      <c r="D2198">
        <v>5</v>
      </c>
      <c r="E2198">
        <v>2</v>
      </c>
      <c r="I2198">
        <v>6</v>
      </c>
      <c r="K2198">
        <v>4</v>
      </c>
      <c r="L2198">
        <v>4</v>
      </c>
      <c r="N2198">
        <v>3</v>
      </c>
      <c r="O2198">
        <v>3</v>
      </c>
    </row>
    <row r="2199" spans="1:16" x14ac:dyDescent="0.3">
      <c r="A2199" t="s">
        <v>46</v>
      </c>
      <c r="B2199">
        <v>13</v>
      </c>
      <c r="D2199">
        <v>2</v>
      </c>
      <c r="G2199">
        <v>6</v>
      </c>
      <c r="J2199">
        <v>6</v>
      </c>
      <c r="M2199">
        <v>4</v>
      </c>
    </row>
    <row r="2200" spans="1:16" x14ac:dyDescent="0.3">
      <c r="A2200" t="s">
        <v>49</v>
      </c>
      <c r="B2200">
        <v>13</v>
      </c>
      <c r="C2200">
        <v>4</v>
      </c>
      <c r="D2200">
        <v>6.1</v>
      </c>
      <c r="E2200">
        <v>6.3</v>
      </c>
      <c r="F2200">
        <v>4</v>
      </c>
      <c r="G2200">
        <v>6.3</v>
      </c>
      <c r="H2200">
        <v>4</v>
      </c>
      <c r="I2200">
        <v>6.3</v>
      </c>
      <c r="J2200">
        <v>6.3</v>
      </c>
      <c r="K2200">
        <v>6.7</v>
      </c>
      <c r="L2200">
        <v>6.7</v>
      </c>
      <c r="M2200">
        <v>6.7</v>
      </c>
      <c r="N2200">
        <v>6.1</v>
      </c>
      <c r="O2200">
        <v>6.1</v>
      </c>
      <c r="P2200">
        <v>4</v>
      </c>
    </row>
    <row r="2201" spans="1:16" x14ac:dyDescent="0.3">
      <c r="A2201" t="s">
        <v>632</v>
      </c>
      <c r="B2201">
        <v>13</v>
      </c>
      <c r="C2201">
        <v>0</v>
      </c>
      <c r="D2201">
        <v>0</v>
      </c>
      <c r="E2201">
        <v>0</v>
      </c>
      <c r="F2201">
        <v>0</v>
      </c>
      <c r="G2201">
        <v>0</v>
      </c>
      <c r="H2201">
        <v>0</v>
      </c>
      <c r="I2201">
        <v>0</v>
      </c>
      <c r="J2201">
        <v>0</v>
      </c>
      <c r="K2201">
        <v>0</v>
      </c>
      <c r="L2201">
        <v>0</v>
      </c>
      <c r="M2201">
        <v>0</v>
      </c>
      <c r="N2201">
        <v>0</v>
      </c>
      <c r="O2201">
        <v>0</v>
      </c>
      <c r="P2201">
        <v>0</v>
      </c>
    </row>
    <row r="2202" spans="1:16" x14ac:dyDescent="0.3">
      <c r="A2202" t="s">
        <v>48</v>
      </c>
      <c r="B2202">
        <v>13</v>
      </c>
      <c r="C2202">
        <v>1900</v>
      </c>
      <c r="D2202">
        <v>1900</v>
      </c>
      <c r="E2202">
        <v>1900</v>
      </c>
      <c r="F2202">
        <v>1900</v>
      </c>
      <c r="G2202">
        <v>1900</v>
      </c>
      <c r="H2202">
        <v>1900</v>
      </c>
      <c r="I2202">
        <v>1900</v>
      </c>
      <c r="J2202">
        <v>1900</v>
      </c>
      <c r="K2202">
        <v>1900</v>
      </c>
      <c r="L2202">
        <v>1900</v>
      </c>
      <c r="M2202">
        <v>1900</v>
      </c>
      <c r="N2202">
        <v>1900</v>
      </c>
      <c r="O2202">
        <v>1900</v>
      </c>
      <c r="P2202">
        <v>1900</v>
      </c>
    </row>
    <row r="2203" spans="1:16" x14ac:dyDescent="0.3">
      <c r="A2203" t="s">
        <v>633</v>
      </c>
      <c r="B2203">
        <v>13</v>
      </c>
      <c r="C2203">
        <v>0</v>
      </c>
      <c r="D2203">
        <v>1770</v>
      </c>
      <c r="E2203">
        <v>3539</v>
      </c>
      <c r="F2203">
        <v>0</v>
      </c>
      <c r="G2203">
        <v>1863</v>
      </c>
      <c r="H2203">
        <v>0</v>
      </c>
      <c r="I2203">
        <v>3539</v>
      </c>
      <c r="J2203">
        <v>1583</v>
      </c>
      <c r="K2203">
        <v>0</v>
      </c>
      <c r="L2203">
        <v>1770</v>
      </c>
      <c r="M2203">
        <v>1583</v>
      </c>
      <c r="N2203">
        <v>0</v>
      </c>
      <c r="O2203">
        <v>1863</v>
      </c>
      <c r="P2203">
        <v>0</v>
      </c>
    </row>
    <row r="2204" spans="1:16" x14ac:dyDescent="0.3">
      <c r="A2204" t="s">
        <v>50</v>
      </c>
      <c r="B2204">
        <v>13</v>
      </c>
      <c r="C2204">
        <v>0</v>
      </c>
      <c r="D2204">
        <v>760</v>
      </c>
      <c r="E2204">
        <v>3539</v>
      </c>
      <c r="F2204">
        <v>0</v>
      </c>
      <c r="G2204">
        <v>1863</v>
      </c>
      <c r="H2204">
        <v>0</v>
      </c>
      <c r="I2204">
        <v>3539</v>
      </c>
      <c r="J2204">
        <v>1583</v>
      </c>
      <c r="K2204">
        <v>0</v>
      </c>
      <c r="L2204">
        <v>1770</v>
      </c>
      <c r="M2204">
        <v>1583</v>
      </c>
      <c r="N2204">
        <v>0</v>
      </c>
      <c r="O2204">
        <v>1863</v>
      </c>
      <c r="P2204">
        <v>0</v>
      </c>
    </row>
    <row r="2205" spans="1:16" x14ac:dyDescent="0.3">
      <c r="A2205" t="s">
        <v>634</v>
      </c>
      <c r="B2205">
        <v>13</v>
      </c>
      <c r="C2205">
        <v>1</v>
      </c>
      <c r="D2205">
        <v>1</v>
      </c>
      <c r="E2205">
        <v>1</v>
      </c>
      <c r="F2205">
        <v>1</v>
      </c>
      <c r="G2205">
        <v>1</v>
      </c>
      <c r="H2205">
        <v>1</v>
      </c>
      <c r="I2205">
        <v>1</v>
      </c>
      <c r="J2205">
        <v>1</v>
      </c>
      <c r="K2205">
        <v>1</v>
      </c>
      <c r="L2205">
        <v>1</v>
      </c>
      <c r="M2205">
        <v>1</v>
      </c>
      <c r="N2205">
        <v>1</v>
      </c>
      <c r="O2205">
        <v>1</v>
      </c>
      <c r="P2205">
        <v>1</v>
      </c>
    </row>
    <row r="2206" spans="1:16" x14ac:dyDescent="0.3">
      <c r="A2206" t="s">
        <v>51</v>
      </c>
      <c r="B2206">
        <v>13</v>
      </c>
      <c r="C2206">
        <v>0</v>
      </c>
      <c r="D2206">
        <v>0</v>
      </c>
      <c r="E2206">
        <v>0</v>
      </c>
      <c r="F2206">
        <v>0</v>
      </c>
      <c r="G2206">
        <v>0</v>
      </c>
      <c r="H2206">
        <v>0</v>
      </c>
      <c r="I2206">
        <v>0</v>
      </c>
      <c r="J2206">
        <v>145</v>
      </c>
      <c r="K2206">
        <v>0</v>
      </c>
      <c r="L2206">
        <v>0</v>
      </c>
      <c r="M2206">
        <v>141</v>
      </c>
      <c r="N2206">
        <v>0</v>
      </c>
      <c r="O2206">
        <v>0</v>
      </c>
      <c r="P2206">
        <v>0</v>
      </c>
    </row>
    <row r="2207" spans="1:16" x14ac:dyDescent="0.3">
      <c r="A2207" t="s">
        <v>53</v>
      </c>
      <c r="B2207">
        <v>13</v>
      </c>
      <c r="C2207">
        <v>0</v>
      </c>
      <c r="D2207">
        <v>100</v>
      </c>
      <c r="E2207">
        <v>900</v>
      </c>
      <c r="F2207">
        <v>0</v>
      </c>
      <c r="G2207">
        <v>0</v>
      </c>
      <c r="H2207">
        <v>0</v>
      </c>
      <c r="I2207">
        <v>500</v>
      </c>
      <c r="J2207">
        <v>75</v>
      </c>
      <c r="K2207">
        <v>50</v>
      </c>
      <c r="L2207">
        <v>0</v>
      </c>
      <c r="M2207">
        <v>45</v>
      </c>
      <c r="N2207">
        <v>0</v>
      </c>
      <c r="O2207">
        <v>1</v>
      </c>
      <c r="P2207">
        <v>0</v>
      </c>
    </row>
    <row r="2208" spans="1:16" x14ac:dyDescent="0.3">
      <c r="A2208" t="s">
        <v>54</v>
      </c>
      <c r="B2208">
        <v>13</v>
      </c>
      <c r="C2208">
        <v>0</v>
      </c>
      <c r="D2208">
        <v>0</v>
      </c>
      <c r="E2208">
        <v>0</v>
      </c>
      <c r="F2208">
        <v>0</v>
      </c>
      <c r="G2208">
        <v>0</v>
      </c>
      <c r="H2208">
        <v>0</v>
      </c>
      <c r="I2208">
        <v>0</v>
      </c>
      <c r="J2208">
        <v>0</v>
      </c>
      <c r="K2208">
        <v>0</v>
      </c>
      <c r="L2208">
        <v>0</v>
      </c>
      <c r="M2208">
        <v>0</v>
      </c>
      <c r="N2208">
        <v>0</v>
      </c>
      <c r="O2208">
        <v>0</v>
      </c>
      <c r="P2208">
        <v>0</v>
      </c>
    </row>
    <row r="2209" spans="1:16" x14ac:dyDescent="0.3">
      <c r="A2209" t="s">
        <v>55</v>
      </c>
      <c r="B2209">
        <v>13</v>
      </c>
      <c r="C2209">
        <v>0</v>
      </c>
      <c r="D2209">
        <v>0</v>
      </c>
      <c r="E2209">
        <v>0</v>
      </c>
      <c r="F2209">
        <v>0</v>
      </c>
      <c r="G2209">
        <v>0</v>
      </c>
      <c r="H2209">
        <v>0</v>
      </c>
      <c r="I2209">
        <v>0</v>
      </c>
      <c r="J2209">
        <v>0</v>
      </c>
      <c r="K2209">
        <v>0</v>
      </c>
      <c r="L2209">
        <v>0</v>
      </c>
      <c r="M2209">
        <v>0</v>
      </c>
      <c r="N2209">
        <v>0</v>
      </c>
      <c r="O2209">
        <v>0</v>
      </c>
      <c r="P2209">
        <v>0</v>
      </c>
    </row>
    <row r="2210" spans="1:16" x14ac:dyDescent="0.3">
      <c r="A2210" t="s">
        <v>56</v>
      </c>
      <c r="B2210">
        <v>13</v>
      </c>
      <c r="C2210">
        <v>0.92</v>
      </c>
      <c r="D2210">
        <v>0.92</v>
      </c>
      <c r="E2210">
        <v>0.92</v>
      </c>
      <c r="F2210">
        <v>0.92</v>
      </c>
      <c r="G2210">
        <v>0.92</v>
      </c>
      <c r="H2210">
        <v>0.92</v>
      </c>
      <c r="I2210">
        <v>0.92</v>
      </c>
      <c r="J2210">
        <v>0.92</v>
      </c>
      <c r="K2210">
        <v>0.92</v>
      </c>
      <c r="L2210">
        <v>0.92</v>
      </c>
      <c r="M2210">
        <v>0.92</v>
      </c>
      <c r="N2210">
        <v>0.92</v>
      </c>
      <c r="O2210">
        <v>0.92</v>
      </c>
      <c r="P2210">
        <v>0.92</v>
      </c>
    </row>
    <row r="2211" spans="1:16" x14ac:dyDescent="0.3">
      <c r="A2211" t="s">
        <v>57</v>
      </c>
      <c r="B2211">
        <v>13</v>
      </c>
      <c r="C2211">
        <v>100</v>
      </c>
      <c r="D2211">
        <v>100</v>
      </c>
      <c r="E2211">
        <v>100</v>
      </c>
      <c r="F2211">
        <v>100</v>
      </c>
      <c r="G2211">
        <v>100</v>
      </c>
      <c r="H2211">
        <v>100</v>
      </c>
      <c r="I2211">
        <v>100</v>
      </c>
      <c r="J2211">
        <v>100</v>
      </c>
      <c r="K2211">
        <v>100</v>
      </c>
      <c r="L2211">
        <v>100</v>
      </c>
      <c r="M2211">
        <v>100</v>
      </c>
      <c r="N2211">
        <v>100</v>
      </c>
      <c r="O2211">
        <v>100</v>
      </c>
      <c r="P2211">
        <v>100</v>
      </c>
    </row>
    <row r="2212" spans="1:16" x14ac:dyDescent="0.3">
      <c r="A2212" t="s">
        <v>58</v>
      </c>
      <c r="B2212">
        <v>13</v>
      </c>
      <c r="C2212">
        <v>2</v>
      </c>
      <c r="D2212">
        <v>2</v>
      </c>
      <c r="E2212">
        <v>2</v>
      </c>
      <c r="F2212">
        <v>2</v>
      </c>
      <c r="G2212">
        <v>2</v>
      </c>
      <c r="H2212">
        <v>2</v>
      </c>
      <c r="I2212">
        <v>2</v>
      </c>
      <c r="J2212">
        <v>2</v>
      </c>
      <c r="K2212">
        <v>2</v>
      </c>
      <c r="L2212">
        <v>2</v>
      </c>
      <c r="M2212">
        <v>2</v>
      </c>
      <c r="N2212">
        <v>2</v>
      </c>
      <c r="O2212">
        <v>2</v>
      </c>
      <c r="P2212">
        <v>2</v>
      </c>
    </row>
    <row r="2213" spans="1:16" x14ac:dyDescent="0.3">
      <c r="A2213" t="s">
        <v>59</v>
      </c>
      <c r="B2213">
        <v>13</v>
      </c>
      <c r="C2213">
        <v>0</v>
      </c>
      <c r="D2213">
        <v>0</v>
      </c>
      <c r="E2213">
        <v>0</v>
      </c>
      <c r="F2213">
        <v>0</v>
      </c>
      <c r="G2213">
        <v>0</v>
      </c>
      <c r="H2213">
        <v>0</v>
      </c>
      <c r="I2213">
        <v>0</v>
      </c>
      <c r="J2213">
        <v>0</v>
      </c>
      <c r="K2213">
        <v>0</v>
      </c>
      <c r="L2213">
        <v>0</v>
      </c>
      <c r="M2213">
        <v>0</v>
      </c>
      <c r="N2213">
        <v>0</v>
      </c>
      <c r="O2213">
        <v>0</v>
      </c>
      <c r="P2213">
        <v>0</v>
      </c>
    </row>
    <row r="2214" spans="1:16" x14ac:dyDescent="0.3">
      <c r="A2214" t="s">
        <v>635</v>
      </c>
      <c r="B2214">
        <v>13</v>
      </c>
      <c r="E2214">
        <v>0</v>
      </c>
      <c r="I2214">
        <v>0</v>
      </c>
      <c r="L2214">
        <v>0</v>
      </c>
      <c r="O2214">
        <v>0</v>
      </c>
    </row>
    <row r="2215" spans="1:16" x14ac:dyDescent="0.3">
      <c r="A2215" t="s">
        <v>574</v>
      </c>
      <c r="B2215">
        <v>13</v>
      </c>
      <c r="E2215">
        <v>1532</v>
      </c>
      <c r="I2215">
        <v>2033</v>
      </c>
      <c r="L2215">
        <v>1247</v>
      </c>
      <c r="O2215">
        <v>731</v>
      </c>
    </row>
    <row r="2216" spans="1:16" x14ac:dyDescent="0.3">
      <c r="A2216" t="s">
        <v>78</v>
      </c>
      <c r="B2216">
        <v>13</v>
      </c>
      <c r="E2216">
        <v>23.2</v>
      </c>
      <c r="I2216">
        <v>30.8</v>
      </c>
      <c r="L2216">
        <v>28.3</v>
      </c>
      <c r="O2216">
        <v>16.600000000000001</v>
      </c>
    </row>
    <row r="2217" spans="1:16" x14ac:dyDescent="0.3">
      <c r="A2217" t="s">
        <v>636</v>
      </c>
      <c r="B2217">
        <v>13</v>
      </c>
      <c r="F2217">
        <v>0</v>
      </c>
      <c r="J2217">
        <v>1</v>
      </c>
      <c r="M2217">
        <v>2</v>
      </c>
      <c r="P2217">
        <v>0</v>
      </c>
    </row>
    <row r="2218" spans="1:16" x14ac:dyDescent="0.3">
      <c r="A2218" t="s">
        <v>637</v>
      </c>
      <c r="B2218">
        <v>13</v>
      </c>
      <c r="J2218">
        <v>50</v>
      </c>
      <c r="M2218">
        <v>50</v>
      </c>
    </row>
    <row r="2219" spans="1:16" x14ac:dyDescent="0.3">
      <c r="A2219" t="s">
        <v>638</v>
      </c>
      <c r="B2219">
        <v>13</v>
      </c>
      <c r="J2219">
        <v>0</v>
      </c>
      <c r="M2219">
        <v>0</v>
      </c>
    </row>
    <row r="2220" spans="1:16" x14ac:dyDescent="0.3">
      <c r="A2220" t="s">
        <v>639</v>
      </c>
      <c r="B2220">
        <v>13</v>
      </c>
      <c r="C2220">
        <v>3</v>
      </c>
      <c r="D2220">
        <v>0</v>
      </c>
      <c r="E2220">
        <v>0</v>
      </c>
      <c r="F2220">
        <v>1</v>
      </c>
      <c r="G2220">
        <v>3</v>
      </c>
      <c r="H2220">
        <v>0</v>
      </c>
      <c r="I2220">
        <v>0</v>
      </c>
      <c r="J2220">
        <v>1</v>
      </c>
      <c r="K2220">
        <v>0</v>
      </c>
      <c r="L2220">
        <v>0</v>
      </c>
      <c r="M2220">
        <v>1</v>
      </c>
      <c r="N2220">
        <v>0</v>
      </c>
      <c r="O2220">
        <v>0</v>
      </c>
      <c r="P2220">
        <v>1</v>
      </c>
    </row>
    <row r="2221" spans="1:16" x14ac:dyDescent="0.3">
      <c r="A2221" t="s">
        <v>640</v>
      </c>
      <c r="B2221">
        <v>13</v>
      </c>
      <c r="C2221">
        <v>0</v>
      </c>
      <c r="D2221">
        <v>0</v>
      </c>
      <c r="E2221">
        <v>0</v>
      </c>
      <c r="F2221">
        <v>0</v>
      </c>
      <c r="G2221">
        <v>0</v>
      </c>
      <c r="H2221">
        <v>0</v>
      </c>
      <c r="I2221">
        <v>0</v>
      </c>
      <c r="J2221">
        <v>0</v>
      </c>
      <c r="K2221">
        <v>0</v>
      </c>
      <c r="L2221">
        <v>0</v>
      </c>
      <c r="M2221">
        <v>0</v>
      </c>
      <c r="N2221">
        <v>0</v>
      </c>
      <c r="O2221">
        <v>0</v>
      </c>
      <c r="P2221">
        <v>0</v>
      </c>
    </row>
    <row r="2222" spans="1:16" x14ac:dyDescent="0.3">
      <c r="A2222" t="s">
        <v>52</v>
      </c>
      <c r="B2222">
        <v>13</v>
      </c>
      <c r="C2222">
        <v>1</v>
      </c>
      <c r="D2222">
        <v>1</v>
      </c>
      <c r="E2222">
        <v>1</v>
      </c>
      <c r="F2222">
        <v>1</v>
      </c>
      <c r="G2222">
        <v>1</v>
      </c>
      <c r="H2222">
        <v>1</v>
      </c>
      <c r="I2222">
        <v>1</v>
      </c>
      <c r="J2222">
        <v>1</v>
      </c>
      <c r="K2222">
        <v>1</v>
      </c>
      <c r="L2222">
        <v>1</v>
      </c>
      <c r="M2222">
        <v>1</v>
      </c>
      <c r="N2222">
        <v>1</v>
      </c>
      <c r="O2222">
        <v>1</v>
      </c>
      <c r="P2222">
        <v>1</v>
      </c>
    </row>
    <row r="2223" spans="1:16" x14ac:dyDescent="0.3">
      <c r="A2223" t="s">
        <v>641</v>
      </c>
      <c r="B2223">
        <v>13</v>
      </c>
      <c r="C2223">
        <v>9</v>
      </c>
      <c r="D2223">
        <v>15</v>
      </c>
      <c r="E2223">
        <v>60</v>
      </c>
      <c r="F2223">
        <v>9</v>
      </c>
      <c r="G2223">
        <v>9</v>
      </c>
      <c r="H2223">
        <v>15</v>
      </c>
      <c r="I2223">
        <v>60</v>
      </c>
      <c r="J2223">
        <v>9</v>
      </c>
      <c r="K2223">
        <v>15</v>
      </c>
      <c r="L2223">
        <v>60</v>
      </c>
      <c r="M2223">
        <v>9</v>
      </c>
      <c r="N2223">
        <v>15</v>
      </c>
      <c r="O2223">
        <v>60</v>
      </c>
      <c r="P2223">
        <v>9</v>
      </c>
    </row>
    <row r="2224" spans="1:16" x14ac:dyDescent="0.3">
      <c r="A2224" t="s">
        <v>43</v>
      </c>
      <c r="B2224">
        <v>13</v>
      </c>
      <c r="D2224">
        <v>40</v>
      </c>
      <c r="E2224">
        <v>336</v>
      </c>
      <c r="G2224">
        <v>40</v>
      </c>
      <c r="I2224">
        <v>336</v>
      </c>
      <c r="J2224">
        <v>0</v>
      </c>
      <c r="K2224">
        <v>40</v>
      </c>
      <c r="L2224">
        <v>40</v>
      </c>
      <c r="M2224">
        <v>0</v>
      </c>
      <c r="N2224">
        <v>40</v>
      </c>
      <c r="O2224">
        <v>40</v>
      </c>
    </row>
    <row r="2225" spans="1:15" x14ac:dyDescent="0.3">
      <c r="A2225" t="s">
        <v>44</v>
      </c>
      <c r="B2225">
        <v>13</v>
      </c>
      <c r="D2225">
        <v>0</v>
      </c>
      <c r="E2225">
        <v>0</v>
      </c>
      <c r="G2225">
        <v>0</v>
      </c>
      <c r="I2225">
        <v>0</v>
      </c>
      <c r="J2225">
        <v>0</v>
      </c>
      <c r="K2225">
        <v>0</v>
      </c>
      <c r="L2225">
        <v>0</v>
      </c>
      <c r="M2225">
        <v>0</v>
      </c>
      <c r="N2225">
        <v>0</v>
      </c>
      <c r="O2225">
        <v>0</v>
      </c>
    </row>
    <row r="2226" spans="1:15" x14ac:dyDescent="0.3">
      <c r="A2226" t="s">
        <v>47</v>
      </c>
      <c r="B2226">
        <v>13</v>
      </c>
      <c r="D2226">
        <v>5</v>
      </c>
      <c r="E2226">
        <v>2</v>
      </c>
      <c r="G2226">
        <v>6</v>
      </c>
      <c r="I2226">
        <v>6</v>
      </c>
      <c r="J2226">
        <v>6</v>
      </c>
      <c r="K2226">
        <v>4</v>
      </c>
      <c r="L2226">
        <v>4</v>
      </c>
      <c r="M2226">
        <v>4</v>
      </c>
      <c r="N2226">
        <v>3</v>
      </c>
      <c r="O2226">
        <v>3</v>
      </c>
    </row>
    <row r="2227" spans="1:15" x14ac:dyDescent="0.3">
      <c r="A2227" t="s">
        <v>642</v>
      </c>
      <c r="B2227">
        <v>13</v>
      </c>
      <c r="D2227">
        <v>0</v>
      </c>
      <c r="E2227">
        <v>0</v>
      </c>
      <c r="G2227">
        <v>0</v>
      </c>
      <c r="I2227">
        <v>0</v>
      </c>
      <c r="J2227">
        <v>0</v>
      </c>
      <c r="K2227">
        <v>0</v>
      </c>
      <c r="L2227">
        <v>0</v>
      </c>
      <c r="M2227">
        <v>0</v>
      </c>
      <c r="N2227">
        <v>0</v>
      </c>
      <c r="O2227">
        <v>0</v>
      </c>
    </row>
    <row r="2228" spans="1:15" x14ac:dyDescent="0.3">
      <c r="A2228" t="s">
        <v>643</v>
      </c>
      <c r="B2228">
        <v>13</v>
      </c>
      <c r="D2228">
        <v>0</v>
      </c>
      <c r="E2228">
        <v>0</v>
      </c>
      <c r="G2228">
        <v>0</v>
      </c>
      <c r="I2228">
        <v>0</v>
      </c>
      <c r="J2228">
        <v>0</v>
      </c>
      <c r="K2228">
        <v>0</v>
      </c>
      <c r="L2228">
        <v>0</v>
      </c>
      <c r="M2228">
        <v>0</v>
      </c>
      <c r="N2228">
        <v>0</v>
      </c>
      <c r="O2228">
        <v>0</v>
      </c>
    </row>
    <row r="2229" spans="1:15" x14ac:dyDescent="0.3">
      <c r="A2229" t="s">
        <v>644</v>
      </c>
      <c r="B2229">
        <v>13</v>
      </c>
      <c r="D2229">
        <v>0</v>
      </c>
      <c r="E2229">
        <v>0</v>
      </c>
      <c r="G2229">
        <v>0</v>
      </c>
      <c r="I2229">
        <v>0</v>
      </c>
      <c r="J2229">
        <v>0</v>
      </c>
      <c r="K2229">
        <v>0</v>
      </c>
      <c r="L2229">
        <v>0</v>
      </c>
      <c r="M2229">
        <v>0</v>
      </c>
      <c r="N2229">
        <v>0</v>
      </c>
      <c r="O2229">
        <v>0</v>
      </c>
    </row>
    <row r="2230" spans="1:15" x14ac:dyDescent="0.3">
      <c r="A2230" t="s">
        <v>645</v>
      </c>
      <c r="B2230">
        <v>13</v>
      </c>
      <c r="D2230">
        <v>0</v>
      </c>
      <c r="E2230">
        <v>0</v>
      </c>
      <c r="G2230">
        <v>0</v>
      </c>
      <c r="I2230">
        <v>0</v>
      </c>
      <c r="J2230">
        <v>0</v>
      </c>
      <c r="K2230">
        <v>0</v>
      </c>
      <c r="L2230">
        <v>0</v>
      </c>
      <c r="M2230">
        <v>0</v>
      </c>
      <c r="N2230">
        <v>0</v>
      </c>
      <c r="O2230">
        <v>0</v>
      </c>
    </row>
    <row r="2231" spans="1:15" x14ac:dyDescent="0.3">
      <c r="A2231" t="s">
        <v>646</v>
      </c>
      <c r="B2231">
        <v>13</v>
      </c>
      <c r="D2231">
        <v>1</v>
      </c>
      <c r="E2231">
        <v>2</v>
      </c>
      <c r="G2231">
        <v>1</v>
      </c>
      <c r="I2231">
        <v>2</v>
      </c>
      <c r="J2231">
        <v>1</v>
      </c>
      <c r="K2231">
        <v>1</v>
      </c>
      <c r="L2231">
        <v>1</v>
      </c>
      <c r="M2231">
        <v>1</v>
      </c>
      <c r="N2231">
        <v>1</v>
      </c>
      <c r="O2231">
        <v>1</v>
      </c>
    </row>
    <row r="2232" spans="1:15" x14ac:dyDescent="0.3">
      <c r="A2232" t="s">
        <v>647</v>
      </c>
      <c r="B2232">
        <v>13</v>
      </c>
      <c r="D2232">
        <v>0</v>
      </c>
      <c r="E2232">
        <v>330</v>
      </c>
      <c r="G2232">
        <v>0</v>
      </c>
      <c r="I2232">
        <v>330</v>
      </c>
      <c r="J2232">
        <v>0</v>
      </c>
      <c r="K2232">
        <v>0</v>
      </c>
      <c r="L2232">
        <v>0</v>
      </c>
      <c r="M2232">
        <v>0</v>
      </c>
      <c r="N2232">
        <v>0</v>
      </c>
      <c r="O2232">
        <v>0</v>
      </c>
    </row>
    <row r="2233" spans="1:15" x14ac:dyDescent="0.3">
      <c r="A2233" t="s">
        <v>648</v>
      </c>
      <c r="B2233">
        <v>13</v>
      </c>
      <c r="D2233">
        <v>40</v>
      </c>
      <c r="E2233">
        <v>6</v>
      </c>
      <c r="G2233">
        <v>40</v>
      </c>
      <c r="I2233">
        <v>6</v>
      </c>
      <c r="J2233">
        <v>0</v>
      </c>
      <c r="K2233">
        <v>40</v>
      </c>
      <c r="L2233">
        <v>40</v>
      </c>
      <c r="M2233">
        <v>0</v>
      </c>
      <c r="N2233">
        <v>40</v>
      </c>
      <c r="O2233">
        <v>40</v>
      </c>
    </row>
    <row r="2234" spans="1:15" x14ac:dyDescent="0.3">
      <c r="A2234" t="s">
        <v>649</v>
      </c>
      <c r="B2234">
        <v>13</v>
      </c>
      <c r="D2234">
        <v>3</v>
      </c>
      <c r="E2234">
        <v>3</v>
      </c>
      <c r="G2234">
        <v>3</v>
      </c>
      <c r="I2234">
        <v>3</v>
      </c>
      <c r="J2234">
        <v>3</v>
      </c>
      <c r="K2234">
        <v>3</v>
      </c>
      <c r="L2234">
        <v>3</v>
      </c>
      <c r="M2234">
        <v>3</v>
      </c>
      <c r="N2234">
        <v>3</v>
      </c>
      <c r="O2234">
        <v>3</v>
      </c>
    </row>
    <row r="2235" spans="1:15" x14ac:dyDescent="0.3">
      <c r="A2235" t="s">
        <v>650</v>
      </c>
      <c r="B2235">
        <v>13</v>
      </c>
      <c r="D2235">
        <v>0</v>
      </c>
      <c r="E2235">
        <v>0</v>
      </c>
      <c r="G2235">
        <v>0</v>
      </c>
      <c r="I2235">
        <v>0</v>
      </c>
      <c r="J2235">
        <v>0</v>
      </c>
      <c r="K2235">
        <v>0</v>
      </c>
      <c r="L2235">
        <v>0</v>
      </c>
      <c r="M2235">
        <v>0</v>
      </c>
      <c r="N2235">
        <v>0</v>
      </c>
      <c r="O2235">
        <v>0</v>
      </c>
    </row>
    <row r="2236" spans="1:15" x14ac:dyDescent="0.3">
      <c r="A2236" t="s">
        <v>651</v>
      </c>
      <c r="B2236">
        <v>13</v>
      </c>
      <c r="D2236">
        <v>0</v>
      </c>
      <c r="E2236">
        <v>0</v>
      </c>
      <c r="G2236">
        <v>0</v>
      </c>
      <c r="I2236">
        <v>0</v>
      </c>
      <c r="J2236">
        <v>0</v>
      </c>
      <c r="K2236">
        <v>0</v>
      </c>
      <c r="L2236">
        <v>0</v>
      </c>
      <c r="M2236">
        <v>0</v>
      </c>
      <c r="N2236">
        <v>0</v>
      </c>
      <c r="O2236">
        <v>0</v>
      </c>
    </row>
    <row r="2237" spans="1:15" x14ac:dyDescent="0.3">
      <c r="A2237" t="s">
        <v>652</v>
      </c>
      <c r="B2237">
        <v>13</v>
      </c>
      <c r="D2237">
        <v>0</v>
      </c>
      <c r="E2237">
        <v>0</v>
      </c>
      <c r="G2237">
        <v>0</v>
      </c>
      <c r="I2237">
        <v>0</v>
      </c>
      <c r="J2237">
        <v>0</v>
      </c>
      <c r="K2237">
        <v>0</v>
      </c>
      <c r="L2237">
        <v>0</v>
      </c>
      <c r="M2237">
        <v>0</v>
      </c>
      <c r="N2237">
        <v>0</v>
      </c>
      <c r="O2237">
        <v>0</v>
      </c>
    </row>
    <row r="2238" spans="1:15" x14ac:dyDescent="0.3">
      <c r="A2238" t="s">
        <v>653</v>
      </c>
      <c r="B2238">
        <v>13</v>
      </c>
      <c r="E2238">
        <v>0</v>
      </c>
      <c r="I2238">
        <v>0</v>
      </c>
    </row>
    <row r="2239" spans="1:15" x14ac:dyDescent="0.3">
      <c r="A2239" t="s">
        <v>654</v>
      </c>
      <c r="B2239">
        <v>13</v>
      </c>
      <c r="E2239">
        <v>0</v>
      </c>
      <c r="I2239">
        <v>0</v>
      </c>
    </row>
    <row r="2240" spans="1:15" x14ac:dyDescent="0.3">
      <c r="A2240" t="s">
        <v>655</v>
      </c>
      <c r="B2240">
        <v>13</v>
      </c>
      <c r="E2240">
        <v>3</v>
      </c>
      <c r="I2240">
        <v>3</v>
      </c>
    </row>
    <row r="2241" spans="1:16" x14ac:dyDescent="0.3">
      <c r="A2241" t="s">
        <v>656</v>
      </c>
      <c r="B2241">
        <v>13</v>
      </c>
      <c r="E2241">
        <v>0</v>
      </c>
      <c r="I2241">
        <v>0</v>
      </c>
    </row>
    <row r="2242" spans="1:16" x14ac:dyDescent="0.3">
      <c r="A2242" t="s">
        <v>657</v>
      </c>
      <c r="B2242">
        <v>13</v>
      </c>
      <c r="E2242">
        <v>0</v>
      </c>
      <c r="I2242">
        <v>0</v>
      </c>
      <c r="L2242">
        <v>0</v>
      </c>
      <c r="O2242">
        <v>0</v>
      </c>
    </row>
    <row r="2243" spans="1:16" x14ac:dyDescent="0.3">
      <c r="A2243" t="s">
        <v>408</v>
      </c>
      <c r="B2243">
        <v>13</v>
      </c>
      <c r="E2243">
        <v>0</v>
      </c>
    </row>
    <row r="2244" spans="1:16" x14ac:dyDescent="0.3">
      <c r="A2244" t="s">
        <v>658</v>
      </c>
      <c r="B2244">
        <v>13</v>
      </c>
      <c r="C2244">
        <v>0</v>
      </c>
      <c r="D2244">
        <v>109</v>
      </c>
      <c r="E2244">
        <v>978</v>
      </c>
      <c r="F2244">
        <v>0</v>
      </c>
      <c r="G2244">
        <v>0</v>
      </c>
      <c r="H2244">
        <v>0</v>
      </c>
      <c r="I2244">
        <v>543</v>
      </c>
      <c r="J2244">
        <v>82</v>
      </c>
      <c r="K2244">
        <v>0</v>
      </c>
      <c r="L2244">
        <v>54</v>
      </c>
      <c r="M2244">
        <v>49</v>
      </c>
      <c r="N2244">
        <v>0</v>
      </c>
      <c r="O2244">
        <v>1</v>
      </c>
      <c r="P2244">
        <v>0</v>
      </c>
    </row>
    <row r="2245" spans="1:16" x14ac:dyDescent="0.3">
      <c r="A2245" t="s">
        <v>34</v>
      </c>
      <c r="B2245">
        <v>14</v>
      </c>
      <c r="C2245">
        <v>13</v>
      </c>
      <c r="D2245">
        <v>13</v>
      </c>
      <c r="E2245">
        <v>13</v>
      </c>
      <c r="F2245">
        <v>13</v>
      </c>
      <c r="G2245">
        <v>15</v>
      </c>
      <c r="H2245">
        <v>15</v>
      </c>
      <c r="I2245">
        <v>15</v>
      </c>
      <c r="J2245">
        <v>15</v>
      </c>
      <c r="K2245">
        <v>123</v>
      </c>
      <c r="L2245">
        <v>123</v>
      </c>
      <c r="M2245">
        <v>123</v>
      </c>
      <c r="N2245">
        <v>124</v>
      </c>
      <c r="O2245">
        <v>124</v>
      </c>
      <c r="P2245">
        <v>124</v>
      </c>
    </row>
    <row r="2246" spans="1:16" x14ac:dyDescent="0.3">
      <c r="A2246" t="s">
        <v>35</v>
      </c>
      <c r="B2246">
        <v>14</v>
      </c>
      <c r="C2246">
        <v>13</v>
      </c>
      <c r="D2246">
        <v>123</v>
      </c>
      <c r="E2246">
        <v>15</v>
      </c>
      <c r="F2246">
        <v>124</v>
      </c>
      <c r="G2246">
        <v>15</v>
      </c>
      <c r="H2246">
        <v>124</v>
      </c>
      <c r="I2246">
        <v>13</v>
      </c>
      <c r="J2246">
        <v>123</v>
      </c>
      <c r="K2246">
        <v>15</v>
      </c>
      <c r="L2246">
        <v>124</v>
      </c>
      <c r="M2246">
        <v>13</v>
      </c>
      <c r="N2246">
        <v>13</v>
      </c>
      <c r="O2246">
        <v>123</v>
      </c>
      <c r="P2246">
        <v>15</v>
      </c>
    </row>
    <row r="2247" spans="1:16" x14ac:dyDescent="0.3">
      <c r="A2247" t="s">
        <v>36</v>
      </c>
      <c r="B2247">
        <v>14</v>
      </c>
      <c r="C2247">
        <v>0</v>
      </c>
      <c r="D2247">
        <v>1</v>
      </c>
      <c r="E2247">
        <v>2</v>
      </c>
      <c r="F2247">
        <v>1</v>
      </c>
      <c r="G2247">
        <v>0</v>
      </c>
      <c r="H2247">
        <v>1</v>
      </c>
      <c r="I2247">
        <v>2</v>
      </c>
      <c r="J2247">
        <v>1</v>
      </c>
      <c r="K2247">
        <v>0</v>
      </c>
      <c r="L2247">
        <v>1</v>
      </c>
      <c r="M2247">
        <v>1</v>
      </c>
      <c r="N2247">
        <v>0</v>
      </c>
      <c r="O2247">
        <v>1</v>
      </c>
      <c r="P2247">
        <v>1</v>
      </c>
    </row>
    <row r="2248" spans="1:16" x14ac:dyDescent="0.3">
      <c r="A2248" t="s">
        <v>37</v>
      </c>
      <c r="B2248">
        <v>14</v>
      </c>
      <c r="D2248">
        <v>0</v>
      </c>
      <c r="E2248">
        <v>0</v>
      </c>
      <c r="H2248">
        <v>0</v>
      </c>
      <c r="I2248">
        <v>0</v>
      </c>
      <c r="K2248">
        <v>0</v>
      </c>
      <c r="L2248">
        <v>1</v>
      </c>
      <c r="N2248">
        <v>0</v>
      </c>
      <c r="O2248">
        <v>1</v>
      </c>
    </row>
    <row r="2249" spans="1:16" x14ac:dyDescent="0.3">
      <c r="A2249" t="s">
        <v>38</v>
      </c>
      <c r="B2249">
        <v>14</v>
      </c>
      <c r="C2249">
        <v>12</v>
      </c>
      <c r="D2249">
        <v>12</v>
      </c>
      <c r="E2249">
        <v>12</v>
      </c>
      <c r="F2249">
        <v>12</v>
      </c>
      <c r="G2249">
        <v>12</v>
      </c>
      <c r="H2249">
        <v>12</v>
      </c>
      <c r="I2249">
        <v>12</v>
      </c>
      <c r="J2249">
        <v>12</v>
      </c>
      <c r="K2249">
        <v>12</v>
      </c>
      <c r="L2249">
        <v>12</v>
      </c>
      <c r="M2249">
        <v>12</v>
      </c>
      <c r="N2249">
        <v>12</v>
      </c>
      <c r="O2249">
        <v>12</v>
      </c>
      <c r="P2249">
        <v>12</v>
      </c>
    </row>
    <row r="2250" spans="1:16" x14ac:dyDescent="0.3">
      <c r="A2250" t="s">
        <v>39</v>
      </c>
      <c r="B2250">
        <v>14</v>
      </c>
      <c r="D2250">
        <v>300</v>
      </c>
      <c r="F2250">
        <v>300</v>
      </c>
      <c r="H2250">
        <v>300</v>
      </c>
      <c r="J2250">
        <v>300</v>
      </c>
      <c r="M2250">
        <v>100</v>
      </c>
      <c r="P2250">
        <v>200</v>
      </c>
    </row>
    <row r="2251" spans="1:16" x14ac:dyDescent="0.3">
      <c r="A2251" t="s">
        <v>631</v>
      </c>
      <c r="B2251">
        <v>14</v>
      </c>
      <c r="D2251">
        <v>25</v>
      </c>
      <c r="F2251">
        <v>25</v>
      </c>
      <c r="H2251">
        <v>25</v>
      </c>
      <c r="J2251">
        <v>25</v>
      </c>
      <c r="M2251">
        <v>25</v>
      </c>
      <c r="P2251">
        <v>25</v>
      </c>
    </row>
    <row r="2252" spans="1:16" x14ac:dyDescent="0.3">
      <c r="A2252" t="s">
        <v>40</v>
      </c>
      <c r="B2252">
        <v>14</v>
      </c>
      <c r="D2252">
        <v>1</v>
      </c>
      <c r="F2252">
        <v>1</v>
      </c>
      <c r="H2252">
        <v>1</v>
      </c>
      <c r="J2252">
        <v>1</v>
      </c>
      <c r="M2252">
        <v>1</v>
      </c>
      <c r="P2252">
        <v>1</v>
      </c>
    </row>
    <row r="2253" spans="1:16" x14ac:dyDescent="0.3">
      <c r="A2253" t="s">
        <v>41</v>
      </c>
      <c r="B2253">
        <v>14</v>
      </c>
    </row>
    <row r="2254" spans="1:16" x14ac:dyDescent="0.3">
      <c r="A2254" t="s">
        <v>42</v>
      </c>
      <c r="B2254">
        <v>14</v>
      </c>
      <c r="E2254">
        <v>45</v>
      </c>
      <c r="I2254">
        <v>45</v>
      </c>
      <c r="L2254">
        <v>30</v>
      </c>
      <c r="O2254">
        <v>30</v>
      </c>
    </row>
    <row r="2255" spans="1:16" x14ac:dyDescent="0.3">
      <c r="A2255" t="s">
        <v>45</v>
      </c>
      <c r="B2255">
        <v>14</v>
      </c>
      <c r="D2255">
        <v>1</v>
      </c>
      <c r="E2255">
        <v>6</v>
      </c>
      <c r="H2255">
        <v>5</v>
      </c>
      <c r="I2255">
        <v>2</v>
      </c>
      <c r="L2255">
        <v>4</v>
      </c>
      <c r="O2255">
        <v>8</v>
      </c>
    </row>
    <row r="2256" spans="1:16" x14ac:dyDescent="0.3">
      <c r="A2256" t="s">
        <v>46</v>
      </c>
      <c r="B2256">
        <v>14</v>
      </c>
      <c r="D2256">
        <v>6</v>
      </c>
      <c r="F2256">
        <v>6</v>
      </c>
      <c r="H2256">
        <v>2</v>
      </c>
      <c r="J2256">
        <v>2</v>
      </c>
      <c r="K2256">
        <v>4</v>
      </c>
      <c r="M2256">
        <v>4</v>
      </c>
      <c r="N2256">
        <v>8</v>
      </c>
      <c r="P2256">
        <v>8</v>
      </c>
    </row>
    <row r="2257" spans="1:16" x14ac:dyDescent="0.3">
      <c r="A2257" t="s">
        <v>49</v>
      </c>
      <c r="B2257">
        <v>14</v>
      </c>
      <c r="C2257">
        <v>4</v>
      </c>
      <c r="D2257">
        <v>6</v>
      </c>
      <c r="E2257">
        <v>7.4</v>
      </c>
      <c r="F2257">
        <v>7.4</v>
      </c>
      <c r="G2257">
        <v>4</v>
      </c>
      <c r="H2257">
        <v>6</v>
      </c>
      <c r="I2257">
        <v>7.4</v>
      </c>
      <c r="J2257">
        <v>7.4</v>
      </c>
      <c r="K2257">
        <v>6.8</v>
      </c>
      <c r="L2257">
        <v>6.8</v>
      </c>
      <c r="M2257">
        <v>6.8</v>
      </c>
      <c r="N2257">
        <v>6.8</v>
      </c>
      <c r="O2257">
        <v>6.8</v>
      </c>
      <c r="P2257">
        <v>6.8</v>
      </c>
    </row>
    <row r="2258" spans="1:16" x14ac:dyDescent="0.3">
      <c r="A2258" t="s">
        <v>632</v>
      </c>
      <c r="B2258">
        <v>14</v>
      </c>
      <c r="C2258">
        <v>0</v>
      </c>
      <c r="D2258">
        <v>0</v>
      </c>
      <c r="E2258">
        <v>0</v>
      </c>
      <c r="F2258">
        <v>0</v>
      </c>
      <c r="G2258">
        <v>0</v>
      </c>
      <c r="H2258">
        <v>0</v>
      </c>
      <c r="I2258">
        <v>0</v>
      </c>
      <c r="J2258">
        <v>0</v>
      </c>
      <c r="K2258">
        <v>0</v>
      </c>
      <c r="L2258">
        <v>0</v>
      </c>
      <c r="M2258">
        <v>0</v>
      </c>
      <c r="N2258">
        <v>0</v>
      </c>
      <c r="O2258">
        <v>0</v>
      </c>
      <c r="P2258">
        <v>0</v>
      </c>
    </row>
    <row r="2259" spans="1:16" x14ac:dyDescent="0.3">
      <c r="A2259" t="s">
        <v>48</v>
      </c>
      <c r="B2259">
        <v>14</v>
      </c>
      <c r="C2259">
        <v>1900</v>
      </c>
      <c r="D2259">
        <v>1900</v>
      </c>
      <c r="E2259">
        <v>1900</v>
      </c>
      <c r="F2259">
        <v>1900</v>
      </c>
      <c r="G2259">
        <v>1900</v>
      </c>
      <c r="H2259">
        <v>1900</v>
      </c>
      <c r="I2259">
        <v>1900</v>
      </c>
      <c r="J2259">
        <v>1900</v>
      </c>
      <c r="K2259">
        <v>1900</v>
      </c>
      <c r="L2259">
        <v>1900</v>
      </c>
      <c r="M2259">
        <v>1900</v>
      </c>
      <c r="N2259">
        <v>1900</v>
      </c>
      <c r="O2259">
        <v>1900</v>
      </c>
      <c r="P2259">
        <v>1900</v>
      </c>
    </row>
    <row r="2260" spans="1:16" x14ac:dyDescent="0.3">
      <c r="A2260" t="s">
        <v>633</v>
      </c>
      <c r="B2260">
        <v>14</v>
      </c>
      <c r="C2260">
        <v>0</v>
      </c>
      <c r="D2260">
        <v>1770</v>
      </c>
      <c r="E2260">
        <v>3539</v>
      </c>
      <c r="F2260">
        <v>1583</v>
      </c>
      <c r="G2260">
        <v>0</v>
      </c>
      <c r="H2260">
        <v>1770</v>
      </c>
      <c r="I2260">
        <v>3539</v>
      </c>
      <c r="J2260">
        <v>1583</v>
      </c>
      <c r="K2260">
        <v>0</v>
      </c>
      <c r="L2260">
        <v>1833</v>
      </c>
      <c r="M2260">
        <v>1583</v>
      </c>
      <c r="N2260">
        <v>0</v>
      </c>
      <c r="O2260">
        <v>1788</v>
      </c>
      <c r="P2260">
        <v>1583</v>
      </c>
    </row>
    <row r="2261" spans="1:16" x14ac:dyDescent="0.3">
      <c r="A2261" t="s">
        <v>50</v>
      </c>
      <c r="B2261">
        <v>14</v>
      </c>
      <c r="C2261">
        <v>0</v>
      </c>
      <c r="D2261">
        <v>883</v>
      </c>
      <c r="E2261">
        <v>3539</v>
      </c>
      <c r="F2261">
        <v>1583</v>
      </c>
      <c r="G2261">
        <v>0</v>
      </c>
      <c r="H2261">
        <v>486</v>
      </c>
      <c r="I2261">
        <v>3539</v>
      </c>
      <c r="J2261">
        <v>1583</v>
      </c>
      <c r="K2261">
        <v>0</v>
      </c>
      <c r="L2261">
        <v>1624</v>
      </c>
      <c r="M2261">
        <v>1583</v>
      </c>
      <c r="N2261">
        <v>0</v>
      </c>
      <c r="O2261">
        <v>1375</v>
      </c>
      <c r="P2261">
        <v>1583</v>
      </c>
    </row>
    <row r="2262" spans="1:16" x14ac:dyDescent="0.3">
      <c r="A2262" t="s">
        <v>634</v>
      </c>
      <c r="B2262">
        <v>14</v>
      </c>
      <c r="C2262">
        <v>1</v>
      </c>
      <c r="D2262">
        <v>1</v>
      </c>
      <c r="E2262">
        <v>1</v>
      </c>
      <c r="F2262">
        <v>1</v>
      </c>
      <c r="G2262">
        <v>1</v>
      </c>
      <c r="H2262">
        <v>1</v>
      </c>
      <c r="I2262">
        <v>1</v>
      </c>
      <c r="J2262">
        <v>1</v>
      </c>
      <c r="K2262">
        <v>1</v>
      </c>
      <c r="L2262">
        <v>1</v>
      </c>
      <c r="M2262">
        <v>1</v>
      </c>
      <c r="N2262">
        <v>1</v>
      </c>
      <c r="O2262">
        <v>1</v>
      </c>
      <c r="P2262">
        <v>1</v>
      </c>
    </row>
    <row r="2263" spans="1:16" x14ac:dyDescent="0.3">
      <c r="A2263" t="s">
        <v>51</v>
      </c>
      <c r="B2263">
        <v>14</v>
      </c>
      <c r="C2263">
        <v>0</v>
      </c>
      <c r="D2263">
        <v>0</v>
      </c>
      <c r="E2263">
        <v>0</v>
      </c>
      <c r="F2263">
        <v>89</v>
      </c>
      <c r="G2263">
        <v>0</v>
      </c>
      <c r="H2263">
        <v>0</v>
      </c>
      <c r="I2263">
        <v>0</v>
      </c>
      <c r="J2263">
        <v>89</v>
      </c>
      <c r="K2263">
        <v>0</v>
      </c>
      <c r="L2263">
        <v>0</v>
      </c>
      <c r="M2263">
        <v>95</v>
      </c>
      <c r="N2263">
        <v>0</v>
      </c>
      <c r="O2263">
        <v>0</v>
      </c>
      <c r="P2263">
        <v>163</v>
      </c>
    </row>
    <row r="2264" spans="1:16" x14ac:dyDescent="0.3">
      <c r="A2264" t="s">
        <v>53</v>
      </c>
      <c r="B2264">
        <v>14</v>
      </c>
      <c r="C2264">
        <v>0</v>
      </c>
      <c r="D2264">
        <v>15</v>
      </c>
      <c r="E2264">
        <v>900</v>
      </c>
      <c r="F2264">
        <v>35</v>
      </c>
      <c r="G2264">
        <v>0</v>
      </c>
      <c r="H2264">
        <v>20</v>
      </c>
      <c r="I2264">
        <v>450</v>
      </c>
      <c r="J2264">
        <v>14</v>
      </c>
      <c r="K2264">
        <v>10</v>
      </c>
      <c r="L2264">
        <v>20</v>
      </c>
      <c r="M2264">
        <v>15</v>
      </c>
      <c r="N2264">
        <v>75</v>
      </c>
      <c r="O2264">
        <v>15</v>
      </c>
      <c r="P2264">
        <v>150</v>
      </c>
    </row>
    <row r="2265" spans="1:16" x14ac:dyDescent="0.3">
      <c r="A2265" t="s">
        <v>54</v>
      </c>
      <c r="B2265">
        <v>14</v>
      </c>
      <c r="C2265">
        <v>0</v>
      </c>
      <c r="D2265">
        <v>0</v>
      </c>
      <c r="E2265">
        <v>0</v>
      </c>
      <c r="F2265">
        <v>0</v>
      </c>
      <c r="G2265">
        <v>0</v>
      </c>
      <c r="H2265">
        <v>0</v>
      </c>
      <c r="I2265">
        <v>0</v>
      </c>
      <c r="J2265">
        <v>0</v>
      </c>
      <c r="K2265">
        <v>0</v>
      </c>
      <c r="L2265">
        <v>0</v>
      </c>
      <c r="M2265">
        <v>0</v>
      </c>
      <c r="N2265">
        <v>0</v>
      </c>
      <c r="O2265">
        <v>0</v>
      </c>
      <c r="P2265">
        <v>0</v>
      </c>
    </row>
    <row r="2266" spans="1:16" x14ac:dyDescent="0.3">
      <c r="A2266" t="s">
        <v>55</v>
      </c>
      <c r="B2266">
        <v>14</v>
      </c>
      <c r="C2266">
        <v>0</v>
      </c>
      <c r="D2266">
        <v>0</v>
      </c>
      <c r="E2266">
        <v>0</v>
      </c>
      <c r="F2266">
        <v>0</v>
      </c>
      <c r="G2266">
        <v>0</v>
      </c>
      <c r="H2266">
        <v>0</v>
      </c>
      <c r="I2266">
        <v>0</v>
      </c>
      <c r="J2266">
        <v>0</v>
      </c>
      <c r="K2266">
        <v>0</v>
      </c>
      <c r="L2266">
        <v>0</v>
      </c>
      <c r="M2266">
        <v>0</v>
      </c>
      <c r="N2266">
        <v>0</v>
      </c>
      <c r="O2266">
        <v>0</v>
      </c>
      <c r="P2266">
        <v>0</v>
      </c>
    </row>
    <row r="2267" spans="1:16" x14ac:dyDescent="0.3">
      <c r="A2267" t="s">
        <v>56</v>
      </c>
      <c r="B2267">
        <v>14</v>
      </c>
      <c r="C2267">
        <v>0.92</v>
      </c>
      <c r="D2267">
        <v>0.92</v>
      </c>
      <c r="E2267">
        <v>0.92</v>
      </c>
      <c r="F2267">
        <v>0.92</v>
      </c>
      <c r="G2267">
        <v>0.92</v>
      </c>
      <c r="H2267">
        <v>0.92</v>
      </c>
      <c r="I2267">
        <v>0.92</v>
      </c>
      <c r="J2267">
        <v>0.92</v>
      </c>
      <c r="K2267">
        <v>0.92</v>
      </c>
      <c r="L2267">
        <v>0.92</v>
      </c>
      <c r="M2267">
        <v>0.92</v>
      </c>
      <c r="N2267">
        <v>0.92</v>
      </c>
      <c r="O2267">
        <v>0.92</v>
      </c>
      <c r="P2267">
        <v>0.92</v>
      </c>
    </row>
    <row r="2268" spans="1:16" x14ac:dyDescent="0.3">
      <c r="A2268" t="s">
        <v>57</v>
      </c>
      <c r="B2268">
        <v>14</v>
      </c>
      <c r="C2268">
        <v>100</v>
      </c>
      <c r="D2268">
        <v>100</v>
      </c>
      <c r="E2268">
        <v>100</v>
      </c>
      <c r="F2268">
        <v>100</v>
      </c>
      <c r="G2268">
        <v>100</v>
      </c>
      <c r="H2268">
        <v>100</v>
      </c>
      <c r="I2268">
        <v>100</v>
      </c>
      <c r="J2268">
        <v>100</v>
      </c>
      <c r="K2268">
        <v>100</v>
      </c>
      <c r="L2268">
        <v>100</v>
      </c>
      <c r="M2268">
        <v>100</v>
      </c>
      <c r="N2268">
        <v>100</v>
      </c>
      <c r="O2268">
        <v>100</v>
      </c>
      <c r="P2268">
        <v>100</v>
      </c>
    </row>
    <row r="2269" spans="1:16" x14ac:dyDescent="0.3">
      <c r="A2269" t="s">
        <v>58</v>
      </c>
      <c r="B2269">
        <v>14</v>
      </c>
      <c r="C2269">
        <v>2</v>
      </c>
      <c r="D2269">
        <v>2</v>
      </c>
      <c r="E2269">
        <v>2</v>
      </c>
      <c r="F2269">
        <v>2</v>
      </c>
      <c r="G2269">
        <v>2</v>
      </c>
      <c r="H2269">
        <v>2</v>
      </c>
      <c r="I2269">
        <v>2</v>
      </c>
      <c r="J2269">
        <v>2</v>
      </c>
      <c r="K2269">
        <v>2</v>
      </c>
      <c r="L2269">
        <v>2</v>
      </c>
      <c r="M2269">
        <v>2</v>
      </c>
      <c r="N2269">
        <v>2</v>
      </c>
      <c r="O2269">
        <v>2</v>
      </c>
      <c r="P2269">
        <v>2</v>
      </c>
    </row>
    <row r="2270" spans="1:16" x14ac:dyDescent="0.3">
      <c r="A2270" t="s">
        <v>59</v>
      </c>
      <c r="B2270">
        <v>14</v>
      </c>
      <c r="C2270">
        <v>0</v>
      </c>
      <c r="D2270">
        <v>0</v>
      </c>
      <c r="E2270">
        <v>0</v>
      </c>
      <c r="F2270">
        <v>0</v>
      </c>
      <c r="G2270">
        <v>0</v>
      </c>
      <c r="H2270">
        <v>0</v>
      </c>
      <c r="I2270">
        <v>0</v>
      </c>
      <c r="J2270">
        <v>0</v>
      </c>
      <c r="K2270">
        <v>0</v>
      </c>
      <c r="L2270">
        <v>0</v>
      </c>
      <c r="M2270">
        <v>0</v>
      </c>
      <c r="N2270">
        <v>0</v>
      </c>
      <c r="O2270">
        <v>0</v>
      </c>
      <c r="P2270">
        <v>0</v>
      </c>
    </row>
    <row r="2271" spans="1:16" x14ac:dyDescent="0.3">
      <c r="A2271" t="s">
        <v>635</v>
      </c>
      <c r="B2271">
        <v>14</v>
      </c>
      <c r="E2271">
        <v>0</v>
      </c>
      <c r="I2271">
        <v>0</v>
      </c>
      <c r="L2271">
        <v>0</v>
      </c>
      <c r="O2271">
        <v>0</v>
      </c>
    </row>
    <row r="2272" spans="1:16" x14ac:dyDescent="0.3">
      <c r="A2272" t="s">
        <v>574</v>
      </c>
      <c r="B2272">
        <v>14</v>
      </c>
      <c r="E2272">
        <v>2033</v>
      </c>
      <c r="I2272">
        <v>1896</v>
      </c>
      <c r="L2272">
        <v>667</v>
      </c>
      <c r="O2272">
        <v>1308</v>
      </c>
    </row>
    <row r="2273" spans="1:16" x14ac:dyDescent="0.3">
      <c r="A2273" t="s">
        <v>78</v>
      </c>
      <c r="B2273">
        <v>14</v>
      </c>
      <c r="E2273">
        <v>30.8</v>
      </c>
      <c r="I2273">
        <v>28.7</v>
      </c>
      <c r="L2273">
        <v>15.2</v>
      </c>
      <c r="O2273">
        <v>29.7</v>
      </c>
    </row>
    <row r="2274" spans="1:16" x14ac:dyDescent="0.3">
      <c r="A2274" t="s">
        <v>636</v>
      </c>
      <c r="B2274">
        <v>14</v>
      </c>
      <c r="F2274">
        <v>0</v>
      </c>
      <c r="J2274">
        <v>1</v>
      </c>
      <c r="M2274">
        <v>1</v>
      </c>
      <c r="P2274">
        <v>0</v>
      </c>
    </row>
    <row r="2275" spans="1:16" x14ac:dyDescent="0.3">
      <c r="A2275" t="s">
        <v>637</v>
      </c>
      <c r="B2275">
        <v>14</v>
      </c>
      <c r="J2275">
        <v>50</v>
      </c>
      <c r="M2275">
        <v>50</v>
      </c>
    </row>
    <row r="2276" spans="1:16" x14ac:dyDescent="0.3">
      <c r="A2276" t="s">
        <v>638</v>
      </c>
      <c r="B2276">
        <v>14</v>
      </c>
      <c r="J2276">
        <v>0</v>
      </c>
      <c r="M2276">
        <v>0</v>
      </c>
    </row>
    <row r="2277" spans="1:16" x14ac:dyDescent="0.3">
      <c r="A2277" t="s">
        <v>639</v>
      </c>
      <c r="B2277">
        <v>14</v>
      </c>
      <c r="C2277">
        <v>3</v>
      </c>
      <c r="D2277">
        <v>0</v>
      </c>
      <c r="E2277">
        <v>0</v>
      </c>
      <c r="F2277">
        <v>1</v>
      </c>
      <c r="G2277">
        <v>3</v>
      </c>
      <c r="H2277">
        <v>0</v>
      </c>
      <c r="I2277">
        <v>0</v>
      </c>
      <c r="J2277">
        <v>1</v>
      </c>
      <c r="K2277">
        <v>0</v>
      </c>
      <c r="L2277">
        <v>0</v>
      </c>
      <c r="M2277">
        <v>1</v>
      </c>
      <c r="N2277">
        <v>0</v>
      </c>
      <c r="O2277">
        <v>0</v>
      </c>
      <c r="P2277">
        <v>1</v>
      </c>
    </row>
    <row r="2278" spans="1:16" x14ac:dyDescent="0.3">
      <c r="A2278" t="s">
        <v>640</v>
      </c>
      <c r="B2278">
        <v>14</v>
      </c>
      <c r="C2278">
        <v>0</v>
      </c>
      <c r="D2278">
        <v>0</v>
      </c>
      <c r="E2278">
        <v>0</v>
      </c>
      <c r="F2278">
        <v>0</v>
      </c>
      <c r="G2278">
        <v>0</v>
      </c>
      <c r="H2278">
        <v>0</v>
      </c>
      <c r="I2278">
        <v>0</v>
      </c>
      <c r="J2278">
        <v>0</v>
      </c>
      <c r="K2278">
        <v>0</v>
      </c>
      <c r="L2278">
        <v>0</v>
      </c>
      <c r="M2278">
        <v>0</v>
      </c>
      <c r="N2278">
        <v>0</v>
      </c>
      <c r="O2278">
        <v>0</v>
      </c>
      <c r="P2278">
        <v>0</v>
      </c>
    </row>
    <row r="2279" spans="1:16" x14ac:dyDescent="0.3">
      <c r="A2279" t="s">
        <v>52</v>
      </c>
      <c r="B2279">
        <v>14</v>
      </c>
      <c r="C2279">
        <v>1</v>
      </c>
      <c r="D2279">
        <v>1</v>
      </c>
      <c r="E2279">
        <v>1</v>
      </c>
      <c r="F2279">
        <v>1</v>
      </c>
      <c r="G2279">
        <v>1</v>
      </c>
      <c r="H2279">
        <v>1</v>
      </c>
      <c r="I2279">
        <v>1</v>
      </c>
      <c r="J2279">
        <v>1</v>
      </c>
      <c r="K2279">
        <v>1</v>
      </c>
      <c r="L2279">
        <v>1</v>
      </c>
      <c r="M2279">
        <v>1</v>
      </c>
      <c r="N2279">
        <v>1</v>
      </c>
      <c r="O2279">
        <v>1</v>
      </c>
      <c r="P2279">
        <v>1</v>
      </c>
    </row>
    <row r="2280" spans="1:16" x14ac:dyDescent="0.3">
      <c r="A2280" t="s">
        <v>641</v>
      </c>
      <c r="B2280">
        <v>14</v>
      </c>
      <c r="C2280">
        <v>9</v>
      </c>
      <c r="D2280">
        <v>15</v>
      </c>
      <c r="E2280">
        <v>60</v>
      </c>
      <c r="F2280">
        <v>9</v>
      </c>
      <c r="G2280">
        <v>9</v>
      </c>
      <c r="H2280">
        <v>15</v>
      </c>
      <c r="I2280">
        <v>60</v>
      </c>
      <c r="J2280">
        <v>9</v>
      </c>
      <c r="K2280">
        <v>15</v>
      </c>
      <c r="L2280">
        <v>60</v>
      </c>
      <c r="M2280">
        <v>9</v>
      </c>
      <c r="N2280">
        <v>15</v>
      </c>
      <c r="O2280">
        <v>60</v>
      </c>
      <c r="P2280">
        <v>9</v>
      </c>
    </row>
    <row r="2281" spans="1:16" x14ac:dyDescent="0.3">
      <c r="A2281" t="s">
        <v>43</v>
      </c>
      <c r="B2281">
        <v>14</v>
      </c>
      <c r="D2281">
        <v>40</v>
      </c>
      <c r="E2281">
        <v>336</v>
      </c>
      <c r="F2281">
        <v>0</v>
      </c>
      <c r="H2281">
        <v>40</v>
      </c>
      <c r="I2281">
        <v>336</v>
      </c>
      <c r="J2281">
        <v>0</v>
      </c>
      <c r="K2281">
        <v>40</v>
      </c>
      <c r="L2281">
        <v>40</v>
      </c>
      <c r="M2281">
        <v>0</v>
      </c>
      <c r="N2281">
        <v>40</v>
      </c>
      <c r="O2281">
        <v>40</v>
      </c>
      <c r="P2281">
        <v>0</v>
      </c>
    </row>
    <row r="2282" spans="1:16" x14ac:dyDescent="0.3">
      <c r="A2282" t="s">
        <v>44</v>
      </c>
      <c r="B2282">
        <v>14</v>
      </c>
      <c r="D2282">
        <v>0</v>
      </c>
      <c r="E2282">
        <v>0</v>
      </c>
      <c r="F2282">
        <v>0</v>
      </c>
      <c r="H2282">
        <v>0</v>
      </c>
      <c r="I2282">
        <v>0</v>
      </c>
      <c r="J2282">
        <v>0</v>
      </c>
      <c r="K2282">
        <v>0</v>
      </c>
      <c r="L2282">
        <v>0</v>
      </c>
      <c r="M2282">
        <v>0</v>
      </c>
      <c r="N2282">
        <v>0</v>
      </c>
      <c r="O2282">
        <v>0</v>
      </c>
      <c r="P2282">
        <v>0</v>
      </c>
    </row>
    <row r="2283" spans="1:16" x14ac:dyDescent="0.3">
      <c r="A2283" t="s">
        <v>47</v>
      </c>
      <c r="B2283">
        <v>14</v>
      </c>
      <c r="D2283">
        <v>1</v>
      </c>
      <c r="E2283">
        <v>6</v>
      </c>
      <c r="F2283">
        <v>6</v>
      </c>
      <c r="H2283">
        <v>5</v>
      </c>
      <c r="I2283">
        <v>2</v>
      </c>
      <c r="J2283">
        <v>2</v>
      </c>
      <c r="K2283">
        <v>4</v>
      </c>
      <c r="L2283">
        <v>4</v>
      </c>
      <c r="M2283">
        <v>4</v>
      </c>
      <c r="N2283">
        <v>8</v>
      </c>
      <c r="O2283">
        <v>8</v>
      </c>
      <c r="P2283">
        <v>8</v>
      </c>
    </row>
    <row r="2284" spans="1:16" x14ac:dyDescent="0.3">
      <c r="A2284" t="s">
        <v>642</v>
      </c>
      <c r="B2284">
        <v>14</v>
      </c>
      <c r="D2284">
        <v>0</v>
      </c>
      <c r="E2284">
        <v>0</v>
      </c>
      <c r="F2284">
        <v>0</v>
      </c>
      <c r="H2284">
        <v>0</v>
      </c>
      <c r="I2284">
        <v>0</v>
      </c>
      <c r="J2284">
        <v>0</v>
      </c>
      <c r="K2284">
        <v>0</v>
      </c>
      <c r="L2284">
        <v>0</v>
      </c>
      <c r="M2284">
        <v>0</v>
      </c>
      <c r="N2284">
        <v>0</v>
      </c>
      <c r="O2284">
        <v>0</v>
      </c>
      <c r="P2284">
        <v>0</v>
      </c>
    </row>
    <row r="2285" spans="1:16" x14ac:dyDescent="0.3">
      <c r="A2285" t="s">
        <v>643</v>
      </c>
      <c r="B2285">
        <v>14</v>
      </c>
      <c r="D2285">
        <v>0</v>
      </c>
      <c r="E2285">
        <v>0</v>
      </c>
      <c r="F2285">
        <v>0</v>
      </c>
      <c r="H2285">
        <v>0</v>
      </c>
      <c r="I2285">
        <v>0</v>
      </c>
      <c r="J2285">
        <v>0</v>
      </c>
      <c r="K2285">
        <v>0</v>
      </c>
      <c r="L2285">
        <v>0</v>
      </c>
      <c r="M2285">
        <v>0</v>
      </c>
      <c r="N2285">
        <v>0</v>
      </c>
      <c r="O2285">
        <v>0</v>
      </c>
      <c r="P2285">
        <v>0</v>
      </c>
    </row>
    <row r="2286" spans="1:16" x14ac:dyDescent="0.3">
      <c r="A2286" t="s">
        <v>644</v>
      </c>
      <c r="B2286">
        <v>14</v>
      </c>
      <c r="D2286">
        <v>0</v>
      </c>
      <c r="E2286">
        <v>0</v>
      </c>
      <c r="F2286">
        <v>0</v>
      </c>
      <c r="H2286">
        <v>0</v>
      </c>
      <c r="I2286">
        <v>0</v>
      </c>
      <c r="J2286">
        <v>0</v>
      </c>
      <c r="K2286">
        <v>0</v>
      </c>
      <c r="L2286">
        <v>0</v>
      </c>
      <c r="M2286">
        <v>0</v>
      </c>
      <c r="N2286">
        <v>0</v>
      </c>
      <c r="O2286">
        <v>0</v>
      </c>
      <c r="P2286">
        <v>0</v>
      </c>
    </row>
    <row r="2287" spans="1:16" x14ac:dyDescent="0.3">
      <c r="A2287" t="s">
        <v>645</v>
      </c>
      <c r="B2287">
        <v>14</v>
      </c>
      <c r="D2287">
        <v>0</v>
      </c>
      <c r="E2287">
        <v>0</v>
      </c>
      <c r="F2287">
        <v>0</v>
      </c>
      <c r="H2287">
        <v>0</v>
      </c>
      <c r="I2287">
        <v>0</v>
      </c>
      <c r="J2287">
        <v>0</v>
      </c>
      <c r="K2287">
        <v>0</v>
      </c>
      <c r="L2287">
        <v>0</v>
      </c>
      <c r="M2287">
        <v>0</v>
      </c>
      <c r="N2287">
        <v>0</v>
      </c>
      <c r="O2287">
        <v>0</v>
      </c>
      <c r="P2287">
        <v>0</v>
      </c>
    </row>
    <row r="2288" spans="1:16" x14ac:dyDescent="0.3">
      <c r="A2288" t="s">
        <v>646</v>
      </c>
      <c r="B2288">
        <v>14</v>
      </c>
      <c r="D2288">
        <v>1</v>
      </c>
      <c r="E2288">
        <v>2</v>
      </c>
      <c r="F2288">
        <v>1</v>
      </c>
      <c r="H2288">
        <v>1</v>
      </c>
      <c r="I2288">
        <v>2</v>
      </c>
      <c r="J2288">
        <v>1</v>
      </c>
      <c r="K2288">
        <v>1</v>
      </c>
      <c r="L2288">
        <v>1</v>
      </c>
      <c r="M2288">
        <v>1</v>
      </c>
      <c r="N2288">
        <v>1</v>
      </c>
      <c r="O2288">
        <v>1</v>
      </c>
      <c r="P2288">
        <v>1</v>
      </c>
    </row>
    <row r="2289" spans="1:16" x14ac:dyDescent="0.3">
      <c r="A2289" t="s">
        <v>647</v>
      </c>
      <c r="B2289">
        <v>14</v>
      </c>
      <c r="D2289">
        <v>0</v>
      </c>
      <c r="E2289">
        <v>330</v>
      </c>
      <c r="F2289">
        <v>0</v>
      </c>
      <c r="H2289">
        <v>0</v>
      </c>
      <c r="I2289">
        <v>330</v>
      </c>
      <c r="J2289">
        <v>0</v>
      </c>
      <c r="K2289">
        <v>0</v>
      </c>
      <c r="L2289">
        <v>0</v>
      </c>
      <c r="M2289">
        <v>0</v>
      </c>
      <c r="N2289">
        <v>0</v>
      </c>
      <c r="O2289">
        <v>0</v>
      </c>
      <c r="P2289">
        <v>0</v>
      </c>
    </row>
    <row r="2290" spans="1:16" x14ac:dyDescent="0.3">
      <c r="A2290" t="s">
        <v>648</v>
      </c>
      <c r="B2290">
        <v>14</v>
      </c>
      <c r="D2290">
        <v>40</v>
      </c>
      <c r="E2290">
        <v>6</v>
      </c>
      <c r="F2290">
        <v>0</v>
      </c>
      <c r="H2290">
        <v>40</v>
      </c>
      <c r="I2290">
        <v>6</v>
      </c>
      <c r="J2290">
        <v>0</v>
      </c>
      <c r="K2290">
        <v>40</v>
      </c>
      <c r="L2290">
        <v>40</v>
      </c>
      <c r="M2290">
        <v>0</v>
      </c>
      <c r="N2290">
        <v>40</v>
      </c>
      <c r="O2290">
        <v>40</v>
      </c>
      <c r="P2290">
        <v>0</v>
      </c>
    </row>
    <row r="2291" spans="1:16" x14ac:dyDescent="0.3">
      <c r="A2291" t="s">
        <v>649</v>
      </c>
      <c r="B2291">
        <v>14</v>
      </c>
      <c r="D2291">
        <v>3</v>
      </c>
      <c r="E2291">
        <v>3</v>
      </c>
      <c r="F2291">
        <v>3</v>
      </c>
      <c r="H2291">
        <v>3</v>
      </c>
      <c r="I2291">
        <v>3</v>
      </c>
      <c r="J2291">
        <v>3</v>
      </c>
      <c r="K2291">
        <v>3</v>
      </c>
      <c r="L2291">
        <v>3</v>
      </c>
      <c r="M2291">
        <v>3</v>
      </c>
      <c r="N2291">
        <v>3</v>
      </c>
      <c r="O2291">
        <v>3</v>
      </c>
      <c r="P2291">
        <v>3</v>
      </c>
    </row>
    <row r="2292" spans="1:16" x14ac:dyDescent="0.3">
      <c r="A2292" t="s">
        <v>650</v>
      </c>
      <c r="B2292">
        <v>14</v>
      </c>
      <c r="D2292">
        <v>0</v>
      </c>
      <c r="E2292">
        <v>0</v>
      </c>
      <c r="F2292">
        <v>0</v>
      </c>
      <c r="H2292">
        <v>0</v>
      </c>
      <c r="I2292">
        <v>0</v>
      </c>
      <c r="J2292">
        <v>0</v>
      </c>
      <c r="K2292">
        <v>0</v>
      </c>
      <c r="L2292">
        <v>0</v>
      </c>
      <c r="M2292">
        <v>0</v>
      </c>
      <c r="N2292">
        <v>0</v>
      </c>
      <c r="O2292">
        <v>0</v>
      </c>
      <c r="P2292">
        <v>0</v>
      </c>
    </row>
    <row r="2293" spans="1:16" x14ac:dyDescent="0.3">
      <c r="A2293" t="s">
        <v>651</v>
      </c>
      <c r="B2293">
        <v>14</v>
      </c>
      <c r="D2293">
        <v>0</v>
      </c>
      <c r="E2293">
        <v>0</v>
      </c>
      <c r="F2293">
        <v>0</v>
      </c>
      <c r="H2293">
        <v>0</v>
      </c>
      <c r="I2293">
        <v>0</v>
      </c>
      <c r="J2293">
        <v>0</v>
      </c>
      <c r="K2293">
        <v>0</v>
      </c>
      <c r="L2293">
        <v>0</v>
      </c>
      <c r="M2293">
        <v>0</v>
      </c>
      <c r="N2293">
        <v>0</v>
      </c>
      <c r="O2293">
        <v>0</v>
      </c>
      <c r="P2293">
        <v>0</v>
      </c>
    </row>
    <row r="2294" spans="1:16" x14ac:dyDescent="0.3">
      <c r="A2294" t="s">
        <v>652</v>
      </c>
      <c r="B2294">
        <v>14</v>
      </c>
      <c r="D2294">
        <v>0</v>
      </c>
      <c r="E2294">
        <v>0</v>
      </c>
      <c r="F2294">
        <v>0</v>
      </c>
      <c r="H2294">
        <v>0</v>
      </c>
      <c r="I2294">
        <v>0</v>
      </c>
      <c r="J2294">
        <v>0</v>
      </c>
      <c r="K2294">
        <v>0</v>
      </c>
      <c r="L2294">
        <v>0</v>
      </c>
      <c r="M2294">
        <v>0</v>
      </c>
      <c r="N2294">
        <v>0</v>
      </c>
      <c r="O2294">
        <v>0</v>
      </c>
      <c r="P2294">
        <v>0</v>
      </c>
    </row>
    <row r="2295" spans="1:16" x14ac:dyDescent="0.3">
      <c r="A2295" t="s">
        <v>653</v>
      </c>
      <c r="B2295">
        <v>14</v>
      </c>
      <c r="E2295">
        <v>0</v>
      </c>
      <c r="I2295">
        <v>0</v>
      </c>
    </row>
    <row r="2296" spans="1:16" x14ac:dyDescent="0.3">
      <c r="A2296" t="s">
        <v>654</v>
      </c>
      <c r="B2296">
        <v>14</v>
      </c>
      <c r="E2296">
        <v>0</v>
      </c>
      <c r="I2296">
        <v>0</v>
      </c>
    </row>
    <row r="2297" spans="1:16" x14ac:dyDescent="0.3">
      <c r="A2297" t="s">
        <v>655</v>
      </c>
      <c r="B2297">
        <v>14</v>
      </c>
      <c r="E2297">
        <v>3</v>
      </c>
      <c r="I2297">
        <v>3</v>
      </c>
    </row>
    <row r="2298" spans="1:16" x14ac:dyDescent="0.3">
      <c r="A2298" t="s">
        <v>656</v>
      </c>
      <c r="B2298">
        <v>14</v>
      </c>
      <c r="E2298">
        <v>0</v>
      </c>
      <c r="I2298">
        <v>0</v>
      </c>
    </row>
    <row r="2299" spans="1:16" x14ac:dyDescent="0.3">
      <c r="A2299" t="s">
        <v>657</v>
      </c>
      <c r="B2299">
        <v>14</v>
      </c>
      <c r="E2299">
        <v>0</v>
      </c>
      <c r="I2299">
        <v>0</v>
      </c>
      <c r="L2299">
        <v>0</v>
      </c>
      <c r="O2299">
        <v>0</v>
      </c>
    </row>
    <row r="2300" spans="1:16" x14ac:dyDescent="0.3">
      <c r="A2300" t="s">
        <v>408</v>
      </c>
      <c r="B2300">
        <v>14</v>
      </c>
      <c r="E2300">
        <v>0</v>
      </c>
    </row>
    <row r="2301" spans="1:16" x14ac:dyDescent="0.3">
      <c r="A2301" t="s">
        <v>658</v>
      </c>
      <c r="B2301">
        <v>14</v>
      </c>
      <c r="C2301">
        <v>0</v>
      </c>
      <c r="D2301">
        <v>16</v>
      </c>
      <c r="E2301">
        <v>978</v>
      </c>
      <c r="F2301">
        <v>38</v>
      </c>
      <c r="G2301">
        <v>0</v>
      </c>
      <c r="H2301">
        <v>22</v>
      </c>
      <c r="I2301">
        <v>489</v>
      </c>
      <c r="J2301">
        <v>15</v>
      </c>
      <c r="K2301">
        <v>0</v>
      </c>
      <c r="L2301">
        <v>33</v>
      </c>
      <c r="M2301">
        <v>16</v>
      </c>
      <c r="N2301">
        <v>0</v>
      </c>
      <c r="O2301">
        <v>98</v>
      </c>
      <c r="P2301">
        <v>163</v>
      </c>
    </row>
    <row r="2302" spans="1:16" x14ac:dyDescent="0.3">
      <c r="A2302" t="s">
        <v>34</v>
      </c>
      <c r="B2302">
        <v>15</v>
      </c>
      <c r="C2302">
        <v>14</v>
      </c>
      <c r="D2302">
        <v>14</v>
      </c>
      <c r="E2302">
        <v>14</v>
      </c>
      <c r="F2302">
        <v>14</v>
      </c>
      <c r="G2302">
        <v>16</v>
      </c>
      <c r="H2302">
        <v>16</v>
      </c>
      <c r="I2302">
        <v>16</v>
      </c>
      <c r="J2302">
        <v>16</v>
      </c>
      <c r="K2302">
        <v>128</v>
      </c>
      <c r="L2302">
        <v>128</v>
      </c>
      <c r="M2302">
        <v>128</v>
      </c>
      <c r="N2302">
        <v>129</v>
      </c>
      <c r="O2302">
        <v>129</v>
      </c>
      <c r="P2302">
        <v>129</v>
      </c>
    </row>
    <row r="2303" spans="1:16" x14ac:dyDescent="0.3">
      <c r="A2303" t="s">
        <v>35</v>
      </c>
      <c r="B2303">
        <v>15</v>
      </c>
      <c r="C2303">
        <v>14</v>
      </c>
      <c r="D2303">
        <v>128</v>
      </c>
      <c r="E2303">
        <v>16</v>
      </c>
      <c r="F2303">
        <v>129</v>
      </c>
      <c r="G2303">
        <v>16</v>
      </c>
      <c r="H2303">
        <v>129</v>
      </c>
      <c r="I2303">
        <v>14</v>
      </c>
      <c r="J2303">
        <v>128</v>
      </c>
      <c r="K2303">
        <v>16</v>
      </c>
      <c r="L2303">
        <v>129</v>
      </c>
      <c r="M2303">
        <v>14</v>
      </c>
      <c r="N2303">
        <v>14</v>
      </c>
      <c r="O2303">
        <v>128</v>
      </c>
      <c r="P2303">
        <v>16</v>
      </c>
    </row>
    <row r="2304" spans="1:16" x14ac:dyDescent="0.3">
      <c r="A2304" t="s">
        <v>36</v>
      </c>
      <c r="B2304">
        <v>15</v>
      </c>
      <c r="C2304">
        <v>0</v>
      </c>
      <c r="D2304">
        <v>2</v>
      </c>
      <c r="E2304">
        <v>2</v>
      </c>
      <c r="F2304">
        <v>1</v>
      </c>
      <c r="G2304">
        <v>0</v>
      </c>
      <c r="H2304">
        <v>1</v>
      </c>
      <c r="I2304">
        <v>2</v>
      </c>
      <c r="J2304">
        <v>1</v>
      </c>
      <c r="K2304">
        <v>1</v>
      </c>
      <c r="L2304">
        <v>1</v>
      </c>
      <c r="M2304">
        <v>1</v>
      </c>
      <c r="N2304">
        <v>1</v>
      </c>
      <c r="O2304">
        <v>1</v>
      </c>
      <c r="P2304">
        <v>1</v>
      </c>
    </row>
    <row r="2305" spans="1:16" x14ac:dyDescent="0.3">
      <c r="A2305" t="s">
        <v>37</v>
      </c>
      <c r="B2305">
        <v>15</v>
      </c>
      <c r="D2305">
        <v>0</v>
      </c>
      <c r="E2305">
        <v>0</v>
      </c>
      <c r="H2305">
        <v>0</v>
      </c>
      <c r="I2305">
        <v>0</v>
      </c>
      <c r="K2305">
        <v>0</v>
      </c>
      <c r="L2305">
        <v>1</v>
      </c>
      <c r="N2305">
        <v>0</v>
      </c>
      <c r="O2305">
        <v>0</v>
      </c>
    </row>
    <row r="2306" spans="1:16" x14ac:dyDescent="0.3">
      <c r="A2306" t="s">
        <v>38</v>
      </c>
      <c r="B2306">
        <v>15</v>
      </c>
      <c r="C2306">
        <v>12</v>
      </c>
      <c r="D2306">
        <v>12</v>
      </c>
      <c r="E2306">
        <v>12</v>
      </c>
      <c r="F2306">
        <v>12</v>
      </c>
      <c r="G2306">
        <v>12</v>
      </c>
      <c r="H2306">
        <v>12</v>
      </c>
      <c r="I2306">
        <v>12</v>
      </c>
      <c r="J2306">
        <v>12</v>
      </c>
      <c r="K2306">
        <v>12</v>
      </c>
      <c r="L2306">
        <v>12</v>
      </c>
      <c r="M2306">
        <v>12</v>
      </c>
      <c r="N2306">
        <v>12</v>
      </c>
      <c r="O2306">
        <v>12</v>
      </c>
      <c r="P2306">
        <v>12</v>
      </c>
    </row>
    <row r="2307" spans="1:16" x14ac:dyDescent="0.3">
      <c r="A2307" t="s">
        <v>39</v>
      </c>
      <c r="B2307">
        <v>15</v>
      </c>
      <c r="D2307">
        <v>300</v>
      </c>
      <c r="F2307">
        <v>300</v>
      </c>
      <c r="H2307">
        <v>300</v>
      </c>
      <c r="J2307">
        <v>300</v>
      </c>
      <c r="K2307">
        <v>400</v>
      </c>
      <c r="M2307">
        <v>400</v>
      </c>
      <c r="N2307">
        <v>300</v>
      </c>
      <c r="P2307">
        <v>300</v>
      </c>
    </row>
    <row r="2308" spans="1:16" x14ac:dyDescent="0.3">
      <c r="A2308" t="s">
        <v>631</v>
      </c>
      <c r="B2308">
        <v>15</v>
      </c>
      <c r="D2308">
        <v>25</v>
      </c>
      <c r="F2308">
        <v>25</v>
      </c>
      <c r="H2308">
        <v>25</v>
      </c>
      <c r="J2308">
        <v>25</v>
      </c>
      <c r="K2308">
        <v>25</v>
      </c>
      <c r="M2308">
        <v>25</v>
      </c>
      <c r="N2308">
        <v>25</v>
      </c>
      <c r="P2308">
        <v>25</v>
      </c>
    </row>
    <row r="2309" spans="1:16" x14ac:dyDescent="0.3">
      <c r="A2309" t="s">
        <v>40</v>
      </c>
      <c r="B2309">
        <v>15</v>
      </c>
      <c r="D2309">
        <v>2</v>
      </c>
      <c r="F2309">
        <v>1</v>
      </c>
      <c r="H2309">
        <v>1</v>
      </c>
      <c r="J2309">
        <v>1</v>
      </c>
      <c r="K2309">
        <v>1</v>
      </c>
      <c r="M2309">
        <v>1</v>
      </c>
      <c r="N2309">
        <v>1</v>
      </c>
      <c r="P2309">
        <v>1</v>
      </c>
    </row>
    <row r="2310" spans="1:16" x14ac:dyDescent="0.3">
      <c r="A2310" t="s">
        <v>41</v>
      </c>
      <c r="B2310">
        <v>15</v>
      </c>
    </row>
    <row r="2311" spans="1:16" x14ac:dyDescent="0.3">
      <c r="A2311" t="s">
        <v>42</v>
      </c>
      <c r="B2311">
        <v>15</v>
      </c>
      <c r="E2311">
        <v>45</v>
      </c>
      <c r="I2311">
        <v>45</v>
      </c>
      <c r="L2311">
        <v>30</v>
      </c>
      <c r="O2311">
        <v>30</v>
      </c>
    </row>
    <row r="2312" spans="1:16" x14ac:dyDescent="0.3">
      <c r="A2312" t="s">
        <v>45</v>
      </c>
      <c r="B2312">
        <v>15</v>
      </c>
      <c r="D2312">
        <v>5</v>
      </c>
      <c r="E2312">
        <v>2</v>
      </c>
      <c r="H2312">
        <v>1</v>
      </c>
      <c r="I2312">
        <v>6</v>
      </c>
      <c r="K2312">
        <v>3</v>
      </c>
      <c r="L2312">
        <v>3</v>
      </c>
      <c r="N2312">
        <v>4</v>
      </c>
      <c r="O2312">
        <v>4</v>
      </c>
    </row>
    <row r="2313" spans="1:16" x14ac:dyDescent="0.3">
      <c r="A2313" t="s">
        <v>46</v>
      </c>
      <c r="B2313">
        <v>15</v>
      </c>
      <c r="F2313">
        <v>2</v>
      </c>
      <c r="J2313">
        <v>6</v>
      </c>
      <c r="M2313">
        <v>3</v>
      </c>
      <c r="P2313">
        <v>4</v>
      </c>
    </row>
    <row r="2314" spans="1:16" x14ac:dyDescent="0.3">
      <c r="A2314" t="s">
        <v>49</v>
      </c>
      <c r="B2314">
        <v>15</v>
      </c>
      <c r="C2314">
        <v>4</v>
      </c>
      <c r="D2314">
        <v>6</v>
      </c>
      <c r="E2314">
        <v>7.4</v>
      </c>
      <c r="F2314">
        <v>7.4</v>
      </c>
      <c r="G2314">
        <v>4</v>
      </c>
      <c r="H2314">
        <v>6</v>
      </c>
      <c r="I2314">
        <v>7.4</v>
      </c>
      <c r="J2314">
        <v>7.4</v>
      </c>
      <c r="K2314">
        <v>6.8</v>
      </c>
      <c r="L2314">
        <v>6.8</v>
      </c>
      <c r="M2314">
        <v>6.8</v>
      </c>
      <c r="N2314">
        <v>6.8</v>
      </c>
      <c r="O2314">
        <v>6.8</v>
      </c>
      <c r="P2314">
        <v>6.8</v>
      </c>
    </row>
    <row r="2315" spans="1:16" x14ac:dyDescent="0.3">
      <c r="A2315" t="s">
        <v>632</v>
      </c>
      <c r="B2315">
        <v>15</v>
      </c>
      <c r="C2315">
        <v>0</v>
      </c>
      <c r="D2315">
        <v>0</v>
      </c>
      <c r="E2315">
        <v>0</v>
      </c>
      <c r="F2315">
        <v>0</v>
      </c>
      <c r="G2315">
        <v>0</v>
      </c>
      <c r="H2315">
        <v>0</v>
      </c>
      <c r="I2315">
        <v>0</v>
      </c>
      <c r="J2315">
        <v>0</v>
      </c>
      <c r="K2315">
        <v>0</v>
      </c>
      <c r="L2315">
        <v>0</v>
      </c>
      <c r="M2315">
        <v>0</v>
      </c>
      <c r="N2315">
        <v>0</v>
      </c>
      <c r="O2315">
        <v>0</v>
      </c>
      <c r="P2315">
        <v>0</v>
      </c>
    </row>
    <row r="2316" spans="1:16" x14ac:dyDescent="0.3">
      <c r="A2316" t="s">
        <v>48</v>
      </c>
      <c r="B2316">
        <v>15</v>
      </c>
      <c r="C2316">
        <v>1900</v>
      </c>
      <c r="D2316">
        <v>1900</v>
      </c>
      <c r="E2316">
        <v>1900</v>
      </c>
      <c r="F2316">
        <v>1900</v>
      </c>
      <c r="G2316">
        <v>1900</v>
      </c>
      <c r="H2316">
        <v>1900</v>
      </c>
      <c r="I2316">
        <v>1900</v>
      </c>
      <c r="J2316">
        <v>1900</v>
      </c>
      <c r="K2316">
        <v>1900</v>
      </c>
      <c r="L2316">
        <v>1900</v>
      </c>
      <c r="M2316">
        <v>1900</v>
      </c>
      <c r="N2316">
        <v>1900</v>
      </c>
      <c r="O2316">
        <v>1900</v>
      </c>
      <c r="P2316">
        <v>1900</v>
      </c>
    </row>
    <row r="2317" spans="1:16" x14ac:dyDescent="0.3">
      <c r="A2317" t="s">
        <v>633</v>
      </c>
      <c r="B2317">
        <v>15</v>
      </c>
      <c r="C2317">
        <v>0</v>
      </c>
      <c r="D2317">
        <v>3433</v>
      </c>
      <c r="E2317">
        <v>3539</v>
      </c>
      <c r="F2317">
        <v>1583</v>
      </c>
      <c r="G2317">
        <v>0</v>
      </c>
      <c r="H2317">
        <v>1770</v>
      </c>
      <c r="I2317">
        <v>3539</v>
      </c>
      <c r="J2317">
        <v>1583</v>
      </c>
      <c r="K2317">
        <v>1681</v>
      </c>
      <c r="L2317">
        <v>1701</v>
      </c>
      <c r="M2317">
        <v>1583</v>
      </c>
      <c r="N2317">
        <v>1770</v>
      </c>
      <c r="O2317">
        <v>1863</v>
      </c>
      <c r="P2317">
        <v>1583</v>
      </c>
    </row>
    <row r="2318" spans="1:16" x14ac:dyDescent="0.3">
      <c r="A2318" t="s">
        <v>50</v>
      </c>
      <c r="B2318">
        <v>15</v>
      </c>
      <c r="C2318">
        <v>0</v>
      </c>
      <c r="D2318">
        <v>3433</v>
      </c>
      <c r="E2318">
        <v>3539</v>
      </c>
      <c r="F2318">
        <v>1583</v>
      </c>
      <c r="G2318">
        <v>0</v>
      </c>
      <c r="H2318">
        <v>1770</v>
      </c>
      <c r="I2318">
        <v>3539</v>
      </c>
      <c r="J2318">
        <v>1583</v>
      </c>
      <c r="K2318">
        <v>1681</v>
      </c>
      <c r="L2318">
        <v>1701</v>
      </c>
      <c r="M2318">
        <v>1583</v>
      </c>
      <c r="N2318">
        <v>1770</v>
      </c>
      <c r="O2318">
        <v>1863</v>
      </c>
      <c r="P2318">
        <v>1583</v>
      </c>
    </row>
    <row r="2319" spans="1:16" x14ac:dyDescent="0.3">
      <c r="A2319" t="s">
        <v>634</v>
      </c>
      <c r="B2319">
        <v>15</v>
      </c>
      <c r="C2319">
        <v>1</v>
      </c>
      <c r="D2319">
        <v>1</v>
      </c>
      <c r="E2319">
        <v>1</v>
      </c>
      <c r="F2319">
        <v>1</v>
      </c>
      <c r="G2319">
        <v>1</v>
      </c>
      <c r="H2319">
        <v>1</v>
      </c>
      <c r="I2319">
        <v>1</v>
      </c>
      <c r="J2319">
        <v>1</v>
      </c>
      <c r="K2319">
        <v>1</v>
      </c>
      <c r="L2319">
        <v>1</v>
      </c>
      <c r="M2319">
        <v>1</v>
      </c>
      <c r="N2319">
        <v>1</v>
      </c>
      <c r="O2319">
        <v>1</v>
      </c>
      <c r="P2319">
        <v>1</v>
      </c>
    </row>
    <row r="2320" spans="1:16" x14ac:dyDescent="0.3">
      <c r="A2320" t="s">
        <v>51</v>
      </c>
      <c r="B2320">
        <v>15</v>
      </c>
      <c r="C2320">
        <v>0</v>
      </c>
      <c r="D2320">
        <v>0</v>
      </c>
      <c r="E2320">
        <v>0</v>
      </c>
      <c r="F2320">
        <v>151</v>
      </c>
      <c r="G2320">
        <v>0</v>
      </c>
      <c r="H2320">
        <v>0</v>
      </c>
      <c r="I2320">
        <v>0</v>
      </c>
      <c r="J2320">
        <v>151</v>
      </c>
      <c r="K2320">
        <v>0</v>
      </c>
      <c r="L2320">
        <v>0</v>
      </c>
      <c r="M2320">
        <v>156</v>
      </c>
      <c r="N2320">
        <v>0</v>
      </c>
      <c r="O2320">
        <v>0</v>
      </c>
      <c r="P2320">
        <v>156</v>
      </c>
    </row>
    <row r="2321" spans="1:16" x14ac:dyDescent="0.3">
      <c r="A2321" t="s">
        <v>53</v>
      </c>
      <c r="B2321">
        <v>15</v>
      </c>
      <c r="C2321">
        <v>0</v>
      </c>
      <c r="D2321">
        <v>56</v>
      </c>
      <c r="E2321">
        <v>1036</v>
      </c>
      <c r="F2321">
        <v>5</v>
      </c>
      <c r="G2321">
        <v>0</v>
      </c>
      <c r="H2321">
        <v>5</v>
      </c>
      <c r="I2321">
        <v>454</v>
      </c>
      <c r="J2321">
        <v>48</v>
      </c>
      <c r="K2321">
        <v>42</v>
      </c>
      <c r="L2321">
        <v>5</v>
      </c>
      <c r="M2321">
        <v>7</v>
      </c>
      <c r="N2321">
        <v>23</v>
      </c>
      <c r="O2321">
        <v>10</v>
      </c>
      <c r="P2321">
        <v>15</v>
      </c>
    </row>
    <row r="2322" spans="1:16" x14ac:dyDescent="0.3">
      <c r="A2322" t="s">
        <v>54</v>
      </c>
      <c r="B2322">
        <v>15</v>
      </c>
      <c r="C2322">
        <v>0</v>
      </c>
      <c r="D2322">
        <v>0</v>
      </c>
      <c r="E2322">
        <v>0</v>
      </c>
      <c r="F2322">
        <v>0</v>
      </c>
      <c r="G2322">
        <v>0</v>
      </c>
      <c r="H2322">
        <v>0</v>
      </c>
      <c r="I2322">
        <v>0</v>
      </c>
      <c r="J2322">
        <v>0</v>
      </c>
      <c r="K2322">
        <v>0</v>
      </c>
      <c r="L2322">
        <v>0</v>
      </c>
      <c r="M2322">
        <v>0</v>
      </c>
      <c r="N2322">
        <v>0</v>
      </c>
      <c r="O2322">
        <v>0</v>
      </c>
      <c r="P2322">
        <v>0</v>
      </c>
    </row>
    <row r="2323" spans="1:16" x14ac:dyDescent="0.3">
      <c r="A2323" t="s">
        <v>55</v>
      </c>
      <c r="B2323">
        <v>15</v>
      </c>
      <c r="C2323">
        <v>0</v>
      </c>
      <c r="D2323">
        <v>0</v>
      </c>
      <c r="E2323">
        <v>0</v>
      </c>
      <c r="F2323">
        <v>0</v>
      </c>
      <c r="G2323">
        <v>0</v>
      </c>
      <c r="H2323">
        <v>0</v>
      </c>
      <c r="I2323">
        <v>0</v>
      </c>
      <c r="J2323">
        <v>0</v>
      </c>
      <c r="K2323">
        <v>0</v>
      </c>
      <c r="L2323">
        <v>0</v>
      </c>
      <c r="M2323">
        <v>0</v>
      </c>
      <c r="N2323">
        <v>0</v>
      </c>
      <c r="O2323">
        <v>0</v>
      </c>
      <c r="P2323">
        <v>0</v>
      </c>
    </row>
    <row r="2324" spans="1:16" x14ac:dyDescent="0.3">
      <c r="A2324" t="s">
        <v>56</v>
      </c>
      <c r="B2324">
        <v>15</v>
      </c>
      <c r="C2324">
        <v>0.92</v>
      </c>
      <c r="D2324">
        <v>0.92</v>
      </c>
      <c r="E2324">
        <v>0.92</v>
      </c>
      <c r="F2324">
        <v>0.92</v>
      </c>
      <c r="G2324">
        <v>0.92</v>
      </c>
      <c r="H2324">
        <v>0.92</v>
      </c>
      <c r="I2324">
        <v>0.92</v>
      </c>
      <c r="J2324">
        <v>0.92</v>
      </c>
      <c r="K2324">
        <v>0.92</v>
      </c>
      <c r="L2324">
        <v>0.92</v>
      </c>
      <c r="M2324">
        <v>0.92</v>
      </c>
      <c r="N2324">
        <v>0.92</v>
      </c>
      <c r="O2324">
        <v>0.92</v>
      </c>
      <c r="P2324">
        <v>0.92</v>
      </c>
    </row>
    <row r="2325" spans="1:16" x14ac:dyDescent="0.3">
      <c r="A2325" t="s">
        <v>57</v>
      </c>
      <c r="B2325">
        <v>15</v>
      </c>
      <c r="C2325">
        <v>100</v>
      </c>
      <c r="D2325">
        <v>100</v>
      </c>
      <c r="E2325">
        <v>100</v>
      </c>
      <c r="F2325">
        <v>100</v>
      </c>
      <c r="G2325">
        <v>100</v>
      </c>
      <c r="H2325">
        <v>100</v>
      </c>
      <c r="I2325">
        <v>100</v>
      </c>
      <c r="J2325">
        <v>100</v>
      </c>
      <c r="K2325">
        <v>100</v>
      </c>
      <c r="L2325">
        <v>100</v>
      </c>
      <c r="M2325">
        <v>100</v>
      </c>
      <c r="N2325">
        <v>100</v>
      </c>
      <c r="O2325">
        <v>100</v>
      </c>
      <c r="P2325">
        <v>100</v>
      </c>
    </row>
    <row r="2326" spans="1:16" x14ac:dyDescent="0.3">
      <c r="A2326" t="s">
        <v>58</v>
      </c>
      <c r="B2326">
        <v>15</v>
      </c>
      <c r="C2326">
        <v>2</v>
      </c>
      <c r="D2326">
        <v>2</v>
      </c>
      <c r="E2326">
        <v>2</v>
      </c>
      <c r="F2326">
        <v>2</v>
      </c>
      <c r="G2326">
        <v>2</v>
      </c>
      <c r="H2326">
        <v>2</v>
      </c>
      <c r="I2326">
        <v>2</v>
      </c>
      <c r="J2326">
        <v>2</v>
      </c>
      <c r="K2326">
        <v>2</v>
      </c>
      <c r="L2326">
        <v>2</v>
      </c>
      <c r="M2326">
        <v>2</v>
      </c>
      <c r="N2326">
        <v>2</v>
      </c>
      <c r="O2326">
        <v>2</v>
      </c>
      <c r="P2326">
        <v>2</v>
      </c>
    </row>
    <row r="2327" spans="1:16" x14ac:dyDescent="0.3">
      <c r="A2327" t="s">
        <v>59</v>
      </c>
      <c r="B2327">
        <v>15</v>
      </c>
      <c r="C2327">
        <v>0</v>
      </c>
      <c r="D2327">
        <v>0</v>
      </c>
      <c r="E2327">
        <v>0</v>
      </c>
      <c r="F2327">
        <v>0</v>
      </c>
      <c r="G2327">
        <v>0</v>
      </c>
      <c r="H2327">
        <v>0</v>
      </c>
      <c r="I2327">
        <v>0</v>
      </c>
      <c r="J2327">
        <v>0</v>
      </c>
      <c r="K2327">
        <v>0</v>
      </c>
      <c r="L2327">
        <v>0</v>
      </c>
      <c r="M2327">
        <v>0</v>
      </c>
      <c r="N2327">
        <v>0</v>
      </c>
      <c r="O2327">
        <v>0</v>
      </c>
      <c r="P2327">
        <v>0</v>
      </c>
    </row>
    <row r="2328" spans="1:16" x14ac:dyDescent="0.3">
      <c r="A2328" t="s">
        <v>635</v>
      </c>
      <c r="B2328">
        <v>15</v>
      </c>
      <c r="E2328">
        <v>0</v>
      </c>
      <c r="I2328">
        <v>0</v>
      </c>
      <c r="L2328">
        <v>0</v>
      </c>
      <c r="O2328">
        <v>0</v>
      </c>
    </row>
    <row r="2329" spans="1:16" x14ac:dyDescent="0.3">
      <c r="A2329" t="s">
        <v>574</v>
      </c>
      <c r="B2329">
        <v>15</v>
      </c>
      <c r="E2329">
        <v>1896</v>
      </c>
      <c r="I2329">
        <v>1304</v>
      </c>
      <c r="L2329">
        <v>1000</v>
      </c>
      <c r="O2329">
        <v>1155</v>
      </c>
    </row>
    <row r="2330" spans="1:16" x14ac:dyDescent="0.3">
      <c r="A2330" t="s">
        <v>78</v>
      </c>
      <c r="B2330">
        <v>15</v>
      </c>
      <c r="E2330">
        <v>28.7</v>
      </c>
      <c r="I2330">
        <v>19.8</v>
      </c>
      <c r="L2330">
        <v>22.7</v>
      </c>
      <c r="O2330">
        <v>26.3</v>
      </c>
    </row>
    <row r="2331" spans="1:16" x14ac:dyDescent="0.3">
      <c r="A2331" t="s">
        <v>636</v>
      </c>
      <c r="B2331">
        <v>15</v>
      </c>
      <c r="F2331">
        <v>0</v>
      </c>
      <c r="J2331">
        <v>1</v>
      </c>
      <c r="M2331">
        <v>1</v>
      </c>
      <c r="P2331">
        <v>1</v>
      </c>
    </row>
    <row r="2332" spans="1:16" x14ac:dyDescent="0.3">
      <c r="A2332" t="s">
        <v>637</v>
      </c>
      <c r="B2332">
        <v>15</v>
      </c>
      <c r="J2332">
        <v>100</v>
      </c>
      <c r="M2332">
        <v>50</v>
      </c>
      <c r="P2332">
        <v>50</v>
      </c>
    </row>
    <row r="2333" spans="1:16" x14ac:dyDescent="0.3">
      <c r="A2333" t="s">
        <v>638</v>
      </c>
      <c r="B2333">
        <v>15</v>
      </c>
      <c r="J2333">
        <v>0</v>
      </c>
      <c r="M2333">
        <v>0</v>
      </c>
      <c r="P2333">
        <v>0</v>
      </c>
    </row>
    <row r="2334" spans="1:16" x14ac:dyDescent="0.3">
      <c r="A2334" t="s">
        <v>639</v>
      </c>
      <c r="B2334">
        <v>15</v>
      </c>
      <c r="C2334">
        <v>3</v>
      </c>
      <c r="D2334">
        <v>0</v>
      </c>
      <c r="E2334">
        <v>0</v>
      </c>
      <c r="F2334">
        <v>1</v>
      </c>
      <c r="G2334">
        <v>3</v>
      </c>
      <c r="H2334">
        <v>0</v>
      </c>
      <c r="I2334">
        <v>0</v>
      </c>
      <c r="J2334">
        <v>1</v>
      </c>
      <c r="K2334">
        <v>0</v>
      </c>
      <c r="L2334">
        <v>0</v>
      </c>
      <c r="M2334">
        <v>1</v>
      </c>
      <c r="N2334">
        <v>0</v>
      </c>
      <c r="O2334">
        <v>0</v>
      </c>
      <c r="P2334">
        <v>1</v>
      </c>
    </row>
    <row r="2335" spans="1:16" x14ac:dyDescent="0.3">
      <c r="A2335" t="s">
        <v>640</v>
      </c>
      <c r="B2335">
        <v>15</v>
      </c>
      <c r="C2335">
        <v>0</v>
      </c>
      <c r="D2335">
        <v>0</v>
      </c>
      <c r="E2335">
        <v>0</v>
      </c>
      <c r="F2335">
        <v>0</v>
      </c>
      <c r="G2335">
        <v>0</v>
      </c>
      <c r="H2335">
        <v>0</v>
      </c>
      <c r="I2335">
        <v>0</v>
      </c>
      <c r="J2335">
        <v>0</v>
      </c>
      <c r="K2335">
        <v>0</v>
      </c>
      <c r="L2335">
        <v>0</v>
      </c>
      <c r="M2335">
        <v>0</v>
      </c>
      <c r="N2335">
        <v>0</v>
      </c>
      <c r="O2335">
        <v>0</v>
      </c>
      <c r="P2335">
        <v>0</v>
      </c>
    </row>
    <row r="2336" spans="1:16" x14ac:dyDescent="0.3">
      <c r="A2336" t="s">
        <v>52</v>
      </c>
      <c r="B2336">
        <v>15</v>
      </c>
      <c r="C2336">
        <v>1</v>
      </c>
      <c r="D2336">
        <v>1</v>
      </c>
      <c r="E2336">
        <v>1</v>
      </c>
      <c r="F2336">
        <v>1</v>
      </c>
      <c r="G2336">
        <v>1</v>
      </c>
      <c r="H2336">
        <v>1</v>
      </c>
      <c r="I2336">
        <v>1</v>
      </c>
      <c r="J2336">
        <v>1</v>
      </c>
      <c r="K2336">
        <v>1</v>
      </c>
      <c r="L2336">
        <v>1</v>
      </c>
      <c r="M2336">
        <v>1</v>
      </c>
      <c r="N2336">
        <v>1</v>
      </c>
      <c r="O2336">
        <v>1</v>
      </c>
      <c r="P2336">
        <v>1</v>
      </c>
    </row>
    <row r="2337" spans="1:16" x14ac:dyDescent="0.3">
      <c r="A2337" t="s">
        <v>641</v>
      </c>
      <c r="B2337">
        <v>15</v>
      </c>
      <c r="C2337">
        <v>9</v>
      </c>
      <c r="D2337">
        <v>15</v>
      </c>
      <c r="E2337">
        <v>60</v>
      </c>
      <c r="F2337">
        <v>9</v>
      </c>
      <c r="G2337">
        <v>9</v>
      </c>
      <c r="H2337">
        <v>15</v>
      </c>
      <c r="I2337">
        <v>60</v>
      </c>
      <c r="J2337">
        <v>9</v>
      </c>
      <c r="K2337">
        <v>15</v>
      </c>
      <c r="L2337">
        <v>60</v>
      </c>
      <c r="M2337">
        <v>9</v>
      </c>
      <c r="N2337">
        <v>15</v>
      </c>
      <c r="O2337">
        <v>60</v>
      </c>
      <c r="P2337">
        <v>9</v>
      </c>
    </row>
    <row r="2338" spans="1:16" x14ac:dyDescent="0.3">
      <c r="A2338" t="s">
        <v>43</v>
      </c>
      <c r="B2338">
        <v>15</v>
      </c>
      <c r="D2338">
        <v>40</v>
      </c>
      <c r="E2338">
        <v>336</v>
      </c>
      <c r="F2338">
        <v>0</v>
      </c>
      <c r="H2338">
        <v>40</v>
      </c>
      <c r="I2338">
        <v>336</v>
      </c>
      <c r="J2338">
        <v>0</v>
      </c>
      <c r="K2338">
        <v>40</v>
      </c>
      <c r="L2338">
        <v>40</v>
      </c>
      <c r="M2338">
        <v>0</v>
      </c>
      <c r="N2338">
        <v>40</v>
      </c>
      <c r="O2338">
        <v>40</v>
      </c>
      <c r="P2338">
        <v>0</v>
      </c>
    </row>
    <row r="2339" spans="1:16" x14ac:dyDescent="0.3">
      <c r="A2339" t="s">
        <v>44</v>
      </c>
      <c r="B2339">
        <v>15</v>
      </c>
      <c r="D2339">
        <v>0</v>
      </c>
      <c r="E2339">
        <v>0</v>
      </c>
      <c r="F2339">
        <v>0</v>
      </c>
      <c r="H2339">
        <v>0</v>
      </c>
      <c r="I2339">
        <v>0</v>
      </c>
      <c r="J2339">
        <v>0</v>
      </c>
      <c r="K2339">
        <v>0</v>
      </c>
      <c r="L2339">
        <v>0</v>
      </c>
      <c r="M2339">
        <v>0</v>
      </c>
      <c r="N2339">
        <v>0</v>
      </c>
      <c r="O2339">
        <v>0</v>
      </c>
      <c r="P2339">
        <v>0</v>
      </c>
    </row>
    <row r="2340" spans="1:16" x14ac:dyDescent="0.3">
      <c r="A2340" t="s">
        <v>47</v>
      </c>
      <c r="B2340">
        <v>15</v>
      </c>
      <c r="D2340">
        <v>5</v>
      </c>
      <c r="E2340">
        <v>2</v>
      </c>
      <c r="F2340">
        <v>2</v>
      </c>
      <c r="H2340">
        <v>1</v>
      </c>
      <c r="I2340">
        <v>6</v>
      </c>
      <c r="J2340">
        <v>6</v>
      </c>
      <c r="K2340">
        <v>3</v>
      </c>
      <c r="L2340">
        <v>3</v>
      </c>
      <c r="M2340">
        <v>3</v>
      </c>
      <c r="N2340">
        <v>4</v>
      </c>
      <c r="O2340">
        <v>4</v>
      </c>
      <c r="P2340">
        <v>4</v>
      </c>
    </row>
    <row r="2341" spans="1:16" x14ac:dyDescent="0.3">
      <c r="A2341" t="s">
        <v>642</v>
      </c>
      <c r="B2341">
        <v>15</v>
      </c>
      <c r="D2341">
        <v>0</v>
      </c>
      <c r="E2341">
        <v>0</v>
      </c>
      <c r="F2341">
        <v>0</v>
      </c>
      <c r="H2341">
        <v>0</v>
      </c>
      <c r="I2341">
        <v>0</v>
      </c>
      <c r="J2341">
        <v>0</v>
      </c>
      <c r="K2341">
        <v>0</v>
      </c>
      <c r="L2341">
        <v>0</v>
      </c>
      <c r="M2341">
        <v>0</v>
      </c>
      <c r="N2341">
        <v>0</v>
      </c>
      <c r="O2341">
        <v>0</v>
      </c>
      <c r="P2341">
        <v>0</v>
      </c>
    </row>
    <row r="2342" spans="1:16" x14ac:dyDescent="0.3">
      <c r="A2342" t="s">
        <v>643</v>
      </c>
      <c r="B2342">
        <v>15</v>
      </c>
      <c r="D2342">
        <v>0</v>
      </c>
      <c r="E2342">
        <v>0</v>
      </c>
      <c r="F2342">
        <v>0</v>
      </c>
      <c r="H2342">
        <v>0</v>
      </c>
      <c r="I2342">
        <v>0</v>
      </c>
      <c r="J2342">
        <v>0</v>
      </c>
      <c r="K2342">
        <v>0</v>
      </c>
      <c r="L2342">
        <v>0</v>
      </c>
      <c r="M2342">
        <v>0</v>
      </c>
      <c r="N2342">
        <v>0</v>
      </c>
      <c r="O2342">
        <v>0</v>
      </c>
      <c r="P2342">
        <v>0</v>
      </c>
    </row>
    <row r="2343" spans="1:16" x14ac:dyDescent="0.3">
      <c r="A2343" t="s">
        <v>644</v>
      </c>
      <c r="B2343">
        <v>15</v>
      </c>
      <c r="D2343">
        <v>0</v>
      </c>
      <c r="E2343">
        <v>0</v>
      </c>
      <c r="F2343">
        <v>0</v>
      </c>
      <c r="H2343">
        <v>0</v>
      </c>
      <c r="I2343">
        <v>0</v>
      </c>
      <c r="J2343">
        <v>0</v>
      </c>
      <c r="K2343">
        <v>0</v>
      </c>
      <c r="L2343">
        <v>0</v>
      </c>
      <c r="M2343">
        <v>0</v>
      </c>
      <c r="N2343">
        <v>0</v>
      </c>
      <c r="O2343">
        <v>0</v>
      </c>
      <c r="P2343">
        <v>0</v>
      </c>
    </row>
    <row r="2344" spans="1:16" x14ac:dyDescent="0.3">
      <c r="A2344" t="s">
        <v>645</v>
      </c>
      <c r="B2344">
        <v>15</v>
      </c>
      <c r="D2344">
        <v>0</v>
      </c>
      <c r="E2344">
        <v>0</v>
      </c>
      <c r="F2344">
        <v>0</v>
      </c>
      <c r="H2344">
        <v>0</v>
      </c>
      <c r="I2344">
        <v>0</v>
      </c>
      <c r="J2344">
        <v>0</v>
      </c>
      <c r="K2344">
        <v>0</v>
      </c>
      <c r="L2344">
        <v>0</v>
      </c>
      <c r="M2344">
        <v>0</v>
      </c>
      <c r="N2344">
        <v>0</v>
      </c>
      <c r="O2344">
        <v>0</v>
      </c>
      <c r="P2344">
        <v>0</v>
      </c>
    </row>
    <row r="2345" spans="1:16" x14ac:dyDescent="0.3">
      <c r="A2345" t="s">
        <v>646</v>
      </c>
      <c r="B2345">
        <v>15</v>
      </c>
      <c r="D2345">
        <v>1</v>
      </c>
      <c r="E2345">
        <v>2</v>
      </c>
      <c r="F2345">
        <v>1</v>
      </c>
      <c r="H2345">
        <v>1</v>
      </c>
      <c r="I2345">
        <v>2</v>
      </c>
      <c r="J2345">
        <v>1</v>
      </c>
      <c r="K2345">
        <v>1</v>
      </c>
      <c r="L2345">
        <v>1</v>
      </c>
      <c r="M2345">
        <v>1</v>
      </c>
      <c r="N2345">
        <v>1</v>
      </c>
      <c r="O2345">
        <v>1</v>
      </c>
      <c r="P2345">
        <v>1</v>
      </c>
    </row>
    <row r="2346" spans="1:16" x14ac:dyDescent="0.3">
      <c r="A2346" t="s">
        <v>647</v>
      </c>
      <c r="B2346">
        <v>15</v>
      </c>
      <c r="D2346">
        <v>0</v>
      </c>
      <c r="E2346">
        <v>330</v>
      </c>
      <c r="F2346">
        <v>0</v>
      </c>
      <c r="H2346">
        <v>0</v>
      </c>
      <c r="I2346">
        <v>330</v>
      </c>
      <c r="J2346">
        <v>0</v>
      </c>
      <c r="K2346">
        <v>0</v>
      </c>
      <c r="L2346">
        <v>0</v>
      </c>
      <c r="M2346">
        <v>0</v>
      </c>
      <c r="N2346">
        <v>0</v>
      </c>
      <c r="O2346">
        <v>0</v>
      </c>
      <c r="P2346">
        <v>0</v>
      </c>
    </row>
    <row r="2347" spans="1:16" x14ac:dyDescent="0.3">
      <c r="A2347" t="s">
        <v>648</v>
      </c>
      <c r="B2347">
        <v>15</v>
      </c>
      <c r="D2347">
        <v>40</v>
      </c>
      <c r="E2347">
        <v>6</v>
      </c>
      <c r="F2347">
        <v>0</v>
      </c>
      <c r="H2347">
        <v>40</v>
      </c>
      <c r="I2347">
        <v>6</v>
      </c>
      <c r="J2347">
        <v>0</v>
      </c>
      <c r="K2347">
        <v>40</v>
      </c>
      <c r="L2347">
        <v>40</v>
      </c>
      <c r="M2347">
        <v>0</v>
      </c>
      <c r="N2347">
        <v>40</v>
      </c>
      <c r="O2347">
        <v>40</v>
      </c>
      <c r="P2347">
        <v>0</v>
      </c>
    </row>
    <row r="2348" spans="1:16" x14ac:dyDescent="0.3">
      <c r="A2348" t="s">
        <v>649</v>
      </c>
      <c r="B2348">
        <v>15</v>
      </c>
      <c r="D2348">
        <v>3</v>
      </c>
      <c r="E2348">
        <v>3</v>
      </c>
      <c r="F2348">
        <v>3</v>
      </c>
      <c r="H2348">
        <v>3</v>
      </c>
      <c r="I2348">
        <v>3</v>
      </c>
      <c r="J2348">
        <v>3</v>
      </c>
      <c r="K2348">
        <v>3</v>
      </c>
      <c r="L2348">
        <v>3</v>
      </c>
      <c r="M2348">
        <v>3</v>
      </c>
      <c r="N2348">
        <v>3</v>
      </c>
      <c r="O2348">
        <v>3</v>
      </c>
      <c r="P2348">
        <v>3</v>
      </c>
    </row>
    <row r="2349" spans="1:16" x14ac:dyDescent="0.3">
      <c r="A2349" t="s">
        <v>650</v>
      </c>
      <c r="B2349">
        <v>15</v>
      </c>
      <c r="D2349">
        <v>0</v>
      </c>
      <c r="E2349">
        <v>0</v>
      </c>
      <c r="F2349">
        <v>0</v>
      </c>
      <c r="H2349">
        <v>0</v>
      </c>
      <c r="I2349">
        <v>0</v>
      </c>
      <c r="J2349">
        <v>0</v>
      </c>
      <c r="K2349">
        <v>0</v>
      </c>
      <c r="L2349">
        <v>0</v>
      </c>
      <c r="M2349">
        <v>0</v>
      </c>
      <c r="N2349">
        <v>0</v>
      </c>
      <c r="O2349">
        <v>0</v>
      </c>
      <c r="P2349">
        <v>0</v>
      </c>
    </row>
    <row r="2350" spans="1:16" x14ac:dyDescent="0.3">
      <c r="A2350" t="s">
        <v>651</v>
      </c>
      <c r="B2350">
        <v>15</v>
      </c>
      <c r="D2350">
        <v>0</v>
      </c>
      <c r="E2350">
        <v>0</v>
      </c>
      <c r="F2350">
        <v>0</v>
      </c>
      <c r="H2350">
        <v>0</v>
      </c>
      <c r="I2350">
        <v>0</v>
      </c>
      <c r="J2350">
        <v>0</v>
      </c>
      <c r="K2350">
        <v>0</v>
      </c>
      <c r="L2350">
        <v>0</v>
      </c>
      <c r="M2350">
        <v>0</v>
      </c>
      <c r="N2350">
        <v>0</v>
      </c>
      <c r="O2350">
        <v>0</v>
      </c>
      <c r="P2350">
        <v>0</v>
      </c>
    </row>
    <row r="2351" spans="1:16" x14ac:dyDescent="0.3">
      <c r="A2351" t="s">
        <v>652</v>
      </c>
      <c r="B2351">
        <v>15</v>
      </c>
      <c r="D2351">
        <v>0</v>
      </c>
      <c r="E2351">
        <v>0</v>
      </c>
      <c r="F2351">
        <v>0</v>
      </c>
      <c r="H2351">
        <v>0</v>
      </c>
      <c r="I2351">
        <v>0</v>
      </c>
      <c r="J2351">
        <v>0</v>
      </c>
      <c r="K2351">
        <v>0</v>
      </c>
      <c r="L2351">
        <v>0</v>
      </c>
      <c r="M2351">
        <v>0</v>
      </c>
      <c r="N2351">
        <v>0</v>
      </c>
      <c r="O2351">
        <v>0</v>
      </c>
      <c r="P2351">
        <v>0</v>
      </c>
    </row>
    <row r="2352" spans="1:16" x14ac:dyDescent="0.3">
      <c r="A2352" t="s">
        <v>653</v>
      </c>
      <c r="B2352">
        <v>15</v>
      </c>
      <c r="E2352">
        <v>0</v>
      </c>
      <c r="I2352">
        <v>0</v>
      </c>
    </row>
    <row r="2353" spans="1:16" x14ac:dyDescent="0.3">
      <c r="A2353" t="s">
        <v>654</v>
      </c>
      <c r="B2353">
        <v>15</v>
      </c>
      <c r="E2353">
        <v>0</v>
      </c>
      <c r="I2353">
        <v>0</v>
      </c>
    </row>
    <row r="2354" spans="1:16" x14ac:dyDescent="0.3">
      <c r="A2354" t="s">
        <v>655</v>
      </c>
      <c r="B2354">
        <v>15</v>
      </c>
      <c r="E2354">
        <v>3</v>
      </c>
      <c r="I2354">
        <v>3</v>
      </c>
    </row>
    <row r="2355" spans="1:16" x14ac:dyDescent="0.3">
      <c r="A2355" t="s">
        <v>656</v>
      </c>
      <c r="B2355">
        <v>15</v>
      </c>
      <c r="E2355">
        <v>0</v>
      </c>
      <c r="I2355">
        <v>0</v>
      </c>
    </row>
    <row r="2356" spans="1:16" x14ac:dyDescent="0.3">
      <c r="A2356" t="s">
        <v>657</v>
      </c>
      <c r="B2356">
        <v>15</v>
      </c>
      <c r="E2356">
        <v>0</v>
      </c>
      <c r="I2356">
        <v>0</v>
      </c>
      <c r="L2356">
        <v>0</v>
      </c>
      <c r="O2356">
        <v>0</v>
      </c>
    </row>
    <row r="2357" spans="1:16" x14ac:dyDescent="0.3">
      <c r="A2357" t="s">
        <v>408</v>
      </c>
      <c r="B2357">
        <v>15</v>
      </c>
      <c r="E2357">
        <v>0</v>
      </c>
    </row>
    <row r="2358" spans="1:16" x14ac:dyDescent="0.3">
      <c r="A2358" t="s">
        <v>659</v>
      </c>
      <c r="B2358">
        <v>15</v>
      </c>
      <c r="K2358">
        <v>45</v>
      </c>
    </row>
    <row r="2359" spans="1:16" x14ac:dyDescent="0.3">
      <c r="A2359" t="s">
        <v>658</v>
      </c>
      <c r="B2359">
        <v>15</v>
      </c>
      <c r="C2359">
        <v>0</v>
      </c>
      <c r="D2359">
        <v>61</v>
      </c>
      <c r="E2359">
        <v>1126</v>
      </c>
      <c r="F2359">
        <v>5</v>
      </c>
      <c r="G2359">
        <v>0</v>
      </c>
      <c r="H2359">
        <v>5</v>
      </c>
      <c r="I2359">
        <v>493</v>
      </c>
      <c r="J2359">
        <v>52</v>
      </c>
      <c r="K2359">
        <v>25</v>
      </c>
      <c r="L2359">
        <v>26</v>
      </c>
      <c r="M2359">
        <v>8</v>
      </c>
      <c r="N2359">
        <v>25</v>
      </c>
      <c r="O2359">
        <v>11</v>
      </c>
      <c r="P2359">
        <v>16</v>
      </c>
    </row>
    <row r="2360" spans="1:16" x14ac:dyDescent="0.3">
      <c r="A2360" t="s">
        <v>34</v>
      </c>
      <c r="B2360">
        <v>16</v>
      </c>
      <c r="C2360">
        <v>15</v>
      </c>
      <c r="D2360">
        <v>15</v>
      </c>
      <c r="E2360">
        <v>15</v>
      </c>
      <c r="F2360">
        <v>15</v>
      </c>
      <c r="G2360">
        <v>19</v>
      </c>
      <c r="H2360">
        <v>19</v>
      </c>
      <c r="I2360">
        <v>19</v>
      </c>
      <c r="J2360">
        <v>19</v>
      </c>
      <c r="K2360">
        <v>130</v>
      </c>
      <c r="L2360">
        <v>130</v>
      </c>
      <c r="M2360">
        <v>130</v>
      </c>
      <c r="N2360">
        <v>131</v>
      </c>
      <c r="O2360">
        <v>131</v>
      </c>
      <c r="P2360">
        <v>131</v>
      </c>
    </row>
    <row r="2361" spans="1:16" x14ac:dyDescent="0.3">
      <c r="A2361" t="s">
        <v>35</v>
      </c>
      <c r="B2361">
        <v>16</v>
      </c>
      <c r="C2361">
        <v>15</v>
      </c>
      <c r="D2361">
        <v>130</v>
      </c>
      <c r="E2361">
        <v>19</v>
      </c>
      <c r="F2361">
        <v>131</v>
      </c>
      <c r="G2361">
        <v>19</v>
      </c>
      <c r="H2361">
        <v>131</v>
      </c>
      <c r="I2361">
        <v>15</v>
      </c>
      <c r="J2361">
        <v>130</v>
      </c>
      <c r="K2361">
        <v>19</v>
      </c>
      <c r="L2361">
        <v>131</v>
      </c>
      <c r="M2361">
        <v>15</v>
      </c>
      <c r="N2361">
        <v>15</v>
      </c>
      <c r="O2361">
        <v>130</v>
      </c>
      <c r="P2361">
        <v>19</v>
      </c>
    </row>
    <row r="2362" spans="1:16" x14ac:dyDescent="0.3">
      <c r="A2362" t="s">
        <v>36</v>
      </c>
      <c r="B2362">
        <v>16</v>
      </c>
      <c r="C2362">
        <v>0</v>
      </c>
      <c r="D2362">
        <v>1</v>
      </c>
      <c r="E2362">
        <v>2</v>
      </c>
      <c r="F2362">
        <v>1</v>
      </c>
      <c r="G2362">
        <v>0</v>
      </c>
      <c r="H2362">
        <v>1</v>
      </c>
      <c r="I2362">
        <v>2</v>
      </c>
      <c r="J2362">
        <v>1</v>
      </c>
      <c r="K2362">
        <v>0</v>
      </c>
      <c r="L2362">
        <v>1</v>
      </c>
      <c r="M2362">
        <v>1</v>
      </c>
      <c r="N2362">
        <v>0</v>
      </c>
      <c r="O2362">
        <v>1</v>
      </c>
      <c r="P2362">
        <v>1</v>
      </c>
    </row>
    <row r="2363" spans="1:16" x14ac:dyDescent="0.3">
      <c r="A2363" t="s">
        <v>37</v>
      </c>
      <c r="B2363">
        <v>16</v>
      </c>
      <c r="D2363">
        <v>0</v>
      </c>
      <c r="E2363">
        <v>0</v>
      </c>
      <c r="H2363">
        <v>0</v>
      </c>
      <c r="I2363">
        <v>0</v>
      </c>
      <c r="K2363">
        <v>0</v>
      </c>
      <c r="L2363">
        <v>1</v>
      </c>
      <c r="N2363">
        <v>0</v>
      </c>
      <c r="O2363">
        <v>1</v>
      </c>
    </row>
    <row r="2364" spans="1:16" x14ac:dyDescent="0.3">
      <c r="A2364" t="s">
        <v>38</v>
      </c>
      <c r="B2364">
        <v>16</v>
      </c>
      <c r="C2364">
        <v>12</v>
      </c>
      <c r="D2364">
        <v>12</v>
      </c>
      <c r="E2364">
        <v>12</v>
      </c>
      <c r="F2364">
        <v>12</v>
      </c>
      <c r="G2364">
        <v>12</v>
      </c>
      <c r="H2364">
        <v>12</v>
      </c>
      <c r="I2364">
        <v>12</v>
      </c>
      <c r="J2364">
        <v>12</v>
      </c>
      <c r="K2364">
        <v>12</v>
      </c>
      <c r="L2364">
        <v>12</v>
      </c>
      <c r="M2364">
        <v>12</v>
      </c>
      <c r="N2364">
        <v>12</v>
      </c>
      <c r="O2364">
        <v>12</v>
      </c>
      <c r="P2364">
        <v>12</v>
      </c>
    </row>
    <row r="2365" spans="1:16" x14ac:dyDescent="0.3">
      <c r="A2365" t="s">
        <v>39</v>
      </c>
      <c r="B2365">
        <v>16</v>
      </c>
      <c r="D2365">
        <v>200</v>
      </c>
      <c r="F2365">
        <v>200</v>
      </c>
      <c r="H2365">
        <v>200</v>
      </c>
      <c r="J2365">
        <v>200</v>
      </c>
      <c r="M2365">
        <v>150</v>
      </c>
      <c r="P2365">
        <v>150</v>
      </c>
    </row>
    <row r="2366" spans="1:16" x14ac:dyDescent="0.3">
      <c r="A2366" t="s">
        <v>631</v>
      </c>
      <c r="B2366">
        <v>16</v>
      </c>
      <c r="D2366">
        <v>25</v>
      </c>
      <c r="F2366">
        <v>25</v>
      </c>
      <c r="H2366">
        <v>25</v>
      </c>
      <c r="J2366">
        <v>25</v>
      </c>
      <c r="M2366">
        <v>25</v>
      </c>
      <c r="P2366">
        <v>25</v>
      </c>
    </row>
    <row r="2367" spans="1:16" x14ac:dyDescent="0.3">
      <c r="A2367" t="s">
        <v>40</v>
      </c>
      <c r="B2367">
        <v>16</v>
      </c>
      <c r="D2367">
        <v>1</v>
      </c>
      <c r="F2367">
        <v>1</v>
      </c>
      <c r="H2367">
        <v>1</v>
      </c>
      <c r="J2367">
        <v>1</v>
      </c>
      <c r="M2367">
        <v>1</v>
      </c>
      <c r="P2367">
        <v>1</v>
      </c>
    </row>
    <row r="2368" spans="1:16" x14ac:dyDescent="0.3">
      <c r="A2368" t="s">
        <v>41</v>
      </c>
      <c r="B2368">
        <v>16</v>
      </c>
    </row>
    <row r="2369" spans="1:16" x14ac:dyDescent="0.3">
      <c r="A2369" t="s">
        <v>42</v>
      </c>
      <c r="B2369">
        <v>16</v>
      </c>
      <c r="E2369">
        <v>45</v>
      </c>
      <c r="I2369">
        <v>55</v>
      </c>
      <c r="L2369">
        <v>30</v>
      </c>
      <c r="O2369">
        <v>30</v>
      </c>
    </row>
    <row r="2370" spans="1:16" x14ac:dyDescent="0.3">
      <c r="A2370" t="s">
        <v>45</v>
      </c>
      <c r="B2370">
        <v>16</v>
      </c>
      <c r="E2370">
        <v>6</v>
      </c>
      <c r="H2370">
        <v>5</v>
      </c>
      <c r="I2370">
        <v>2</v>
      </c>
      <c r="L2370">
        <v>8</v>
      </c>
      <c r="O2370">
        <v>4</v>
      </c>
    </row>
    <row r="2371" spans="1:16" x14ac:dyDescent="0.3">
      <c r="A2371" t="s">
        <v>46</v>
      </c>
      <c r="B2371">
        <v>16</v>
      </c>
      <c r="D2371">
        <v>6</v>
      </c>
      <c r="F2371">
        <v>6</v>
      </c>
      <c r="H2371">
        <v>2</v>
      </c>
      <c r="J2371">
        <v>2</v>
      </c>
      <c r="K2371">
        <v>8</v>
      </c>
      <c r="M2371">
        <v>8</v>
      </c>
      <c r="N2371">
        <v>4</v>
      </c>
      <c r="P2371">
        <v>4</v>
      </c>
    </row>
    <row r="2372" spans="1:16" x14ac:dyDescent="0.3">
      <c r="A2372" t="s">
        <v>49</v>
      </c>
      <c r="B2372">
        <v>16</v>
      </c>
      <c r="C2372">
        <v>4</v>
      </c>
      <c r="D2372">
        <v>6.5</v>
      </c>
      <c r="E2372">
        <v>6.5</v>
      </c>
      <c r="F2372">
        <v>6.5</v>
      </c>
      <c r="G2372">
        <v>4</v>
      </c>
      <c r="H2372">
        <v>4</v>
      </c>
      <c r="I2372">
        <v>6.5</v>
      </c>
      <c r="J2372">
        <v>6.5</v>
      </c>
      <c r="K2372">
        <v>6.6</v>
      </c>
      <c r="L2372">
        <v>6.6</v>
      </c>
      <c r="M2372">
        <v>6.6</v>
      </c>
      <c r="N2372">
        <v>6.6</v>
      </c>
      <c r="O2372">
        <v>6.6</v>
      </c>
      <c r="P2372">
        <v>6.6</v>
      </c>
    </row>
    <row r="2373" spans="1:16" x14ac:dyDescent="0.3">
      <c r="A2373" t="s">
        <v>632</v>
      </c>
      <c r="B2373">
        <v>16</v>
      </c>
      <c r="C2373">
        <v>0</v>
      </c>
      <c r="D2373">
        <v>0</v>
      </c>
      <c r="E2373">
        <v>0</v>
      </c>
      <c r="F2373">
        <v>0</v>
      </c>
      <c r="G2373">
        <v>0</v>
      </c>
      <c r="H2373">
        <v>0</v>
      </c>
      <c r="I2373">
        <v>0</v>
      </c>
      <c r="J2373">
        <v>0</v>
      </c>
      <c r="K2373">
        <v>0</v>
      </c>
      <c r="L2373">
        <v>0</v>
      </c>
      <c r="M2373">
        <v>0</v>
      </c>
      <c r="N2373">
        <v>0</v>
      </c>
      <c r="O2373">
        <v>0</v>
      </c>
      <c r="P2373">
        <v>0</v>
      </c>
    </row>
    <row r="2374" spans="1:16" x14ac:dyDescent="0.3">
      <c r="A2374" t="s">
        <v>48</v>
      </c>
      <c r="B2374">
        <v>16</v>
      </c>
      <c r="C2374">
        <v>1900</v>
      </c>
      <c r="D2374">
        <v>1900</v>
      </c>
      <c r="E2374">
        <v>1900</v>
      </c>
      <c r="F2374">
        <v>1900</v>
      </c>
      <c r="G2374">
        <v>1900</v>
      </c>
      <c r="H2374">
        <v>1900</v>
      </c>
      <c r="I2374">
        <v>1900</v>
      </c>
      <c r="J2374">
        <v>1900</v>
      </c>
      <c r="K2374">
        <v>1900</v>
      </c>
      <c r="L2374">
        <v>1900</v>
      </c>
      <c r="M2374">
        <v>1900</v>
      </c>
      <c r="N2374">
        <v>1900</v>
      </c>
      <c r="O2374">
        <v>1900</v>
      </c>
      <c r="P2374">
        <v>1900</v>
      </c>
    </row>
    <row r="2375" spans="1:16" x14ac:dyDescent="0.3">
      <c r="A2375" t="s">
        <v>633</v>
      </c>
      <c r="B2375">
        <v>16</v>
      </c>
      <c r="C2375">
        <v>0</v>
      </c>
      <c r="D2375">
        <v>1770</v>
      </c>
      <c r="E2375">
        <v>3539</v>
      </c>
      <c r="F2375">
        <v>1583</v>
      </c>
      <c r="G2375">
        <v>0</v>
      </c>
      <c r="H2375">
        <v>1770</v>
      </c>
      <c r="I2375">
        <v>3539</v>
      </c>
      <c r="J2375">
        <v>1583</v>
      </c>
      <c r="K2375">
        <v>0</v>
      </c>
      <c r="L2375">
        <v>1809</v>
      </c>
      <c r="M2375">
        <v>1583</v>
      </c>
      <c r="N2375">
        <v>0</v>
      </c>
      <c r="O2375">
        <v>1809</v>
      </c>
      <c r="P2375">
        <v>1583</v>
      </c>
    </row>
    <row r="2376" spans="1:16" x14ac:dyDescent="0.3">
      <c r="A2376" t="s">
        <v>50</v>
      </c>
      <c r="B2376">
        <v>16</v>
      </c>
      <c r="C2376">
        <v>0</v>
      </c>
      <c r="D2376">
        <v>794</v>
      </c>
      <c r="E2376">
        <v>3539</v>
      </c>
      <c r="F2376">
        <v>1583</v>
      </c>
      <c r="G2376">
        <v>0</v>
      </c>
      <c r="H2376">
        <v>421</v>
      </c>
      <c r="I2376">
        <v>3539</v>
      </c>
      <c r="J2376">
        <v>1583</v>
      </c>
      <c r="K2376">
        <v>0</v>
      </c>
      <c r="L2376">
        <v>1494</v>
      </c>
      <c r="M2376">
        <v>1583</v>
      </c>
      <c r="N2376">
        <v>0</v>
      </c>
      <c r="O2376">
        <v>1494</v>
      </c>
      <c r="P2376">
        <v>1583</v>
      </c>
    </row>
    <row r="2377" spans="1:16" x14ac:dyDescent="0.3">
      <c r="A2377" t="s">
        <v>634</v>
      </c>
      <c r="B2377">
        <v>16</v>
      </c>
      <c r="C2377">
        <v>1</v>
      </c>
      <c r="D2377">
        <v>1</v>
      </c>
      <c r="E2377">
        <v>1</v>
      </c>
      <c r="F2377">
        <v>1</v>
      </c>
      <c r="G2377">
        <v>1</v>
      </c>
      <c r="H2377">
        <v>1</v>
      </c>
      <c r="I2377">
        <v>1</v>
      </c>
      <c r="J2377">
        <v>1</v>
      </c>
      <c r="K2377">
        <v>1</v>
      </c>
      <c r="L2377">
        <v>1</v>
      </c>
      <c r="M2377">
        <v>1</v>
      </c>
      <c r="N2377">
        <v>1</v>
      </c>
      <c r="O2377">
        <v>1</v>
      </c>
      <c r="P2377">
        <v>1</v>
      </c>
    </row>
    <row r="2378" spans="1:16" x14ac:dyDescent="0.3">
      <c r="A2378" t="s">
        <v>51</v>
      </c>
      <c r="B2378">
        <v>16</v>
      </c>
      <c r="C2378">
        <v>0</v>
      </c>
      <c r="D2378">
        <v>0</v>
      </c>
      <c r="E2378">
        <v>0</v>
      </c>
      <c r="F2378">
        <v>69</v>
      </c>
      <c r="G2378">
        <v>0</v>
      </c>
      <c r="H2378">
        <v>0</v>
      </c>
      <c r="I2378">
        <v>0</v>
      </c>
      <c r="J2378">
        <v>33</v>
      </c>
      <c r="K2378">
        <v>0</v>
      </c>
      <c r="L2378">
        <v>0</v>
      </c>
      <c r="M2378">
        <v>68</v>
      </c>
      <c r="N2378">
        <v>0</v>
      </c>
      <c r="O2378">
        <v>0</v>
      </c>
      <c r="P2378">
        <v>68</v>
      </c>
    </row>
    <row r="2379" spans="1:16" x14ac:dyDescent="0.3">
      <c r="A2379" t="s">
        <v>53</v>
      </c>
      <c r="B2379">
        <v>16</v>
      </c>
      <c r="C2379">
        <v>0</v>
      </c>
      <c r="D2379">
        <v>15</v>
      </c>
      <c r="E2379">
        <v>1050</v>
      </c>
      <c r="F2379">
        <v>5</v>
      </c>
      <c r="G2379">
        <v>0</v>
      </c>
      <c r="H2379">
        <v>8</v>
      </c>
      <c r="I2379">
        <v>550</v>
      </c>
      <c r="J2379">
        <v>5</v>
      </c>
      <c r="K2379">
        <v>15</v>
      </c>
      <c r="L2379">
        <v>10</v>
      </c>
      <c r="M2379">
        <v>10</v>
      </c>
      <c r="N2379">
        <v>15</v>
      </c>
      <c r="O2379">
        <v>10</v>
      </c>
      <c r="P2379">
        <v>15</v>
      </c>
    </row>
    <row r="2380" spans="1:16" x14ac:dyDescent="0.3">
      <c r="A2380" t="s">
        <v>54</v>
      </c>
      <c r="B2380">
        <v>16</v>
      </c>
      <c r="C2380">
        <v>0</v>
      </c>
      <c r="D2380">
        <v>0</v>
      </c>
      <c r="E2380">
        <v>0</v>
      </c>
      <c r="F2380">
        <v>0</v>
      </c>
      <c r="G2380">
        <v>0</v>
      </c>
      <c r="H2380">
        <v>0</v>
      </c>
      <c r="I2380">
        <v>0</v>
      </c>
      <c r="J2380">
        <v>0</v>
      </c>
      <c r="K2380">
        <v>0</v>
      </c>
      <c r="L2380">
        <v>0</v>
      </c>
      <c r="M2380">
        <v>0</v>
      </c>
      <c r="N2380">
        <v>0</v>
      </c>
      <c r="O2380">
        <v>0</v>
      </c>
      <c r="P2380">
        <v>0</v>
      </c>
    </row>
    <row r="2381" spans="1:16" x14ac:dyDescent="0.3">
      <c r="A2381" t="s">
        <v>55</v>
      </c>
      <c r="B2381">
        <v>16</v>
      </c>
      <c r="C2381">
        <v>0</v>
      </c>
      <c r="D2381">
        <v>0</v>
      </c>
      <c r="E2381">
        <v>0</v>
      </c>
      <c r="F2381">
        <v>0</v>
      </c>
      <c r="G2381">
        <v>0</v>
      </c>
      <c r="H2381">
        <v>0</v>
      </c>
      <c r="I2381">
        <v>0</v>
      </c>
      <c r="J2381">
        <v>0</v>
      </c>
      <c r="K2381">
        <v>0</v>
      </c>
      <c r="L2381">
        <v>0</v>
      </c>
      <c r="M2381">
        <v>0</v>
      </c>
      <c r="N2381">
        <v>0</v>
      </c>
      <c r="O2381">
        <v>0</v>
      </c>
      <c r="P2381">
        <v>0</v>
      </c>
    </row>
    <row r="2382" spans="1:16" x14ac:dyDescent="0.3">
      <c r="A2382" t="s">
        <v>56</v>
      </c>
      <c r="B2382">
        <v>16</v>
      </c>
      <c r="C2382">
        <v>0.92</v>
      </c>
      <c r="D2382">
        <v>0.92</v>
      </c>
      <c r="E2382">
        <v>0.92</v>
      </c>
      <c r="F2382">
        <v>0.92</v>
      </c>
      <c r="G2382">
        <v>0.92</v>
      </c>
      <c r="H2382">
        <v>0.92</v>
      </c>
      <c r="I2382">
        <v>0.92</v>
      </c>
      <c r="J2382">
        <v>0.92</v>
      </c>
      <c r="K2382">
        <v>0.92</v>
      </c>
      <c r="L2382">
        <v>0.92</v>
      </c>
      <c r="M2382">
        <v>0.92</v>
      </c>
      <c r="N2382">
        <v>0.92</v>
      </c>
      <c r="O2382">
        <v>0.92</v>
      </c>
      <c r="P2382">
        <v>0.92</v>
      </c>
    </row>
    <row r="2383" spans="1:16" x14ac:dyDescent="0.3">
      <c r="A2383" t="s">
        <v>57</v>
      </c>
      <c r="B2383">
        <v>16</v>
      </c>
      <c r="C2383">
        <v>100</v>
      </c>
      <c r="D2383">
        <v>100</v>
      </c>
      <c r="E2383">
        <v>100</v>
      </c>
      <c r="F2383">
        <v>100</v>
      </c>
      <c r="G2383">
        <v>100</v>
      </c>
      <c r="H2383">
        <v>100</v>
      </c>
      <c r="I2383">
        <v>100</v>
      </c>
      <c r="J2383">
        <v>100</v>
      </c>
      <c r="K2383">
        <v>100</v>
      </c>
      <c r="L2383">
        <v>100</v>
      </c>
      <c r="M2383">
        <v>100</v>
      </c>
      <c r="N2383">
        <v>100</v>
      </c>
      <c r="O2383">
        <v>100</v>
      </c>
      <c r="P2383">
        <v>100</v>
      </c>
    </row>
    <row r="2384" spans="1:16" x14ac:dyDescent="0.3">
      <c r="A2384" t="s">
        <v>58</v>
      </c>
      <c r="B2384">
        <v>16</v>
      </c>
      <c r="C2384">
        <v>2</v>
      </c>
      <c r="D2384">
        <v>2</v>
      </c>
      <c r="E2384">
        <v>2</v>
      </c>
      <c r="F2384">
        <v>2</v>
      </c>
      <c r="G2384">
        <v>2</v>
      </c>
      <c r="H2384">
        <v>2</v>
      </c>
      <c r="I2384">
        <v>2</v>
      </c>
      <c r="J2384">
        <v>2</v>
      </c>
      <c r="K2384">
        <v>2</v>
      </c>
      <c r="L2384">
        <v>2</v>
      </c>
      <c r="M2384">
        <v>2</v>
      </c>
      <c r="N2384">
        <v>2</v>
      </c>
      <c r="O2384">
        <v>2</v>
      </c>
      <c r="P2384">
        <v>2</v>
      </c>
    </row>
    <row r="2385" spans="1:16" x14ac:dyDescent="0.3">
      <c r="A2385" t="s">
        <v>59</v>
      </c>
      <c r="B2385">
        <v>16</v>
      </c>
      <c r="C2385">
        <v>0</v>
      </c>
      <c r="D2385">
        <v>0</v>
      </c>
      <c r="E2385">
        <v>0</v>
      </c>
      <c r="F2385">
        <v>0</v>
      </c>
      <c r="G2385">
        <v>0</v>
      </c>
      <c r="H2385">
        <v>0</v>
      </c>
      <c r="I2385">
        <v>0</v>
      </c>
      <c r="J2385">
        <v>0</v>
      </c>
      <c r="K2385">
        <v>0</v>
      </c>
      <c r="L2385">
        <v>0</v>
      </c>
      <c r="M2385">
        <v>0</v>
      </c>
      <c r="N2385">
        <v>0</v>
      </c>
      <c r="O2385">
        <v>0</v>
      </c>
      <c r="P2385">
        <v>0</v>
      </c>
    </row>
    <row r="2386" spans="1:16" x14ac:dyDescent="0.3">
      <c r="A2386" t="s">
        <v>635</v>
      </c>
      <c r="B2386">
        <v>16</v>
      </c>
      <c r="E2386">
        <v>0</v>
      </c>
      <c r="I2386">
        <v>0</v>
      </c>
      <c r="L2386">
        <v>0</v>
      </c>
      <c r="O2386">
        <v>0</v>
      </c>
    </row>
    <row r="2387" spans="1:16" x14ac:dyDescent="0.3">
      <c r="A2387" t="s">
        <v>574</v>
      </c>
      <c r="B2387">
        <v>16</v>
      </c>
      <c r="E2387">
        <v>1304</v>
      </c>
      <c r="I2387">
        <v>7582</v>
      </c>
      <c r="L2387">
        <v>832</v>
      </c>
      <c r="O2387">
        <v>1238</v>
      </c>
    </row>
    <row r="2388" spans="1:16" x14ac:dyDescent="0.3">
      <c r="A2388" t="s">
        <v>78</v>
      </c>
      <c r="B2388">
        <v>16</v>
      </c>
      <c r="E2388">
        <v>19.8</v>
      </c>
      <c r="I2388">
        <v>94</v>
      </c>
      <c r="L2388">
        <v>18.899999999999999</v>
      </c>
      <c r="O2388">
        <v>28.1</v>
      </c>
    </row>
    <row r="2389" spans="1:16" x14ac:dyDescent="0.3">
      <c r="A2389" t="s">
        <v>636</v>
      </c>
      <c r="B2389">
        <v>16</v>
      </c>
      <c r="F2389">
        <v>1</v>
      </c>
      <c r="J2389">
        <v>1</v>
      </c>
      <c r="M2389">
        <v>1</v>
      </c>
      <c r="P2389">
        <v>1</v>
      </c>
    </row>
    <row r="2390" spans="1:16" x14ac:dyDescent="0.3">
      <c r="A2390" t="s">
        <v>637</v>
      </c>
      <c r="B2390">
        <v>16</v>
      </c>
      <c r="F2390">
        <v>50</v>
      </c>
      <c r="J2390">
        <v>50</v>
      </c>
      <c r="M2390">
        <v>50</v>
      </c>
      <c r="P2390">
        <v>50</v>
      </c>
    </row>
    <row r="2391" spans="1:16" x14ac:dyDescent="0.3">
      <c r="A2391" t="s">
        <v>638</v>
      </c>
      <c r="B2391">
        <v>16</v>
      </c>
      <c r="F2391">
        <v>0</v>
      </c>
      <c r="J2391">
        <v>0</v>
      </c>
      <c r="M2391">
        <v>0</v>
      </c>
      <c r="P2391">
        <v>0</v>
      </c>
    </row>
    <row r="2392" spans="1:16" x14ac:dyDescent="0.3">
      <c r="A2392" t="s">
        <v>639</v>
      </c>
      <c r="B2392">
        <v>16</v>
      </c>
      <c r="C2392">
        <v>3</v>
      </c>
      <c r="D2392">
        <v>0</v>
      </c>
      <c r="E2392">
        <v>0</v>
      </c>
      <c r="F2392">
        <v>1</v>
      </c>
      <c r="G2392">
        <v>3</v>
      </c>
      <c r="H2392">
        <v>0</v>
      </c>
      <c r="I2392">
        <v>0</v>
      </c>
      <c r="J2392">
        <v>1</v>
      </c>
      <c r="K2392">
        <v>0</v>
      </c>
      <c r="L2392">
        <v>0</v>
      </c>
      <c r="M2392">
        <v>1</v>
      </c>
      <c r="N2392">
        <v>0</v>
      </c>
      <c r="O2392">
        <v>0</v>
      </c>
      <c r="P2392">
        <v>1</v>
      </c>
    </row>
    <row r="2393" spans="1:16" x14ac:dyDescent="0.3">
      <c r="A2393" t="s">
        <v>640</v>
      </c>
      <c r="B2393">
        <v>16</v>
      </c>
      <c r="C2393">
        <v>0</v>
      </c>
      <c r="D2393">
        <v>0</v>
      </c>
      <c r="E2393">
        <v>0</v>
      </c>
      <c r="F2393">
        <v>0</v>
      </c>
      <c r="G2393">
        <v>0</v>
      </c>
      <c r="H2393">
        <v>0</v>
      </c>
      <c r="I2393">
        <v>0</v>
      </c>
      <c r="J2393">
        <v>0</v>
      </c>
      <c r="K2393">
        <v>0</v>
      </c>
      <c r="L2393">
        <v>0</v>
      </c>
      <c r="M2393">
        <v>0</v>
      </c>
      <c r="N2393">
        <v>0</v>
      </c>
      <c r="O2393">
        <v>0</v>
      </c>
      <c r="P2393">
        <v>0</v>
      </c>
    </row>
    <row r="2394" spans="1:16" x14ac:dyDescent="0.3">
      <c r="A2394" t="s">
        <v>52</v>
      </c>
      <c r="B2394">
        <v>16</v>
      </c>
      <c r="C2394">
        <v>1</v>
      </c>
      <c r="D2394">
        <v>1</v>
      </c>
      <c r="E2394">
        <v>1</v>
      </c>
      <c r="F2394">
        <v>1</v>
      </c>
      <c r="G2394">
        <v>1</v>
      </c>
      <c r="H2394">
        <v>1</v>
      </c>
      <c r="I2394">
        <v>1</v>
      </c>
      <c r="J2394">
        <v>1</v>
      </c>
      <c r="K2394">
        <v>1</v>
      </c>
      <c r="L2394">
        <v>1</v>
      </c>
      <c r="M2394">
        <v>1</v>
      </c>
      <c r="N2394">
        <v>1</v>
      </c>
      <c r="O2394">
        <v>1</v>
      </c>
      <c r="P2394">
        <v>1</v>
      </c>
    </row>
    <row r="2395" spans="1:16" x14ac:dyDescent="0.3">
      <c r="A2395" t="s">
        <v>641</v>
      </c>
      <c r="B2395">
        <v>16</v>
      </c>
      <c r="C2395">
        <v>9</v>
      </c>
      <c r="D2395">
        <v>15</v>
      </c>
      <c r="E2395">
        <v>60</v>
      </c>
      <c r="F2395">
        <v>9</v>
      </c>
      <c r="G2395">
        <v>9</v>
      </c>
      <c r="H2395">
        <v>15</v>
      </c>
      <c r="I2395">
        <v>60</v>
      </c>
      <c r="J2395">
        <v>9</v>
      </c>
      <c r="K2395">
        <v>15</v>
      </c>
      <c r="L2395">
        <v>60</v>
      </c>
      <c r="M2395">
        <v>9</v>
      </c>
      <c r="N2395">
        <v>15</v>
      </c>
      <c r="O2395">
        <v>60</v>
      </c>
      <c r="P2395">
        <v>9</v>
      </c>
    </row>
    <row r="2396" spans="1:16" x14ac:dyDescent="0.3">
      <c r="A2396" t="s">
        <v>43</v>
      </c>
      <c r="B2396">
        <v>16</v>
      </c>
      <c r="D2396">
        <v>40</v>
      </c>
      <c r="E2396">
        <v>336</v>
      </c>
      <c r="F2396">
        <v>0</v>
      </c>
      <c r="H2396">
        <v>40</v>
      </c>
      <c r="I2396">
        <v>336</v>
      </c>
      <c r="J2396">
        <v>0</v>
      </c>
      <c r="K2396">
        <v>40</v>
      </c>
      <c r="L2396">
        <v>40</v>
      </c>
      <c r="M2396">
        <v>0</v>
      </c>
      <c r="N2396">
        <v>40</v>
      </c>
      <c r="O2396">
        <v>40</v>
      </c>
      <c r="P2396">
        <v>0</v>
      </c>
    </row>
    <row r="2397" spans="1:16" x14ac:dyDescent="0.3">
      <c r="A2397" t="s">
        <v>44</v>
      </c>
      <c r="B2397">
        <v>16</v>
      </c>
      <c r="D2397">
        <v>0</v>
      </c>
      <c r="E2397">
        <v>0</v>
      </c>
      <c r="F2397">
        <v>0</v>
      </c>
      <c r="H2397">
        <v>0</v>
      </c>
      <c r="I2397">
        <v>0</v>
      </c>
      <c r="J2397">
        <v>0</v>
      </c>
      <c r="K2397">
        <v>0</v>
      </c>
      <c r="L2397">
        <v>0</v>
      </c>
      <c r="M2397">
        <v>0</v>
      </c>
      <c r="N2397">
        <v>0</v>
      </c>
      <c r="O2397">
        <v>0</v>
      </c>
      <c r="P2397">
        <v>0</v>
      </c>
    </row>
    <row r="2398" spans="1:16" x14ac:dyDescent="0.3">
      <c r="A2398" t="s">
        <v>47</v>
      </c>
      <c r="B2398">
        <v>16</v>
      </c>
      <c r="D2398">
        <v>6</v>
      </c>
      <c r="E2398">
        <v>6</v>
      </c>
      <c r="F2398">
        <v>6</v>
      </c>
      <c r="H2398">
        <v>5</v>
      </c>
      <c r="I2398">
        <v>2</v>
      </c>
      <c r="J2398">
        <v>2</v>
      </c>
      <c r="K2398">
        <v>8</v>
      </c>
      <c r="L2398">
        <v>8</v>
      </c>
      <c r="M2398">
        <v>8</v>
      </c>
      <c r="N2398">
        <v>4</v>
      </c>
      <c r="O2398">
        <v>4</v>
      </c>
      <c r="P2398">
        <v>4</v>
      </c>
    </row>
    <row r="2399" spans="1:16" x14ac:dyDescent="0.3">
      <c r="A2399" t="s">
        <v>642</v>
      </c>
      <c r="B2399">
        <v>16</v>
      </c>
      <c r="D2399">
        <v>0</v>
      </c>
      <c r="E2399">
        <v>0</v>
      </c>
      <c r="F2399">
        <v>0</v>
      </c>
      <c r="H2399">
        <v>0</v>
      </c>
      <c r="I2399">
        <v>0</v>
      </c>
      <c r="J2399">
        <v>0</v>
      </c>
      <c r="K2399">
        <v>0</v>
      </c>
      <c r="L2399">
        <v>0</v>
      </c>
      <c r="M2399">
        <v>0</v>
      </c>
      <c r="N2399">
        <v>0</v>
      </c>
      <c r="O2399">
        <v>0</v>
      </c>
      <c r="P2399">
        <v>0</v>
      </c>
    </row>
    <row r="2400" spans="1:16" x14ac:dyDescent="0.3">
      <c r="A2400" t="s">
        <v>643</v>
      </c>
      <c r="B2400">
        <v>16</v>
      </c>
      <c r="D2400">
        <v>0</v>
      </c>
      <c r="E2400">
        <v>0</v>
      </c>
      <c r="F2400">
        <v>0</v>
      </c>
      <c r="H2400">
        <v>0</v>
      </c>
      <c r="I2400">
        <v>0</v>
      </c>
      <c r="J2400">
        <v>0</v>
      </c>
      <c r="K2400">
        <v>0</v>
      </c>
      <c r="L2400">
        <v>0</v>
      </c>
      <c r="M2400">
        <v>0</v>
      </c>
      <c r="N2400">
        <v>0</v>
      </c>
      <c r="O2400">
        <v>0</v>
      </c>
      <c r="P2400">
        <v>0</v>
      </c>
    </row>
    <row r="2401" spans="1:16" x14ac:dyDescent="0.3">
      <c r="A2401" t="s">
        <v>644</v>
      </c>
      <c r="B2401">
        <v>16</v>
      </c>
      <c r="D2401">
        <v>0</v>
      </c>
      <c r="E2401">
        <v>0</v>
      </c>
      <c r="F2401">
        <v>0</v>
      </c>
      <c r="H2401">
        <v>0</v>
      </c>
      <c r="I2401">
        <v>0</v>
      </c>
      <c r="J2401">
        <v>0</v>
      </c>
      <c r="K2401">
        <v>0</v>
      </c>
      <c r="L2401">
        <v>0</v>
      </c>
      <c r="M2401">
        <v>0</v>
      </c>
      <c r="N2401">
        <v>0</v>
      </c>
      <c r="O2401">
        <v>0</v>
      </c>
      <c r="P2401">
        <v>0</v>
      </c>
    </row>
    <row r="2402" spans="1:16" x14ac:dyDescent="0.3">
      <c r="A2402" t="s">
        <v>645</v>
      </c>
      <c r="B2402">
        <v>16</v>
      </c>
      <c r="D2402">
        <v>0</v>
      </c>
      <c r="E2402">
        <v>0</v>
      </c>
      <c r="F2402">
        <v>0</v>
      </c>
      <c r="H2402">
        <v>0</v>
      </c>
      <c r="I2402">
        <v>0</v>
      </c>
      <c r="J2402">
        <v>0</v>
      </c>
      <c r="K2402">
        <v>0</v>
      </c>
      <c r="L2402">
        <v>0</v>
      </c>
      <c r="M2402">
        <v>0</v>
      </c>
      <c r="N2402">
        <v>0</v>
      </c>
      <c r="O2402">
        <v>0</v>
      </c>
      <c r="P2402">
        <v>0</v>
      </c>
    </row>
    <row r="2403" spans="1:16" x14ac:dyDescent="0.3">
      <c r="A2403" t="s">
        <v>646</v>
      </c>
      <c r="B2403">
        <v>16</v>
      </c>
      <c r="D2403">
        <v>1</v>
      </c>
      <c r="E2403">
        <v>2</v>
      </c>
      <c r="F2403">
        <v>1</v>
      </c>
      <c r="H2403">
        <v>1</v>
      </c>
      <c r="I2403">
        <v>2</v>
      </c>
      <c r="J2403">
        <v>1</v>
      </c>
      <c r="K2403">
        <v>1</v>
      </c>
      <c r="L2403">
        <v>1</v>
      </c>
      <c r="M2403">
        <v>1</v>
      </c>
      <c r="N2403">
        <v>1</v>
      </c>
      <c r="O2403">
        <v>1</v>
      </c>
      <c r="P2403">
        <v>1</v>
      </c>
    </row>
    <row r="2404" spans="1:16" x14ac:dyDescent="0.3">
      <c r="A2404" t="s">
        <v>647</v>
      </c>
      <c r="B2404">
        <v>16</v>
      </c>
      <c r="D2404">
        <v>0</v>
      </c>
      <c r="E2404">
        <v>330</v>
      </c>
      <c r="F2404">
        <v>0</v>
      </c>
      <c r="H2404">
        <v>0</v>
      </c>
      <c r="I2404">
        <v>330</v>
      </c>
      <c r="J2404">
        <v>0</v>
      </c>
      <c r="K2404">
        <v>0</v>
      </c>
      <c r="L2404">
        <v>0</v>
      </c>
      <c r="M2404">
        <v>0</v>
      </c>
      <c r="N2404">
        <v>0</v>
      </c>
      <c r="O2404">
        <v>0</v>
      </c>
      <c r="P2404">
        <v>0</v>
      </c>
    </row>
    <row r="2405" spans="1:16" x14ac:dyDescent="0.3">
      <c r="A2405" t="s">
        <v>648</v>
      </c>
      <c r="B2405">
        <v>16</v>
      </c>
      <c r="D2405">
        <v>40</v>
      </c>
      <c r="E2405">
        <v>6</v>
      </c>
      <c r="F2405">
        <v>0</v>
      </c>
      <c r="H2405">
        <v>40</v>
      </c>
      <c r="I2405">
        <v>6</v>
      </c>
      <c r="J2405">
        <v>0</v>
      </c>
      <c r="K2405">
        <v>40</v>
      </c>
      <c r="L2405">
        <v>40</v>
      </c>
      <c r="M2405">
        <v>0</v>
      </c>
      <c r="N2405">
        <v>40</v>
      </c>
      <c r="O2405">
        <v>40</v>
      </c>
      <c r="P2405">
        <v>0</v>
      </c>
    </row>
    <row r="2406" spans="1:16" x14ac:dyDescent="0.3">
      <c r="A2406" t="s">
        <v>649</v>
      </c>
      <c r="B2406">
        <v>16</v>
      </c>
      <c r="D2406">
        <v>3</v>
      </c>
      <c r="E2406">
        <v>3</v>
      </c>
      <c r="F2406">
        <v>3</v>
      </c>
      <c r="H2406">
        <v>3</v>
      </c>
      <c r="I2406">
        <v>3</v>
      </c>
      <c r="J2406">
        <v>3</v>
      </c>
      <c r="K2406">
        <v>3</v>
      </c>
      <c r="L2406">
        <v>3</v>
      </c>
      <c r="M2406">
        <v>3</v>
      </c>
      <c r="N2406">
        <v>3</v>
      </c>
      <c r="O2406">
        <v>3</v>
      </c>
      <c r="P2406">
        <v>3</v>
      </c>
    </row>
    <row r="2407" spans="1:16" x14ac:dyDescent="0.3">
      <c r="A2407" t="s">
        <v>650</v>
      </c>
      <c r="B2407">
        <v>16</v>
      </c>
      <c r="D2407">
        <v>0</v>
      </c>
      <c r="E2407">
        <v>0</v>
      </c>
      <c r="F2407">
        <v>0</v>
      </c>
      <c r="H2407">
        <v>0</v>
      </c>
      <c r="I2407">
        <v>0</v>
      </c>
      <c r="J2407">
        <v>0</v>
      </c>
      <c r="K2407">
        <v>0</v>
      </c>
      <c r="L2407">
        <v>0</v>
      </c>
      <c r="M2407">
        <v>0</v>
      </c>
      <c r="N2407">
        <v>0</v>
      </c>
      <c r="O2407">
        <v>0</v>
      </c>
      <c r="P2407">
        <v>0</v>
      </c>
    </row>
    <row r="2408" spans="1:16" x14ac:dyDescent="0.3">
      <c r="A2408" t="s">
        <v>651</v>
      </c>
      <c r="B2408">
        <v>16</v>
      </c>
      <c r="D2408">
        <v>0</v>
      </c>
      <c r="E2408">
        <v>0</v>
      </c>
      <c r="F2408">
        <v>0</v>
      </c>
      <c r="H2408">
        <v>0</v>
      </c>
      <c r="I2408">
        <v>0</v>
      </c>
      <c r="J2408">
        <v>0</v>
      </c>
      <c r="K2408">
        <v>0</v>
      </c>
      <c r="L2408">
        <v>0</v>
      </c>
      <c r="M2408">
        <v>0</v>
      </c>
      <c r="N2408">
        <v>0</v>
      </c>
      <c r="O2408">
        <v>0</v>
      </c>
      <c r="P2408">
        <v>0</v>
      </c>
    </row>
    <row r="2409" spans="1:16" x14ac:dyDescent="0.3">
      <c r="A2409" t="s">
        <v>652</v>
      </c>
      <c r="B2409">
        <v>16</v>
      </c>
      <c r="D2409">
        <v>0</v>
      </c>
      <c r="E2409">
        <v>0</v>
      </c>
      <c r="F2409">
        <v>0</v>
      </c>
      <c r="H2409">
        <v>0</v>
      </c>
      <c r="I2409">
        <v>0</v>
      </c>
      <c r="J2409">
        <v>0</v>
      </c>
      <c r="K2409">
        <v>0</v>
      </c>
      <c r="L2409">
        <v>0</v>
      </c>
      <c r="M2409">
        <v>0</v>
      </c>
      <c r="N2409">
        <v>0</v>
      </c>
      <c r="O2409">
        <v>0</v>
      </c>
      <c r="P2409">
        <v>0</v>
      </c>
    </row>
    <row r="2410" spans="1:16" x14ac:dyDescent="0.3">
      <c r="A2410" t="s">
        <v>653</v>
      </c>
      <c r="B2410">
        <v>16</v>
      </c>
      <c r="E2410">
        <v>0</v>
      </c>
      <c r="I2410">
        <v>0</v>
      </c>
    </row>
    <row r="2411" spans="1:16" x14ac:dyDescent="0.3">
      <c r="A2411" t="s">
        <v>654</v>
      </c>
      <c r="B2411">
        <v>16</v>
      </c>
      <c r="E2411">
        <v>0</v>
      </c>
      <c r="I2411">
        <v>0</v>
      </c>
    </row>
    <row r="2412" spans="1:16" x14ac:dyDescent="0.3">
      <c r="A2412" t="s">
        <v>655</v>
      </c>
      <c r="B2412">
        <v>16</v>
      </c>
      <c r="E2412">
        <v>3</v>
      </c>
      <c r="I2412">
        <v>3</v>
      </c>
    </row>
    <row r="2413" spans="1:16" x14ac:dyDescent="0.3">
      <c r="A2413" t="s">
        <v>656</v>
      </c>
      <c r="B2413">
        <v>16</v>
      </c>
      <c r="E2413">
        <v>0</v>
      </c>
      <c r="I2413">
        <v>0</v>
      </c>
    </row>
    <row r="2414" spans="1:16" x14ac:dyDescent="0.3">
      <c r="A2414" t="s">
        <v>657</v>
      </c>
      <c r="B2414">
        <v>16</v>
      </c>
      <c r="E2414">
        <v>0</v>
      </c>
      <c r="I2414">
        <v>0</v>
      </c>
      <c r="L2414">
        <v>0</v>
      </c>
      <c r="O2414">
        <v>0</v>
      </c>
    </row>
    <row r="2415" spans="1:16" x14ac:dyDescent="0.3">
      <c r="A2415" t="s">
        <v>408</v>
      </c>
      <c r="B2415">
        <v>16</v>
      </c>
      <c r="E2415">
        <v>0</v>
      </c>
    </row>
    <row r="2416" spans="1:16" x14ac:dyDescent="0.3">
      <c r="A2416" t="s">
        <v>658</v>
      </c>
      <c r="B2416">
        <v>16</v>
      </c>
      <c r="C2416">
        <v>0</v>
      </c>
      <c r="D2416">
        <v>16</v>
      </c>
      <c r="E2416">
        <v>1141</v>
      </c>
      <c r="F2416">
        <v>5</v>
      </c>
      <c r="G2416">
        <v>0</v>
      </c>
      <c r="H2416">
        <v>9</v>
      </c>
      <c r="I2416">
        <v>598</v>
      </c>
      <c r="J2416">
        <v>5</v>
      </c>
      <c r="K2416">
        <v>0</v>
      </c>
      <c r="L2416">
        <v>27</v>
      </c>
      <c r="M2416">
        <v>11</v>
      </c>
      <c r="N2416">
        <v>0</v>
      </c>
      <c r="O2416">
        <v>27</v>
      </c>
      <c r="P2416">
        <v>16</v>
      </c>
    </row>
    <row r="2417" spans="1:16" x14ac:dyDescent="0.3">
      <c r="A2417" t="s">
        <v>34</v>
      </c>
      <c r="B2417">
        <v>19</v>
      </c>
      <c r="C2417">
        <v>16</v>
      </c>
      <c r="E2417">
        <v>16</v>
      </c>
      <c r="F2417">
        <v>16</v>
      </c>
      <c r="G2417">
        <v>21</v>
      </c>
      <c r="H2417">
        <v>21</v>
      </c>
      <c r="I2417">
        <v>21</v>
      </c>
      <c r="N2417">
        <v>132</v>
      </c>
      <c r="P2417">
        <v>132</v>
      </c>
    </row>
    <row r="2418" spans="1:16" x14ac:dyDescent="0.3">
      <c r="A2418" t="s">
        <v>35</v>
      </c>
      <c r="B2418">
        <v>19</v>
      </c>
      <c r="C2418">
        <v>16</v>
      </c>
      <c r="E2418">
        <v>21</v>
      </c>
      <c r="F2418">
        <v>132</v>
      </c>
      <c r="G2418">
        <v>21</v>
      </c>
      <c r="H2418">
        <v>132</v>
      </c>
      <c r="I2418">
        <v>16</v>
      </c>
      <c r="N2418">
        <v>16</v>
      </c>
      <c r="P2418">
        <v>21</v>
      </c>
    </row>
    <row r="2419" spans="1:16" x14ac:dyDescent="0.3">
      <c r="A2419" t="s">
        <v>36</v>
      </c>
      <c r="B2419">
        <v>19</v>
      </c>
      <c r="C2419">
        <v>1</v>
      </c>
      <c r="E2419">
        <v>2</v>
      </c>
      <c r="F2419">
        <v>1</v>
      </c>
      <c r="G2419">
        <v>0</v>
      </c>
      <c r="H2419">
        <v>1</v>
      </c>
      <c r="I2419">
        <v>2</v>
      </c>
      <c r="N2419">
        <v>1</v>
      </c>
      <c r="P2419">
        <v>1</v>
      </c>
    </row>
    <row r="2420" spans="1:16" x14ac:dyDescent="0.3">
      <c r="A2420" t="s">
        <v>37</v>
      </c>
      <c r="B2420">
        <v>19</v>
      </c>
      <c r="E2420">
        <v>0</v>
      </c>
      <c r="H2420">
        <v>0</v>
      </c>
      <c r="I2420">
        <v>0</v>
      </c>
      <c r="N2420">
        <v>0</v>
      </c>
    </row>
    <row r="2421" spans="1:16" x14ac:dyDescent="0.3">
      <c r="A2421" t="s">
        <v>38</v>
      </c>
      <c r="B2421">
        <v>19</v>
      </c>
      <c r="C2421">
        <v>12</v>
      </c>
      <c r="E2421">
        <v>12</v>
      </c>
      <c r="F2421">
        <v>12</v>
      </c>
      <c r="G2421">
        <v>12</v>
      </c>
      <c r="H2421">
        <v>12</v>
      </c>
      <c r="I2421">
        <v>12</v>
      </c>
      <c r="N2421">
        <v>12</v>
      </c>
      <c r="P2421">
        <v>12</v>
      </c>
    </row>
    <row r="2422" spans="1:16" x14ac:dyDescent="0.3">
      <c r="A2422" t="s">
        <v>39</v>
      </c>
      <c r="B2422">
        <v>19</v>
      </c>
      <c r="C2422">
        <v>200</v>
      </c>
      <c r="F2422">
        <v>200</v>
      </c>
      <c r="H2422">
        <v>200</v>
      </c>
      <c r="P2422">
        <v>500</v>
      </c>
    </row>
    <row r="2423" spans="1:16" x14ac:dyDescent="0.3">
      <c r="A2423" t="s">
        <v>631</v>
      </c>
      <c r="B2423">
        <v>19</v>
      </c>
      <c r="C2423">
        <v>25</v>
      </c>
      <c r="F2423">
        <v>25</v>
      </c>
      <c r="H2423">
        <v>25</v>
      </c>
      <c r="P2423">
        <v>25</v>
      </c>
    </row>
    <row r="2424" spans="1:16" x14ac:dyDescent="0.3">
      <c r="A2424" t="s">
        <v>40</v>
      </c>
      <c r="B2424">
        <v>19</v>
      </c>
      <c r="C2424">
        <v>1</v>
      </c>
      <c r="F2424">
        <v>1</v>
      </c>
      <c r="H2424">
        <v>1</v>
      </c>
      <c r="P2424">
        <v>1</v>
      </c>
    </row>
    <row r="2425" spans="1:16" x14ac:dyDescent="0.3">
      <c r="A2425" t="s">
        <v>41</v>
      </c>
      <c r="B2425">
        <v>19</v>
      </c>
    </row>
    <row r="2426" spans="1:16" x14ac:dyDescent="0.3">
      <c r="A2426" t="s">
        <v>42</v>
      </c>
      <c r="B2426">
        <v>19</v>
      </c>
      <c r="E2426">
        <v>55</v>
      </c>
      <c r="I2426">
        <v>55</v>
      </c>
      <c r="N2426">
        <v>30</v>
      </c>
    </row>
    <row r="2427" spans="1:16" x14ac:dyDescent="0.3">
      <c r="A2427" t="s">
        <v>45</v>
      </c>
      <c r="B2427">
        <v>19</v>
      </c>
      <c r="C2427">
        <v>1</v>
      </c>
      <c r="E2427">
        <v>6</v>
      </c>
      <c r="H2427">
        <v>5</v>
      </c>
      <c r="I2427">
        <v>2</v>
      </c>
      <c r="N2427">
        <v>8</v>
      </c>
    </row>
    <row r="2428" spans="1:16" x14ac:dyDescent="0.3">
      <c r="A2428" t="s">
        <v>46</v>
      </c>
      <c r="B2428">
        <v>19</v>
      </c>
      <c r="C2428">
        <v>6</v>
      </c>
      <c r="F2428">
        <v>6</v>
      </c>
      <c r="H2428">
        <v>2</v>
      </c>
      <c r="P2428">
        <v>8</v>
      </c>
    </row>
    <row r="2429" spans="1:16" x14ac:dyDescent="0.3">
      <c r="A2429" t="s">
        <v>49</v>
      </c>
      <c r="B2429">
        <v>19</v>
      </c>
      <c r="C2429">
        <v>6</v>
      </c>
      <c r="E2429">
        <v>7</v>
      </c>
      <c r="F2429">
        <v>7</v>
      </c>
      <c r="G2429">
        <v>4</v>
      </c>
      <c r="H2429">
        <v>6</v>
      </c>
      <c r="I2429">
        <v>7</v>
      </c>
      <c r="N2429">
        <v>6.8</v>
      </c>
      <c r="P2429">
        <v>6.8</v>
      </c>
    </row>
    <row r="2430" spans="1:16" x14ac:dyDescent="0.3">
      <c r="A2430" t="s">
        <v>632</v>
      </c>
      <c r="B2430">
        <v>19</v>
      </c>
      <c r="C2430">
        <v>0</v>
      </c>
      <c r="E2430">
        <v>0</v>
      </c>
      <c r="F2430">
        <v>0</v>
      </c>
      <c r="G2430">
        <v>0</v>
      </c>
      <c r="H2430">
        <v>0</v>
      </c>
      <c r="I2430">
        <v>0</v>
      </c>
      <c r="N2430">
        <v>0</v>
      </c>
      <c r="P2430">
        <v>0</v>
      </c>
    </row>
    <row r="2431" spans="1:16" x14ac:dyDescent="0.3">
      <c r="A2431" t="s">
        <v>48</v>
      </c>
      <c r="B2431">
        <v>19</v>
      </c>
      <c r="C2431">
        <v>1900</v>
      </c>
      <c r="E2431">
        <v>1900</v>
      </c>
      <c r="F2431">
        <v>1900</v>
      </c>
      <c r="G2431">
        <v>1900</v>
      </c>
      <c r="H2431">
        <v>1900</v>
      </c>
      <c r="I2431">
        <v>1900</v>
      </c>
      <c r="N2431">
        <v>1900</v>
      </c>
      <c r="P2431">
        <v>1900</v>
      </c>
    </row>
    <row r="2432" spans="1:16" x14ac:dyDescent="0.3">
      <c r="A2432" t="s">
        <v>633</v>
      </c>
      <c r="B2432">
        <v>19</v>
      </c>
      <c r="C2432">
        <v>1770</v>
      </c>
      <c r="E2432">
        <v>3539</v>
      </c>
      <c r="F2432">
        <v>1583</v>
      </c>
      <c r="G2432">
        <v>0</v>
      </c>
      <c r="H2432">
        <v>1770</v>
      </c>
      <c r="I2432">
        <v>3539</v>
      </c>
      <c r="N2432">
        <v>1743</v>
      </c>
      <c r="P2432">
        <v>1560</v>
      </c>
    </row>
    <row r="2433" spans="1:16" x14ac:dyDescent="0.3">
      <c r="A2433" t="s">
        <v>50</v>
      </c>
      <c r="B2433">
        <v>19</v>
      </c>
      <c r="C2433">
        <v>794</v>
      </c>
      <c r="E2433">
        <v>3539</v>
      </c>
      <c r="F2433">
        <v>1583</v>
      </c>
      <c r="G2433">
        <v>0</v>
      </c>
      <c r="H2433">
        <v>425</v>
      </c>
      <c r="I2433">
        <v>3539</v>
      </c>
      <c r="N2433">
        <v>1743</v>
      </c>
      <c r="P2433">
        <v>1560</v>
      </c>
    </row>
    <row r="2434" spans="1:16" x14ac:dyDescent="0.3">
      <c r="A2434" t="s">
        <v>634</v>
      </c>
      <c r="B2434">
        <v>19</v>
      </c>
      <c r="C2434">
        <v>1</v>
      </c>
      <c r="E2434">
        <v>1</v>
      </c>
      <c r="F2434">
        <v>1</v>
      </c>
      <c r="G2434">
        <v>1</v>
      </c>
      <c r="H2434">
        <v>1</v>
      </c>
      <c r="I2434">
        <v>1</v>
      </c>
      <c r="N2434">
        <v>1</v>
      </c>
      <c r="P2434">
        <v>1</v>
      </c>
    </row>
    <row r="2435" spans="1:16" x14ac:dyDescent="0.3">
      <c r="A2435" t="s">
        <v>51</v>
      </c>
      <c r="B2435">
        <v>19</v>
      </c>
      <c r="C2435">
        <v>0</v>
      </c>
      <c r="E2435">
        <v>0</v>
      </c>
      <c r="F2435">
        <v>70</v>
      </c>
      <c r="G2435">
        <v>0</v>
      </c>
      <c r="H2435">
        <v>0</v>
      </c>
      <c r="I2435">
        <v>0</v>
      </c>
      <c r="N2435">
        <v>0</v>
      </c>
      <c r="P2435">
        <v>193</v>
      </c>
    </row>
    <row r="2436" spans="1:16" x14ac:dyDescent="0.3">
      <c r="A2436" t="s">
        <v>53</v>
      </c>
      <c r="B2436">
        <v>19</v>
      </c>
      <c r="C2436">
        <v>15</v>
      </c>
      <c r="E2436">
        <v>990</v>
      </c>
      <c r="F2436">
        <v>75</v>
      </c>
      <c r="G2436">
        <v>0</v>
      </c>
      <c r="H2436">
        <v>45</v>
      </c>
      <c r="I2436">
        <v>550</v>
      </c>
      <c r="N2436">
        <v>35</v>
      </c>
      <c r="P2436">
        <v>210</v>
      </c>
    </row>
    <row r="2437" spans="1:16" x14ac:dyDescent="0.3">
      <c r="A2437" t="s">
        <v>54</v>
      </c>
      <c r="B2437">
        <v>19</v>
      </c>
      <c r="C2437">
        <v>0</v>
      </c>
      <c r="E2437">
        <v>0</v>
      </c>
      <c r="F2437">
        <v>0</v>
      </c>
      <c r="G2437">
        <v>0</v>
      </c>
      <c r="H2437">
        <v>0</v>
      </c>
      <c r="I2437">
        <v>0</v>
      </c>
      <c r="N2437">
        <v>0</v>
      </c>
      <c r="P2437">
        <v>0</v>
      </c>
    </row>
    <row r="2438" spans="1:16" x14ac:dyDescent="0.3">
      <c r="A2438" t="s">
        <v>55</v>
      </c>
      <c r="B2438">
        <v>19</v>
      </c>
      <c r="C2438">
        <v>0</v>
      </c>
      <c r="E2438">
        <v>0</v>
      </c>
      <c r="F2438">
        <v>0</v>
      </c>
      <c r="G2438">
        <v>0</v>
      </c>
      <c r="H2438">
        <v>0</v>
      </c>
      <c r="I2438">
        <v>0</v>
      </c>
      <c r="N2438">
        <v>0</v>
      </c>
      <c r="P2438">
        <v>0</v>
      </c>
    </row>
    <row r="2439" spans="1:16" x14ac:dyDescent="0.3">
      <c r="A2439" t="s">
        <v>56</v>
      </c>
      <c r="B2439">
        <v>19</v>
      </c>
      <c r="C2439">
        <v>0.92</v>
      </c>
      <c r="E2439">
        <v>0.92</v>
      </c>
      <c r="F2439">
        <v>0.92</v>
      </c>
      <c r="G2439">
        <v>0.92</v>
      </c>
      <c r="H2439">
        <v>0.92</v>
      </c>
      <c r="I2439">
        <v>0.92</v>
      </c>
      <c r="N2439">
        <v>0.92</v>
      </c>
      <c r="P2439">
        <v>0.92</v>
      </c>
    </row>
    <row r="2440" spans="1:16" x14ac:dyDescent="0.3">
      <c r="A2440" t="s">
        <v>57</v>
      </c>
      <c r="B2440">
        <v>19</v>
      </c>
      <c r="C2440">
        <v>100</v>
      </c>
      <c r="E2440">
        <v>100</v>
      </c>
      <c r="F2440">
        <v>100</v>
      </c>
      <c r="G2440">
        <v>100</v>
      </c>
      <c r="H2440">
        <v>100</v>
      </c>
      <c r="I2440">
        <v>100</v>
      </c>
      <c r="N2440">
        <v>100</v>
      </c>
      <c r="P2440">
        <v>100</v>
      </c>
    </row>
    <row r="2441" spans="1:16" x14ac:dyDescent="0.3">
      <c r="A2441" t="s">
        <v>58</v>
      </c>
      <c r="B2441">
        <v>19</v>
      </c>
      <c r="C2441">
        <v>2</v>
      </c>
      <c r="E2441">
        <v>2</v>
      </c>
      <c r="F2441">
        <v>2</v>
      </c>
      <c r="G2441">
        <v>2</v>
      </c>
      <c r="H2441">
        <v>2</v>
      </c>
      <c r="I2441">
        <v>2</v>
      </c>
      <c r="N2441">
        <v>2</v>
      </c>
      <c r="P2441">
        <v>2</v>
      </c>
    </row>
    <row r="2442" spans="1:16" x14ac:dyDescent="0.3">
      <c r="A2442" t="s">
        <v>59</v>
      </c>
      <c r="B2442">
        <v>19</v>
      </c>
      <c r="C2442">
        <v>0</v>
      </c>
      <c r="E2442">
        <v>0</v>
      </c>
      <c r="F2442">
        <v>0</v>
      </c>
      <c r="G2442">
        <v>0</v>
      </c>
      <c r="H2442">
        <v>0</v>
      </c>
      <c r="I2442">
        <v>0</v>
      </c>
      <c r="N2442">
        <v>0</v>
      </c>
      <c r="P2442">
        <v>0</v>
      </c>
    </row>
    <row r="2443" spans="1:16" x14ac:dyDescent="0.3">
      <c r="A2443" t="s">
        <v>635</v>
      </c>
      <c r="B2443">
        <v>19</v>
      </c>
      <c r="E2443">
        <v>0</v>
      </c>
      <c r="I2443">
        <v>0</v>
      </c>
      <c r="N2443">
        <v>0</v>
      </c>
    </row>
    <row r="2444" spans="1:16" x14ac:dyDescent="0.3">
      <c r="A2444" t="s">
        <v>574</v>
      </c>
      <c r="B2444">
        <v>19</v>
      </c>
      <c r="E2444">
        <v>7582</v>
      </c>
      <c r="I2444">
        <v>2522</v>
      </c>
      <c r="N2444">
        <v>1265</v>
      </c>
    </row>
    <row r="2445" spans="1:16" x14ac:dyDescent="0.3">
      <c r="A2445" t="s">
        <v>78</v>
      </c>
      <c r="B2445">
        <v>19</v>
      </c>
      <c r="E2445">
        <v>94</v>
      </c>
      <c r="I2445">
        <v>31.3</v>
      </c>
      <c r="N2445">
        <v>28.8</v>
      </c>
    </row>
    <row r="2446" spans="1:16" x14ac:dyDescent="0.3">
      <c r="A2446" t="s">
        <v>636</v>
      </c>
      <c r="B2446">
        <v>19</v>
      </c>
      <c r="F2446">
        <v>0</v>
      </c>
      <c r="I2446">
        <v>0</v>
      </c>
      <c r="P2446">
        <v>0</v>
      </c>
    </row>
    <row r="2447" spans="1:16" x14ac:dyDescent="0.3">
      <c r="A2447" t="s">
        <v>639</v>
      </c>
      <c r="B2447">
        <v>19</v>
      </c>
      <c r="C2447">
        <v>3</v>
      </c>
      <c r="E2447">
        <v>0</v>
      </c>
      <c r="F2447">
        <v>1</v>
      </c>
      <c r="G2447">
        <v>3</v>
      </c>
      <c r="H2447">
        <v>0</v>
      </c>
      <c r="I2447">
        <v>0</v>
      </c>
      <c r="N2447">
        <v>0</v>
      </c>
      <c r="P2447">
        <v>1</v>
      </c>
    </row>
    <row r="2448" spans="1:16" x14ac:dyDescent="0.3">
      <c r="A2448" t="s">
        <v>640</v>
      </c>
      <c r="B2448">
        <v>19</v>
      </c>
      <c r="C2448">
        <v>0</v>
      </c>
      <c r="E2448">
        <v>0</v>
      </c>
      <c r="F2448">
        <v>0</v>
      </c>
      <c r="G2448">
        <v>0</v>
      </c>
      <c r="H2448">
        <v>0</v>
      </c>
      <c r="I2448">
        <v>0</v>
      </c>
      <c r="N2448">
        <v>0</v>
      </c>
      <c r="P2448">
        <v>0</v>
      </c>
    </row>
    <row r="2449" spans="1:16" x14ac:dyDescent="0.3">
      <c r="A2449" t="s">
        <v>52</v>
      </c>
      <c r="B2449">
        <v>19</v>
      </c>
      <c r="C2449">
        <v>1</v>
      </c>
      <c r="E2449">
        <v>1</v>
      </c>
      <c r="F2449">
        <v>1</v>
      </c>
      <c r="G2449">
        <v>1</v>
      </c>
      <c r="H2449">
        <v>1</v>
      </c>
      <c r="I2449">
        <v>1</v>
      </c>
      <c r="N2449">
        <v>1.02</v>
      </c>
      <c r="P2449">
        <v>1.02</v>
      </c>
    </row>
    <row r="2450" spans="1:16" x14ac:dyDescent="0.3">
      <c r="A2450" t="s">
        <v>641</v>
      </c>
      <c r="B2450">
        <v>19</v>
      </c>
      <c r="C2450">
        <v>9</v>
      </c>
      <c r="E2450">
        <v>60</v>
      </c>
      <c r="F2450">
        <v>9</v>
      </c>
      <c r="G2450">
        <v>9</v>
      </c>
      <c r="H2450">
        <v>15</v>
      </c>
      <c r="I2450">
        <v>60</v>
      </c>
      <c r="N2450">
        <v>15</v>
      </c>
      <c r="P2450">
        <v>9</v>
      </c>
    </row>
    <row r="2451" spans="1:16" x14ac:dyDescent="0.3">
      <c r="A2451" t="s">
        <v>43</v>
      </c>
      <c r="B2451">
        <v>19</v>
      </c>
      <c r="C2451">
        <v>40</v>
      </c>
      <c r="E2451">
        <v>336</v>
      </c>
      <c r="F2451">
        <v>0</v>
      </c>
      <c r="H2451">
        <v>40</v>
      </c>
      <c r="I2451">
        <v>336</v>
      </c>
      <c r="N2451">
        <v>40</v>
      </c>
      <c r="P2451">
        <v>0</v>
      </c>
    </row>
    <row r="2452" spans="1:16" x14ac:dyDescent="0.3">
      <c r="A2452" t="s">
        <v>44</v>
      </c>
      <c r="B2452">
        <v>19</v>
      </c>
      <c r="C2452">
        <v>0</v>
      </c>
      <c r="E2452">
        <v>0</v>
      </c>
      <c r="F2452">
        <v>0</v>
      </c>
      <c r="H2452">
        <v>0</v>
      </c>
      <c r="I2452">
        <v>0</v>
      </c>
      <c r="N2452">
        <v>0</v>
      </c>
      <c r="P2452">
        <v>0</v>
      </c>
    </row>
    <row r="2453" spans="1:16" x14ac:dyDescent="0.3">
      <c r="A2453" t="s">
        <v>47</v>
      </c>
      <c r="B2453">
        <v>19</v>
      </c>
      <c r="C2453">
        <v>1</v>
      </c>
      <c r="E2453">
        <v>6</v>
      </c>
      <c r="F2453">
        <v>6</v>
      </c>
      <c r="H2453">
        <v>5</v>
      </c>
      <c r="I2453">
        <v>2</v>
      </c>
      <c r="N2453">
        <v>8</v>
      </c>
      <c r="P2453">
        <v>8</v>
      </c>
    </row>
    <row r="2454" spans="1:16" x14ac:dyDescent="0.3">
      <c r="A2454" t="s">
        <v>642</v>
      </c>
      <c r="B2454">
        <v>19</v>
      </c>
      <c r="C2454">
        <v>0</v>
      </c>
      <c r="E2454">
        <v>0</v>
      </c>
      <c r="F2454">
        <v>0</v>
      </c>
      <c r="H2454">
        <v>0</v>
      </c>
      <c r="I2454">
        <v>0</v>
      </c>
      <c r="N2454">
        <v>0</v>
      </c>
      <c r="P2454">
        <v>0</v>
      </c>
    </row>
    <row r="2455" spans="1:16" x14ac:dyDescent="0.3">
      <c r="A2455" t="s">
        <v>643</v>
      </c>
      <c r="B2455">
        <v>19</v>
      </c>
      <c r="C2455">
        <v>0</v>
      </c>
      <c r="E2455">
        <v>0</v>
      </c>
      <c r="F2455">
        <v>0</v>
      </c>
      <c r="H2455">
        <v>0</v>
      </c>
      <c r="I2455">
        <v>0</v>
      </c>
      <c r="N2455">
        <v>0</v>
      </c>
      <c r="P2455">
        <v>0</v>
      </c>
    </row>
    <row r="2456" spans="1:16" x14ac:dyDescent="0.3">
      <c r="A2456" t="s">
        <v>644</v>
      </c>
      <c r="B2456">
        <v>19</v>
      </c>
      <c r="C2456">
        <v>0</v>
      </c>
      <c r="E2456">
        <v>0</v>
      </c>
      <c r="F2456">
        <v>0</v>
      </c>
      <c r="H2456">
        <v>0</v>
      </c>
      <c r="I2456">
        <v>0</v>
      </c>
      <c r="N2456">
        <v>0</v>
      </c>
      <c r="P2456">
        <v>0</v>
      </c>
    </row>
    <row r="2457" spans="1:16" x14ac:dyDescent="0.3">
      <c r="A2457" t="s">
        <v>645</v>
      </c>
      <c r="B2457">
        <v>19</v>
      </c>
      <c r="C2457">
        <v>0</v>
      </c>
      <c r="E2457">
        <v>0</v>
      </c>
      <c r="F2457">
        <v>0</v>
      </c>
      <c r="H2457">
        <v>0</v>
      </c>
      <c r="I2457">
        <v>0</v>
      </c>
      <c r="N2457">
        <v>0</v>
      </c>
      <c r="P2457">
        <v>0</v>
      </c>
    </row>
    <row r="2458" spans="1:16" x14ac:dyDescent="0.3">
      <c r="A2458" t="s">
        <v>646</v>
      </c>
      <c r="B2458">
        <v>19</v>
      </c>
      <c r="C2458">
        <v>1</v>
      </c>
      <c r="E2458">
        <v>2</v>
      </c>
      <c r="F2458">
        <v>1</v>
      </c>
      <c r="H2458">
        <v>1</v>
      </c>
      <c r="I2458">
        <v>2</v>
      </c>
      <c r="N2458">
        <v>1</v>
      </c>
      <c r="P2458">
        <v>1</v>
      </c>
    </row>
    <row r="2459" spans="1:16" x14ac:dyDescent="0.3">
      <c r="A2459" t="s">
        <v>647</v>
      </c>
      <c r="B2459">
        <v>19</v>
      </c>
      <c r="C2459">
        <v>0</v>
      </c>
      <c r="E2459">
        <v>330</v>
      </c>
      <c r="F2459">
        <v>0</v>
      </c>
      <c r="H2459">
        <v>0</v>
      </c>
      <c r="I2459">
        <v>330</v>
      </c>
      <c r="N2459">
        <v>0</v>
      </c>
      <c r="P2459">
        <v>0</v>
      </c>
    </row>
    <row r="2460" spans="1:16" x14ac:dyDescent="0.3">
      <c r="A2460" t="s">
        <v>648</v>
      </c>
      <c r="B2460">
        <v>19</v>
      </c>
      <c r="C2460">
        <v>40</v>
      </c>
      <c r="E2460">
        <v>6</v>
      </c>
      <c r="F2460">
        <v>0</v>
      </c>
      <c r="H2460">
        <v>40</v>
      </c>
      <c r="I2460">
        <v>6</v>
      </c>
      <c r="N2460">
        <v>40</v>
      </c>
      <c r="P2460">
        <v>0</v>
      </c>
    </row>
    <row r="2461" spans="1:16" x14ac:dyDescent="0.3">
      <c r="A2461" t="s">
        <v>649</v>
      </c>
      <c r="B2461">
        <v>19</v>
      </c>
      <c r="C2461">
        <v>3</v>
      </c>
      <c r="E2461">
        <v>3</v>
      </c>
      <c r="F2461">
        <v>3</v>
      </c>
      <c r="H2461">
        <v>3</v>
      </c>
      <c r="I2461">
        <v>3</v>
      </c>
      <c r="N2461">
        <v>3</v>
      </c>
      <c r="P2461">
        <v>3</v>
      </c>
    </row>
    <row r="2462" spans="1:16" x14ac:dyDescent="0.3">
      <c r="A2462" t="s">
        <v>650</v>
      </c>
      <c r="B2462">
        <v>19</v>
      </c>
      <c r="C2462">
        <v>0</v>
      </c>
      <c r="E2462">
        <v>0</v>
      </c>
      <c r="F2462">
        <v>0</v>
      </c>
      <c r="H2462">
        <v>0</v>
      </c>
      <c r="I2462">
        <v>0</v>
      </c>
      <c r="N2462">
        <v>0</v>
      </c>
      <c r="P2462">
        <v>0</v>
      </c>
    </row>
    <row r="2463" spans="1:16" x14ac:dyDescent="0.3">
      <c r="A2463" t="s">
        <v>651</v>
      </c>
      <c r="B2463">
        <v>19</v>
      </c>
      <c r="C2463">
        <v>0</v>
      </c>
      <c r="E2463">
        <v>0</v>
      </c>
      <c r="F2463">
        <v>0</v>
      </c>
      <c r="H2463">
        <v>0</v>
      </c>
      <c r="I2463">
        <v>0</v>
      </c>
      <c r="N2463">
        <v>0</v>
      </c>
      <c r="P2463">
        <v>0</v>
      </c>
    </row>
    <row r="2464" spans="1:16" x14ac:dyDescent="0.3">
      <c r="A2464" t="s">
        <v>652</v>
      </c>
      <c r="B2464">
        <v>19</v>
      </c>
      <c r="C2464">
        <v>0</v>
      </c>
      <c r="E2464">
        <v>0</v>
      </c>
      <c r="F2464">
        <v>0</v>
      </c>
      <c r="H2464">
        <v>0</v>
      </c>
      <c r="I2464">
        <v>0</v>
      </c>
      <c r="N2464">
        <v>0</v>
      </c>
      <c r="P2464">
        <v>0</v>
      </c>
    </row>
    <row r="2465" spans="1:16" x14ac:dyDescent="0.3">
      <c r="A2465" t="s">
        <v>653</v>
      </c>
      <c r="B2465">
        <v>19</v>
      </c>
      <c r="E2465">
        <v>0</v>
      </c>
      <c r="I2465">
        <v>0</v>
      </c>
    </row>
    <row r="2466" spans="1:16" x14ac:dyDescent="0.3">
      <c r="A2466" t="s">
        <v>654</v>
      </c>
      <c r="B2466">
        <v>19</v>
      </c>
      <c r="E2466">
        <v>0</v>
      </c>
      <c r="I2466">
        <v>0</v>
      </c>
    </row>
    <row r="2467" spans="1:16" x14ac:dyDescent="0.3">
      <c r="A2467" t="s">
        <v>655</v>
      </c>
      <c r="B2467">
        <v>19</v>
      </c>
      <c r="E2467">
        <v>3</v>
      </c>
      <c r="I2467">
        <v>3</v>
      </c>
    </row>
    <row r="2468" spans="1:16" x14ac:dyDescent="0.3">
      <c r="A2468" t="s">
        <v>656</v>
      </c>
      <c r="B2468">
        <v>19</v>
      </c>
      <c r="E2468">
        <v>0</v>
      </c>
      <c r="I2468">
        <v>0</v>
      </c>
    </row>
    <row r="2469" spans="1:16" x14ac:dyDescent="0.3">
      <c r="A2469" t="s">
        <v>657</v>
      </c>
      <c r="B2469">
        <v>19</v>
      </c>
      <c r="E2469">
        <v>0</v>
      </c>
      <c r="I2469">
        <v>0</v>
      </c>
      <c r="N2469">
        <v>0</v>
      </c>
    </row>
    <row r="2470" spans="1:16" x14ac:dyDescent="0.3">
      <c r="A2470" t="s">
        <v>408</v>
      </c>
      <c r="B2470">
        <v>19</v>
      </c>
      <c r="E2470">
        <v>0</v>
      </c>
    </row>
    <row r="2471" spans="1:16" x14ac:dyDescent="0.3">
      <c r="A2471" t="s">
        <v>658</v>
      </c>
      <c r="B2471">
        <v>19</v>
      </c>
      <c r="C2471">
        <v>16</v>
      </c>
      <c r="E2471">
        <v>1076</v>
      </c>
      <c r="F2471">
        <v>82</v>
      </c>
      <c r="G2471">
        <v>0</v>
      </c>
      <c r="H2471">
        <v>49</v>
      </c>
      <c r="I2471">
        <v>598</v>
      </c>
      <c r="N2471">
        <v>38</v>
      </c>
      <c r="P2471">
        <v>228</v>
      </c>
    </row>
    <row r="2472" spans="1:16" x14ac:dyDescent="0.3">
      <c r="A2472" t="s">
        <v>34</v>
      </c>
      <c r="B2472">
        <v>21</v>
      </c>
      <c r="C2472">
        <v>19</v>
      </c>
      <c r="D2472">
        <v>19</v>
      </c>
      <c r="E2472">
        <v>19</v>
      </c>
      <c r="F2472">
        <v>19</v>
      </c>
      <c r="G2472">
        <v>61</v>
      </c>
      <c r="H2472">
        <v>61</v>
      </c>
      <c r="I2472">
        <v>61</v>
      </c>
      <c r="J2472">
        <v>61</v>
      </c>
      <c r="K2472">
        <v>133</v>
      </c>
      <c r="L2472">
        <v>133</v>
      </c>
      <c r="M2472">
        <v>133</v>
      </c>
      <c r="N2472">
        <v>134</v>
      </c>
      <c r="O2472">
        <v>134</v>
      </c>
      <c r="P2472">
        <v>134</v>
      </c>
    </row>
    <row r="2473" spans="1:16" x14ac:dyDescent="0.3">
      <c r="A2473" t="s">
        <v>35</v>
      </c>
      <c r="B2473">
        <v>21</v>
      </c>
      <c r="C2473">
        <v>19</v>
      </c>
      <c r="D2473">
        <v>133</v>
      </c>
      <c r="E2473">
        <v>61</v>
      </c>
      <c r="F2473">
        <v>134</v>
      </c>
      <c r="G2473">
        <v>61</v>
      </c>
      <c r="H2473">
        <v>134</v>
      </c>
      <c r="I2473">
        <v>19</v>
      </c>
      <c r="J2473">
        <v>133</v>
      </c>
      <c r="K2473">
        <v>61</v>
      </c>
      <c r="L2473">
        <v>134</v>
      </c>
      <c r="M2473">
        <v>19</v>
      </c>
      <c r="N2473">
        <v>19</v>
      </c>
      <c r="O2473">
        <v>133</v>
      </c>
      <c r="P2473">
        <v>61</v>
      </c>
    </row>
    <row r="2474" spans="1:16" x14ac:dyDescent="0.3">
      <c r="A2474" t="s">
        <v>36</v>
      </c>
      <c r="B2474">
        <v>21</v>
      </c>
      <c r="C2474">
        <v>0</v>
      </c>
      <c r="D2474">
        <v>1</v>
      </c>
      <c r="E2474">
        <v>2</v>
      </c>
      <c r="F2474">
        <v>1</v>
      </c>
      <c r="G2474">
        <v>0</v>
      </c>
      <c r="H2474">
        <v>1</v>
      </c>
      <c r="I2474">
        <v>2</v>
      </c>
      <c r="J2474">
        <v>1</v>
      </c>
      <c r="K2474">
        <v>0</v>
      </c>
      <c r="L2474">
        <v>1</v>
      </c>
      <c r="M2474">
        <v>1</v>
      </c>
      <c r="N2474">
        <v>0</v>
      </c>
      <c r="O2474">
        <v>1</v>
      </c>
      <c r="P2474">
        <v>0</v>
      </c>
    </row>
    <row r="2475" spans="1:16" x14ac:dyDescent="0.3">
      <c r="A2475" t="s">
        <v>37</v>
      </c>
      <c r="B2475">
        <v>21</v>
      </c>
      <c r="D2475">
        <v>0</v>
      </c>
      <c r="E2475">
        <v>0</v>
      </c>
      <c r="H2475">
        <v>0</v>
      </c>
      <c r="I2475">
        <v>0</v>
      </c>
      <c r="K2475">
        <v>0</v>
      </c>
      <c r="L2475">
        <v>1</v>
      </c>
      <c r="N2475">
        <v>0</v>
      </c>
      <c r="O2475">
        <v>3</v>
      </c>
    </row>
    <row r="2476" spans="1:16" x14ac:dyDescent="0.3">
      <c r="A2476" t="s">
        <v>38</v>
      </c>
      <c r="B2476">
        <v>21</v>
      </c>
      <c r="C2476">
        <v>12</v>
      </c>
      <c r="D2476">
        <v>12</v>
      </c>
      <c r="E2476">
        <v>12</v>
      </c>
      <c r="F2476">
        <v>12</v>
      </c>
      <c r="G2476">
        <v>12</v>
      </c>
      <c r="H2476">
        <v>12</v>
      </c>
      <c r="I2476">
        <v>12</v>
      </c>
      <c r="J2476">
        <v>12</v>
      </c>
      <c r="K2476">
        <v>12</v>
      </c>
      <c r="L2476">
        <v>12</v>
      </c>
      <c r="M2476">
        <v>12</v>
      </c>
      <c r="N2476">
        <v>12</v>
      </c>
      <c r="O2476">
        <v>12</v>
      </c>
      <c r="P2476">
        <v>12</v>
      </c>
    </row>
    <row r="2477" spans="1:16" x14ac:dyDescent="0.3">
      <c r="A2477" t="s">
        <v>39</v>
      </c>
      <c r="B2477">
        <v>21</v>
      </c>
      <c r="D2477">
        <v>200</v>
      </c>
      <c r="F2477">
        <v>250</v>
      </c>
      <c r="H2477">
        <v>300</v>
      </c>
      <c r="J2477">
        <v>300</v>
      </c>
      <c r="M2477">
        <v>1000</v>
      </c>
    </row>
    <row r="2478" spans="1:16" x14ac:dyDescent="0.3">
      <c r="A2478" t="s">
        <v>631</v>
      </c>
      <c r="B2478">
        <v>21</v>
      </c>
      <c r="D2478">
        <v>25</v>
      </c>
      <c r="F2478">
        <v>25</v>
      </c>
      <c r="H2478">
        <v>25</v>
      </c>
      <c r="J2478">
        <v>25</v>
      </c>
      <c r="M2478">
        <v>25</v>
      </c>
    </row>
    <row r="2479" spans="1:16" x14ac:dyDescent="0.3">
      <c r="A2479" t="s">
        <v>40</v>
      </c>
      <c r="B2479">
        <v>21</v>
      </c>
      <c r="D2479">
        <v>1</v>
      </c>
      <c r="F2479">
        <v>1</v>
      </c>
      <c r="H2479">
        <v>1</v>
      </c>
      <c r="J2479">
        <v>1</v>
      </c>
      <c r="M2479">
        <v>1</v>
      </c>
    </row>
    <row r="2480" spans="1:16" x14ac:dyDescent="0.3">
      <c r="A2480" t="s">
        <v>41</v>
      </c>
      <c r="B2480">
        <v>21</v>
      </c>
    </row>
    <row r="2481" spans="1:16" x14ac:dyDescent="0.3">
      <c r="A2481" t="s">
        <v>42</v>
      </c>
      <c r="B2481">
        <v>21</v>
      </c>
      <c r="E2481">
        <v>55</v>
      </c>
      <c r="I2481">
        <v>55</v>
      </c>
      <c r="L2481">
        <v>30</v>
      </c>
      <c r="O2481">
        <v>30</v>
      </c>
    </row>
    <row r="2482" spans="1:16" x14ac:dyDescent="0.3">
      <c r="A2482" t="s">
        <v>45</v>
      </c>
      <c r="B2482">
        <v>21</v>
      </c>
      <c r="D2482">
        <v>1</v>
      </c>
      <c r="E2482">
        <v>6</v>
      </c>
      <c r="H2482">
        <v>5</v>
      </c>
      <c r="I2482">
        <v>2</v>
      </c>
      <c r="L2482">
        <v>8</v>
      </c>
      <c r="O2482">
        <v>4</v>
      </c>
    </row>
    <row r="2483" spans="1:16" x14ac:dyDescent="0.3">
      <c r="A2483" t="s">
        <v>46</v>
      </c>
      <c r="B2483">
        <v>21</v>
      </c>
      <c r="F2483">
        <v>6</v>
      </c>
      <c r="J2483">
        <v>2</v>
      </c>
      <c r="K2483">
        <v>8</v>
      </c>
      <c r="M2483">
        <v>8</v>
      </c>
      <c r="N2483">
        <v>4</v>
      </c>
    </row>
    <row r="2484" spans="1:16" x14ac:dyDescent="0.3">
      <c r="A2484" t="s">
        <v>49</v>
      </c>
      <c r="B2484">
        <v>21</v>
      </c>
      <c r="C2484">
        <v>4</v>
      </c>
      <c r="D2484">
        <v>6.5</v>
      </c>
      <c r="E2484">
        <v>7</v>
      </c>
      <c r="F2484">
        <v>7</v>
      </c>
      <c r="G2484">
        <v>4</v>
      </c>
      <c r="H2484">
        <v>6.5</v>
      </c>
      <c r="I2484">
        <v>7</v>
      </c>
      <c r="J2484">
        <v>7</v>
      </c>
      <c r="K2484">
        <v>7</v>
      </c>
      <c r="L2484">
        <v>7</v>
      </c>
      <c r="M2484">
        <v>7</v>
      </c>
      <c r="N2484">
        <v>7</v>
      </c>
      <c r="O2484">
        <v>7</v>
      </c>
      <c r="P2484">
        <v>4</v>
      </c>
    </row>
    <row r="2485" spans="1:16" x14ac:dyDescent="0.3">
      <c r="A2485" t="s">
        <v>632</v>
      </c>
      <c r="B2485">
        <v>21</v>
      </c>
      <c r="C2485">
        <v>0</v>
      </c>
      <c r="D2485">
        <v>0</v>
      </c>
      <c r="E2485">
        <v>0</v>
      </c>
      <c r="F2485">
        <v>0</v>
      </c>
      <c r="G2485">
        <v>0</v>
      </c>
      <c r="H2485">
        <v>0</v>
      </c>
      <c r="I2485">
        <v>0</v>
      </c>
      <c r="J2485">
        <v>0</v>
      </c>
      <c r="K2485">
        <v>0</v>
      </c>
      <c r="L2485">
        <v>0</v>
      </c>
      <c r="M2485">
        <v>0</v>
      </c>
      <c r="N2485">
        <v>0</v>
      </c>
      <c r="O2485">
        <v>0</v>
      </c>
      <c r="P2485">
        <v>0</v>
      </c>
    </row>
    <row r="2486" spans="1:16" x14ac:dyDescent="0.3">
      <c r="A2486" t="s">
        <v>48</v>
      </c>
      <c r="B2486">
        <v>21</v>
      </c>
      <c r="C2486">
        <v>1900</v>
      </c>
      <c r="D2486">
        <v>1900</v>
      </c>
      <c r="E2486">
        <v>1900</v>
      </c>
      <c r="F2486">
        <v>1900</v>
      </c>
      <c r="G2486">
        <v>1900</v>
      </c>
      <c r="H2486">
        <v>1900</v>
      </c>
      <c r="I2486">
        <v>1900</v>
      </c>
      <c r="J2486">
        <v>1900</v>
      </c>
      <c r="K2486">
        <v>1900</v>
      </c>
      <c r="L2486">
        <v>1900</v>
      </c>
      <c r="M2486">
        <v>1900</v>
      </c>
      <c r="N2486">
        <v>1900</v>
      </c>
      <c r="O2486">
        <v>1900</v>
      </c>
      <c r="P2486">
        <v>1900</v>
      </c>
    </row>
    <row r="2487" spans="1:16" x14ac:dyDescent="0.3">
      <c r="A2487" t="s">
        <v>633</v>
      </c>
      <c r="B2487">
        <v>21</v>
      </c>
      <c r="C2487">
        <v>0</v>
      </c>
      <c r="D2487">
        <v>1770</v>
      </c>
      <c r="E2487">
        <v>3539</v>
      </c>
      <c r="F2487">
        <v>1583</v>
      </c>
      <c r="G2487">
        <v>0</v>
      </c>
      <c r="H2487">
        <v>1770</v>
      </c>
      <c r="I2487">
        <v>3539</v>
      </c>
      <c r="J2487">
        <v>1583</v>
      </c>
      <c r="K2487">
        <v>0</v>
      </c>
      <c r="L2487">
        <v>1796</v>
      </c>
      <c r="M2487">
        <v>1583</v>
      </c>
      <c r="N2487">
        <v>0</v>
      </c>
      <c r="O2487">
        <v>1749</v>
      </c>
      <c r="P2487">
        <v>0</v>
      </c>
    </row>
    <row r="2488" spans="1:16" x14ac:dyDescent="0.3">
      <c r="A2488" t="s">
        <v>50</v>
      </c>
      <c r="B2488">
        <v>21</v>
      </c>
      <c r="C2488">
        <v>0</v>
      </c>
      <c r="D2488">
        <v>1770</v>
      </c>
      <c r="E2488">
        <v>3539</v>
      </c>
      <c r="F2488">
        <v>1583</v>
      </c>
      <c r="G2488">
        <v>0</v>
      </c>
      <c r="H2488">
        <v>1770</v>
      </c>
      <c r="I2488">
        <v>3539</v>
      </c>
      <c r="J2488">
        <v>1583</v>
      </c>
      <c r="K2488">
        <v>0</v>
      </c>
      <c r="L2488">
        <v>1405</v>
      </c>
      <c r="M2488">
        <v>1583</v>
      </c>
      <c r="N2488">
        <v>0</v>
      </c>
      <c r="O2488">
        <v>1618</v>
      </c>
      <c r="P2488">
        <v>0</v>
      </c>
    </row>
    <row r="2489" spans="1:16" x14ac:dyDescent="0.3">
      <c r="A2489" t="s">
        <v>634</v>
      </c>
      <c r="B2489">
        <v>21</v>
      </c>
      <c r="C2489">
        <v>1</v>
      </c>
      <c r="D2489">
        <v>1</v>
      </c>
      <c r="E2489">
        <v>1</v>
      </c>
      <c r="F2489">
        <v>1</v>
      </c>
      <c r="G2489">
        <v>1</v>
      </c>
      <c r="H2489">
        <v>1</v>
      </c>
      <c r="I2489">
        <v>1</v>
      </c>
      <c r="J2489">
        <v>1</v>
      </c>
      <c r="K2489">
        <v>1</v>
      </c>
      <c r="L2489">
        <v>1</v>
      </c>
      <c r="M2489">
        <v>1</v>
      </c>
      <c r="N2489">
        <v>1</v>
      </c>
      <c r="O2489">
        <v>1</v>
      </c>
      <c r="P2489">
        <v>1</v>
      </c>
    </row>
    <row r="2490" spans="1:16" x14ac:dyDescent="0.3">
      <c r="A2490" t="s">
        <v>51</v>
      </c>
      <c r="B2490">
        <v>21</v>
      </c>
      <c r="C2490">
        <v>0</v>
      </c>
      <c r="D2490">
        <v>0</v>
      </c>
      <c r="E2490">
        <v>0</v>
      </c>
      <c r="F2490">
        <v>95</v>
      </c>
      <c r="G2490">
        <v>0</v>
      </c>
      <c r="H2490">
        <v>0</v>
      </c>
      <c r="I2490">
        <v>0</v>
      </c>
      <c r="J2490">
        <v>155</v>
      </c>
      <c r="K2490">
        <v>0</v>
      </c>
      <c r="L2490">
        <v>0</v>
      </c>
      <c r="M2490">
        <v>155</v>
      </c>
      <c r="N2490">
        <v>0</v>
      </c>
      <c r="O2490">
        <v>11</v>
      </c>
      <c r="P2490">
        <v>0</v>
      </c>
    </row>
    <row r="2491" spans="1:16" x14ac:dyDescent="0.3">
      <c r="A2491" t="s">
        <v>53</v>
      </c>
      <c r="B2491">
        <v>21</v>
      </c>
      <c r="C2491">
        <v>0</v>
      </c>
      <c r="D2491">
        <v>245</v>
      </c>
      <c r="E2491">
        <v>943</v>
      </c>
      <c r="F2491">
        <v>40</v>
      </c>
      <c r="G2491">
        <v>0</v>
      </c>
      <c r="H2491">
        <v>27</v>
      </c>
      <c r="I2491">
        <v>551</v>
      </c>
      <c r="J2491">
        <v>86</v>
      </c>
      <c r="K2491">
        <v>90</v>
      </c>
      <c r="L2491">
        <v>30</v>
      </c>
      <c r="M2491">
        <v>63</v>
      </c>
      <c r="N2491">
        <v>8</v>
      </c>
      <c r="O2491">
        <v>19</v>
      </c>
      <c r="P2491">
        <v>10</v>
      </c>
    </row>
    <row r="2492" spans="1:16" x14ac:dyDescent="0.3">
      <c r="A2492" t="s">
        <v>54</v>
      </c>
      <c r="B2492">
        <v>21</v>
      </c>
      <c r="C2492">
        <v>0</v>
      </c>
      <c r="D2492">
        <v>0</v>
      </c>
      <c r="E2492">
        <v>0</v>
      </c>
      <c r="F2492">
        <v>0</v>
      </c>
      <c r="G2492">
        <v>0</v>
      </c>
      <c r="H2492">
        <v>0</v>
      </c>
      <c r="I2492">
        <v>0</v>
      </c>
      <c r="J2492">
        <v>0</v>
      </c>
      <c r="K2492">
        <v>0</v>
      </c>
      <c r="L2492">
        <v>0</v>
      </c>
      <c r="M2492">
        <v>0</v>
      </c>
      <c r="N2492">
        <v>0</v>
      </c>
      <c r="O2492">
        <v>0</v>
      </c>
      <c r="P2492">
        <v>0</v>
      </c>
    </row>
    <row r="2493" spans="1:16" x14ac:dyDescent="0.3">
      <c r="A2493" t="s">
        <v>55</v>
      </c>
      <c r="B2493">
        <v>21</v>
      </c>
      <c r="C2493">
        <v>0</v>
      </c>
      <c r="D2493">
        <v>0</v>
      </c>
      <c r="E2493">
        <v>0</v>
      </c>
      <c r="F2493">
        <v>0</v>
      </c>
      <c r="G2493">
        <v>0</v>
      </c>
      <c r="H2493">
        <v>0</v>
      </c>
      <c r="I2493">
        <v>0</v>
      </c>
      <c r="J2493">
        <v>0</v>
      </c>
      <c r="K2493">
        <v>0</v>
      </c>
      <c r="L2493">
        <v>0</v>
      </c>
      <c r="M2493">
        <v>0</v>
      </c>
      <c r="N2493">
        <v>0</v>
      </c>
      <c r="O2493">
        <v>0</v>
      </c>
      <c r="P2493">
        <v>0</v>
      </c>
    </row>
    <row r="2494" spans="1:16" x14ac:dyDescent="0.3">
      <c r="A2494" t="s">
        <v>56</v>
      </c>
      <c r="B2494">
        <v>21</v>
      </c>
      <c r="C2494">
        <v>0.92</v>
      </c>
      <c r="D2494">
        <v>0.92</v>
      </c>
      <c r="E2494">
        <v>0.92</v>
      </c>
      <c r="F2494">
        <v>0.92</v>
      </c>
      <c r="G2494">
        <v>0.92</v>
      </c>
      <c r="H2494">
        <v>0.92</v>
      </c>
      <c r="I2494">
        <v>0.92</v>
      </c>
      <c r="J2494">
        <v>0.92</v>
      </c>
      <c r="K2494">
        <v>0.92</v>
      </c>
      <c r="L2494">
        <v>0.92</v>
      </c>
      <c r="M2494">
        <v>0.92</v>
      </c>
      <c r="N2494">
        <v>0.92</v>
      </c>
      <c r="O2494">
        <v>0.92</v>
      </c>
      <c r="P2494">
        <v>0.92</v>
      </c>
    </row>
    <row r="2495" spans="1:16" x14ac:dyDescent="0.3">
      <c r="A2495" t="s">
        <v>57</v>
      </c>
      <c r="B2495">
        <v>21</v>
      </c>
      <c r="C2495">
        <v>100</v>
      </c>
      <c r="D2495">
        <v>100</v>
      </c>
      <c r="E2495">
        <v>100</v>
      </c>
      <c r="F2495">
        <v>100</v>
      </c>
      <c r="G2495">
        <v>100</v>
      </c>
      <c r="H2495">
        <v>100</v>
      </c>
      <c r="I2495">
        <v>100</v>
      </c>
      <c r="J2495">
        <v>100</v>
      </c>
      <c r="K2495">
        <v>100</v>
      </c>
      <c r="L2495">
        <v>100</v>
      </c>
      <c r="M2495">
        <v>100</v>
      </c>
      <c r="N2495">
        <v>100</v>
      </c>
      <c r="O2495">
        <v>100</v>
      </c>
      <c r="P2495">
        <v>100</v>
      </c>
    </row>
    <row r="2496" spans="1:16" x14ac:dyDescent="0.3">
      <c r="A2496" t="s">
        <v>58</v>
      </c>
      <c r="B2496">
        <v>21</v>
      </c>
      <c r="C2496">
        <v>2</v>
      </c>
      <c r="D2496">
        <v>2</v>
      </c>
      <c r="E2496">
        <v>2</v>
      </c>
      <c r="F2496">
        <v>2</v>
      </c>
      <c r="G2496">
        <v>2</v>
      </c>
      <c r="H2496">
        <v>2</v>
      </c>
      <c r="I2496">
        <v>2</v>
      </c>
      <c r="J2496">
        <v>2</v>
      </c>
      <c r="K2496">
        <v>2</v>
      </c>
      <c r="L2496">
        <v>2</v>
      </c>
      <c r="M2496">
        <v>2</v>
      </c>
      <c r="N2496">
        <v>2</v>
      </c>
      <c r="O2496">
        <v>2</v>
      </c>
      <c r="P2496">
        <v>2</v>
      </c>
    </row>
    <row r="2497" spans="1:16" x14ac:dyDescent="0.3">
      <c r="A2497" t="s">
        <v>59</v>
      </c>
      <c r="B2497">
        <v>21</v>
      </c>
      <c r="C2497">
        <v>0</v>
      </c>
      <c r="D2497">
        <v>0</v>
      </c>
      <c r="E2497">
        <v>0</v>
      </c>
      <c r="F2497">
        <v>0</v>
      </c>
      <c r="G2497">
        <v>0</v>
      </c>
      <c r="H2497">
        <v>0</v>
      </c>
      <c r="I2497">
        <v>0</v>
      </c>
      <c r="J2497">
        <v>0</v>
      </c>
      <c r="K2497">
        <v>0</v>
      </c>
      <c r="L2497">
        <v>0</v>
      </c>
      <c r="M2497">
        <v>0</v>
      </c>
      <c r="N2497">
        <v>0</v>
      </c>
      <c r="O2497">
        <v>0</v>
      </c>
      <c r="P2497">
        <v>0</v>
      </c>
    </row>
    <row r="2498" spans="1:16" x14ac:dyDescent="0.3">
      <c r="A2498" t="s">
        <v>635</v>
      </c>
      <c r="B2498">
        <v>21</v>
      </c>
      <c r="E2498">
        <v>0</v>
      </c>
      <c r="I2498">
        <v>0</v>
      </c>
      <c r="L2498">
        <v>0</v>
      </c>
      <c r="O2498">
        <v>0</v>
      </c>
    </row>
    <row r="2499" spans="1:16" x14ac:dyDescent="0.3">
      <c r="A2499" t="s">
        <v>574</v>
      </c>
      <c r="B2499">
        <v>21</v>
      </c>
      <c r="E2499">
        <v>2522</v>
      </c>
      <c r="I2499">
        <v>875</v>
      </c>
      <c r="L2499">
        <v>1474</v>
      </c>
      <c r="O2499">
        <v>760</v>
      </c>
    </row>
    <row r="2500" spans="1:16" x14ac:dyDescent="0.3">
      <c r="A2500" t="s">
        <v>78</v>
      </c>
      <c r="B2500">
        <v>21</v>
      </c>
      <c r="E2500">
        <v>31.3</v>
      </c>
      <c r="I2500">
        <v>10.8</v>
      </c>
      <c r="L2500">
        <v>33.5</v>
      </c>
      <c r="O2500">
        <v>17.3</v>
      </c>
    </row>
    <row r="2501" spans="1:16" x14ac:dyDescent="0.3">
      <c r="A2501" t="s">
        <v>636</v>
      </c>
      <c r="B2501">
        <v>21</v>
      </c>
      <c r="F2501">
        <v>0</v>
      </c>
      <c r="J2501">
        <v>0</v>
      </c>
      <c r="M2501">
        <v>0</v>
      </c>
      <c r="P2501">
        <v>0</v>
      </c>
    </row>
    <row r="2502" spans="1:16" x14ac:dyDescent="0.3">
      <c r="A2502" t="s">
        <v>639</v>
      </c>
      <c r="B2502">
        <v>21</v>
      </c>
      <c r="C2502">
        <v>3</v>
      </c>
      <c r="D2502">
        <v>0</v>
      </c>
      <c r="E2502">
        <v>0</v>
      </c>
      <c r="F2502">
        <v>1</v>
      </c>
      <c r="G2502">
        <v>3</v>
      </c>
      <c r="H2502">
        <v>0</v>
      </c>
      <c r="I2502">
        <v>0</v>
      </c>
      <c r="J2502">
        <v>1</v>
      </c>
      <c r="K2502">
        <v>0</v>
      </c>
      <c r="L2502">
        <v>0</v>
      </c>
      <c r="M2502">
        <v>1</v>
      </c>
      <c r="N2502">
        <v>0</v>
      </c>
      <c r="O2502">
        <v>0</v>
      </c>
      <c r="P2502">
        <v>1</v>
      </c>
    </row>
    <row r="2503" spans="1:16" x14ac:dyDescent="0.3">
      <c r="A2503" t="s">
        <v>640</v>
      </c>
      <c r="B2503">
        <v>21</v>
      </c>
      <c r="C2503">
        <v>0</v>
      </c>
      <c r="D2503">
        <v>0</v>
      </c>
      <c r="E2503">
        <v>0</v>
      </c>
      <c r="F2503">
        <v>0</v>
      </c>
      <c r="G2503">
        <v>0</v>
      </c>
      <c r="H2503">
        <v>0</v>
      </c>
      <c r="I2503">
        <v>0</v>
      </c>
      <c r="J2503">
        <v>0</v>
      </c>
      <c r="K2503">
        <v>0</v>
      </c>
      <c r="L2503">
        <v>0</v>
      </c>
      <c r="M2503">
        <v>0</v>
      </c>
      <c r="N2503">
        <v>0</v>
      </c>
      <c r="O2503">
        <v>0</v>
      </c>
      <c r="P2503">
        <v>0</v>
      </c>
    </row>
    <row r="2504" spans="1:16" x14ac:dyDescent="0.3">
      <c r="A2504" t="s">
        <v>52</v>
      </c>
      <c r="B2504">
        <v>21</v>
      </c>
      <c r="C2504">
        <v>1</v>
      </c>
      <c r="D2504">
        <v>1</v>
      </c>
      <c r="E2504">
        <v>1</v>
      </c>
      <c r="F2504">
        <v>1</v>
      </c>
      <c r="G2504">
        <v>1</v>
      </c>
      <c r="H2504">
        <v>1</v>
      </c>
      <c r="I2504">
        <v>1</v>
      </c>
      <c r="J2504">
        <v>1</v>
      </c>
      <c r="K2504">
        <v>1</v>
      </c>
      <c r="L2504">
        <v>1</v>
      </c>
      <c r="M2504">
        <v>1</v>
      </c>
      <c r="N2504">
        <v>1.02</v>
      </c>
      <c r="O2504">
        <v>1.02</v>
      </c>
      <c r="P2504">
        <v>1.02</v>
      </c>
    </row>
    <row r="2505" spans="1:16" x14ac:dyDescent="0.3">
      <c r="A2505" t="s">
        <v>641</v>
      </c>
      <c r="B2505">
        <v>21</v>
      </c>
      <c r="C2505">
        <v>9</v>
      </c>
      <c r="D2505">
        <v>15</v>
      </c>
      <c r="E2505">
        <v>60</v>
      </c>
      <c r="F2505">
        <v>9</v>
      </c>
      <c r="G2505">
        <v>9</v>
      </c>
      <c r="H2505">
        <v>15</v>
      </c>
      <c r="I2505">
        <v>60</v>
      </c>
      <c r="J2505">
        <v>9</v>
      </c>
      <c r="K2505">
        <v>15</v>
      </c>
      <c r="L2505">
        <v>60</v>
      </c>
      <c r="M2505">
        <v>9</v>
      </c>
      <c r="N2505">
        <v>15</v>
      </c>
      <c r="O2505">
        <v>60</v>
      </c>
      <c r="P2505">
        <v>9</v>
      </c>
    </row>
    <row r="2506" spans="1:16" x14ac:dyDescent="0.3">
      <c r="A2506" t="s">
        <v>43</v>
      </c>
      <c r="B2506">
        <v>21</v>
      </c>
      <c r="D2506">
        <v>40</v>
      </c>
      <c r="E2506">
        <v>336</v>
      </c>
      <c r="F2506">
        <v>0</v>
      </c>
      <c r="H2506">
        <v>40</v>
      </c>
      <c r="I2506">
        <v>336</v>
      </c>
      <c r="J2506">
        <v>0</v>
      </c>
      <c r="K2506">
        <v>40</v>
      </c>
      <c r="L2506">
        <v>40</v>
      </c>
      <c r="M2506">
        <v>0</v>
      </c>
      <c r="N2506">
        <v>40</v>
      </c>
      <c r="O2506">
        <v>40</v>
      </c>
    </row>
    <row r="2507" spans="1:16" x14ac:dyDescent="0.3">
      <c r="A2507" t="s">
        <v>44</v>
      </c>
      <c r="B2507">
        <v>21</v>
      </c>
      <c r="D2507">
        <v>0</v>
      </c>
      <c r="E2507">
        <v>0</v>
      </c>
      <c r="F2507">
        <v>0</v>
      </c>
      <c r="H2507">
        <v>0</v>
      </c>
      <c r="I2507">
        <v>0</v>
      </c>
      <c r="J2507">
        <v>0</v>
      </c>
      <c r="K2507">
        <v>0</v>
      </c>
      <c r="L2507">
        <v>0</v>
      </c>
      <c r="M2507">
        <v>0</v>
      </c>
      <c r="N2507">
        <v>0</v>
      </c>
      <c r="O2507">
        <v>0</v>
      </c>
    </row>
    <row r="2508" spans="1:16" x14ac:dyDescent="0.3">
      <c r="A2508" t="s">
        <v>47</v>
      </c>
      <c r="B2508">
        <v>21</v>
      </c>
      <c r="D2508">
        <v>1</v>
      </c>
      <c r="E2508">
        <v>6</v>
      </c>
      <c r="F2508">
        <v>6</v>
      </c>
      <c r="H2508">
        <v>5</v>
      </c>
      <c r="I2508">
        <v>2</v>
      </c>
      <c r="J2508">
        <v>2</v>
      </c>
      <c r="K2508">
        <v>8</v>
      </c>
      <c r="L2508">
        <v>8</v>
      </c>
      <c r="M2508">
        <v>8</v>
      </c>
      <c r="N2508">
        <v>4</v>
      </c>
      <c r="O2508">
        <v>4</v>
      </c>
    </row>
    <row r="2509" spans="1:16" x14ac:dyDescent="0.3">
      <c r="A2509" t="s">
        <v>642</v>
      </c>
      <c r="B2509">
        <v>21</v>
      </c>
      <c r="D2509">
        <v>0</v>
      </c>
      <c r="E2509">
        <v>0</v>
      </c>
      <c r="F2509">
        <v>0</v>
      </c>
      <c r="H2509">
        <v>0</v>
      </c>
      <c r="I2509">
        <v>0</v>
      </c>
      <c r="J2509">
        <v>0</v>
      </c>
      <c r="K2509">
        <v>0</v>
      </c>
      <c r="L2509">
        <v>0</v>
      </c>
      <c r="M2509">
        <v>0</v>
      </c>
      <c r="N2509">
        <v>0</v>
      </c>
      <c r="O2509">
        <v>0</v>
      </c>
    </row>
    <row r="2510" spans="1:16" x14ac:dyDescent="0.3">
      <c r="A2510" t="s">
        <v>643</v>
      </c>
      <c r="B2510">
        <v>21</v>
      </c>
      <c r="D2510">
        <v>0</v>
      </c>
      <c r="E2510">
        <v>0</v>
      </c>
      <c r="F2510">
        <v>0</v>
      </c>
      <c r="H2510">
        <v>0</v>
      </c>
      <c r="I2510">
        <v>0</v>
      </c>
      <c r="J2510">
        <v>0</v>
      </c>
      <c r="K2510">
        <v>0</v>
      </c>
      <c r="L2510">
        <v>0</v>
      </c>
      <c r="M2510">
        <v>0</v>
      </c>
      <c r="N2510">
        <v>0</v>
      </c>
      <c r="O2510">
        <v>0</v>
      </c>
    </row>
    <row r="2511" spans="1:16" x14ac:dyDescent="0.3">
      <c r="A2511" t="s">
        <v>644</v>
      </c>
      <c r="B2511">
        <v>21</v>
      </c>
      <c r="D2511">
        <v>0</v>
      </c>
      <c r="E2511">
        <v>0</v>
      </c>
      <c r="F2511">
        <v>0</v>
      </c>
      <c r="H2511">
        <v>0</v>
      </c>
      <c r="I2511">
        <v>0</v>
      </c>
      <c r="J2511">
        <v>0</v>
      </c>
      <c r="K2511">
        <v>0</v>
      </c>
      <c r="L2511">
        <v>0</v>
      </c>
      <c r="M2511">
        <v>0</v>
      </c>
      <c r="N2511">
        <v>0</v>
      </c>
      <c r="O2511">
        <v>0</v>
      </c>
    </row>
    <row r="2512" spans="1:16" x14ac:dyDescent="0.3">
      <c r="A2512" t="s">
        <v>645</v>
      </c>
      <c r="B2512">
        <v>21</v>
      </c>
      <c r="D2512">
        <v>0</v>
      </c>
      <c r="E2512">
        <v>0</v>
      </c>
      <c r="F2512">
        <v>0</v>
      </c>
      <c r="H2512">
        <v>0</v>
      </c>
      <c r="I2512">
        <v>0</v>
      </c>
      <c r="J2512">
        <v>0</v>
      </c>
      <c r="K2512">
        <v>0</v>
      </c>
      <c r="L2512">
        <v>0</v>
      </c>
      <c r="M2512">
        <v>0</v>
      </c>
      <c r="N2512">
        <v>0</v>
      </c>
      <c r="O2512">
        <v>0</v>
      </c>
    </row>
    <row r="2513" spans="1:16" x14ac:dyDescent="0.3">
      <c r="A2513" t="s">
        <v>646</v>
      </c>
      <c r="B2513">
        <v>21</v>
      </c>
      <c r="D2513">
        <v>1</v>
      </c>
      <c r="E2513">
        <v>2</v>
      </c>
      <c r="F2513">
        <v>1</v>
      </c>
      <c r="H2513">
        <v>1</v>
      </c>
      <c r="I2513">
        <v>2</v>
      </c>
      <c r="J2513">
        <v>1</v>
      </c>
      <c r="K2513">
        <v>1</v>
      </c>
      <c r="L2513">
        <v>2</v>
      </c>
      <c r="M2513">
        <v>1</v>
      </c>
      <c r="N2513">
        <v>1</v>
      </c>
      <c r="O2513">
        <v>2</v>
      </c>
    </row>
    <row r="2514" spans="1:16" x14ac:dyDescent="0.3">
      <c r="A2514" t="s">
        <v>647</v>
      </c>
      <c r="B2514">
        <v>21</v>
      </c>
      <c r="D2514">
        <v>0</v>
      </c>
      <c r="E2514">
        <v>330</v>
      </c>
      <c r="F2514">
        <v>0</v>
      </c>
      <c r="H2514">
        <v>0</v>
      </c>
      <c r="I2514">
        <v>330</v>
      </c>
      <c r="J2514">
        <v>0</v>
      </c>
      <c r="K2514">
        <v>0</v>
      </c>
      <c r="L2514">
        <v>0</v>
      </c>
      <c r="M2514">
        <v>0</v>
      </c>
      <c r="N2514">
        <v>0</v>
      </c>
      <c r="O2514">
        <v>0</v>
      </c>
    </row>
    <row r="2515" spans="1:16" x14ac:dyDescent="0.3">
      <c r="A2515" t="s">
        <v>648</v>
      </c>
      <c r="B2515">
        <v>21</v>
      </c>
      <c r="D2515">
        <v>40</v>
      </c>
      <c r="E2515">
        <v>6</v>
      </c>
      <c r="F2515">
        <v>0</v>
      </c>
      <c r="H2515">
        <v>40</v>
      </c>
      <c r="I2515">
        <v>6</v>
      </c>
      <c r="J2515">
        <v>0</v>
      </c>
      <c r="K2515">
        <v>40</v>
      </c>
      <c r="L2515">
        <v>40</v>
      </c>
      <c r="M2515">
        <v>0</v>
      </c>
      <c r="N2515">
        <v>40</v>
      </c>
      <c r="O2515">
        <v>40</v>
      </c>
    </row>
    <row r="2516" spans="1:16" x14ac:dyDescent="0.3">
      <c r="A2516" t="s">
        <v>649</v>
      </c>
      <c r="B2516">
        <v>21</v>
      </c>
      <c r="D2516">
        <v>3</v>
      </c>
      <c r="E2516">
        <v>3</v>
      </c>
      <c r="F2516">
        <v>3</v>
      </c>
      <c r="H2516">
        <v>3</v>
      </c>
      <c r="I2516">
        <v>3</v>
      </c>
      <c r="J2516">
        <v>3</v>
      </c>
      <c r="K2516">
        <v>3</v>
      </c>
      <c r="L2516">
        <v>3</v>
      </c>
      <c r="M2516">
        <v>3</v>
      </c>
      <c r="N2516">
        <v>3</v>
      </c>
      <c r="O2516">
        <v>3</v>
      </c>
    </row>
    <row r="2517" spans="1:16" x14ac:dyDescent="0.3">
      <c r="A2517" t="s">
        <v>650</v>
      </c>
      <c r="B2517">
        <v>21</v>
      </c>
      <c r="D2517">
        <v>0</v>
      </c>
      <c r="E2517">
        <v>0</v>
      </c>
      <c r="F2517">
        <v>0</v>
      </c>
      <c r="H2517">
        <v>0</v>
      </c>
      <c r="I2517">
        <v>0</v>
      </c>
      <c r="J2517">
        <v>0</v>
      </c>
      <c r="K2517">
        <v>0</v>
      </c>
      <c r="L2517">
        <v>0</v>
      </c>
      <c r="M2517">
        <v>0</v>
      </c>
      <c r="N2517">
        <v>0</v>
      </c>
      <c r="O2517">
        <v>0</v>
      </c>
    </row>
    <row r="2518" spans="1:16" x14ac:dyDescent="0.3">
      <c r="A2518" t="s">
        <v>651</v>
      </c>
      <c r="B2518">
        <v>21</v>
      </c>
      <c r="D2518">
        <v>0</v>
      </c>
      <c r="E2518">
        <v>0</v>
      </c>
      <c r="F2518">
        <v>0</v>
      </c>
      <c r="H2518">
        <v>0</v>
      </c>
      <c r="I2518">
        <v>0</v>
      </c>
      <c r="J2518">
        <v>0</v>
      </c>
      <c r="K2518">
        <v>0</v>
      </c>
      <c r="L2518">
        <v>0</v>
      </c>
      <c r="M2518">
        <v>0</v>
      </c>
      <c r="N2518">
        <v>0</v>
      </c>
      <c r="O2518">
        <v>0</v>
      </c>
    </row>
    <row r="2519" spans="1:16" x14ac:dyDescent="0.3">
      <c r="A2519" t="s">
        <v>652</v>
      </c>
      <c r="B2519">
        <v>21</v>
      </c>
      <c r="D2519">
        <v>0</v>
      </c>
      <c r="E2519">
        <v>0</v>
      </c>
      <c r="F2519">
        <v>0</v>
      </c>
      <c r="H2519">
        <v>0</v>
      </c>
      <c r="I2519">
        <v>0</v>
      </c>
      <c r="J2519">
        <v>0</v>
      </c>
      <c r="K2519">
        <v>0</v>
      </c>
      <c r="L2519">
        <v>0</v>
      </c>
      <c r="M2519">
        <v>0</v>
      </c>
      <c r="N2519">
        <v>0</v>
      </c>
      <c r="O2519">
        <v>0</v>
      </c>
    </row>
    <row r="2520" spans="1:16" x14ac:dyDescent="0.3">
      <c r="A2520" t="s">
        <v>653</v>
      </c>
      <c r="B2520">
        <v>21</v>
      </c>
      <c r="E2520">
        <v>0</v>
      </c>
      <c r="I2520">
        <v>0</v>
      </c>
      <c r="L2520">
        <v>0</v>
      </c>
      <c r="O2520">
        <v>0</v>
      </c>
    </row>
    <row r="2521" spans="1:16" x14ac:dyDescent="0.3">
      <c r="A2521" t="s">
        <v>654</v>
      </c>
      <c r="B2521">
        <v>21</v>
      </c>
      <c r="E2521">
        <v>0</v>
      </c>
      <c r="I2521">
        <v>0</v>
      </c>
      <c r="L2521">
        <v>0</v>
      </c>
      <c r="O2521">
        <v>0</v>
      </c>
    </row>
    <row r="2522" spans="1:16" x14ac:dyDescent="0.3">
      <c r="A2522" t="s">
        <v>655</v>
      </c>
      <c r="B2522">
        <v>21</v>
      </c>
      <c r="E2522">
        <v>3</v>
      </c>
      <c r="I2522">
        <v>3</v>
      </c>
      <c r="L2522">
        <v>3</v>
      </c>
      <c r="O2522">
        <v>3</v>
      </c>
    </row>
    <row r="2523" spans="1:16" x14ac:dyDescent="0.3">
      <c r="A2523" t="s">
        <v>656</v>
      </c>
      <c r="B2523">
        <v>21</v>
      </c>
      <c r="E2523">
        <v>0</v>
      </c>
      <c r="I2523">
        <v>0</v>
      </c>
      <c r="L2523">
        <v>0</v>
      </c>
      <c r="O2523">
        <v>0</v>
      </c>
    </row>
    <row r="2524" spans="1:16" x14ac:dyDescent="0.3">
      <c r="A2524" t="s">
        <v>657</v>
      </c>
      <c r="B2524">
        <v>21</v>
      </c>
      <c r="E2524">
        <v>0</v>
      </c>
      <c r="I2524">
        <v>0</v>
      </c>
      <c r="L2524">
        <v>0</v>
      </c>
      <c r="O2524">
        <v>0</v>
      </c>
    </row>
    <row r="2525" spans="1:16" x14ac:dyDescent="0.3">
      <c r="A2525" t="s">
        <v>408</v>
      </c>
      <c r="B2525">
        <v>21</v>
      </c>
      <c r="E2525">
        <v>0</v>
      </c>
    </row>
    <row r="2526" spans="1:16" x14ac:dyDescent="0.3">
      <c r="A2526" t="s">
        <v>658</v>
      </c>
      <c r="B2526">
        <v>21</v>
      </c>
      <c r="C2526">
        <v>0</v>
      </c>
      <c r="D2526">
        <v>266</v>
      </c>
      <c r="E2526">
        <v>1025</v>
      </c>
      <c r="F2526">
        <v>43</v>
      </c>
      <c r="G2526">
        <v>0</v>
      </c>
      <c r="H2526">
        <v>29</v>
      </c>
      <c r="I2526">
        <v>599</v>
      </c>
      <c r="J2526">
        <v>93</v>
      </c>
      <c r="K2526">
        <v>0</v>
      </c>
      <c r="L2526">
        <v>131</v>
      </c>
      <c r="M2526">
        <v>68</v>
      </c>
      <c r="N2526">
        <v>0</v>
      </c>
      <c r="O2526">
        <v>41</v>
      </c>
      <c r="P2526">
        <v>0</v>
      </c>
    </row>
    <row r="2527" spans="1:16" x14ac:dyDescent="0.3">
      <c r="A2527" t="s">
        <v>34</v>
      </c>
      <c r="B2527">
        <v>22</v>
      </c>
      <c r="C2527">
        <v>46</v>
      </c>
      <c r="D2527">
        <v>46</v>
      </c>
      <c r="E2527">
        <v>46</v>
      </c>
      <c r="F2527">
        <v>46</v>
      </c>
      <c r="G2527">
        <v>23</v>
      </c>
      <c r="H2527">
        <v>23</v>
      </c>
      <c r="I2527">
        <v>23</v>
      </c>
      <c r="J2527">
        <v>23</v>
      </c>
      <c r="K2527">
        <v>115</v>
      </c>
      <c r="L2527">
        <v>115</v>
      </c>
      <c r="M2527">
        <v>115</v>
      </c>
      <c r="N2527">
        <v>11</v>
      </c>
      <c r="O2527">
        <v>11</v>
      </c>
      <c r="P2527">
        <v>11</v>
      </c>
    </row>
    <row r="2528" spans="1:16" x14ac:dyDescent="0.3">
      <c r="A2528" t="s">
        <v>35</v>
      </c>
      <c r="B2528">
        <v>22</v>
      </c>
      <c r="C2528">
        <v>46</v>
      </c>
      <c r="D2528">
        <v>115</v>
      </c>
      <c r="E2528">
        <v>23</v>
      </c>
      <c r="F2528">
        <v>11</v>
      </c>
      <c r="G2528">
        <v>23</v>
      </c>
      <c r="H2528">
        <v>11</v>
      </c>
      <c r="I2528">
        <v>46</v>
      </c>
      <c r="J2528">
        <v>115</v>
      </c>
      <c r="K2528">
        <v>23</v>
      </c>
      <c r="L2528">
        <v>11</v>
      </c>
      <c r="M2528">
        <v>46</v>
      </c>
      <c r="N2528">
        <v>46</v>
      </c>
      <c r="O2528">
        <v>115</v>
      </c>
      <c r="P2528">
        <v>23</v>
      </c>
    </row>
    <row r="2529" spans="1:16" x14ac:dyDescent="0.3">
      <c r="A2529" t="s">
        <v>36</v>
      </c>
      <c r="B2529">
        <v>22</v>
      </c>
      <c r="C2529">
        <v>0</v>
      </c>
      <c r="D2529">
        <v>1</v>
      </c>
      <c r="E2529">
        <v>2</v>
      </c>
      <c r="F2529">
        <v>1</v>
      </c>
      <c r="G2529">
        <v>0</v>
      </c>
      <c r="H2529">
        <v>1</v>
      </c>
      <c r="I2529">
        <v>2</v>
      </c>
      <c r="J2529">
        <v>1</v>
      </c>
      <c r="K2529">
        <v>0</v>
      </c>
      <c r="L2529">
        <v>1</v>
      </c>
      <c r="M2529">
        <v>0</v>
      </c>
      <c r="N2529">
        <v>0</v>
      </c>
      <c r="O2529">
        <v>1</v>
      </c>
      <c r="P2529">
        <v>1</v>
      </c>
    </row>
    <row r="2530" spans="1:16" x14ac:dyDescent="0.3">
      <c r="A2530" t="s">
        <v>37</v>
      </c>
      <c r="B2530">
        <v>22</v>
      </c>
      <c r="D2530">
        <v>0</v>
      </c>
      <c r="E2530">
        <v>0</v>
      </c>
      <c r="H2530">
        <v>0</v>
      </c>
      <c r="I2530">
        <v>0</v>
      </c>
      <c r="K2530">
        <v>0</v>
      </c>
      <c r="L2530">
        <v>3</v>
      </c>
      <c r="N2530">
        <v>0</v>
      </c>
      <c r="O2530">
        <v>1</v>
      </c>
    </row>
    <row r="2531" spans="1:16" x14ac:dyDescent="0.3">
      <c r="A2531" t="s">
        <v>38</v>
      </c>
      <c r="B2531">
        <v>22</v>
      </c>
      <c r="C2531">
        <v>12</v>
      </c>
      <c r="D2531">
        <v>12</v>
      </c>
      <c r="E2531">
        <v>12</v>
      </c>
      <c r="F2531">
        <v>12</v>
      </c>
      <c r="G2531">
        <v>12</v>
      </c>
      <c r="H2531">
        <v>12</v>
      </c>
      <c r="I2531">
        <v>12</v>
      </c>
      <c r="J2531">
        <v>12</v>
      </c>
      <c r="K2531">
        <v>12</v>
      </c>
      <c r="L2531">
        <v>12</v>
      </c>
      <c r="M2531">
        <v>12</v>
      </c>
      <c r="N2531">
        <v>12</v>
      </c>
      <c r="O2531">
        <v>12</v>
      </c>
      <c r="P2531">
        <v>12</v>
      </c>
    </row>
    <row r="2532" spans="1:16" x14ac:dyDescent="0.3">
      <c r="A2532" t="s">
        <v>39</v>
      </c>
      <c r="B2532">
        <v>22</v>
      </c>
      <c r="D2532">
        <v>250</v>
      </c>
      <c r="F2532">
        <v>250</v>
      </c>
      <c r="H2532">
        <v>250</v>
      </c>
      <c r="J2532">
        <v>250</v>
      </c>
      <c r="P2532">
        <v>75</v>
      </c>
    </row>
    <row r="2533" spans="1:16" x14ac:dyDescent="0.3">
      <c r="A2533" t="s">
        <v>631</v>
      </c>
      <c r="B2533">
        <v>22</v>
      </c>
      <c r="D2533">
        <v>25</v>
      </c>
      <c r="F2533">
        <v>25</v>
      </c>
      <c r="H2533">
        <v>25</v>
      </c>
      <c r="J2533">
        <v>25</v>
      </c>
      <c r="P2533">
        <v>25</v>
      </c>
    </row>
    <row r="2534" spans="1:16" x14ac:dyDescent="0.3">
      <c r="A2534" t="s">
        <v>40</v>
      </c>
      <c r="B2534">
        <v>22</v>
      </c>
      <c r="D2534">
        <v>1</v>
      </c>
      <c r="F2534">
        <v>1</v>
      </c>
      <c r="H2534">
        <v>1</v>
      </c>
      <c r="J2534">
        <v>1</v>
      </c>
      <c r="P2534">
        <v>1</v>
      </c>
    </row>
    <row r="2535" spans="1:16" x14ac:dyDescent="0.3">
      <c r="A2535" t="s">
        <v>41</v>
      </c>
      <c r="B2535">
        <v>22</v>
      </c>
    </row>
    <row r="2536" spans="1:16" x14ac:dyDescent="0.3">
      <c r="A2536" t="s">
        <v>42</v>
      </c>
      <c r="B2536">
        <v>22</v>
      </c>
      <c r="E2536">
        <v>45</v>
      </c>
      <c r="I2536">
        <v>30</v>
      </c>
      <c r="L2536">
        <v>30</v>
      </c>
      <c r="O2536">
        <v>30</v>
      </c>
    </row>
    <row r="2537" spans="1:16" x14ac:dyDescent="0.3">
      <c r="A2537" t="s">
        <v>45</v>
      </c>
      <c r="B2537">
        <v>22</v>
      </c>
      <c r="D2537">
        <v>5</v>
      </c>
      <c r="E2537">
        <v>2</v>
      </c>
      <c r="H2537">
        <v>1</v>
      </c>
      <c r="I2537">
        <v>6</v>
      </c>
      <c r="L2537">
        <v>4</v>
      </c>
      <c r="O2537">
        <v>8</v>
      </c>
    </row>
    <row r="2538" spans="1:16" x14ac:dyDescent="0.3">
      <c r="A2538" t="s">
        <v>46</v>
      </c>
      <c r="B2538">
        <v>22</v>
      </c>
      <c r="D2538">
        <v>2</v>
      </c>
      <c r="F2538">
        <v>2</v>
      </c>
      <c r="H2538">
        <v>6</v>
      </c>
      <c r="J2538">
        <v>6</v>
      </c>
      <c r="K2538">
        <v>4</v>
      </c>
      <c r="N2538">
        <v>8</v>
      </c>
      <c r="P2538">
        <v>8</v>
      </c>
    </row>
    <row r="2539" spans="1:16" x14ac:dyDescent="0.3">
      <c r="A2539" t="s">
        <v>49</v>
      </c>
      <c r="B2539">
        <v>22</v>
      </c>
      <c r="C2539">
        <v>4</v>
      </c>
      <c r="D2539">
        <v>6.6</v>
      </c>
      <c r="E2539">
        <v>5.2</v>
      </c>
      <c r="F2539">
        <v>5.2</v>
      </c>
      <c r="G2539">
        <v>4</v>
      </c>
      <c r="H2539">
        <v>6.6</v>
      </c>
      <c r="I2539">
        <v>5.2</v>
      </c>
      <c r="J2539">
        <v>5.2</v>
      </c>
      <c r="K2539">
        <v>6.5</v>
      </c>
      <c r="L2539">
        <v>6.5</v>
      </c>
      <c r="M2539">
        <v>4</v>
      </c>
      <c r="N2539">
        <v>6.5</v>
      </c>
      <c r="O2539">
        <v>6.5</v>
      </c>
      <c r="P2539">
        <v>6.5</v>
      </c>
    </row>
    <row r="2540" spans="1:16" x14ac:dyDescent="0.3">
      <c r="A2540" t="s">
        <v>632</v>
      </c>
      <c r="B2540">
        <v>22</v>
      </c>
      <c r="C2540">
        <v>0</v>
      </c>
      <c r="D2540">
        <v>0</v>
      </c>
      <c r="E2540">
        <v>0</v>
      </c>
      <c r="F2540">
        <v>0</v>
      </c>
      <c r="G2540">
        <v>0</v>
      </c>
      <c r="H2540">
        <v>0</v>
      </c>
      <c r="I2540">
        <v>0</v>
      </c>
      <c r="J2540">
        <v>0</v>
      </c>
      <c r="K2540">
        <v>0</v>
      </c>
      <c r="L2540">
        <v>0</v>
      </c>
      <c r="M2540">
        <v>0</v>
      </c>
      <c r="N2540">
        <v>0</v>
      </c>
      <c r="O2540">
        <v>0</v>
      </c>
      <c r="P2540">
        <v>0</v>
      </c>
    </row>
    <row r="2541" spans="1:16" x14ac:dyDescent="0.3">
      <c r="A2541" t="s">
        <v>48</v>
      </c>
      <c r="B2541">
        <v>22</v>
      </c>
      <c r="C2541">
        <v>1900</v>
      </c>
      <c r="D2541">
        <v>1900</v>
      </c>
      <c r="E2541">
        <v>1900</v>
      </c>
      <c r="F2541">
        <v>1900</v>
      </c>
      <c r="G2541">
        <v>1900</v>
      </c>
      <c r="H2541">
        <v>1900</v>
      </c>
      <c r="I2541">
        <v>1900</v>
      </c>
      <c r="J2541">
        <v>1900</v>
      </c>
      <c r="K2541">
        <v>1900</v>
      </c>
      <c r="L2541">
        <v>1900</v>
      </c>
      <c r="M2541">
        <v>1900</v>
      </c>
      <c r="N2541">
        <v>1900</v>
      </c>
      <c r="O2541">
        <v>1900</v>
      </c>
      <c r="P2541">
        <v>1900</v>
      </c>
    </row>
    <row r="2542" spans="1:16" x14ac:dyDescent="0.3">
      <c r="A2542" t="s">
        <v>633</v>
      </c>
      <c r="B2542">
        <v>22</v>
      </c>
      <c r="C2542">
        <v>0</v>
      </c>
      <c r="D2542">
        <v>1770</v>
      </c>
      <c r="E2542">
        <v>3539</v>
      </c>
      <c r="F2542">
        <v>1583</v>
      </c>
      <c r="G2542">
        <v>0</v>
      </c>
      <c r="H2542">
        <v>1770</v>
      </c>
      <c r="I2542">
        <v>3539</v>
      </c>
      <c r="J2542">
        <v>1583</v>
      </c>
      <c r="K2542">
        <v>0</v>
      </c>
      <c r="L2542">
        <v>1782</v>
      </c>
      <c r="M2542">
        <v>0</v>
      </c>
      <c r="N2542">
        <v>0</v>
      </c>
      <c r="O2542">
        <v>1846</v>
      </c>
      <c r="P2542">
        <v>1583</v>
      </c>
    </row>
    <row r="2543" spans="1:16" x14ac:dyDescent="0.3">
      <c r="A2543" t="s">
        <v>50</v>
      </c>
      <c r="B2543">
        <v>22</v>
      </c>
      <c r="C2543">
        <v>0</v>
      </c>
      <c r="D2543">
        <v>1034</v>
      </c>
      <c r="E2543">
        <v>3539</v>
      </c>
      <c r="F2543">
        <v>1583</v>
      </c>
      <c r="G2543">
        <v>0</v>
      </c>
      <c r="H2543">
        <v>572</v>
      </c>
      <c r="I2543">
        <v>3539</v>
      </c>
      <c r="J2543">
        <v>1583</v>
      </c>
      <c r="K2543">
        <v>0</v>
      </c>
      <c r="L2543">
        <v>1614</v>
      </c>
      <c r="M2543">
        <v>0</v>
      </c>
      <c r="N2543">
        <v>0</v>
      </c>
      <c r="O2543">
        <v>1686</v>
      </c>
      <c r="P2543">
        <v>1583</v>
      </c>
    </row>
    <row r="2544" spans="1:16" x14ac:dyDescent="0.3">
      <c r="A2544" t="s">
        <v>634</v>
      </c>
      <c r="B2544">
        <v>22</v>
      </c>
      <c r="C2544">
        <v>1</v>
      </c>
      <c r="D2544">
        <v>1</v>
      </c>
      <c r="E2544">
        <v>1</v>
      </c>
      <c r="F2544">
        <v>1</v>
      </c>
      <c r="G2544">
        <v>1</v>
      </c>
      <c r="H2544">
        <v>1</v>
      </c>
      <c r="I2544">
        <v>1</v>
      </c>
      <c r="J2544">
        <v>1</v>
      </c>
      <c r="K2544">
        <v>1</v>
      </c>
      <c r="L2544">
        <v>1</v>
      </c>
      <c r="M2544">
        <v>1</v>
      </c>
      <c r="N2544">
        <v>1</v>
      </c>
      <c r="O2544">
        <v>1</v>
      </c>
      <c r="P2544">
        <v>1</v>
      </c>
    </row>
    <row r="2545" spans="1:16" x14ac:dyDescent="0.3">
      <c r="A2545" t="s">
        <v>51</v>
      </c>
      <c r="B2545">
        <v>22</v>
      </c>
      <c r="C2545">
        <v>0</v>
      </c>
      <c r="D2545">
        <v>0</v>
      </c>
      <c r="E2545">
        <v>0</v>
      </c>
      <c r="F2545">
        <v>92</v>
      </c>
      <c r="G2545">
        <v>0</v>
      </c>
      <c r="H2545">
        <v>0</v>
      </c>
      <c r="I2545">
        <v>0</v>
      </c>
      <c r="J2545">
        <v>92</v>
      </c>
      <c r="K2545">
        <v>0</v>
      </c>
      <c r="L2545">
        <v>12</v>
      </c>
      <c r="M2545">
        <v>0</v>
      </c>
      <c r="N2545">
        <v>0</v>
      </c>
      <c r="O2545">
        <v>0</v>
      </c>
      <c r="P2545">
        <v>80</v>
      </c>
    </row>
    <row r="2546" spans="1:16" x14ac:dyDescent="0.3">
      <c r="A2546" t="s">
        <v>53</v>
      </c>
      <c r="B2546">
        <v>22</v>
      </c>
      <c r="C2546">
        <v>0</v>
      </c>
      <c r="D2546">
        <v>40</v>
      </c>
      <c r="E2546">
        <v>750</v>
      </c>
      <c r="F2546">
        <v>30</v>
      </c>
      <c r="G2546">
        <v>0</v>
      </c>
      <c r="H2546">
        <v>45</v>
      </c>
      <c r="I2546">
        <v>300</v>
      </c>
      <c r="J2546">
        <v>40</v>
      </c>
      <c r="K2546">
        <v>50</v>
      </c>
      <c r="L2546">
        <v>100</v>
      </c>
      <c r="M2546">
        <v>45</v>
      </c>
      <c r="N2546">
        <v>10</v>
      </c>
      <c r="O2546">
        <v>45</v>
      </c>
      <c r="P2546">
        <v>65</v>
      </c>
    </row>
    <row r="2547" spans="1:16" x14ac:dyDescent="0.3">
      <c r="A2547" t="s">
        <v>54</v>
      </c>
      <c r="B2547">
        <v>22</v>
      </c>
      <c r="C2547">
        <v>0</v>
      </c>
      <c r="D2547">
        <v>0</v>
      </c>
      <c r="E2547">
        <v>0</v>
      </c>
      <c r="F2547">
        <v>0</v>
      </c>
      <c r="G2547">
        <v>0</v>
      </c>
      <c r="H2547">
        <v>0</v>
      </c>
      <c r="I2547">
        <v>0</v>
      </c>
      <c r="J2547">
        <v>0</v>
      </c>
      <c r="K2547">
        <v>0</v>
      </c>
      <c r="L2547">
        <v>0</v>
      </c>
      <c r="M2547">
        <v>0</v>
      </c>
      <c r="N2547">
        <v>0</v>
      </c>
      <c r="O2547">
        <v>0</v>
      </c>
      <c r="P2547">
        <v>0</v>
      </c>
    </row>
    <row r="2548" spans="1:16" x14ac:dyDescent="0.3">
      <c r="A2548" t="s">
        <v>55</v>
      </c>
      <c r="B2548">
        <v>22</v>
      </c>
      <c r="C2548">
        <v>0</v>
      </c>
      <c r="D2548">
        <v>0</v>
      </c>
      <c r="E2548">
        <v>0</v>
      </c>
      <c r="F2548">
        <v>0</v>
      </c>
      <c r="G2548">
        <v>0</v>
      </c>
      <c r="H2548">
        <v>0</v>
      </c>
      <c r="I2548">
        <v>0</v>
      </c>
      <c r="J2548">
        <v>0</v>
      </c>
      <c r="K2548">
        <v>0</v>
      </c>
      <c r="L2548">
        <v>0</v>
      </c>
      <c r="M2548">
        <v>0</v>
      </c>
      <c r="N2548">
        <v>0</v>
      </c>
      <c r="O2548">
        <v>0</v>
      </c>
      <c r="P2548">
        <v>0</v>
      </c>
    </row>
    <row r="2549" spans="1:16" x14ac:dyDescent="0.3">
      <c r="A2549" t="s">
        <v>56</v>
      </c>
      <c r="B2549">
        <v>22</v>
      </c>
      <c r="C2549">
        <v>0.92</v>
      </c>
      <c r="D2549">
        <v>0.92</v>
      </c>
      <c r="E2549">
        <v>0.92</v>
      </c>
      <c r="F2549">
        <v>0.92</v>
      </c>
      <c r="G2549">
        <v>0.92</v>
      </c>
      <c r="H2549">
        <v>0.92</v>
      </c>
      <c r="I2549">
        <v>0.92</v>
      </c>
      <c r="J2549">
        <v>0.92</v>
      </c>
      <c r="K2549">
        <v>0.92</v>
      </c>
      <c r="L2549">
        <v>0.92</v>
      </c>
      <c r="M2549">
        <v>0.92</v>
      </c>
      <c r="N2549">
        <v>0.92</v>
      </c>
      <c r="O2549">
        <v>0.92</v>
      </c>
      <c r="P2549">
        <v>0.92</v>
      </c>
    </row>
    <row r="2550" spans="1:16" x14ac:dyDescent="0.3">
      <c r="A2550" t="s">
        <v>57</v>
      </c>
      <c r="B2550">
        <v>22</v>
      </c>
      <c r="C2550">
        <v>100</v>
      </c>
      <c r="D2550">
        <v>100</v>
      </c>
      <c r="E2550">
        <v>100</v>
      </c>
      <c r="F2550">
        <v>100</v>
      </c>
      <c r="G2550">
        <v>100</v>
      </c>
      <c r="H2550">
        <v>100</v>
      </c>
      <c r="I2550">
        <v>100</v>
      </c>
      <c r="J2550">
        <v>100</v>
      </c>
      <c r="K2550">
        <v>100</v>
      </c>
      <c r="L2550">
        <v>100</v>
      </c>
      <c r="M2550">
        <v>100</v>
      </c>
      <c r="N2550">
        <v>100</v>
      </c>
      <c r="O2550">
        <v>100</v>
      </c>
      <c r="P2550">
        <v>100</v>
      </c>
    </row>
    <row r="2551" spans="1:16" x14ac:dyDescent="0.3">
      <c r="A2551" t="s">
        <v>58</v>
      </c>
      <c r="B2551">
        <v>22</v>
      </c>
      <c r="C2551">
        <v>2</v>
      </c>
      <c r="D2551">
        <v>2</v>
      </c>
      <c r="E2551">
        <v>2</v>
      </c>
      <c r="F2551">
        <v>2</v>
      </c>
      <c r="G2551">
        <v>2</v>
      </c>
      <c r="H2551">
        <v>2</v>
      </c>
      <c r="I2551">
        <v>2</v>
      </c>
      <c r="J2551">
        <v>2</v>
      </c>
      <c r="K2551">
        <v>2</v>
      </c>
      <c r="L2551">
        <v>2</v>
      </c>
      <c r="M2551">
        <v>2</v>
      </c>
      <c r="N2551">
        <v>2</v>
      </c>
      <c r="O2551">
        <v>2</v>
      </c>
      <c r="P2551">
        <v>2</v>
      </c>
    </row>
    <row r="2552" spans="1:16" x14ac:dyDescent="0.3">
      <c r="A2552" t="s">
        <v>59</v>
      </c>
      <c r="B2552">
        <v>22</v>
      </c>
      <c r="C2552">
        <v>0</v>
      </c>
      <c r="D2552">
        <v>0</v>
      </c>
      <c r="E2552">
        <v>0</v>
      </c>
      <c r="F2552">
        <v>0</v>
      </c>
      <c r="G2552">
        <v>0</v>
      </c>
      <c r="H2552">
        <v>0</v>
      </c>
      <c r="I2552">
        <v>0</v>
      </c>
      <c r="J2552">
        <v>0</v>
      </c>
      <c r="K2552">
        <v>0</v>
      </c>
      <c r="L2552">
        <v>0</v>
      </c>
      <c r="M2552">
        <v>0</v>
      </c>
      <c r="N2552">
        <v>0</v>
      </c>
      <c r="O2552">
        <v>0</v>
      </c>
      <c r="P2552">
        <v>0</v>
      </c>
    </row>
    <row r="2553" spans="1:16" x14ac:dyDescent="0.3">
      <c r="A2553" t="s">
        <v>635</v>
      </c>
      <c r="B2553">
        <v>22</v>
      </c>
      <c r="E2553">
        <v>0</v>
      </c>
      <c r="I2553">
        <v>0</v>
      </c>
      <c r="L2553">
        <v>0</v>
      </c>
      <c r="O2553">
        <v>0</v>
      </c>
    </row>
    <row r="2554" spans="1:16" x14ac:dyDescent="0.3">
      <c r="A2554" t="s">
        <v>574</v>
      </c>
      <c r="B2554">
        <v>22</v>
      </c>
      <c r="E2554">
        <v>358</v>
      </c>
      <c r="I2554">
        <v>773</v>
      </c>
      <c r="L2554">
        <v>931</v>
      </c>
      <c r="O2554">
        <v>713</v>
      </c>
    </row>
    <row r="2555" spans="1:16" x14ac:dyDescent="0.3">
      <c r="A2555" t="s">
        <v>78</v>
      </c>
      <c r="B2555">
        <v>22</v>
      </c>
      <c r="E2555">
        <v>5.4</v>
      </c>
      <c r="I2555">
        <v>17.600000000000001</v>
      </c>
      <c r="L2555">
        <v>21.2</v>
      </c>
      <c r="O2555">
        <v>16.2</v>
      </c>
    </row>
    <row r="2556" spans="1:16" x14ac:dyDescent="0.3">
      <c r="A2556" t="s">
        <v>636</v>
      </c>
      <c r="B2556">
        <v>22</v>
      </c>
      <c r="F2556">
        <v>1</v>
      </c>
      <c r="J2556">
        <v>0</v>
      </c>
      <c r="M2556">
        <v>0</v>
      </c>
      <c r="P2556">
        <v>1</v>
      </c>
    </row>
    <row r="2557" spans="1:16" x14ac:dyDescent="0.3">
      <c r="A2557" t="s">
        <v>637</v>
      </c>
      <c r="B2557">
        <v>22</v>
      </c>
      <c r="F2557">
        <v>50</v>
      </c>
      <c r="P2557">
        <v>50</v>
      </c>
    </row>
    <row r="2558" spans="1:16" x14ac:dyDescent="0.3">
      <c r="A2558" t="s">
        <v>638</v>
      </c>
      <c r="B2558">
        <v>22</v>
      </c>
      <c r="F2558">
        <v>0</v>
      </c>
      <c r="P2558">
        <v>0</v>
      </c>
    </row>
    <row r="2559" spans="1:16" x14ac:dyDescent="0.3">
      <c r="A2559" t="s">
        <v>639</v>
      </c>
      <c r="B2559">
        <v>22</v>
      </c>
      <c r="C2559">
        <v>3</v>
      </c>
      <c r="D2559">
        <v>0</v>
      </c>
      <c r="E2559">
        <v>0</v>
      </c>
      <c r="F2559">
        <v>1</v>
      </c>
      <c r="G2559">
        <v>3</v>
      </c>
      <c r="H2559">
        <v>0</v>
      </c>
      <c r="I2559">
        <v>0</v>
      </c>
      <c r="J2559">
        <v>1</v>
      </c>
      <c r="K2559">
        <v>0</v>
      </c>
      <c r="L2559">
        <v>0</v>
      </c>
      <c r="M2559">
        <v>1</v>
      </c>
      <c r="N2559">
        <v>0</v>
      </c>
      <c r="O2559">
        <v>0</v>
      </c>
      <c r="P2559">
        <v>1</v>
      </c>
    </row>
    <row r="2560" spans="1:16" x14ac:dyDescent="0.3">
      <c r="A2560" t="s">
        <v>640</v>
      </c>
      <c r="B2560">
        <v>22</v>
      </c>
      <c r="C2560">
        <v>0</v>
      </c>
      <c r="D2560">
        <v>0</v>
      </c>
      <c r="E2560">
        <v>0</v>
      </c>
      <c r="F2560">
        <v>0</v>
      </c>
      <c r="G2560">
        <v>0</v>
      </c>
      <c r="H2560">
        <v>0</v>
      </c>
      <c r="I2560">
        <v>0</v>
      </c>
      <c r="J2560">
        <v>0</v>
      </c>
      <c r="K2560">
        <v>0</v>
      </c>
      <c r="L2560">
        <v>0</v>
      </c>
      <c r="M2560">
        <v>0</v>
      </c>
      <c r="N2560">
        <v>0</v>
      </c>
      <c r="O2560">
        <v>0</v>
      </c>
      <c r="P2560">
        <v>0</v>
      </c>
    </row>
    <row r="2561" spans="1:16" x14ac:dyDescent="0.3">
      <c r="A2561" t="s">
        <v>52</v>
      </c>
      <c r="B2561">
        <v>22</v>
      </c>
      <c r="C2561">
        <v>1</v>
      </c>
      <c r="D2561">
        <v>1</v>
      </c>
      <c r="E2561">
        <v>1</v>
      </c>
      <c r="F2561">
        <v>1</v>
      </c>
      <c r="G2561">
        <v>1</v>
      </c>
      <c r="H2561">
        <v>1</v>
      </c>
      <c r="I2561">
        <v>1</v>
      </c>
      <c r="J2561">
        <v>1</v>
      </c>
      <c r="K2561">
        <v>1</v>
      </c>
      <c r="L2561">
        <v>1</v>
      </c>
      <c r="M2561">
        <v>1</v>
      </c>
      <c r="N2561">
        <v>1</v>
      </c>
      <c r="O2561">
        <v>1</v>
      </c>
      <c r="P2561">
        <v>1</v>
      </c>
    </row>
    <row r="2562" spans="1:16" x14ac:dyDescent="0.3">
      <c r="A2562" t="s">
        <v>641</v>
      </c>
      <c r="B2562">
        <v>22</v>
      </c>
      <c r="C2562">
        <v>9</v>
      </c>
      <c r="D2562">
        <v>15</v>
      </c>
      <c r="E2562">
        <v>60</v>
      </c>
      <c r="F2562">
        <v>9</v>
      </c>
      <c r="G2562">
        <v>9</v>
      </c>
      <c r="H2562">
        <v>15</v>
      </c>
      <c r="I2562">
        <v>60</v>
      </c>
      <c r="J2562">
        <v>9</v>
      </c>
      <c r="K2562">
        <v>15</v>
      </c>
      <c r="L2562">
        <v>60</v>
      </c>
      <c r="M2562">
        <v>9</v>
      </c>
      <c r="N2562">
        <v>15</v>
      </c>
      <c r="O2562">
        <v>60</v>
      </c>
      <c r="P2562">
        <v>9</v>
      </c>
    </row>
    <row r="2563" spans="1:16" x14ac:dyDescent="0.3">
      <c r="A2563" t="s">
        <v>43</v>
      </c>
      <c r="B2563">
        <v>22</v>
      </c>
      <c r="D2563">
        <v>40</v>
      </c>
      <c r="E2563">
        <v>336</v>
      </c>
      <c r="F2563">
        <v>0</v>
      </c>
      <c r="H2563">
        <v>40</v>
      </c>
      <c r="I2563">
        <v>336</v>
      </c>
      <c r="J2563">
        <v>0</v>
      </c>
      <c r="K2563">
        <v>40</v>
      </c>
      <c r="L2563">
        <v>40</v>
      </c>
      <c r="N2563">
        <v>40</v>
      </c>
      <c r="O2563">
        <v>40</v>
      </c>
      <c r="P2563">
        <v>0</v>
      </c>
    </row>
    <row r="2564" spans="1:16" x14ac:dyDescent="0.3">
      <c r="A2564" t="s">
        <v>44</v>
      </c>
      <c r="B2564">
        <v>22</v>
      </c>
      <c r="D2564">
        <v>0</v>
      </c>
      <c r="E2564">
        <v>0</v>
      </c>
      <c r="F2564">
        <v>0</v>
      </c>
      <c r="H2564">
        <v>0</v>
      </c>
      <c r="I2564">
        <v>0</v>
      </c>
      <c r="J2564">
        <v>0</v>
      </c>
      <c r="K2564">
        <v>0</v>
      </c>
      <c r="L2564">
        <v>0</v>
      </c>
      <c r="N2564">
        <v>0</v>
      </c>
      <c r="O2564">
        <v>0</v>
      </c>
      <c r="P2564">
        <v>0</v>
      </c>
    </row>
    <row r="2565" spans="1:16" x14ac:dyDescent="0.3">
      <c r="A2565" t="s">
        <v>47</v>
      </c>
      <c r="B2565">
        <v>22</v>
      </c>
      <c r="D2565">
        <v>5</v>
      </c>
      <c r="E2565">
        <v>2</v>
      </c>
      <c r="F2565">
        <v>2</v>
      </c>
      <c r="H2565">
        <v>1</v>
      </c>
      <c r="I2565">
        <v>6</v>
      </c>
      <c r="J2565">
        <v>6</v>
      </c>
      <c r="K2565">
        <v>4</v>
      </c>
      <c r="L2565">
        <v>4</v>
      </c>
      <c r="N2565">
        <v>8</v>
      </c>
      <c r="O2565">
        <v>8</v>
      </c>
      <c r="P2565">
        <v>8</v>
      </c>
    </row>
    <row r="2566" spans="1:16" x14ac:dyDescent="0.3">
      <c r="A2566" t="s">
        <v>642</v>
      </c>
      <c r="B2566">
        <v>22</v>
      </c>
      <c r="D2566">
        <v>0</v>
      </c>
      <c r="E2566">
        <v>0</v>
      </c>
      <c r="F2566">
        <v>0</v>
      </c>
      <c r="H2566">
        <v>0</v>
      </c>
      <c r="I2566">
        <v>0</v>
      </c>
      <c r="J2566">
        <v>0</v>
      </c>
      <c r="K2566">
        <v>0</v>
      </c>
      <c r="L2566">
        <v>0</v>
      </c>
      <c r="N2566">
        <v>0</v>
      </c>
      <c r="O2566">
        <v>0</v>
      </c>
      <c r="P2566">
        <v>0</v>
      </c>
    </row>
    <row r="2567" spans="1:16" x14ac:dyDescent="0.3">
      <c r="A2567" t="s">
        <v>643</v>
      </c>
      <c r="B2567">
        <v>22</v>
      </c>
      <c r="D2567">
        <v>0</v>
      </c>
      <c r="E2567">
        <v>0</v>
      </c>
      <c r="F2567">
        <v>0</v>
      </c>
      <c r="H2567">
        <v>0</v>
      </c>
      <c r="I2567">
        <v>0</v>
      </c>
      <c r="J2567">
        <v>0</v>
      </c>
      <c r="K2567">
        <v>0</v>
      </c>
      <c r="L2567">
        <v>0</v>
      </c>
      <c r="N2567">
        <v>0</v>
      </c>
      <c r="O2567">
        <v>0</v>
      </c>
      <c r="P2567">
        <v>0</v>
      </c>
    </row>
    <row r="2568" spans="1:16" x14ac:dyDescent="0.3">
      <c r="A2568" t="s">
        <v>644</v>
      </c>
      <c r="B2568">
        <v>22</v>
      </c>
      <c r="D2568">
        <v>0</v>
      </c>
      <c r="E2568">
        <v>0</v>
      </c>
      <c r="F2568">
        <v>0</v>
      </c>
      <c r="H2568">
        <v>0</v>
      </c>
      <c r="I2568">
        <v>0</v>
      </c>
      <c r="J2568">
        <v>0</v>
      </c>
      <c r="K2568">
        <v>0</v>
      </c>
      <c r="L2568">
        <v>0</v>
      </c>
      <c r="N2568">
        <v>0</v>
      </c>
      <c r="O2568">
        <v>0</v>
      </c>
      <c r="P2568">
        <v>0</v>
      </c>
    </row>
    <row r="2569" spans="1:16" x14ac:dyDescent="0.3">
      <c r="A2569" t="s">
        <v>645</v>
      </c>
      <c r="B2569">
        <v>22</v>
      </c>
      <c r="D2569">
        <v>0</v>
      </c>
      <c r="E2569">
        <v>0</v>
      </c>
      <c r="F2569">
        <v>0</v>
      </c>
      <c r="H2569">
        <v>0</v>
      </c>
      <c r="I2569">
        <v>0</v>
      </c>
      <c r="J2569">
        <v>0</v>
      </c>
      <c r="K2569">
        <v>0</v>
      </c>
      <c r="L2569">
        <v>0</v>
      </c>
      <c r="N2569">
        <v>0</v>
      </c>
      <c r="O2569">
        <v>0</v>
      </c>
      <c r="P2569">
        <v>0</v>
      </c>
    </row>
    <row r="2570" spans="1:16" x14ac:dyDescent="0.3">
      <c r="A2570" t="s">
        <v>646</v>
      </c>
      <c r="B2570">
        <v>22</v>
      </c>
      <c r="D2570">
        <v>1</v>
      </c>
      <c r="E2570">
        <v>2</v>
      </c>
      <c r="F2570">
        <v>1</v>
      </c>
      <c r="H2570">
        <v>1</v>
      </c>
      <c r="I2570">
        <v>2</v>
      </c>
      <c r="J2570">
        <v>1</v>
      </c>
      <c r="K2570">
        <v>1</v>
      </c>
      <c r="L2570">
        <v>1</v>
      </c>
      <c r="N2570">
        <v>1</v>
      </c>
      <c r="O2570">
        <v>1</v>
      </c>
      <c r="P2570">
        <v>1</v>
      </c>
    </row>
    <row r="2571" spans="1:16" x14ac:dyDescent="0.3">
      <c r="A2571" t="s">
        <v>647</v>
      </c>
      <c r="B2571">
        <v>22</v>
      </c>
      <c r="D2571">
        <v>0</v>
      </c>
      <c r="E2571">
        <v>330</v>
      </c>
      <c r="F2571">
        <v>0</v>
      </c>
      <c r="H2571">
        <v>0</v>
      </c>
      <c r="I2571">
        <v>330</v>
      </c>
      <c r="J2571">
        <v>0</v>
      </c>
      <c r="K2571">
        <v>0</v>
      </c>
      <c r="L2571">
        <v>0</v>
      </c>
      <c r="N2571">
        <v>0</v>
      </c>
      <c r="O2571">
        <v>0</v>
      </c>
      <c r="P2571">
        <v>0</v>
      </c>
    </row>
    <row r="2572" spans="1:16" x14ac:dyDescent="0.3">
      <c r="A2572" t="s">
        <v>648</v>
      </c>
      <c r="B2572">
        <v>22</v>
      </c>
      <c r="D2572">
        <v>40</v>
      </c>
      <c r="E2572">
        <v>6</v>
      </c>
      <c r="F2572">
        <v>0</v>
      </c>
      <c r="H2572">
        <v>40</v>
      </c>
      <c r="I2572">
        <v>6</v>
      </c>
      <c r="J2572">
        <v>0</v>
      </c>
      <c r="K2572">
        <v>40</v>
      </c>
      <c r="L2572">
        <v>40</v>
      </c>
      <c r="N2572">
        <v>40</v>
      </c>
      <c r="O2572">
        <v>40</v>
      </c>
      <c r="P2572">
        <v>0</v>
      </c>
    </row>
    <row r="2573" spans="1:16" x14ac:dyDescent="0.3">
      <c r="A2573" t="s">
        <v>649</v>
      </c>
      <c r="B2573">
        <v>22</v>
      </c>
      <c r="D2573">
        <v>3</v>
      </c>
      <c r="E2573">
        <v>3</v>
      </c>
      <c r="F2573">
        <v>3</v>
      </c>
      <c r="H2573">
        <v>3</v>
      </c>
      <c r="I2573">
        <v>3</v>
      </c>
      <c r="J2573">
        <v>3</v>
      </c>
      <c r="K2573">
        <v>3</v>
      </c>
      <c r="L2573">
        <v>3</v>
      </c>
      <c r="N2573">
        <v>3</v>
      </c>
      <c r="O2573">
        <v>3</v>
      </c>
      <c r="P2573">
        <v>3</v>
      </c>
    </row>
    <row r="2574" spans="1:16" x14ac:dyDescent="0.3">
      <c r="A2574" t="s">
        <v>650</v>
      </c>
      <c r="B2574">
        <v>22</v>
      </c>
      <c r="D2574">
        <v>0</v>
      </c>
      <c r="E2574">
        <v>0</v>
      </c>
      <c r="F2574">
        <v>0</v>
      </c>
      <c r="H2574">
        <v>0</v>
      </c>
      <c r="I2574">
        <v>0</v>
      </c>
      <c r="J2574">
        <v>0</v>
      </c>
      <c r="K2574">
        <v>0</v>
      </c>
      <c r="L2574">
        <v>0</v>
      </c>
      <c r="N2574">
        <v>0</v>
      </c>
      <c r="O2574">
        <v>0</v>
      </c>
      <c r="P2574">
        <v>0</v>
      </c>
    </row>
    <row r="2575" spans="1:16" x14ac:dyDescent="0.3">
      <c r="A2575" t="s">
        <v>651</v>
      </c>
      <c r="B2575">
        <v>22</v>
      </c>
      <c r="D2575">
        <v>0</v>
      </c>
      <c r="E2575">
        <v>0</v>
      </c>
      <c r="F2575">
        <v>0</v>
      </c>
      <c r="H2575">
        <v>0</v>
      </c>
      <c r="I2575">
        <v>0</v>
      </c>
      <c r="J2575">
        <v>0</v>
      </c>
      <c r="K2575">
        <v>0</v>
      </c>
      <c r="L2575">
        <v>0</v>
      </c>
      <c r="N2575">
        <v>0</v>
      </c>
      <c r="O2575">
        <v>0</v>
      </c>
      <c r="P2575">
        <v>0</v>
      </c>
    </row>
    <row r="2576" spans="1:16" x14ac:dyDescent="0.3">
      <c r="A2576" t="s">
        <v>652</v>
      </c>
      <c r="B2576">
        <v>22</v>
      </c>
      <c r="D2576">
        <v>0</v>
      </c>
      <c r="E2576">
        <v>0</v>
      </c>
      <c r="F2576">
        <v>0</v>
      </c>
      <c r="H2576">
        <v>0</v>
      </c>
      <c r="I2576">
        <v>0</v>
      </c>
      <c r="J2576">
        <v>0</v>
      </c>
      <c r="K2576">
        <v>0</v>
      </c>
      <c r="L2576">
        <v>0</v>
      </c>
      <c r="N2576">
        <v>0</v>
      </c>
      <c r="O2576">
        <v>0</v>
      </c>
      <c r="P2576">
        <v>0</v>
      </c>
    </row>
    <row r="2577" spans="1:16" x14ac:dyDescent="0.3">
      <c r="A2577" t="s">
        <v>653</v>
      </c>
      <c r="B2577">
        <v>22</v>
      </c>
      <c r="E2577">
        <v>0</v>
      </c>
      <c r="I2577">
        <v>0</v>
      </c>
    </row>
    <row r="2578" spans="1:16" x14ac:dyDescent="0.3">
      <c r="A2578" t="s">
        <v>654</v>
      </c>
      <c r="B2578">
        <v>22</v>
      </c>
      <c r="E2578">
        <v>0</v>
      </c>
      <c r="I2578">
        <v>0</v>
      </c>
    </row>
    <row r="2579" spans="1:16" x14ac:dyDescent="0.3">
      <c r="A2579" t="s">
        <v>655</v>
      </c>
      <c r="B2579">
        <v>22</v>
      </c>
      <c r="E2579">
        <v>3</v>
      </c>
      <c r="I2579">
        <v>3</v>
      </c>
    </row>
    <row r="2580" spans="1:16" x14ac:dyDescent="0.3">
      <c r="A2580" t="s">
        <v>656</v>
      </c>
      <c r="B2580">
        <v>22</v>
      </c>
      <c r="E2580">
        <v>0</v>
      </c>
      <c r="I2580">
        <v>0</v>
      </c>
    </row>
    <row r="2581" spans="1:16" x14ac:dyDescent="0.3">
      <c r="A2581" t="s">
        <v>657</v>
      </c>
      <c r="B2581">
        <v>22</v>
      </c>
      <c r="E2581">
        <v>0</v>
      </c>
      <c r="I2581">
        <v>0</v>
      </c>
      <c r="L2581">
        <v>0</v>
      </c>
      <c r="O2581">
        <v>0</v>
      </c>
    </row>
    <row r="2582" spans="1:16" x14ac:dyDescent="0.3">
      <c r="A2582" t="s">
        <v>408</v>
      </c>
      <c r="B2582">
        <v>22</v>
      </c>
      <c r="E2582">
        <v>0</v>
      </c>
    </row>
    <row r="2583" spans="1:16" x14ac:dyDescent="0.3">
      <c r="A2583" t="s">
        <v>658</v>
      </c>
      <c r="B2583">
        <v>22</v>
      </c>
      <c r="C2583">
        <v>0</v>
      </c>
      <c r="D2583">
        <v>43</v>
      </c>
      <c r="E2583">
        <v>815</v>
      </c>
      <c r="F2583">
        <v>33</v>
      </c>
      <c r="G2583">
        <v>0</v>
      </c>
      <c r="H2583">
        <v>49</v>
      </c>
      <c r="I2583">
        <v>326</v>
      </c>
      <c r="J2583">
        <v>43</v>
      </c>
      <c r="K2583">
        <v>0</v>
      </c>
      <c r="L2583">
        <v>212</v>
      </c>
      <c r="M2583">
        <v>0</v>
      </c>
      <c r="N2583">
        <v>0</v>
      </c>
      <c r="O2583">
        <v>60</v>
      </c>
      <c r="P2583">
        <v>71</v>
      </c>
    </row>
    <row r="2584" spans="1:16" x14ac:dyDescent="0.3">
      <c r="A2584" t="s">
        <v>34</v>
      </c>
      <c r="B2584">
        <v>23</v>
      </c>
      <c r="C2584">
        <v>22</v>
      </c>
      <c r="D2584">
        <v>22</v>
      </c>
      <c r="E2584">
        <v>22</v>
      </c>
      <c r="F2584">
        <v>22</v>
      </c>
      <c r="G2584">
        <v>24</v>
      </c>
      <c r="H2584">
        <v>24</v>
      </c>
      <c r="I2584">
        <v>24</v>
      </c>
      <c r="J2584">
        <v>24</v>
      </c>
      <c r="K2584">
        <v>117</v>
      </c>
      <c r="L2584">
        <v>117</v>
      </c>
      <c r="M2584">
        <v>117</v>
      </c>
      <c r="N2584">
        <v>17</v>
      </c>
      <c r="O2584">
        <v>17</v>
      </c>
      <c r="P2584">
        <v>17</v>
      </c>
    </row>
    <row r="2585" spans="1:16" x14ac:dyDescent="0.3">
      <c r="A2585" t="s">
        <v>35</v>
      </c>
      <c r="B2585">
        <v>23</v>
      </c>
      <c r="C2585">
        <v>22</v>
      </c>
      <c r="D2585">
        <v>117</v>
      </c>
      <c r="E2585">
        <v>24</v>
      </c>
      <c r="F2585">
        <v>17</v>
      </c>
      <c r="G2585">
        <v>24</v>
      </c>
      <c r="H2585">
        <v>17</v>
      </c>
      <c r="I2585">
        <v>22</v>
      </c>
      <c r="J2585">
        <v>117</v>
      </c>
      <c r="K2585">
        <v>24</v>
      </c>
      <c r="L2585">
        <v>17</v>
      </c>
      <c r="M2585">
        <v>22</v>
      </c>
      <c r="N2585">
        <v>22</v>
      </c>
      <c r="O2585">
        <v>117</v>
      </c>
      <c r="P2585">
        <v>24</v>
      </c>
    </row>
    <row r="2586" spans="1:16" x14ac:dyDescent="0.3">
      <c r="A2586" t="s">
        <v>36</v>
      </c>
      <c r="B2586">
        <v>23</v>
      </c>
      <c r="C2586">
        <v>0</v>
      </c>
      <c r="D2586">
        <v>1</v>
      </c>
      <c r="E2586">
        <v>2</v>
      </c>
      <c r="F2586">
        <v>1</v>
      </c>
      <c r="G2586">
        <v>0</v>
      </c>
      <c r="H2586">
        <v>1</v>
      </c>
      <c r="I2586">
        <v>2</v>
      </c>
      <c r="J2586">
        <v>1</v>
      </c>
      <c r="K2586">
        <v>0</v>
      </c>
      <c r="L2586">
        <v>1</v>
      </c>
      <c r="M2586">
        <v>0</v>
      </c>
      <c r="N2586">
        <v>1</v>
      </c>
      <c r="O2586">
        <v>1</v>
      </c>
      <c r="P2586">
        <v>0</v>
      </c>
    </row>
    <row r="2587" spans="1:16" x14ac:dyDescent="0.3">
      <c r="A2587" t="s">
        <v>37</v>
      </c>
      <c r="B2587">
        <v>23</v>
      </c>
      <c r="D2587">
        <v>0</v>
      </c>
      <c r="E2587">
        <v>0</v>
      </c>
      <c r="H2587">
        <v>0</v>
      </c>
      <c r="I2587">
        <v>0</v>
      </c>
      <c r="K2587">
        <v>0</v>
      </c>
      <c r="L2587">
        <v>3</v>
      </c>
      <c r="N2587">
        <v>0</v>
      </c>
      <c r="O2587">
        <v>2</v>
      </c>
    </row>
    <row r="2588" spans="1:16" x14ac:dyDescent="0.3">
      <c r="A2588" t="s">
        <v>38</v>
      </c>
      <c r="B2588">
        <v>23</v>
      </c>
      <c r="C2588">
        <v>12</v>
      </c>
      <c r="D2588">
        <v>12</v>
      </c>
      <c r="E2588">
        <v>12</v>
      </c>
      <c r="F2588">
        <v>12</v>
      </c>
      <c r="G2588">
        <v>12</v>
      </c>
      <c r="H2588">
        <v>12</v>
      </c>
      <c r="I2588">
        <v>12</v>
      </c>
      <c r="J2588">
        <v>12</v>
      </c>
      <c r="K2588">
        <v>12</v>
      </c>
      <c r="L2588">
        <v>12</v>
      </c>
      <c r="M2588">
        <v>12</v>
      </c>
      <c r="N2588">
        <v>12</v>
      </c>
      <c r="O2588">
        <v>12</v>
      </c>
      <c r="P2588">
        <v>12</v>
      </c>
    </row>
    <row r="2589" spans="1:16" x14ac:dyDescent="0.3">
      <c r="A2589" t="s">
        <v>39</v>
      </c>
      <c r="B2589">
        <v>23</v>
      </c>
      <c r="D2589">
        <v>300</v>
      </c>
      <c r="F2589">
        <v>300</v>
      </c>
      <c r="H2589">
        <v>300</v>
      </c>
      <c r="J2589">
        <v>300</v>
      </c>
      <c r="N2589">
        <v>140</v>
      </c>
    </row>
    <row r="2590" spans="1:16" x14ac:dyDescent="0.3">
      <c r="A2590" t="s">
        <v>631</v>
      </c>
      <c r="B2590">
        <v>23</v>
      </c>
      <c r="D2590">
        <v>25</v>
      </c>
      <c r="F2590">
        <v>25</v>
      </c>
      <c r="H2590">
        <v>25</v>
      </c>
      <c r="J2590">
        <v>25</v>
      </c>
      <c r="N2590">
        <v>25</v>
      </c>
    </row>
    <row r="2591" spans="1:16" x14ac:dyDescent="0.3">
      <c r="A2591" t="s">
        <v>40</v>
      </c>
      <c r="B2591">
        <v>23</v>
      </c>
      <c r="D2591">
        <v>1</v>
      </c>
      <c r="F2591">
        <v>1</v>
      </c>
      <c r="H2591">
        <v>1</v>
      </c>
      <c r="J2591">
        <v>1</v>
      </c>
      <c r="N2591">
        <v>1</v>
      </c>
    </row>
    <row r="2592" spans="1:16" x14ac:dyDescent="0.3">
      <c r="A2592" t="s">
        <v>41</v>
      </c>
      <c r="B2592">
        <v>23</v>
      </c>
    </row>
    <row r="2593" spans="1:16" x14ac:dyDescent="0.3">
      <c r="A2593" t="s">
        <v>42</v>
      </c>
      <c r="B2593">
        <v>23</v>
      </c>
      <c r="E2593">
        <v>45</v>
      </c>
      <c r="I2593">
        <v>45</v>
      </c>
      <c r="L2593">
        <v>30</v>
      </c>
      <c r="O2593">
        <v>30</v>
      </c>
    </row>
    <row r="2594" spans="1:16" x14ac:dyDescent="0.3">
      <c r="A2594" t="s">
        <v>45</v>
      </c>
      <c r="B2594">
        <v>23</v>
      </c>
      <c r="D2594">
        <v>5</v>
      </c>
      <c r="E2594">
        <v>2</v>
      </c>
      <c r="H2594">
        <v>1</v>
      </c>
      <c r="I2594">
        <v>6</v>
      </c>
      <c r="L2594">
        <v>4</v>
      </c>
      <c r="O2594">
        <v>8</v>
      </c>
    </row>
    <row r="2595" spans="1:16" x14ac:dyDescent="0.3">
      <c r="A2595" t="s">
        <v>46</v>
      </c>
      <c r="B2595">
        <v>23</v>
      </c>
      <c r="F2595">
        <v>2</v>
      </c>
      <c r="J2595">
        <v>6</v>
      </c>
      <c r="K2595">
        <v>4</v>
      </c>
      <c r="N2595">
        <v>8</v>
      </c>
    </row>
    <row r="2596" spans="1:16" x14ac:dyDescent="0.3">
      <c r="A2596" t="s">
        <v>49</v>
      </c>
      <c r="B2596">
        <v>23</v>
      </c>
      <c r="C2596">
        <v>4</v>
      </c>
      <c r="D2596">
        <v>5.7</v>
      </c>
      <c r="E2596">
        <v>5.5</v>
      </c>
      <c r="F2596">
        <v>5.5</v>
      </c>
      <c r="G2596">
        <v>4</v>
      </c>
      <c r="H2596">
        <v>5.7</v>
      </c>
      <c r="I2596">
        <v>5.5</v>
      </c>
      <c r="J2596">
        <v>5.5</v>
      </c>
      <c r="K2596">
        <v>5.9</v>
      </c>
      <c r="L2596">
        <v>5.9</v>
      </c>
      <c r="M2596">
        <v>4</v>
      </c>
      <c r="N2596">
        <v>6</v>
      </c>
      <c r="O2596">
        <v>6</v>
      </c>
      <c r="P2596">
        <v>4</v>
      </c>
    </row>
    <row r="2597" spans="1:16" x14ac:dyDescent="0.3">
      <c r="A2597" t="s">
        <v>632</v>
      </c>
      <c r="B2597">
        <v>23</v>
      </c>
      <c r="C2597">
        <v>0</v>
      </c>
      <c r="D2597">
        <v>0</v>
      </c>
      <c r="E2597">
        <v>0</v>
      </c>
      <c r="F2597">
        <v>0</v>
      </c>
      <c r="G2597">
        <v>0</v>
      </c>
      <c r="H2597">
        <v>0</v>
      </c>
      <c r="I2597">
        <v>0</v>
      </c>
      <c r="J2597">
        <v>0</v>
      </c>
      <c r="K2597">
        <v>0</v>
      </c>
      <c r="L2597">
        <v>0</v>
      </c>
      <c r="M2597">
        <v>0</v>
      </c>
      <c r="N2597">
        <v>0</v>
      </c>
      <c r="O2597">
        <v>0</v>
      </c>
      <c r="P2597">
        <v>0</v>
      </c>
    </row>
    <row r="2598" spans="1:16" x14ac:dyDescent="0.3">
      <c r="A2598" t="s">
        <v>48</v>
      </c>
      <c r="B2598">
        <v>23</v>
      </c>
      <c r="C2598">
        <v>1900</v>
      </c>
      <c r="D2598">
        <v>1900</v>
      </c>
      <c r="E2598">
        <v>1900</v>
      </c>
      <c r="F2598">
        <v>1900</v>
      </c>
      <c r="G2598">
        <v>1900</v>
      </c>
      <c r="H2598">
        <v>1900</v>
      </c>
      <c r="I2598">
        <v>1900</v>
      </c>
      <c r="J2598">
        <v>1900</v>
      </c>
      <c r="K2598">
        <v>1900</v>
      </c>
      <c r="L2598">
        <v>1900</v>
      </c>
      <c r="M2598">
        <v>1900</v>
      </c>
      <c r="N2598">
        <v>1900</v>
      </c>
      <c r="O2598">
        <v>1900</v>
      </c>
      <c r="P2598">
        <v>1900</v>
      </c>
    </row>
    <row r="2599" spans="1:16" x14ac:dyDescent="0.3">
      <c r="A2599" t="s">
        <v>633</v>
      </c>
      <c r="B2599">
        <v>23</v>
      </c>
      <c r="C2599">
        <v>0</v>
      </c>
      <c r="D2599">
        <v>1770</v>
      </c>
      <c r="E2599">
        <v>3539</v>
      </c>
      <c r="F2599">
        <v>1583</v>
      </c>
      <c r="G2599">
        <v>0</v>
      </c>
      <c r="H2599">
        <v>1770</v>
      </c>
      <c r="I2599">
        <v>3539</v>
      </c>
      <c r="J2599">
        <v>1583</v>
      </c>
      <c r="K2599">
        <v>0</v>
      </c>
      <c r="L2599">
        <v>1761</v>
      </c>
      <c r="M2599">
        <v>0</v>
      </c>
      <c r="N2599">
        <v>1770</v>
      </c>
      <c r="O2599">
        <v>1706</v>
      </c>
      <c r="P2599">
        <v>0</v>
      </c>
    </row>
    <row r="2600" spans="1:16" x14ac:dyDescent="0.3">
      <c r="A2600" t="s">
        <v>50</v>
      </c>
      <c r="B2600">
        <v>23</v>
      </c>
      <c r="C2600">
        <v>0</v>
      </c>
      <c r="D2600">
        <v>1770</v>
      </c>
      <c r="E2600">
        <v>3539</v>
      </c>
      <c r="F2600">
        <v>1583</v>
      </c>
      <c r="G2600">
        <v>0</v>
      </c>
      <c r="H2600">
        <v>1770</v>
      </c>
      <c r="I2600">
        <v>3539</v>
      </c>
      <c r="J2600">
        <v>1583</v>
      </c>
      <c r="K2600">
        <v>0</v>
      </c>
      <c r="L2600">
        <v>1281</v>
      </c>
      <c r="M2600">
        <v>0</v>
      </c>
      <c r="N2600">
        <v>831</v>
      </c>
      <c r="O2600">
        <v>1706</v>
      </c>
      <c r="P2600">
        <v>0</v>
      </c>
    </row>
    <row r="2601" spans="1:16" x14ac:dyDescent="0.3">
      <c r="A2601" t="s">
        <v>634</v>
      </c>
      <c r="B2601">
        <v>23</v>
      </c>
      <c r="C2601">
        <v>1</v>
      </c>
      <c r="D2601">
        <v>1</v>
      </c>
      <c r="E2601">
        <v>1</v>
      </c>
      <c r="F2601">
        <v>1</v>
      </c>
      <c r="G2601">
        <v>1</v>
      </c>
      <c r="H2601">
        <v>1</v>
      </c>
      <c r="I2601">
        <v>1</v>
      </c>
      <c r="J2601">
        <v>1</v>
      </c>
      <c r="K2601">
        <v>1</v>
      </c>
      <c r="L2601">
        <v>1</v>
      </c>
      <c r="M2601">
        <v>1</v>
      </c>
      <c r="N2601">
        <v>1</v>
      </c>
      <c r="O2601">
        <v>1</v>
      </c>
      <c r="P2601">
        <v>1</v>
      </c>
    </row>
    <row r="2602" spans="1:16" x14ac:dyDescent="0.3">
      <c r="A2602" t="s">
        <v>51</v>
      </c>
      <c r="B2602">
        <v>23</v>
      </c>
      <c r="C2602">
        <v>0</v>
      </c>
      <c r="D2602">
        <v>0</v>
      </c>
      <c r="E2602">
        <v>0</v>
      </c>
      <c r="F2602">
        <v>79</v>
      </c>
      <c r="G2602">
        <v>0</v>
      </c>
      <c r="H2602">
        <v>0</v>
      </c>
      <c r="I2602">
        <v>0</v>
      </c>
      <c r="J2602">
        <v>79</v>
      </c>
      <c r="K2602">
        <v>0</v>
      </c>
      <c r="L2602">
        <v>17</v>
      </c>
      <c r="M2602">
        <v>0</v>
      </c>
      <c r="N2602">
        <v>0</v>
      </c>
      <c r="O2602">
        <v>47</v>
      </c>
      <c r="P2602">
        <v>0</v>
      </c>
    </row>
    <row r="2603" spans="1:16" x14ac:dyDescent="0.3">
      <c r="A2603" t="s">
        <v>53</v>
      </c>
      <c r="B2603">
        <v>23</v>
      </c>
      <c r="C2603">
        <v>0</v>
      </c>
      <c r="D2603">
        <v>35</v>
      </c>
      <c r="E2603">
        <v>800</v>
      </c>
      <c r="F2603">
        <v>30</v>
      </c>
      <c r="G2603">
        <v>0</v>
      </c>
      <c r="H2603">
        <v>50</v>
      </c>
      <c r="I2603">
        <v>400</v>
      </c>
      <c r="J2603">
        <v>24</v>
      </c>
      <c r="K2603">
        <v>50</v>
      </c>
      <c r="L2603">
        <v>75</v>
      </c>
      <c r="M2603">
        <v>55</v>
      </c>
      <c r="N2603">
        <v>35</v>
      </c>
      <c r="O2603">
        <v>60</v>
      </c>
      <c r="P2603">
        <v>75</v>
      </c>
    </row>
    <row r="2604" spans="1:16" x14ac:dyDescent="0.3">
      <c r="A2604" t="s">
        <v>54</v>
      </c>
      <c r="B2604">
        <v>23</v>
      </c>
      <c r="C2604">
        <v>0</v>
      </c>
      <c r="D2604">
        <v>0</v>
      </c>
      <c r="E2604">
        <v>0</v>
      </c>
      <c r="F2604">
        <v>0</v>
      </c>
      <c r="G2604">
        <v>0</v>
      </c>
      <c r="H2604">
        <v>0</v>
      </c>
      <c r="I2604">
        <v>0</v>
      </c>
      <c r="J2604">
        <v>0</v>
      </c>
      <c r="K2604">
        <v>0</v>
      </c>
      <c r="L2604">
        <v>0</v>
      </c>
      <c r="M2604">
        <v>0</v>
      </c>
      <c r="N2604">
        <v>0</v>
      </c>
      <c r="O2604">
        <v>0</v>
      </c>
      <c r="P2604">
        <v>0</v>
      </c>
    </row>
    <row r="2605" spans="1:16" x14ac:dyDescent="0.3">
      <c r="A2605" t="s">
        <v>55</v>
      </c>
      <c r="B2605">
        <v>23</v>
      </c>
      <c r="C2605">
        <v>0</v>
      </c>
      <c r="D2605">
        <v>0</v>
      </c>
      <c r="E2605">
        <v>0</v>
      </c>
      <c r="F2605">
        <v>0</v>
      </c>
      <c r="G2605">
        <v>0</v>
      </c>
      <c r="H2605">
        <v>0</v>
      </c>
      <c r="I2605">
        <v>0</v>
      </c>
      <c r="J2605">
        <v>0</v>
      </c>
      <c r="K2605">
        <v>0</v>
      </c>
      <c r="L2605">
        <v>0</v>
      </c>
      <c r="M2605">
        <v>0</v>
      </c>
      <c r="N2605">
        <v>0</v>
      </c>
      <c r="O2605">
        <v>0</v>
      </c>
      <c r="P2605">
        <v>0</v>
      </c>
    </row>
    <row r="2606" spans="1:16" x14ac:dyDescent="0.3">
      <c r="A2606" t="s">
        <v>56</v>
      </c>
      <c r="B2606">
        <v>23</v>
      </c>
      <c r="C2606">
        <v>0.92</v>
      </c>
      <c r="D2606">
        <v>0.92</v>
      </c>
      <c r="E2606">
        <v>0.92</v>
      </c>
      <c r="F2606">
        <v>0.92</v>
      </c>
      <c r="G2606">
        <v>0.92</v>
      </c>
      <c r="H2606">
        <v>0.92</v>
      </c>
      <c r="I2606">
        <v>0.92</v>
      </c>
      <c r="J2606">
        <v>0.92</v>
      </c>
      <c r="K2606">
        <v>0.92</v>
      </c>
      <c r="L2606">
        <v>0.92</v>
      </c>
      <c r="M2606">
        <v>0.92</v>
      </c>
      <c r="N2606">
        <v>0.92</v>
      </c>
      <c r="O2606">
        <v>0.92</v>
      </c>
      <c r="P2606">
        <v>0.92</v>
      </c>
    </row>
    <row r="2607" spans="1:16" x14ac:dyDescent="0.3">
      <c r="A2607" t="s">
        <v>57</v>
      </c>
      <c r="B2607">
        <v>23</v>
      </c>
      <c r="C2607">
        <v>100</v>
      </c>
      <c r="D2607">
        <v>100</v>
      </c>
      <c r="E2607">
        <v>100</v>
      </c>
      <c r="F2607">
        <v>100</v>
      </c>
      <c r="G2607">
        <v>100</v>
      </c>
      <c r="H2607">
        <v>100</v>
      </c>
      <c r="I2607">
        <v>100</v>
      </c>
      <c r="J2607">
        <v>100</v>
      </c>
      <c r="K2607">
        <v>100</v>
      </c>
      <c r="L2607">
        <v>100</v>
      </c>
      <c r="M2607">
        <v>100</v>
      </c>
      <c r="N2607">
        <v>100</v>
      </c>
      <c r="O2607">
        <v>100</v>
      </c>
      <c r="P2607">
        <v>100</v>
      </c>
    </row>
    <row r="2608" spans="1:16" x14ac:dyDescent="0.3">
      <c r="A2608" t="s">
        <v>58</v>
      </c>
      <c r="B2608">
        <v>23</v>
      </c>
      <c r="C2608">
        <v>2</v>
      </c>
      <c r="D2608">
        <v>2</v>
      </c>
      <c r="E2608">
        <v>2</v>
      </c>
      <c r="F2608">
        <v>2</v>
      </c>
      <c r="G2608">
        <v>2</v>
      </c>
      <c r="H2608">
        <v>2</v>
      </c>
      <c r="I2608">
        <v>2</v>
      </c>
      <c r="J2608">
        <v>2</v>
      </c>
      <c r="K2608">
        <v>2</v>
      </c>
      <c r="L2608">
        <v>2</v>
      </c>
      <c r="M2608">
        <v>2</v>
      </c>
      <c r="N2608">
        <v>2</v>
      </c>
      <c r="O2608">
        <v>2</v>
      </c>
      <c r="P2608">
        <v>2</v>
      </c>
    </row>
    <row r="2609" spans="1:16" x14ac:dyDescent="0.3">
      <c r="A2609" t="s">
        <v>59</v>
      </c>
      <c r="B2609">
        <v>23</v>
      </c>
      <c r="C2609">
        <v>0</v>
      </c>
      <c r="D2609">
        <v>0</v>
      </c>
      <c r="E2609">
        <v>0</v>
      </c>
      <c r="F2609">
        <v>0</v>
      </c>
      <c r="G2609">
        <v>0</v>
      </c>
      <c r="H2609">
        <v>0</v>
      </c>
      <c r="I2609">
        <v>0</v>
      </c>
      <c r="J2609">
        <v>0</v>
      </c>
      <c r="K2609">
        <v>0</v>
      </c>
      <c r="L2609">
        <v>0</v>
      </c>
      <c r="M2609">
        <v>0</v>
      </c>
      <c r="N2609">
        <v>0</v>
      </c>
      <c r="O2609">
        <v>0</v>
      </c>
      <c r="P2609">
        <v>0</v>
      </c>
    </row>
    <row r="2610" spans="1:16" x14ac:dyDescent="0.3">
      <c r="A2610" t="s">
        <v>635</v>
      </c>
      <c r="B2610">
        <v>23</v>
      </c>
      <c r="E2610">
        <v>0</v>
      </c>
      <c r="I2610">
        <v>0</v>
      </c>
      <c r="L2610">
        <v>0</v>
      </c>
      <c r="O2610">
        <v>0</v>
      </c>
    </row>
    <row r="2611" spans="1:16" x14ac:dyDescent="0.3">
      <c r="A2611" t="s">
        <v>574</v>
      </c>
      <c r="B2611">
        <v>23</v>
      </c>
      <c r="E2611">
        <v>773</v>
      </c>
      <c r="I2611">
        <v>1523</v>
      </c>
      <c r="L2611">
        <v>1131</v>
      </c>
      <c r="O2611">
        <v>523</v>
      </c>
    </row>
    <row r="2612" spans="1:16" x14ac:dyDescent="0.3">
      <c r="A2612" t="s">
        <v>78</v>
      </c>
      <c r="B2612">
        <v>23</v>
      </c>
      <c r="E2612">
        <v>11.7</v>
      </c>
      <c r="I2612">
        <v>23.1</v>
      </c>
      <c r="L2612">
        <v>25.7</v>
      </c>
      <c r="O2612">
        <v>11.9</v>
      </c>
    </row>
    <row r="2613" spans="1:16" x14ac:dyDescent="0.3">
      <c r="A2613" t="s">
        <v>636</v>
      </c>
      <c r="B2613">
        <v>23</v>
      </c>
      <c r="F2613">
        <v>1</v>
      </c>
      <c r="J2613">
        <v>1</v>
      </c>
      <c r="M2613">
        <v>1</v>
      </c>
      <c r="P2613">
        <v>1</v>
      </c>
    </row>
    <row r="2614" spans="1:16" x14ac:dyDescent="0.3">
      <c r="A2614" t="s">
        <v>637</v>
      </c>
      <c r="B2614">
        <v>23</v>
      </c>
      <c r="F2614">
        <v>50</v>
      </c>
      <c r="J2614">
        <v>50</v>
      </c>
      <c r="M2614">
        <v>50</v>
      </c>
      <c r="P2614">
        <v>50</v>
      </c>
    </row>
    <row r="2615" spans="1:16" x14ac:dyDescent="0.3">
      <c r="A2615" t="s">
        <v>638</v>
      </c>
      <c r="B2615">
        <v>23</v>
      </c>
      <c r="F2615">
        <v>0</v>
      </c>
      <c r="J2615">
        <v>0</v>
      </c>
      <c r="M2615">
        <v>0</v>
      </c>
      <c r="P2615">
        <v>0</v>
      </c>
    </row>
    <row r="2616" spans="1:16" x14ac:dyDescent="0.3">
      <c r="A2616" t="s">
        <v>639</v>
      </c>
      <c r="B2616">
        <v>23</v>
      </c>
      <c r="C2616">
        <v>3</v>
      </c>
      <c r="D2616">
        <v>0</v>
      </c>
      <c r="E2616">
        <v>0</v>
      </c>
      <c r="F2616">
        <v>1</v>
      </c>
      <c r="G2616">
        <v>3</v>
      </c>
      <c r="H2616">
        <v>0</v>
      </c>
      <c r="I2616">
        <v>0</v>
      </c>
      <c r="J2616">
        <v>1</v>
      </c>
      <c r="K2616">
        <v>0</v>
      </c>
      <c r="L2616">
        <v>0</v>
      </c>
      <c r="M2616">
        <v>1</v>
      </c>
      <c r="N2616">
        <v>0</v>
      </c>
      <c r="O2616">
        <v>0</v>
      </c>
      <c r="P2616">
        <v>1</v>
      </c>
    </row>
    <row r="2617" spans="1:16" x14ac:dyDescent="0.3">
      <c r="A2617" t="s">
        <v>640</v>
      </c>
      <c r="B2617">
        <v>23</v>
      </c>
      <c r="C2617">
        <v>0</v>
      </c>
      <c r="D2617">
        <v>0</v>
      </c>
      <c r="E2617">
        <v>0</v>
      </c>
      <c r="F2617">
        <v>0</v>
      </c>
      <c r="G2617">
        <v>0</v>
      </c>
      <c r="H2617">
        <v>0</v>
      </c>
      <c r="I2617">
        <v>0</v>
      </c>
      <c r="J2617">
        <v>0</v>
      </c>
      <c r="K2617">
        <v>0</v>
      </c>
      <c r="L2617">
        <v>0</v>
      </c>
      <c r="M2617">
        <v>0</v>
      </c>
      <c r="N2617">
        <v>0</v>
      </c>
      <c r="O2617">
        <v>0</v>
      </c>
      <c r="P2617">
        <v>0</v>
      </c>
    </row>
    <row r="2618" spans="1:16" x14ac:dyDescent="0.3">
      <c r="A2618" t="s">
        <v>52</v>
      </c>
      <c r="B2618">
        <v>23</v>
      </c>
      <c r="C2618">
        <v>1</v>
      </c>
      <c r="D2618">
        <v>1</v>
      </c>
      <c r="E2618">
        <v>1</v>
      </c>
      <c r="F2618">
        <v>1</v>
      </c>
      <c r="G2618">
        <v>1</v>
      </c>
      <c r="H2618">
        <v>1</v>
      </c>
      <c r="I2618">
        <v>1</v>
      </c>
      <c r="J2618">
        <v>1</v>
      </c>
      <c r="K2618">
        <v>1</v>
      </c>
      <c r="L2618">
        <v>1</v>
      </c>
      <c r="M2618">
        <v>1</v>
      </c>
      <c r="N2618">
        <v>1</v>
      </c>
      <c r="O2618">
        <v>1</v>
      </c>
      <c r="P2618">
        <v>1</v>
      </c>
    </row>
    <row r="2619" spans="1:16" x14ac:dyDescent="0.3">
      <c r="A2619" t="s">
        <v>641</v>
      </c>
      <c r="B2619">
        <v>23</v>
      </c>
      <c r="C2619">
        <v>9</v>
      </c>
      <c r="D2619">
        <v>15</v>
      </c>
      <c r="E2619">
        <v>60</v>
      </c>
      <c r="F2619">
        <v>9</v>
      </c>
      <c r="G2619">
        <v>9</v>
      </c>
      <c r="H2619">
        <v>15</v>
      </c>
      <c r="I2619">
        <v>60</v>
      </c>
      <c r="J2619">
        <v>9</v>
      </c>
      <c r="K2619">
        <v>15</v>
      </c>
      <c r="L2619">
        <v>60</v>
      </c>
      <c r="M2619">
        <v>9</v>
      </c>
      <c r="N2619">
        <v>15</v>
      </c>
      <c r="O2619">
        <v>60</v>
      </c>
      <c r="P2619">
        <v>9</v>
      </c>
    </row>
    <row r="2620" spans="1:16" x14ac:dyDescent="0.3">
      <c r="A2620" t="s">
        <v>43</v>
      </c>
      <c r="B2620">
        <v>23</v>
      </c>
      <c r="D2620">
        <v>40</v>
      </c>
      <c r="E2620">
        <v>336</v>
      </c>
      <c r="F2620">
        <v>0</v>
      </c>
      <c r="H2620">
        <v>40</v>
      </c>
      <c r="I2620">
        <v>336</v>
      </c>
      <c r="J2620">
        <v>0</v>
      </c>
      <c r="K2620">
        <v>40</v>
      </c>
      <c r="L2620">
        <v>40</v>
      </c>
      <c r="N2620">
        <v>40</v>
      </c>
      <c r="O2620">
        <v>40</v>
      </c>
    </row>
    <row r="2621" spans="1:16" x14ac:dyDescent="0.3">
      <c r="A2621" t="s">
        <v>44</v>
      </c>
      <c r="B2621">
        <v>23</v>
      </c>
      <c r="D2621">
        <v>0</v>
      </c>
      <c r="E2621">
        <v>0</v>
      </c>
      <c r="F2621">
        <v>0</v>
      </c>
      <c r="H2621">
        <v>0</v>
      </c>
      <c r="I2621">
        <v>0</v>
      </c>
      <c r="J2621">
        <v>0</v>
      </c>
      <c r="K2621">
        <v>0</v>
      </c>
      <c r="L2621">
        <v>0</v>
      </c>
      <c r="N2621">
        <v>0</v>
      </c>
      <c r="O2621">
        <v>0</v>
      </c>
    </row>
    <row r="2622" spans="1:16" x14ac:dyDescent="0.3">
      <c r="A2622" t="s">
        <v>47</v>
      </c>
      <c r="B2622">
        <v>23</v>
      </c>
      <c r="D2622">
        <v>5</v>
      </c>
      <c r="E2622">
        <v>2</v>
      </c>
      <c r="F2622">
        <v>2</v>
      </c>
      <c r="H2622">
        <v>1</v>
      </c>
      <c r="I2622">
        <v>6</v>
      </c>
      <c r="J2622">
        <v>6</v>
      </c>
      <c r="K2622">
        <v>4</v>
      </c>
      <c r="L2622">
        <v>4</v>
      </c>
      <c r="N2622">
        <v>8</v>
      </c>
      <c r="O2622">
        <v>8</v>
      </c>
    </row>
    <row r="2623" spans="1:16" x14ac:dyDescent="0.3">
      <c r="A2623" t="s">
        <v>642</v>
      </c>
      <c r="B2623">
        <v>23</v>
      </c>
      <c r="D2623">
        <v>0</v>
      </c>
      <c r="E2623">
        <v>0</v>
      </c>
      <c r="F2623">
        <v>0</v>
      </c>
      <c r="H2623">
        <v>0</v>
      </c>
      <c r="I2623">
        <v>0</v>
      </c>
      <c r="J2623">
        <v>0</v>
      </c>
      <c r="K2623">
        <v>0</v>
      </c>
      <c r="L2623">
        <v>0</v>
      </c>
      <c r="N2623">
        <v>0</v>
      </c>
      <c r="O2623">
        <v>0</v>
      </c>
    </row>
    <row r="2624" spans="1:16" x14ac:dyDescent="0.3">
      <c r="A2624" t="s">
        <v>643</v>
      </c>
      <c r="B2624">
        <v>23</v>
      </c>
      <c r="D2624">
        <v>0</v>
      </c>
      <c r="E2624">
        <v>0</v>
      </c>
      <c r="F2624">
        <v>0</v>
      </c>
      <c r="H2624">
        <v>0</v>
      </c>
      <c r="I2624">
        <v>0</v>
      </c>
      <c r="J2624">
        <v>0</v>
      </c>
      <c r="K2624">
        <v>0</v>
      </c>
      <c r="L2624">
        <v>0</v>
      </c>
      <c r="N2624">
        <v>0</v>
      </c>
      <c r="O2624">
        <v>0</v>
      </c>
    </row>
    <row r="2625" spans="1:16" x14ac:dyDescent="0.3">
      <c r="A2625" t="s">
        <v>644</v>
      </c>
      <c r="B2625">
        <v>23</v>
      </c>
      <c r="D2625">
        <v>0</v>
      </c>
      <c r="E2625">
        <v>0</v>
      </c>
      <c r="F2625">
        <v>0</v>
      </c>
      <c r="H2625">
        <v>0</v>
      </c>
      <c r="I2625">
        <v>0</v>
      </c>
      <c r="J2625">
        <v>0</v>
      </c>
      <c r="K2625">
        <v>0</v>
      </c>
      <c r="L2625">
        <v>0</v>
      </c>
      <c r="N2625">
        <v>0</v>
      </c>
      <c r="O2625">
        <v>0</v>
      </c>
    </row>
    <row r="2626" spans="1:16" x14ac:dyDescent="0.3">
      <c r="A2626" t="s">
        <v>645</v>
      </c>
      <c r="B2626">
        <v>23</v>
      </c>
      <c r="D2626">
        <v>0</v>
      </c>
      <c r="E2626">
        <v>0</v>
      </c>
      <c r="F2626">
        <v>0</v>
      </c>
      <c r="H2626">
        <v>0</v>
      </c>
      <c r="I2626">
        <v>0</v>
      </c>
      <c r="J2626">
        <v>0</v>
      </c>
      <c r="K2626">
        <v>0</v>
      </c>
      <c r="L2626">
        <v>0</v>
      </c>
      <c r="N2626">
        <v>0</v>
      </c>
      <c r="O2626">
        <v>0</v>
      </c>
    </row>
    <row r="2627" spans="1:16" x14ac:dyDescent="0.3">
      <c r="A2627" t="s">
        <v>646</v>
      </c>
      <c r="B2627">
        <v>23</v>
      </c>
      <c r="D2627">
        <v>1</v>
      </c>
      <c r="E2627">
        <v>2</v>
      </c>
      <c r="F2627">
        <v>1</v>
      </c>
      <c r="H2627">
        <v>1</v>
      </c>
      <c r="I2627">
        <v>2</v>
      </c>
      <c r="J2627">
        <v>1</v>
      </c>
      <c r="K2627">
        <v>1</v>
      </c>
      <c r="L2627">
        <v>1</v>
      </c>
      <c r="N2627">
        <v>1</v>
      </c>
      <c r="O2627">
        <v>1</v>
      </c>
    </row>
    <row r="2628" spans="1:16" x14ac:dyDescent="0.3">
      <c r="A2628" t="s">
        <v>647</v>
      </c>
      <c r="B2628">
        <v>23</v>
      </c>
      <c r="D2628">
        <v>0</v>
      </c>
      <c r="E2628">
        <v>330</v>
      </c>
      <c r="F2628">
        <v>0</v>
      </c>
      <c r="H2628">
        <v>0</v>
      </c>
      <c r="I2628">
        <v>330</v>
      </c>
      <c r="J2628">
        <v>0</v>
      </c>
      <c r="K2628">
        <v>0</v>
      </c>
      <c r="L2628">
        <v>0</v>
      </c>
      <c r="N2628">
        <v>0</v>
      </c>
      <c r="O2628">
        <v>0</v>
      </c>
    </row>
    <row r="2629" spans="1:16" x14ac:dyDescent="0.3">
      <c r="A2629" t="s">
        <v>648</v>
      </c>
      <c r="B2629">
        <v>23</v>
      </c>
      <c r="D2629">
        <v>40</v>
      </c>
      <c r="E2629">
        <v>6</v>
      </c>
      <c r="F2629">
        <v>0</v>
      </c>
      <c r="H2629">
        <v>40</v>
      </c>
      <c r="I2629">
        <v>6</v>
      </c>
      <c r="J2629">
        <v>0</v>
      </c>
      <c r="K2629">
        <v>40</v>
      </c>
      <c r="L2629">
        <v>40</v>
      </c>
      <c r="N2629">
        <v>40</v>
      </c>
      <c r="O2629">
        <v>40</v>
      </c>
    </row>
    <row r="2630" spans="1:16" x14ac:dyDescent="0.3">
      <c r="A2630" t="s">
        <v>649</v>
      </c>
      <c r="B2630">
        <v>23</v>
      </c>
      <c r="D2630">
        <v>3</v>
      </c>
      <c r="E2630">
        <v>3</v>
      </c>
      <c r="F2630">
        <v>3</v>
      </c>
      <c r="H2630">
        <v>3</v>
      </c>
      <c r="I2630">
        <v>3</v>
      </c>
      <c r="J2630">
        <v>3</v>
      </c>
      <c r="K2630">
        <v>3</v>
      </c>
      <c r="L2630">
        <v>3</v>
      </c>
      <c r="N2630">
        <v>3</v>
      </c>
      <c r="O2630">
        <v>3</v>
      </c>
    </row>
    <row r="2631" spans="1:16" x14ac:dyDescent="0.3">
      <c r="A2631" t="s">
        <v>650</v>
      </c>
      <c r="B2631">
        <v>23</v>
      </c>
      <c r="D2631">
        <v>0</v>
      </c>
      <c r="E2631">
        <v>0</v>
      </c>
      <c r="F2631">
        <v>0</v>
      </c>
      <c r="H2631">
        <v>0</v>
      </c>
      <c r="I2631">
        <v>0</v>
      </c>
      <c r="J2631">
        <v>0</v>
      </c>
      <c r="K2631">
        <v>0</v>
      </c>
      <c r="L2631">
        <v>0</v>
      </c>
      <c r="N2631">
        <v>0</v>
      </c>
      <c r="O2631">
        <v>0</v>
      </c>
    </row>
    <row r="2632" spans="1:16" x14ac:dyDescent="0.3">
      <c r="A2632" t="s">
        <v>651</v>
      </c>
      <c r="B2632">
        <v>23</v>
      </c>
      <c r="D2632">
        <v>0</v>
      </c>
      <c r="E2632">
        <v>0</v>
      </c>
      <c r="F2632">
        <v>0</v>
      </c>
      <c r="H2632">
        <v>0</v>
      </c>
      <c r="I2632">
        <v>0</v>
      </c>
      <c r="J2632">
        <v>0</v>
      </c>
      <c r="K2632">
        <v>0</v>
      </c>
      <c r="L2632">
        <v>0</v>
      </c>
      <c r="N2632">
        <v>0</v>
      </c>
      <c r="O2632">
        <v>0</v>
      </c>
    </row>
    <row r="2633" spans="1:16" x14ac:dyDescent="0.3">
      <c r="A2633" t="s">
        <v>652</v>
      </c>
      <c r="B2633">
        <v>23</v>
      </c>
      <c r="D2633">
        <v>0</v>
      </c>
      <c r="E2633">
        <v>0</v>
      </c>
      <c r="F2633">
        <v>0</v>
      </c>
      <c r="H2633">
        <v>0</v>
      </c>
      <c r="I2633">
        <v>0</v>
      </c>
      <c r="J2633">
        <v>0</v>
      </c>
      <c r="K2633">
        <v>0</v>
      </c>
      <c r="L2633">
        <v>0</v>
      </c>
      <c r="N2633">
        <v>0</v>
      </c>
      <c r="O2633">
        <v>0</v>
      </c>
    </row>
    <row r="2634" spans="1:16" x14ac:dyDescent="0.3">
      <c r="A2634" t="s">
        <v>653</v>
      </c>
      <c r="B2634">
        <v>23</v>
      </c>
      <c r="E2634">
        <v>0</v>
      </c>
      <c r="I2634">
        <v>0</v>
      </c>
    </row>
    <row r="2635" spans="1:16" x14ac:dyDescent="0.3">
      <c r="A2635" t="s">
        <v>654</v>
      </c>
      <c r="B2635">
        <v>23</v>
      </c>
      <c r="E2635">
        <v>0</v>
      </c>
      <c r="I2635">
        <v>0</v>
      </c>
    </row>
    <row r="2636" spans="1:16" x14ac:dyDescent="0.3">
      <c r="A2636" t="s">
        <v>655</v>
      </c>
      <c r="B2636">
        <v>23</v>
      </c>
      <c r="E2636">
        <v>3</v>
      </c>
      <c r="I2636">
        <v>3</v>
      </c>
    </row>
    <row r="2637" spans="1:16" x14ac:dyDescent="0.3">
      <c r="A2637" t="s">
        <v>656</v>
      </c>
      <c r="B2637">
        <v>23</v>
      </c>
      <c r="E2637">
        <v>0</v>
      </c>
      <c r="I2637">
        <v>0</v>
      </c>
    </row>
    <row r="2638" spans="1:16" x14ac:dyDescent="0.3">
      <c r="A2638" t="s">
        <v>657</v>
      </c>
      <c r="B2638">
        <v>23</v>
      </c>
      <c r="E2638">
        <v>0</v>
      </c>
      <c r="I2638">
        <v>0</v>
      </c>
      <c r="L2638">
        <v>0</v>
      </c>
      <c r="O2638">
        <v>0</v>
      </c>
    </row>
    <row r="2639" spans="1:16" x14ac:dyDescent="0.3">
      <c r="A2639" t="s">
        <v>408</v>
      </c>
      <c r="B2639">
        <v>23</v>
      </c>
      <c r="E2639">
        <v>0</v>
      </c>
    </row>
    <row r="2640" spans="1:16" x14ac:dyDescent="0.3">
      <c r="A2640" t="s">
        <v>658</v>
      </c>
      <c r="B2640">
        <v>23</v>
      </c>
      <c r="C2640">
        <v>0</v>
      </c>
      <c r="D2640">
        <v>38</v>
      </c>
      <c r="E2640">
        <v>870</v>
      </c>
      <c r="F2640">
        <v>33</v>
      </c>
      <c r="G2640">
        <v>0</v>
      </c>
      <c r="H2640">
        <v>54</v>
      </c>
      <c r="I2640">
        <v>435</v>
      </c>
      <c r="J2640">
        <v>26</v>
      </c>
      <c r="K2640">
        <v>0</v>
      </c>
      <c r="L2640">
        <v>196</v>
      </c>
      <c r="M2640">
        <v>0</v>
      </c>
      <c r="N2640">
        <v>38</v>
      </c>
      <c r="O2640">
        <v>147</v>
      </c>
      <c r="P2640">
        <v>0</v>
      </c>
    </row>
    <row r="2641" spans="1:16" x14ac:dyDescent="0.3">
      <c r="A2641" t="s">
        <v>34</v>
      </c>
      <c r="B2641">
        <v>24</v>
      </c>
      <c r="C2641">
        <v>23</v>
      </c>
      <c r="D2641">
        <v>23</v>
      </c>
      <c r="E2641">
        <v>23</v>
      </c>
      <c r="F2641">
        <v>23</v>
      </c>
      <c r="G2641">
        <v>25</v>
      </c>
      <c r="H2641">
        <v>25</v>
      </c>
      <c r="I2641">
        <v>25</v>
      </c>
      <c r="J2641">
        <v>25</v>
      </c>
      <c r="K2641">
        <v>119</v>
      </c>
      <c r="L2641">
        <v>119</v>
      </c>
      <c r="M2641">
        <v>119</v>
      </c>
      <c r="N2641">
        <v>13</v>
      </c>
      <c r="O2641">
        <v>13</v>
      </c>
      <c r="P2641">
        <v>13</v>
      </c>
    </row>
    <row r="2642" spans="1:16" x14ac:dyDescent="0.3">
      <c r="A2642" t="s">
        <v>35</v>
      </c>
      <c r="B2642">
        <v>24</v>
      </c>
      <c r="C2642">
        <v>23</v>
      </c>
      <c r="D2642">
        <v>119</v>
      </c>
      <c r="E2642">
        <v>25</v>
      </c>
      <c r="F2642">
        <v>13</v>
      </c>
      <c r="G2642">
        <v>25</v>
      </c>
      <c r="H2642">
        <v>13</v>
      </c>
      <c r="I2642">
        <v>23</v>
      </c>
      <c r="J2642">
        <v>119</v>
      </c>
      <c r="K2642">
        <v>25</v>
      </c>
      <c r="L2642">
        <v>13</v>
      </c>
      <c r="M2642">
        <v>23</v>
      </c>
      <c r="N2642">
        <v>23</v>
      </c>
      <c r="O2642">
        <v>119</v>
      </c>
      <c r="P2642">
        <v>25</v>
      </c>
    </row>
    <row r="2643" spans="1:16" x14ac:dyDescent="0.3">
      <c r="A2643" t="s">
        <v>36</v>
      </c>
      <c r="B2643">
        <v>24</v>
      </c>
      <c r="C2643">
        <v>0</v>
      </c>
      <c r="D2643">
        <v>1</v>
      </c>
      <c r="E2643">
        <v>2</v>
      </c>
      <c r="F2643">
        <v>1</v>
      </c>
      <c r="G2643">
        <v>0</v>
      </c>
      <c r="H2643">
        <v>1</v>
      </c>
      <c r="I2643">
        <v>2</v>
      </c>
      <c r="J2643">
        <v>1</v>
      </c>
      <c r="K2643">
        <v>0</v>
      </c>
      <c r="L2643">
        <v>1</v>
      </c>
      <c r="M2643">
        <v>0</v>
      </c>
      <c r="N2643">
        <v>0</v>
      </c>
      <c r="O2643">
        <v>1</v>
      </c>
      <c r="P2643">
        <v>1</v>
      </c>
    </row>
    <row r="2644" spans="1:16" x14ac:dyDescent="0.3">
      <c r="A2644" t="s">
        <v>37</v>
      </c>
      <c r="B2644">
        <v>24</v>
      </c>
      <c r="D2644">
        <v>0</v>
      </c>
      <c r="E2644">
        <v>0</v>
      </c>
      <c r="H2644">
        <v>0</v>
      </c>
      <c r="I2644">
        <v>0</v>
      </c>
      <c r="K2644">
        <v>0</v>
      </c>
      <c r="L2644">
        <v>3</v>
      </c>
      <c r="N2644">
        <v>0</v>
      </c>
      <c r="O2644">
        <v>1</v>
      </c>
    </row>
    <row r="2645" spans="1:16" x14ac:dyDescent="0.3">
      <c r="A2645" t="s">
        <v>38</v>
      </c>
      <c r="B2645">
        <v>24</v>
      </c>
      <c r="C2645">
        <v>12</v>
      </c>
      <c r="D2645">
        <v>12</v>
      </c>
      <c r="E2645">
        <v>12</v>
      </c>
      <c r="F2645">
        <v>12</v>
      </c>
      <c r="G2645">
        <v>12</v>
      </c>
      <c r="H2645">
        <v>12</v>
      </c>
      <c r="I2645">
        <v>12</v>
      </c>
      <c r="J2645">
        <v>12</v>
      </c>
      <c r="K2645">
        <v>12</v>
      </c>
      <c r="L2645">
        <v>12</v>
      </c>
      <c r="M2645">
        <v>12</v>
      </c>
      <c r="N2645">
        <v>12</v>
      </c>
      <c r="O2645">
        <v>12</v>
      </c>
      <c r="P2645">
        <v>12</v>
      </c>
    </row>
    <row r="2646" spans="1:16" x14ac:dyDescent="0.3">
      <c r="A2646" t="s">
        <v>39</v>
      </c>
      <c r="B2646">
        <v>24</v>
      </c>
      <c r="D2646">
        <v>200</v>
      </c>
      <c r="F2646">
        <v>200</v>
      </c>
      <c r="H2646">
        <v>200</v>
      </c>
      <c r="J2646">
        <v>200</v>
      </c>
      <c r="P2646">
        <v>150</v>
      </c>
    </row>
    <row r="2647" spans="1:16" x14ac:dyDescent="0.3">
      <c r="A2647" t="s">
        <v>631</v>
      </c>
      <c r="B2647">
        <v>24</v>
      </c>
      <c r="D2647">
        <v>25</v>
      </c>
      <c r="F2647">
        <v>25</v>
      </c>
      <c r="H2647">
        <v>25</v>
      </c>
      <c r="J2647">
        <v>25</v>
      </c>
      <c r="P2647">
        <v>25</v>
      </c>
    </row>
    <row r="2648" spans="1:16" x14ac:dyDescent="0.3">
      <c r="A2648" t="s">
        <v>40</v>
      </c>
      <c r="B2648">
        <v>24</v>
      </c>
      <c r="D2648">
        <v>1</v>
      </c>
      <c r="F2648">
        <v>1</v>
      </c>
      <c r="H2648">
        <v>1</v>
      </c>
      <c r="J2648">
        <v>1</v>
      </c>
      <c r="P2648">
        <v>1</v>
      </c>
    </row>
    <row r="2649" spans="1:16" x14ac:dyDescent="0.3">
      <c r="A2649" t="s">
        <v>41</v>
      </c>
      <c r="B2649">
        <v>24</v>
      </c>
    </row>
    <row r="2650" spans="1:16" x14ac:dyDescent="0.3">
      <c r="A2650" t="s">
        <v>42</v>
      </c>
      <c r="B2650">
        <v>24</v>
      </c>
      <c r="E2650">
        <v>45</v>
      </c>
      <c r="I2650">
        <v>45</v>
      </c>
      <c r="L2650">
        <v>30</v>
      </c>
      <c r="O2650">
        <v>30</v>
      </c>
    </row>
    <row r="2651" spans="1:16" x14ac:dyDescent="0.3">
      <c r="A2651" t="s">
        <v>45</v>
      </c>
      <c r="B2651">
        <v>24</v>
      </c>
      <c r="D2651">
        <v>5</v>
      </c>
      <c r="E2651">
        <v>2</v>
      </c>
      <c r="H2651">
        <v>1</v>
      </c>
      <c r="I2651">
        <v>6</v>
      </c>
      <c r="L2651">
        <v>4</v>
      </c>
      <c r="O2651">
        <v>8</v>
      </c>
    </row>
    <row r="2652" spans="1:16" x14ac:dyDescent="0.3">
      <c r="A2652" t="s">
        <v>46</v>
      </c>
      <c r="B2652">
        <v>24</v>
      </c>
      <c r="D2652">
        <v>2</v>
      </c>
      <c r="F2652">
        <v>2</v>
      </c>
      <c r="H2652">
        <v>6</v>
      </c>
      <c r="J2652">
        <v>6</v>
      </c>
      <c r="K2652">
        <v>4</v>
      </c>
      <c r="N2652">
        <v>8</v>
      </c>
      <c r="P2652">
        <v>8</v>
      </c>
    </row>
    <row r="2653" spans="1:16" x14ac:dyDescent="0.3">
      <c r="A2653" t="s">
        <v>49</v>
      </c>
      <c r="B2653">
        <v>24</v>
      </c>
      <c r="C2653">
        <v>4</v>
      </c>
      <c r="D2653">
        <v>6</v>
      </c>
      <c r="E2653">
        <v>6.3</v>
      </c>
      <c r="F2653">
        <v>6.3</v>
      </c>
      <c r="G2653">
        <v>4</v>
      </c>
      <c r="H2653">
        <v>6</v>
      </c>
      <c r="I2653">
        <v>6.3</v>
      </c>
      <c r="J2653">
        <v>6.3</v>
      </c>
      <c r="K2653">
        <v>6</v>
      </c>
      <c r="L2653">
        <v>6</v>
      </c>
      <c r="M2653">
        <v>4</v>
      </c>
      <c r="N2653">
        <v>6</v>
      </c>
      <c r="O2653">
        <v>6</v>
      </c>
      <c r="P2653">
        <v>6</v>
      </c>
    </row>
    <row r="2654" spans="1:16" x14ac:dyDescent="0.3">
      <c r="A2654" t="s">
        <v>632</v>
      </c>
      <c r="B2654">
        <v>24</v>
      </c>
      <c r="C2654">
        <v>0</v>
      </c>
      <c r="D2654">
        <v>0</v>
      </c>
      <c r="E2654">
        <v>0</v>
      </c>
      <c r="F2654">
        <v>0</v>
      </c>
      <c r="G2654">
        <v>0</v>
      </c>
      <c r="H2654">
        <v>0</v>
      </c>
      <c r="I2654">
        <v>0</v>
      </c>
      <c r="J2654">
        <v>0</v>
      </c>
      <c r="K2654">
        <v>0</v>
      </c>
      <c r="L2654">
        <v>0</v>
      </c>
      <c r="M2654">
        <v>0</v>
      </c>
      <c r="N2654">
        <v>0</v>
      </c>
      <c r="O2654">
        <v>0</v>
      </c>
      <c r="P2654">
        <v>0</v>
      </c>
    </row>
    <row r="2655" spans="1:16" x14ac:dyDescent="0.3">
      <c r="A2655" t="s">
        <v>48</v>
      </c>
      <c r="B2655">
        <v>24</v>
      </c>
      <c r="C2655">
        <v>1900</v>
      </c>
      <c r="D2655">
        <v>1900</v>
      </c>
      <c r="E2655">
        <v>1900</v>
      </c>
      <c r="F2655">
        <v>1900</v>
      </c>
      <c r="G2655">
        <v>1900</v>
      </c>
      <c r="H2655">
        <v>1900</v>
      </c>
      <c r="I2655">
        <v>1900</v>
      </c>
      <c r="J2655">
        <v>1900</v>
      </c>
      <c r="K2655">
        <v>1900</v>
      </c>
      <c r="L2655">
        <v>1900</v>
      </c>
      <c r="M2655">
        <v>1900</v>
      </c>
      <c r="N2655">
        <v>1900</v>
      </c>
      <c r="O2655">
        <v>1900</v>
      </c>
      <c r="P2655">
        <v>1900</v>
      </c>
    </row>
    <row r="2656" spans="1:16" x14ac:dyDescent="0.3">
      <c r="A2656" t="s">
        <v>633</v>
      </c>
      <c r="B2656">
        <v>24</v>
      </c>
      <c r="C2656">
        <v>0</v>
      </c>
      <c r="D2656">
        <v>1770</v>
      </c>
      <c r="E2656">
        <v>3539</v>
      </c>
      <c r="F2656">
        <v>1583</v>
      </c>
      <c r="G2656">
        <v>0</v>
      </c>
      <c r="H2656">
        <v>1770</v>
      </c>
      <c r="I2656">
        <v>3539</v>
      </c>
      <c r="J2656">
        <v>1583</v>
      </c>
      <c r="K2656">
        <v>0</v>
      </c>
      <c r="L2656">
        <v>1761</v>
      </c>
      <c r="M2656">
        <v>0</v>
      </c>
      <c r="N2656">
        <v>0</v>
      </c>
      <c r="O2656">
        <v>1820</v>
      </c>
      <c r="P2656">
        <v>1583</v>
      </c>
    </row>
    <row r="2657" spans="1:16" x14ac:dyDescent="0.3">
      <c r="A2657" t="s">
        <v>50</v>
      </c>
      <c r="B2657">
        <v>24</v>
      </c>
      <c r="C2657">
        <v>0</v>
      </c>
      <c r="D2657">
        <v>831</v>
      </c>
      <c r="E2657">
        <v>3539</v>
      </c>
      <c r="F2657">
        <v>1583</v>
      </c>
      <c r="G2657">
        <v>0</v>
      </c>
      <c r="H2657">
        <v>458</v>
      </c>
      <c r="I2657">
        <v>3539</v>
      </c>
      <c r="J2657">
        <v>1583</v>
      </c>
      <c r="K2657">
        <v>0</v>
      </c>
      <c r="L2657">
        <v>1558</v>
      </c>
      <c r="M2657">
        <v>0</v>
      </c>
      <c r="N2657">
        <v>0</v>
      </c>
      <c r="O2657">
        <v>1038</v>
      </c>
      <c r="P2657">
        <v>1583</v>
      </c>
    </row>
    <row r="2658" spans="1:16" x14ac:dyDescent="0.3">
      <c r="A2658" t="s">
        <v>634</v>
      </c>
      <c r="B2658">
        <v>24</v>
      </c>
      <c r="C2658">
        <v>1</v>
      </c>
      <c r="D2658">
        <v>1</v>
      </c>
      <c r="E2658">
        <v>1</v>
      </c>
      <c r="F2658">
        <v>1</v>
      </c>
      <c r="G2658">
        <v>1</v>
      </c>
      <c r="H2658">
        <v>1</v>
      </c>
      <c r="I2658">
        <v>1</v>
      </c>
      <c r="J2658">
        <v>1</v>
      </c>
      <c r="K2658">
        <v>1</v>
      </c>
      <c r="L2658">
        <v>1</v>
      </c>
      <c r="M2658">
        <v>1</v>
      </c>
      <c r="N2658">
        <v>1</v>
      </c>
      <c r="O2658">
        <v>1</v>
      </c>
      <c r="P2658">
        <v>1</v>
      </c>
    </row>
    <row r="2659" spans="1:16" x14ac:dyDescent="0.3">
      <c r="A2659" t="s">
        <v>51</v>
      </c>
      <c r="B2659">
        <v>24</v>
      </c>
      <c r="C2659">
        <v>0</v>
      </c>
      <c r="D2659">
        <v>0</v>
      </c>
      <c r="E2659">
        <v>0</v>
      </c>
      <c r="F2659">
        <v>82</v>
      </c>
      <c r="G2659">
        <v>0</v>
      </c>
      <c r="H2659">
        <v>0</v>
      </c>
      <c r="I2659">
        <v>0</v>
      </c>
      <c r="J2659">
        <v>82</v>
      </c>
      <c r="K2659">
        <v>0</v>
      </c>
      <c r="L2659">
        <v>17</v>
      </c>
      <c r="M2659">
        <v>0</v>
      </c>
      <c r="N2659">
        <v>0</v>
      </c>
      <c r="O2659">
        <v>0</v>
      </c>
      <c r="P2659">
        <v>85</v>
      </c>
    </row>
    <row r="2660" spans="1:16" x14ac:dyDescent="0.3">
      <c r="A2660" t="s">
        <v>53</v>
      </c>
      <c r="B2660">
        <v>24</v>
      </c>
      <c r="C2660">
        <v>0</v>
      </c>
      <c r="D2660">
        <v>35</v>
      </c>
      <c r="E2660">
        <v>900</v>
      </c>
      <c r="F2660">
        <v>50</v>
      </c>
      <c r="G2660">
        <v>0</v>
      </c>
      <c r="H2660">
        <v>50</v>
      </c>
      <c r="I2660">
        <v>500</v>
      </c>
      <c r="J2660">
        <v>35</v>
      </c>
      <c r="K2660">
        <v>65</v>
      </c>
      <c r="L2660">
        <v>100</v>
      </c>
      <c r="M2660">
        <v>75</v>
      </c>
      <c r="N2660">
        <v>45</v>
      </c>
      <c r="O2660">
        <v>50</v>
      </c>
      <c r="P2660">
        <v>75</v>
      </c>
    </row>
    <row r="2661" spans="1:16" x14ac:dyDescent="0.3">
      <c r="A2661" t="s">
        <v>54</v>
      </c>
      <c r="B2661">
        <v>24</v>
      </c>
      <c r="C2661">
        <v>0</v>
      </c>
      <c r="D2661">
        <v>0</v>
      </c>
      <c r="E2661">
        <v>0</v>
      </c>
      <c r="F2661">
        <v>0</v>
      </c>
      <c r="G2661">
        <v>0</v>
      </c>
      <c r="H2661">
        <v>0</v>
      </c>
      <c r="I2661">
        <v>0</v>
      </c>
      <c r="J2661">
        <v>0</v>
      </c>
      <c r="K2661">
        <v>0</v>
      </c>
      <c r="L2661">
        <v>0</v>
      </c>
      <c r="M2661">
        <v>0</v>
      </c>
      <c r="N2661">
        <v>0</v>
      </c>
      <c r="O2661">
        <v>0</v>
      </c>
      <c r="P2661">
        <v>0</v>
      </c>
    </row>
    <row r="2662" spans="1:16" x14ac:dyDescent="0.3">
      <c r="A2662" t="s">
        <v>55</v>
      </c>
      <c r="B2662">
        <v>24</v>
      </c>
      <c r="C2662">
        <v>0</v>
      </c>
      <c r="D2662">
        <v>0</v>
      </c>
      <c r="E2662">
        <v>0</v>
      </c>
      <c r="F2662">
        <v>0</v>
      </c>
      <c r="G2662">
        <v>0</v>
      </c>
      <c r="H2662">
        <v>0</v>
      </c>
      <c r="I2662">
        <v>0</v>
      </c>
      <c r="J2662">
        <v>0</v>
      </c>
      <c r="K2662">
        <v>0</v>
      </c>
      <c r="L2662">
        <v>0</v>
      </c>
      <c r="M2662">
        <v>0</v>
      </c>
      <c r="N2662">
        <v>0</v>
      </c>
      <c r="O2662">
        <v>0</v>
      </c>
      <c r="P2662">
        <v>0</v>
      </c>
    </row>
    <row r="2663" spans="1:16" x14ac:dyDescent="0.3">
      <c r="A2663" t="s">
        <v>56</v>
      </c>
      <c r="B2663">
        <v>24</v>
      </c>
      <c r="C2663">
        <v>0.92</v>
      </c>
      <c r="D2663">
        <v>0.92</v>
      </c>
      <c r="E2663">
        <v>0.92</v>
      </c>
      <c r="F2663">
        <v>0.92</v>
      </c>
      <c r="G2663">
        <v>0.92</v>
      </c>
      <c r="H2663">
        <v>0.92</v>
      </c>
      <c r="I2663">
        <v>0.92</v>
      </c>
      <c r="J2663">
        <v>0.92</v>
      </c>
      <c r="K2663">
        <v>0.92</v>
      </c>
      <c r="L2663">
        <v>0.92</v>
      </c>
      <c r="M2663">
        <v>0.92</v>
      </c>
      <c r="N2663">
        <v>0.92</v>
      </c>
      <c r="O2663">
        <v>0.92</v>
      </c>
      <c r="P2663">
        <v>0.92</v>
      </c>
    </row>
    <row r="2664" spans="1:16" x14ac:dyDescent="0.3">
      <c r="A2664" t="s">
        <v>57</v>
      </c>
      <c r="B2664">
        <v>24</v>
      </c>
      <c r="C2664">
        <v>100</v>
      </c>
      <c r="D2664">
        <v>100</v>
      </c>
      <c r="E2664">
        <v>100</v>
      </c>
      <c r="F2664">
        <v>100</v>
      </c>
      <c r="G2664">
        <v>100</v>
      </c>
      <c r="H2664">
        <v>100</v>
      </c>
      <c r="I2664">
        <v>100</v>
      </c>
      <c r="J2664">
        <v>100</v>
      </c>
      <c r="K2664">
        <v>100</v>
      </c>
      <c r="L2664">
        <v>100</v>
      </c>
      <c r="M2664">
        <v>100</v>
      </c>
      <c r="N2664">
        <v>100</v>
      </c>
      <c r="O2664">
        <v>100</v>
      </c>
      <c r="P2664">
        <v>100</v>
      </c>
    </row>
    <row r="2665" spans="1:16" x14ac:dyDescent="0.3">
      <c r="A2665" t="s">
        <v>58</v>
      </c>
      <c r="B2665">
        <v>24</v>
      </c>
      <c r="C2665">
        <v>2</v>
      </c>
      <c r="D2665">
        <v>2</v>
      </c>
      <c r="E2665">
        <v>2</v>
      </c>
      <c r="F2665">
        <v>2</v>
      </c>
      <c r="G2665">
        <v>2</v>
      </c>
      <c r="H2665">
        <v>2</v>
      </c>
      <c r="I2665">
        <v>2</v>
      </c>
      <c r="J2665">
        <v>2</v>
      </c>
      <c r="K2665">
        <v>2</v>
      </c>
      <c r="L2665">
        <v>2</v>
      </c>
      <c r="M2665">
        <v>2</v>
      </c>
      <c r="N2665">
        <v>2</v>
      </c>
      <c r="O2665">
        <v>2</v>
      </c>
      <c r="P2665">
        <v>2</v>
      </c>
    </row>
    <row r="2666" spans="1:16" x14ac:dyDescent="0.3">
      <c r="A2666" t="s">
        <v>59</v>
      </c>
      <c r="B2666">
        <v>24</v>
      </c>
      <c r="C2666">
        <v>0</v>
      </c>
      <c r="D2666">
        <v>0</v>
      </c>
      <c r="E2666">
        <v>0</v>
      </c>
      <c r="F2666">
        <v>0</v>
      </c>
      <c r="G2666">
        <v>0</v>
      </c>
      <c r="H2666">
        <v>0</v>
      </c>
      <c r="I2666">
        <v>0</v>
      </c>
      <c r="J2666">
        <v>0</v>
      </c>
      <c r="K2666">
        <v>0</v>
      </c>
      <c r="L2666">
        <v>0</v>
      </c>
      <c r="M2666">
        <v>0</v>
      </c>
      <c r="N2666">
        <v>0</v>
      </c>
      <c r="O2666">
        <v>0</v>
      </c>
      <c r="P2666">
        <v>0</v>
      </c>
    </row>
    <row r="2667" spans="1:16" x14ac:dyDescent="0.3">
      <c r="A2667" t="s">
        <v>635</v>
      </c>
      <c r="B2667">
        <v>24</v>
      </c>
      <c r="E2667">
        <v>0</v>
      </c>
      <c r="I2667">
        <v>0</v>
      </c>
      <c r="L2667">
        <v>0</v>
      </c>
      <c r="O2667">
        <v>0</v>
      </c>
    </row>
    <row r="2668" spans="1:16" x14ac:dyDescent="0.3">
      <c r="A2668" t="s">
        <v>574</v>
      </c>
      <c r="B2668">
        <v>24</v>
      </c>
      <c r="E2668">
        <v>1523</v>
      </c>
      <c r="I2668">
        <v>2106</v>
      </c>
      <c r="L2668">
        <v>787</v>
      </c>
      <c r="O2668">
        <v>1247</v>
      </c>
    </row>
    <row r="2669" spans="1:16" x14ac:dyDescent="0.3">
      <c r="A2669" t="s">
        <v>78</v>
      </c>
      <c r="B2669">
        <v>24</v>
      </c>
      <c r="E2669">
        <v>23.1</v>
      </c>
      <c r="I2669">
        <v>31.9</v>
      </c>
      <c r="L2669">
        <v>17.899999999999999</v>
      </c>
      <c r="O2669">
        <v>28.3</v>
      </c>
    </row>
    <row r="2670" spans="1:16" x14ac:dyDescent="0.3">
      <c r="A2670" t="s">
        <v>636</v>
      </c>
      <c r="B2670">
        <v>24</v>
      </c>
      <c r="F2670">
        <v>1</v>
      </c>
      <c r="J2670">
        <v>0</v>
      </c>
      <c r="M2670">
        <v>0</v>
      </c>
      <c r="P2670">
        <v>1</v>
      </c>
    </row>
    <row r="2671" spans="1:16" x14ac:dyDescent="0.3">
      <c r="A2671" t="s">
        <v>637</v>
      </c>
      <c r="B2671">
        <v>24</v>
      </c>
      <c r="F2671">
        <v>50</v>
      </c>
      <c r="P2671">
        <v>50</v>
      </c>
    </row>
    <row r="2672" spans="1:16" x14ac:dyDescent="0.3">
      <c r="A2672" t="s">
        <v>638</v>
      </c>
      <c r="B2672">
        <v>24</v>
      </c>
      <c r="F2672">
        <v>0</v>
      </c>
      <c r="P2672">
        <v>0</v>
      </c>
    </row>
    <row r="2673" spans="1:16" x14ac:dyDescent="0.3">
      <c r="A2673" t="s">
        <v>639</v>
      </c>
      <c r="B2673">
        <v>24</v>
      </c>
      <c r="C2673">
        <v>3</v>
      </c>
      <c r="D2673">
        <v>0</v>
      </c>
      <c r="E2673">
        <v>0</v>
      </c>
      <c r="F2673">
        <v>1</v>
      </c>
      <c r="G2673">
        <v>3</v>
      </c>
      <c r="H2673">
        <v>0</v>
      </c>
      <c r="I2673">
        <v>0</v>
      </c>
      <c r="J2673">
        <v>1</v>
      </c>
      <c r="K2673">
        <v>0</v>
      </c>
      <c r="L2673">
        <v>0</v>
      </c>
      <c r="M2673">
        <v>1</v>
      </c>
      <c r="N2673">
        <v>0</v>
      </c>
      <c r="O2673">
        <v>0</v>
      </c>
      <c r="P2673">
        <v>1</v>
      </c>
    </row>
    <row r="2674" spans="1:16" x14ac:dyDescent="0.3">
      <c r="A2674" t="s">
        <v>640</v>
      </c>
      <c r="B2674">
        <v>24</v>
      </c>
      <c r="C2674">
        <v>0</v>
      </c>
      <c r="D2674">
        <v>0</v>
      </c>
      <c r="E2674">
        <v>0</v>
      </c>
      <c r="F2674">
        <v>0</v>
      </c>
      <c r="G2674">
        <v>0</v>
      </c>
      <c r="H2674">
        <v>0</v>
      </c>
      <c r="I2674">
        <v>0</v>
      </c>
      <c r="J2674">
        <v>0</v>
      </c>
      <c r="K2674">
        <v>0</v>
      </c>
      <c r="L2674">
        <v>0</v>
      </c>
      <c r="M2674">
        <v>0</v>
      </c>
      <c r="N2674">
        <v>0</v>
      </c>
      <c r="O2674">
        <v>0</v>
      </c>
      <c r="P2674">
        <v>0</v>
      </c>
    </row>
    <row r="2675" spans="1:16" x14ac:dyDescent="0.3">
      <c r="A2675" t="s">
        <v>52</v>
      </c>
      <c r="B2675">
        <v>24</v>
      </c>
      <c r="C2675">
        <v>1</v>
      </c>
      <c r="D2675">
        <v>1</v>
      </c>
      <c r="E2675">
        <v>1</v>
      </c>
      <c r="F2675">
        <v>1</v>
      </c>
      <c r="G2675">
        <v>1</v>
      </c>
      <c r="H2675">
        <v>1</v>
      </c>
      <c r="I2675">
        <v>1</v>
      </c>
      <c r="J2675">
        <v>1</v>
      </c>
      <c r="K2675">
        <v>1</v>
      </c>
      <c r="L2675">
        <v>1</v>
      </c>
      <c r="M2675">
        <v>1</v>
      </c>
      <c r="N2675">
        <v>1</v>
      </c>
      <c r="O2675">
        <v>1</v>
      </c>
      <c r="P2675">
        <v>1</v>
      </c>
    </row>
    <row r="2676" spans="1:16" x14ac:dyDescent="0.3">
      <c r="A2676" t="s">
        <v>641</v>
      </c>
      <c r="B2676">
        <v>24</v>
      </c>
      <c r="C2676">
        <v>9</v>
      </c>
      <c r="D2676">
        <v>15</v>
      </c>
      <c r="E2676">
        <v>60</v>
      </c>
      <c r="F2676">
        <v>9</v>
      </c>
      <c r="G2676">
        <v>9</v>
      </c>
      <c r="H2676">
        <v>15</v>
      </c>
      <c r="I2676">
        <v>60</v>
      </c>
      <c r="J2676">
        <v>9</v>
      </c>
      <c r="K2676">
        <v>15</v>
      </c>
      <c r="L2676">
        <v>60</v>
      </c>
      <c r="M2676">
        <v>9</v>
      </c>
      <c r="N2676">
        <v>15</v>
      </c>
      <c r="O2676">
        <v>60</v>
      </c>
      <c r="P2676">
        <v>9</v>
      </c>
    </row>
    <row r="2677" spans="1:16" x14ac:dyDescent="0.3">
      <c r="A2677" t="s">
        <v>43</v>
      </c>
      <c r="B2677">
        <v>24</v>
      </c>
      <c r="D2677">
        <v>40</v>
      </c>
      <c r="E2677">
        <v>336</v>
      </c>
      <c r="F2677">
        <v>0</v>
      </c>
      <c r="H2677">
        <v>40</v>
      </c>
      <c r="I2677">
        <v>336</v>
      </c>
      <c r="J2677">
        <v>0</v>
      </c>
      <c r="K2677">
        <v>40</v>
      </c>
      <c r="L2677">
        <v>40</v>
      </c>
      <c r="N2677">
        <v>40</v>
      </c>
      <c r="O2677">
        <v>40</v>
      </c>
      <c r="P2677">
        <v>0</v>
      </c>
    </row>
    <row r="2678" spans="1:16" x14ac:dyDescent="0.3">
      <c r="A2678" t="s">
        <v>44</v>
      </c>
      <c r="B2678">
        <v>24</v>
      </c>
      <c r="D2678">
        <v>0</v>
      </c>
      <c r="E2678">
        <v>0</v>
      </c>
      <c r="F2678">
        <v>0</v>
      </c>
      <c r="H2678">
        <v>0</v>
      </c>
      <c r="I2678">
        <v>0</v>
      </c>
      <c r="J2678">
        <v>0</v>
      </c>
      <c r="K2678">
        <v>0</v>
      </c>
      <c r="L2678">
        <v>0</v>
      </c>
      <c r="N2678">
        <v>0</v>
      </c>
      <c r="O2678">
        <v>0</v>
      </c>
      <c r="P2678">
        <v>0</v>
      </c>
    </row>
    <row r="2679" spans="1:16" x14ac:dyDescent="0.3">
      <c r="A2679" t="s">
        <v>47</v>
      </c>
      <c r="B2679">
        <v>24</v>
      </c>
      <c r="D2679">
        <v>5</v>
      </c>
      <c r="E2679">
        <v>2</v>
      </c>
      <c r="F2679">
        <v>2</v>
      </c>
      <c r="H2679">
        <v>1</v>
      </c>
      <c r="I2679">
        <v>6</v>
      </c>
      <c r="J2679">
        <v>6</v>
      </c>
      <c r="K2679">
        <v>4</v>
      </c>
      <c r="L2679">
        <v>4</v>
      </c>
      <c r="N2679">
        <v>8</v>
      </c>
      <c r="O2679">
        <v>8</v>
      </c>
      <c r="P2679">
        <v>8</v>
      </c>
    </row>
    <row r="2680" spans="1:16" x14ac:dyDescent="0.3">
      <c r="A2680" t="s">
        <v>642</v>
      </c>
      <c r="B2680">
        <v>24</v>
      </c>
      <c r="D2680">
        <v>0</v>
      </c>
      <c r="E2680">
        <v>0</v>
      </c>
      <c r="F2680">
        <v>0</v>
      </c>
      <c r="H2680">
        <v>0</v>
      </c>
      <c r="I2680">
        <v>0</v>
      </c>
      <c r="J2680">
        <v>0</v>
      </c>
      <c r="K2680">
        <v>0</v>
      </c>
      <c r="L2680">
        <v>0</v>
      </c>
      <c r="N2680">
        <v>0</v>
      </c>
      <c r="O2680">
        <v>0</v>
      </c>
      <c r="P2680">
        <v>0</v>
      </c>
    </row>
    <row r="2681" spans="1:16" x14ac:dyDescent="0.3">
      <c r="A2681" t="s">
        <v>643</v>
      </c>
      <c r="B2681">
        <v>24</v>
      </c>
      <c r="D2681">
        <v>0</v>
      </c>
      <c r="E2681">
        <v>0</v>
      </c>
      <c r="F2681">
        <v>0</v>
      </c>
      <c r="H2681">
        <v>0</v>
      </c>
      <c r="I2681">
        <v>0</v>
      </c>
      <c r="J2681">
        <v>0</v>
      </c>
      <c r="K2681">
        <v>0</v>
      </c>
      <c r="L2681">
        <v>0</v>
      </c>
      <c r="N2681">
        <v>0</v>
      </c>
      <c r="O2681">
        <v>0</v>
      </c>
      <c r="P2681">
        <v>0</v>
      </c>
    </row>
    <row r="2682" spans="1:16" x14ac:dyDescent="0.3">
      <c r="A2682" t="s">
        <v>644</v>
      </c>
      <c r="B2682">
        <v>24</v>
      </c>
      <c r="D2682">
        <v>0</v>
      </c>
      <c r="E2682">
        <v>0</v>
      </c>
      <c r="F2682">
        <v>0</v>
      </c>
      <c r="H2682">
        <v>0</v>
      </c>
      <c r="I2682">
        <v>0</v>
      </c>
      <c r="J2682">
        <v>0</v>
      </c>
      <c r="K2682">
        <v>0</v>
      </c>
      <c r="L2682">
        <v>0</v>
      </c>
      <c r="N2682">
        <v>0</v>
      </c>
      <c r="O2682">
        <v>0</v>
      </c>
      <c r="P2682">
        <v>0</v>
      </c>
    </row>
    <row r="2683" spans="1:16" x14ac:dyDescent="0.3">
      <c r="A2683" t="s">
        <v>645</v>
      </c>
      <c r="B2683">
        <v>24</v>
      </c>
      <c r="D2683">
        <v>0</v>
      </c>
      <c r="E2683">
        <v>0</v>
      </c>
      <c r="F2683">
        <v>0</v>
      </c>
      <c r="H2683">
        <v>0</v>
      </c>
      <c r="I2683">
        <v>0</v>
      </c>
      <c r="J2683">
        <v>0</v>
      </c>
      <c r="K2683">
        <v>0</v>
      </c>
      <c r="L2683">
        <v>0</v>
      </c>
      <c r="N2683">
        <v>0</v>
      </c>
      <c r="O2683">
        <v>0</v>
      </c>
      <c r="P2683">
        <v>0</v>
      </c>
    </row>
    <row r="2684" spans="1:16" x14ac:dyDescent="0.3">
      <c r="A2684" t="s">
        <v>646</v>
      </c>
      <c r="B2684">
        <v>24</v>
      </c>
      <c r="D2684">
        <v>1</v>
      </c>
      <c r="E2684">
        <v>2</v>
      </c>
      <c r="F2684">
        <v>1</v>
      </c>
      <c r="H2684">
        <v>1</v>
      </c>
      <c r="I2684">
        <v>2</v>
      </c>
      <c r="J2684">
        <v>1</v>
      </c>
      <c r="K2684">
        <v>1</v>
      </c>
      <c r="L2684">
        <v>1</v>
      </c>
      <c r="N2684">
        <v>1</v>
      </c>
      <c r="O2684">
        <v>1</v>
      </c>
      <c r="P2684">
        <v>1</v>
      </c>
    </row>
    <row r="2685" spans="1:16" x14ac:dyDescent="0.3">
      <c r="A2685" t="s">
        <v>647</v>
      </c>
      <c r="B2685">
        <v>24</v>
      </c>
      <c r="D2685">
        <v>0</v>
      </c>
      <c r="E2685">
        <v>330</v>
      </c>
      <c r="F2685">
        <v>0</v>
      </c>
      <c r="H2685">
        <v>0</v>
      </c>
      <c r="I2685">
        <v>330</v>
      </c>
      <c r="J2685">
        <v>0</v>
      </c>
      <c r="K2685">
        <v>0</v>
      </c>
      <c r="L2685">
        <v>0</v>
      </c>
      <c r="N2685">
        <v>0</v>
      </c>
      <c r="O2685">
        <v>0</v>
      </c>
      <c r="P2685">
        <v>0</v>
      </c>
    </row>
    <row r="2686" spans="1:16" x14ac:dyDescent="0.3">
      <c r="A2686" t="s">
        <v>648</v>
      </c>
      <c r="B2686">
        <v>24</v>
      </c>
      <c r="D2686">
        <v>40</v>
      </c>
      <c r="E2686">
        <v>6</v>
      </c>
      <c r="F2686">
        <v>0</v>
      </c>
      <c r="H2686">
        <v>40</v>
      </c>
      <c r="I2686">
        <v>6</v>
      </c>
      <c r="J2686">
        <v>0</v>
      </c>
      <c r="K2686">
        <v>40</v>
      </c>
      <c r="L2686">
        <v>40</v>
      </c>
      <c r="N2686">
        <v>40</v>
      </c>
      <c r="O2686">
        <v>40</v>
      </c>
      <c r="P2686">
        <v>0</v>
      </c>
    </row>
    <row r="2687" spans="1:16" x14ac:dyDescent="0.3">
      <c r="A2687" t="s">
        <v>649</v>
      </c>
      <c r="B2687">
        <v>24</v>
      </c>
      <c r="D2687">
        <v>3</v>
      </c>
      <c r="E2687">
        <v>3</v>
      </c>
      <c r="F2687">
        <v>3</v>
      </c>
      <c r="H2687">
        <v>3</v>
      </c>
      <c r="I2687">
        <v>3</v>
      </c>
      <c r="J2687">
        <v>3</v>
      </c>
      <c r="K2687">
        <v>3</v>
      </c>
      <c r="L2687">
        <v>3</v>
      </c>
      <c r="N2687">
        <v>3</v>
      </c>
      <c r="O2687">
        <v>3</v>
      </c>
      <c r="P2687">
        <v>3</v>
      </c>
    </row>
    <row r="2688" spans="1:16" x14ac:dyDescent="0.3">
      <c r="A2688" t="s">
        <v>650</v>
      </c>
      <c r="B2688">
        <v>24</v>
      </c>
      <c r="D2688">
        <v>0</v>
      </c>
      <c r="E2688">
        <v>0</v>
      </c>
      <c r="F2688">
        <v>0</v>
      </c>
      <c r="H2688">
        <v>0</v>
      </c>
      <c r="I2688">
        <v>0</v>
      </c>
      <c r="J2688">
        <v>0</v>
      </c>
      <c r="K2688">
        <v>0</v>
      </c>
      <c r="L2688">
        <v>0</v>
      </c>
      <c r="N2688">
        <v>0</v>
      </c>
      <c r="O2688">
        <v>0</v>
      </c>
      <c r="P2688">
        <v>0</v>
      </c>
    </row>
    <row r="2689" spans="1:16" x14ac:dyDescent="0.3">
      <c r="A2689" t="s">
        <v>651</v>
      </c>
      <c r="B2689">
        <v>24</v>
      </c>
      <c r="D2689">
        <v>0</v>
      </c>
      <c r="E2689">
        <v>0</v>
      </c>
      <c r="F2689">
        <v>0</v>
      </c>
      <c r="H2689">
        <v>0</v>
      </c>
      <c r="I2689">
        <v>0</v>
      </c>
      <c r="J2689">
        <v>0</v>
      </c>
      <c r="K2689">
        <v>0</v>
      </c>
      <c r="L2689">
        <v>0</v>
      </c>
      <c r="N2689">
        <v>0</v>
      </c>
      <c r="O2689">
        <v>0</v>
      </c>
      <c r="P2689">
        <v>0</v>
      </c>
    </row>
    <row r="2690" spans="1:16" x14ac:dyDescent="0.3">
      <c r="A2690" t="s">
        <v>652</v>
      </c>
      <c r="B2690">
        <v>24</v>
      </c>
      <c r="D2690">
        <v>0</v>
      </c>
      <c r="E2690">
        <v>0</v>
      </c>
      <c r="F2690">
        <v>0</v>
      </c>
      <c r="H2690">
        <v>0</v>
      </c>
      <c r="I2690">
        <v>0</v>
      </c>
      <c r="J2690">
        <v>0</v>
      </c>
      <c r="K2690">
        <v>0</v>
      </c>
      <c r="L2690">
        <v>0</v>
      </c>
      <c r="N2690">
        <v>0</v>
      </c>
      <c r="O2690">
        <v>0</v>
      </c>
      <c r="P2690">
        <v>0</v>
      </c>
    </row>
    <row r="2691" spans="1:16" x14ac:dyDescent="0.3">
      <c r="A2691" t="s">
        <v>653</v>
      </c>
      <c r="B2691">
        <v>24</v>
      </c>
      <c r="E2691">
        <v>0</v>
      </c>
      <c r="I2691">
        <v>0</v>
      </c>
    </row>
    <row r="2692" spans="1:16" x14ac:dyDescent="0.3">
      <c r="A2692" t="s">
        <v>654</v>
      </c>
      <c r="B2692">
        <v>24</v>
      </c>
      <c r="E2692">
        <v>0</v>
      </c>
      <c r="I2692">
        <v>0</v>
      </c>
    </row>
    <row r="2693" spans="1:16" x14ac:dyDescent="0.3">
      <c r="A2693" t="s">
        <v>655</v>
      </c>
      <c r="B2693">
        <v>24</v>
      </c>
      <c r="E2693">
        <v>3</v>
      </c>
      <c r="I2693">
        <v>3</v>
      </c>
    </row>
    <row r="2694" spans="1:16" x14ac:dyDescent="0.3">
      <c r="A2694" t="s">
        <v>656</v>
      </c>
      <c r="B2694">
        <v>24</v>
      </c>
      <c r="E2694">
        <v>0</v>
      </c>
      <c r="I2694">
        <v>0</v>
      </c>
    </row>
    <row r="2695" spans="1:16" x14ac:dyDescent="0.3">
      <c r="A2695" t="s">
        <v>657</v>
      </c>
      <c r="B2695">
        <v>24</v>
      </c>
      <c r="E2695">
        <v>0</v>
      </c>
      <c r="I2695">
        <v>0</v>
      </c>
      <c r="L2695">
        <v>0</v>
      </c>
      <c r="O2695">
        <v>0</v>
      </c>
    </row>
    <row r="2696" spans="1:16" x14ac:dyDescent="0.3">
      <c r="A2696" t="s">
        <v>408</v>
      </c>
      <c r="B2696">
        <v>24</v>
      </c>
      <c r="E2696">
        <v>0</v>
      </c>
    </row>
    <row r="2697" spans="1:16" x14ac:dyDescent="0.3">
      <c r="A2697" t="s">
        <v>658</v>
      </c>
      <c r="B2697">
        <v>24</v>
      </c>
      <c r="C2697">
        <v>0</v>
      </c>
      <c r="D2697">
        <v>38</v>
      </c>
      <c r="E2697">
        <v>978</v>
      </c>
      <c r="F2697">
        <v>54</v>
      </c>
      <c r="G2697">
        <v>0</v>
      </c>
      <c r="H2697">
        <v>54</v>
      </c>
      <c r="I2697">
        <v>543</v>
      </c>
      <c r="J2697">
        <v>38</v>
      </c>
      <c r="K2697">
        <v>0</v>
      </c>
      <c r="L2697">
        <v>262</v>
      </c>
      <c r="M2697">
        <v>0</v>
      </c>
      <c r="N2697">
        <v>0</v>
      </c>
      <c r="O2697">
        <v>103</v>
      </c>
      <c r="P2697">
        <v>82</v>
      </c>
    </row>
    <row r="2698" spans="1:16" x14ac:dyDescent="0.3">
      <c r="A2698" t="s">
        <v>34</v>
      </c>
      <c r="B2698">
        <v>25</v>
      </c>
      <c r="C2698">
        <v>24</v>
      </c>
      <c r="D2698">
        <v>24</v>
      </c>
      <c r="E2698">
        <v>24</v>
      </c>
      <c r="F2698">
        <v>24</v>
      </c>
      <c r="G2698">
        <v>26</v>
      </c>
      <c r="H2698">
        <v>26</v>
      </c>
      <c r="I2698">
        <v>26</v>
      </c>
      <c r="J2698">
        <v>26</v>
      </c>
      <c r="K2698">
        <v>121</v>
      </c>
      <c r="L2698">
        <v>121</v>
      </c>
      <c r="M2698">
        <v>121</v>
      </c>
      <c r="N2698">
        <v>122</v>
      </c>
      <c r="O2698">
        <v>122</v>
      </c>
      <c r="P2698">
        <v>122</v>
      </c>
    </row>
    <row r="2699" spans="1:16" x14ac:dyDescent="0.3">
      <c r="A2699" t="s">
        <v>35</v>
      </c>
      <c r="B2699">
        <v>25</v>
      </c>
      <c r="C2699">
        <v>24</v>
      </c>
      <c r="D2699">
        <v>121</v>
      </c>
      <c r="E2699">
        <v>26</v>
      </c>
      <c r="F2699">
        <v>122</v>
      </c>
      <c r="G2699">
        <v>26</v>
      </c>
      <c r="H2699">
        <v>122</v>
      </c>
      <c r="I2699">
        <v>24</v>
      </c>
      <c r="J2699">
        <v>121</v>
      </c>
      <c r="K2699">
        <v>26</v>
      </c>
      <c r="L2699">
        <v>122</v>
      </c>
      <c r="M2699">
        <v>24</v>
      </c>
      <c r="N2699">
        <v>24</v>
      </c>
      <c r="O2699">
        <v>121</v>
      </c>
      <c r="P2699">
        <v>26</v>
      </c>
    </row>
    <row r="2700" spans="1:16" x14ac:dyDescent="0.3">
      <c r="A2700" t="s">
        <v>36</v>
      </c>
      <c r="B2700">
        <v>25</v>
      </c>
      <c r="C2700">
        <v>0</v>
      </c>
      <c r="D2700">
        <v>1</v>
      </c>
      <c r="E2700">
        <v>2</v>
      </c>
      <c r="F2700">
        <v>1</v>
      </c>
      <c r="G2700">
        <v>0</v>
      </c>
      <c r="H2700">
        <v>1</v>
      </c>
      <c r="I2700">
        <v>2</v>
      </c>
      <c r="J2700">
        <v>1</v>
      </c>
      <c r="K2700">
        <v>0</v>
      </c>
      <c r="L2700">
        <v>1</v>
      </c>
      <c r="M2700">
        <v>1</v>
      </c>
      <c r="N2700">
        <v>0</v>
      </c>
      <c r="O2700">
        <v>1</v>
      </c>
      <c r="P2700">
        <v>1</v>
      </c>
    </row>
    <row r="2701" spans="1:16" x14ac:dyDescent="0.3">
      <c r="A2701" t="s">
        <v>37</v>
      </c>
      <c r="B2701">
        <v>25</v>
      </c>
      <c r="D2701">
        <v>0</v>
      </c>
      <c r="E2701">
        <v>0</v>
      </c>
      <c r="H2701">
        <v>0</v>
      </c>
      <c r="I2701">
        <v>0</v>
      </c>
      <c r="K2701">
        <v>0</v>
      </c>
      <c r="L2701">
        <v>1</v>
      </c>
      <c r="N2701">
        <v>0</v>
      </c>
      <c r="O2701">
        <v>1</v>
      </c>
    </row>
    <row r="2702" spans="1:16" x14ac:dyDescent="0.3">
      <c r="A2702" t="s">
        <v>38</v>
      </c>
      <c r="B2702">
        <v>25</v>
      </c>
      <c r="C2702">
        <v>12</v>
      </c>
      <c r="D2702">
        <v>12</v>
      </c>
      <c r="E2702">
        <v>12</v>
      </c>
      <c r="F2702">
        <v>12</v>
      </c>
      <c r="G2702">
        <v>12</v>
      </c>
      <c r="H2702">
        <v>12</v>
      </c>
      <c r="I2702">
        <v>12</v>
      </c>
      <c r="J2702">
        <v>12</v>
      </c>
      <c r="K2702">
        <v>12</v>
      </c>
      <c r="L2702">
        <v>12</v>
      </c>
      <c r="M2702">
        <v>12</v>
      </c>
      <c r="N2702">
        <v>12</v>
      </c>
      <c r="O2702">
        <v>12</v>
      </c>
      <c r="P2702">
        <v>12</v>
      </c>
    </row>
    <row r="2703" spans="1:16" x14ac:dyDescent="0.3">
      <c r="A2703" t="s">
        <v>39</v>
      </c>
      <c r="B2703">
        <v>25</v>
      </c>
      <c r="D2703">
        <v>300</v>
      </c>
      <c r="F2703">
        <v>300</v>
      </c>
      <c r="H2703">
        <v>300</v>
      </c>
      <c r="J2703">
        <v>300</v>
      </c>
      <c r="M2703">
        <v>250</v>
      </c>
      <c r="P2703">
        <v>250</v>
      </c>
    </row>
    <row r="2704" spans="1:16" x14ac:dyDescent="0.3">
      <c r="A2704" t="s">
        <v>631</v>
      </c>
      <c r="B2704">
        <v>25</v>
      </c>
      <c r="D2704">
        <v>25</v>
      </c>
      <c r="F2704">
        <v>25</v>
      </c>
      <c r="H2704">
        <v>25</v>
      </c>
      <c r="J2704">
        <v>25</v>
      </c>
      <c r="M2704">
        <v>25</v>
      </c>
      <c r="P2704">
        <v>25</v>
      </c>
    </row>
    <row r="2705" spans="1:16" x14ac:dyDescent="0.3">
      <c r="A2705" t="s">
        <v>40</v>
      </c>
      <c r="B2705">
        <v>25</v>
      </c>
      <c r="D2705">
        <v>1</v>
      </c>
      <c r="F2705">
        <v>1</v>
      </c>
      <c r="H2705">
        <v>1</v>
      </c>
      <c r="J2705">
        <v>1</v>
      </c>
      <c r="M2705">
        <v>1</v>
      </c>
      <c r="P2705">
        <v>1</v>
      </c>
    </row>
    <row r="2706" spans="1:16" x14ac:dyDescent="0.3">
      <c r="A2706" t="s">
        <v>41</v>
      </c>
      <c r="B2706">
        <v>25</v>
      </c>
    </row>
    <row r="2707" spans="1:16" x14ac:dyDescent="0.3">
      <c r="A2707" t="s">
        <v>42</v>
      </c>
      <c r="B2707">
        <v>25</v>
      </c>
      <c r="E2707">
        <v>45</v>
      </c>
      <c r="I2707">
        <v>45</v>
      </c>
      <c r="L2707">
        <v>30</v>
      </c>
      <c r="O2707">
        <v>30</v>
      </c>
    </row>
    <row r="2708" spans="1:16" x14ac:dyDescent="0.3">
      <c r="A2708" t="s">
        <v>45</v>
      </c>
      <c r="B2708">
        <v>25</v>
      </c>
      <c r="D2708">
        <v>5</v>
      </c>
      <c r="E2708">
        <v>2</v>
      </c>
      <c r="I2708">
        <v>6</v>
      </c>
      <c r="L2708">
        <v>4</v>
      </c>
      <c r="O2708">
        <v>8</v>
      </c>
    </row>
    <row r="2709" spans="1:16" x14ac:dyDescent="0.3">
      <c r="A2709" t="s">
        <v>46</v>
      </c>
      <c r="B2709">
        <v>25</v>
      </c>
      <c r="D2709">
        <v>2</v>
      </c>
      <c r="F2709">
        <v>2</v>
      </c>
      <c r="H2709">
        <v>6</v>
      </c>
      <c r="J2709">
        <v>6</v>
      </c>
      <c r="K2709">
        <v>4</v>
      </c>
      <c r="M2709">
        <v>4</v>
      </c>
      <c r="N2709">
        <v>8</v>
      </c>
      <c r="P2709">
        <v>8</v>
      </c>
    </row>
    <row r="2710" spans="1:16" x14ac:dyDescent="0.3">
      <c r="A2710" t="s">
        <v>49</v>
      </c>
      <c r="B2710">
        <v>25</v>
      </c>
      <c r="C2710">
        <v>4</v>
      </c>
      <c r="D2710">
        <v>4</v>
      </c>
      <c r="E2710">
        <v>6.2</v>
      </c>
      <c r="F2710">
        <v>6.2</v>
      </c>
      <c r="G2710">
        <v>4</v>
      </c>
      <c r="H2710">
        <v>6.2</v>
      </c>
      <c r="I2710">
        <v>6.2</v>
      </c>
      <c r="J2710">
        <v>6.2</v>
      </c>
      <c r="K2710">
        <v>6.4</v>
      </c>
      <c r="L2710">
        <v>6.4</v>
      </c>
      <c r="M2710">
        <v>6.4</v>
      </c>
      <c r="N2710">
        <v>6.4</v>
      </c>
      <c r="O2710">
        <v>6.4</v>
      </c>
      <c r="P2710">
        <v>6.4</v>
      </c>
    </row>
    <row r="2711" spans="1:16" x14ac:dyDescent="0.3">
      <c r="A2711" t="s">
        <v>632</v>
      </c>
      <c r="B2711">
        <v>25</v>
      </c>
      <c r="C2711">
        <v>0</v>
      </c>
      <c r="D2711">
        <v>0</v>
      </c>
      <c r="E2711">
        <v>0</v>
      </c>
      <c r="F2711">
        <v>0</v>
      </c>
      <c r="G2711">
        <v>0</v>
      </c>
      <c r="H2711">
        <v>0</v>
      </c>
      <c r="I2711">
        <v>0</v>
      </c>
      <c r="J2711">
        <v>0</v>
      </c>
      <c r="K2711">
        <v>0</v>
      </c>
      <c r="L2711">
        <v>0</v>
      </c>
      <c r="M2711">
        <v>0</v>
      </c>
      <c r="N2711">
        <v>0</v>
      </c>
      <c r="O2711">
        <v>0</v>
      </c>
      <c r="P2711">
        <v>0</v>
      </c>
    </row>
    <row r="2712" spans="1:16" x14ac:dyDescent="0.3">
      <c r="A2712" t="s">
        <v>48</v>
      </c>
      <c r="B2712">
        <v>25</v>
      </c>
      <c r="C2712">
        <v>1900</v>
      </c>
      <c r="D2712">
        <v>1900</v>
      </c>
      <c r="E2712">
        <v>1900</v>
      </c>
      <c r="F2712">
        <v>1900</v>
      </c>
      <c r="G2712">
        <v>1900</v>
      </c>
      <c r="H2712">
        <v>1900</v>
      </c>
      <c r="I2712">
        <v>1900</v>
      </c>
      <c r="J2712">
        <v>1900</v>
      </c>
      <c r="K2712">
        <v>1900</v>
      </c>
      <c r="L2712">
        <v>1900</v>
      </c>
      <c r="M2712">
        <v>1900</v>
      </c>
      <c r="N2712">
        <v>1900</v>
      </c>
      <c r="O2712">
        <v>1900</v>
      </c>
      <c r="P2712">
        <v>1900</v>
      </c>
    </row>
    <row r="2713" spans="1:16" x14ac:dyDescent="0.3">
      <c r="A2713" t="s">
        <v>633</v>
      </c>
      <c r="B2713">
        <v>25</v>
      </c>
      <c r="C2713">
        <v>0</v>
      </c>
      <c r="D2713">
        <v>1770</v>
      </c>
      <c r="E2713">
        <v>3539</v>
      </c>
      <c r="F2713">
        <v>1583</v>
      </c>
      <c r="G2713">
        <v>0</v>
      </c>
      <c r="H2713">
        <v>1770</v>
      </c>
      <c r="I2713">
        <v>3539</v>
      </c>
      <c r="J2713">
        <v>1583</v>
      </c>
      <c r="K2713">
        <v>0</v>
      </c>
      <c r="L2713">
        <v>1833</v>
      </c>
      <c r="M2713">
        <v>1583</v>
      </c>
      <c r="N2713">
        <v>0</v>
      </c>
      <c r="O2713">
        <v>1844</v>
      </c>
      <c r="P2713">
        <v>1583</v>
      </c>
    </row>
    <row r="2714" spans="1:16" x14ac:dyDescent="0.3">
      <c r="A2714" t="s">
        <v>50</v>
      </c>
      <c r="B2714">
        <v>25</v>
      </c>
      <c r="C2714">
        <v>0</v>
      </c>
      <c r="D2714">
        <v>691</v>
      </c>
      <c r="E2714">
        <v>3539</v>
      </c>
      <c r="F2714">
        <v>1583</v>
      </c>
      <c r="G2714">
        <v>0</v>
      </c>
      <c r="H2714">
        <v>607</v>
      </c>
      <c r="I2714">
        <v>3539</v>
      </c>
      <c r="J2714">
        <v>1583</v>
      </c>
      <c r="K2714">
        <v>0</v>
      </c>
      <c r="L2714">
        <v>1581</v>
      </c>
      <c r="M2714">
        <v>1583</v>
      </c>
      <c r="N2714">
        <v>0</v>
      </c>
      <c r="O2714">
        <v>1514</v>
      </c>
      <c r="P2714">
        <v>1583</v>
      </c>
    </row>
    <row r="2715" spans="1:16" x14ac:dyDescent="0.3">
      <c r="A2715" t="s">
        <v>634</v>
      </c>
      <c r="B2715">
        <v>25</v>
      </c>
      <c r="C2715">
        <v>1</v>
      </c>
      <c r="D2715">
        <v>1</v>
      </c>
      <c r="E2715">
        <v>1</v>
      </c>
      <c r="F2715">
        <v>1</v>
      </c>
      <c r="G2715">
        <v>1</v>
      </c>
      <c r="H2715">
        <v>1</v>
      </c>
      <c r="I2715">
        <v>1</v>
      </c>
      <c r="J2715">
        <v>1</v>
      </c>
      <c r="K2715">
        <v>1</v>
      </c>
      <c r="L2715">
        <v>1</v>
      </c>
      <c r="M2715">
        <v>1</v>
      </c>
      <c r="N2715">
        <v>1</v>
      </c>
      <c r="O2715">
        <v>1</v>
      </c>
      <c r="P2715">
        <v>1</v>
      </c>
    </row>
    <row r="2716" spans="1:16" x14ac:dyDescent="0.3">
      <c r="A2716" t="s">
        <v>51</v>
      </c>
      <c r="B2716">
        <v>25</v>
      </c>
      <c r="C2716">
        <v>0</v>
      </c>
      <c r="D2716">
        <v>0</v>
      </c>
      <c r="E2716">
        <v>0</v>
      </c>
      <c r="F2716">
        <v>43</v>
      </c>
      <c r="G2716">
        <v>0</v>
      </c>
      <c r="H2716">
        <v>0</v>
      </c>
      <c r="I2716">
        <v>0</v>
      </c>
      <c r="J2716">
        <v>67</v>
      </c>
      <c r="K2716">
        <v>0</v>
      </c>
      <c r="L2716">
        <v>0</v>
      </c>
      <c r="M2716">
        <v>65</v>
      </c>
      <c r="N2716">
        <v>0</v>
      </c>
      <c r="O2716">
        <v>0</v>
      </c>
      <c r="P2716">
        <v>65</v>
      </c>
    </row>
    <row r="2717" spans="1:16" x14ac:dyDescent="0.3">
      <c r="A2717" t="s">
        <v>53</v>
      </c>
      <c r="B2717">
        <v>25</v>
      </c>
      <c r="C2717">
        <v>0</v>
      </c>
      <c r="D2717">
        <v>45</v>
      </c>
      <c r="E2717">
        <v>800</v>
      </c>
      <c r="F2717">
        <v>40</v>
      </c>
      <c r="G2717">
        <v>0</v>
      </c>
      <c r="H2717">
        <v>50</v>
      </c>
      <c r="I2717">
        <v>600</v>
      </c>
      <c r="J2717">
        <v>43</v>
      </c>
      <c r="K2717">
        <v>50</v>
      </c>
      <c r="L2717">
        <v>100</v>
      </c>
      <c r="M2717">
        <v>20</v>
      </c>
      <c r="N2717">
        <v>20</v>
      </c>
      <c r="O2717">
        <v>75</v>
      </c>
      <c r="P2717">
        <v>50</v>
      </c>
    </row>
    <row r="2718" spans="1:16" x14ac:dyDescent="0.3">
      <c r="A2718" t="s">
        <v>54</v>
      </c>
      <c r="B2718">
        <v>25</v>
      </c>
      <c r="C2718">
        <v>0</v>
      </c>
      <c r="D2718">
        <v>0</v>
      </c>
      <c r="E2718">
        <v>0</v>
      </c>
      <c r="F2718">
        <v>0</v>
      </c>
      <c r="G2718">
        <v>0</v>
      </c>
      <c r="H2718">
        <v>0</v>
      </c>
      <c r="I2718">
        <v>0</v>
      </c>
      <c r="J2718">
        <v>0</v>
      </c>
      <c r="K2718">
        <v>0</v>
      </c>
      <c r="L2718">
        <v>0</v>
      </c>
      <c r="M2718">
        <v>0</v>
      </c>
      <c r="N2718">
        <v>0</v>
      </c>
      <c r="O2718">
        <v>0</v>
      </c>
      <c r="P2718">
        <v>0</v>
      </c>
    </row>
    <row r="2719" spans="1:16" x14ac:dyDescent="0.3">
      <c r="A2719" t="s">
        <v>55</v>
      </c>
      <c r="B2719">
        <v>25</v>
      </c>
      <c r="C2719">
        <v>0</v>
      </c>
      <c r="D2719">
        <v>0</v>
      </c>
      <c r="E2719">
        <v>0</v>
      </c>
      <c r="F2719">
        <v>0</v>
      </c>
      <c r="G2719">
        <v>0</v>
      </c>
      <c r="H2719">
        <v>0</v>
      </c>
      <c r="I2719">
        <v>0</v>
      </c>
      <c r="J2719">
        <v>0</v>
      </c>
      <c r="K2719">
        <v>0</v>
      </c>
      <c r="L2719">
        <v>0</v>
      </c>
      <c r="M2719">
        <v>0</v>
      </c>
      <c r="N2719">
        <v>0</v>
      </c>
      <c r="O2719">
        <v>0</v>
      </c>
      <c r="P2719">
        <v>0</v>
      </c>
    </row>
    <row r="2720" spans="1:16" x14ac:dyDescent="0.3">
      <c r="A2720" t="s">
        <v>56</v>
      </c>
      <c r="B2720">
        <v>25</v>
      </c>
      <c r="C2720">
        <v>0.92</v>
      </c>
      <c r="D2720">
        <v>0.92</v>
      </c>
      <c r="E2720">
        <v>0.92</v>
      </c>
      <c r="F2720">
        <v>0.92</v>
      </c>
      <c r="G2720">
        <v>0.92</v>
      </c>
      <c r="H2720">
        <v>0.92</v>
      </c>
      <c r="I2720">
        <v>0.92</v>
      </c>
      <c r="J2720">
        <v>0.92</v>
      </c>
      <c r="K2720">
        <v>0.92</v>
      </c>
      <c r="L2720">
        <v>0.92</v>
      </c>
      <c r="M2720">
        <v>0.92</v>
      </c>
      <c r="N2720">
        <v>0.92</v>
      </c>
      <c r="O2720">
        <v>0.92</v>
      </c>
      <c r="P2720">
        <v>0.92</v>
      </c>
    </row>
    <row r="2721" spans="1:16" x14ac:dyDescent="0.3">
      <c r="A2721" t="s">
        <v>57</v>
      </c>
      <c r="B2721">
        <v>25</v>
      </c>
      <c r="C2721">
        <v>100</v>
      </c>
      <c r="D2721">
        <v>100</v>
      </c>
      <c r="E2721">
        <v>100</v>
      </c>
      <c r="F2721">
        <v>100</v>
      </c>
      <c r="G2721">
        <v>100</v>
      </c>
      <c r="H2721">
        <v>100</v>
      </c>
      <c r="I2721">
        <v>100</v>
      </c>
      <c r="J2721">
        <v>100</v>
      </c>
      <c r="K2721">
        <v>100</v>
      </c>
      <c r="L2721">
        <v>100</v>
      </c>
      <c r="M2721">
        <v>100</v>
      </c>
      <c r="N2721">
        <v>100</v>
      </c>
      <c r="O2721">
        <v>100</v>
      </c>
      <c r="P2721">
        <v>100</v>
      </c>
    </row>
    <row r="2722" spans="1:16" x14ac:dyDescent="0.3">
      <c r="A2722" t="s">
        <v>58</v>
      </c>
      <c r="B2722">
        <v>25</v>
      </c>
      <c r="C2722">
        <v>2</v>
      </c>
      <c r="D2722">
        <v>2</v>
      </c>
      <c r="E2722">
        <v>2</v>
      </c>
      <c r="F2722">
        <v>2</v>
      </c>
      <c r="G2722">
        <v>2</v>
      </c>
      <c r="H2722">
        <v>2</v>
      </c>
      <c r="I2722">
        <v>2</v>
      </c>
      <c r="J2722">
        <v>2</v>
      </c>
      <c r="K2722">
        <v>2</v>
      </c>
      <c r="L2722">
        <v>2</v>
      </c>
      <c r="M2722">
        <v>2</v>
      </c>
      <c r="N2722">
        <v>2</v>
      </c>
      <c r="O2722">
        <v>2</v>
      </c>
      <c r="P2722">
        <v>2</v>
      </c>
    </row>
    <row r="2723" spans="1:16" x14ac:dyDescent="0.3">
      <c r="A2723" t="s">
        <v>59</v>
      </c>
      <c r="B2723">
        <v>25</v>
      </c>
      <c r="C2723">
        <v>0</v>
      </c>
      <c r="D2723">
        <v>0</v>
      </c>
      <c r="E2723">
        <v>0</v>
      </c>
      <c r="F2723">
        <v>0</v>
      </c>
      <c r="G2723">
        <v>0</v>
      </c>
      <c r="H2723">
        <v>0</v>
      </c>
      <c r="I2723">
        <v>0</v>
      </c>
      <c r="J2723">
        <v>0</v>
      </c>
      <c r="K2723">
        <v>0</v>
      </c>
      <c r="L2723">
        <v>0</v>
      </c>
      <c r="M2723">
        <v>0</v>
      </c>
      <c r="N2723">
        <v>0</v>
      </c>
      <c r="O2723">
        <v>0</v>
      </c>
      <c r="P2723">
        <v>0</v>
      </c>
    </row>
    <row r="2724" spans="1:16" x14ac:dyDescent="0.3">
      <c r="A2724" t="s">
        <v>635</v>
      </c>
      <c r="B2724">
        <v>25</v>
      </c>
      <c r="E2724">
        <v>0</v>
      </c>
      <c r="I2724">
        <v>0</v>
      </c>
      <c r="L2724">
        <v>0</v>
      </c>
      <c r="O2724">
        <v>0</v>
      </c>
    </row>
    <row r="2725" spans="1:16" x14ac:dyDescent="0.3">
      <c r="A2725" t="s">
        <v>574</v>
      </c>
      <c r="B2725">
        <v>25</v>
      </c>
      <c r="E2725">
        <v>2106</v>
      </c>
      <c r="I2725">
        <v>1026</v>
      </c>
      <c r="L2725">
        <v>1101</v>
      </c>
      <c r="O2725">
        <v>919</v>
      </c>
    </row>
    <row r="2726" spans="1:16" x14ac:dyDescent="0.3">
      <c r="A2726" t="s">
        <v>78</v>
      </c>
      <c r="B2726">
        <v>25</v>
      </c>
      <c r="E2726">
        <v>31.9</v>
      </c>
      <c r="I2726">
        <v>15.5</v>
      </c>
      <c r="L2726">
        <v>25</v>
      </c>
      <c r="O2726">
        <v>20.9</v>
      </c>
    </row>
    <row r="2727" spans="1:16" x14ac:dyDescent="0.3">
      <c r="A2727" t="s">
        <v>636</v>
      </c>
      <c r="B2727">
        <v>25</v>
      </c>
      <c r="F2727">
        <v>0</v>
      </c>
      <c r="J2727">
        <v>0</v>
      </c>
      <c r="M2727">
        <v>0</v>
      </c>
      <c r="P2727">
        <v>0</v>
      </c>
    </row>
    <row r="2728" spans="1:16" x14ac:dyDescent="0.3">
      <c r="A2728" t="s">
        <v>639</v>
      </c>
      <c r="B2728">
        <v>25</v>
      </c>
      <c r="C2728">
        <v>3</v>
      </c>
      <c r="D2728">
        <v>0</v>
      </c>
      <c r="E2728">
        <v>0</v>
      </c>
      <c r="F2728">
        <v>1</v>
      </c>
      <c r="G2728">
        <v>3</v>
      </c>
      <c r="H2728">
        <v>0</v>
      </c>
      <c r="I2728">
        <v>0</v>
      </c>
      <c r="J2728">
        <v>1</v>
      </c>
      <c r="K2728">
        <v>0</v>
      </c>
      <c r="L2728">
        <v>0</v>
      </c>
      <c r="M2728">
        <v>1</v>
      </c>
      <c r="N2728">
        <v>0</v>
      </c>
      <c r="O2728">
        <v>0</v>
      </c>
      <c r="P2728">
        <v>1</v>
      </c>
    </row>
    <row r="2729" spans="1:16" x14ac:dyDescent="0.3">
      <c r="A2729" t="s">
        <v>640</v>
      </c>
      <c r="B2729">
        <v>25</v>
      </c>
      <c r="C2729">
        <v>0</v>
      </c>
      <c r="D2729">
        <v>0</v>
      </c>
      <c r="E2729">
        <v>0</v>
      </c>
      <c r="F2729">
        <v>0</v>
      </c>
      <c r="G2729">
        <v>0</v>
      </c>
      <c r="H2729">
        <v>0</v>
      </c>
      <c r="I2729">
        <v>0</v>
      </c>
      <c r="J2729">
        <v>0</v>
      </c>
      <c r="K2729">
        <v>0</v>
      </c>
      <c r="L2729">
        <v>0</v>
      </c>
      <c r="M2729">
        <v>0</v>
      </c>
      <c r="N2729">
        <v>0</v>
      </c>
      <c r="O2729">
        <v>0</v>
      </c>
      <c r="P2729">
        <v>0</v>
      </c>
    </row>
    <row r="2730" spans="1:16" x14ac:dyDescent="0.3">
      <c r="A2730" t="s">
        <v>52</v>
      </c>
      <c r="B2730">
        <v>25</v>
      </c>
      <c r="C2730">
        <v>1</v>
      </c>
      <c r="D2730">
        <v>1</v>
      </c>
      <c r="E2730">
        <v>1</v>
      </c>
      <c r="F2730">
        <v>1</v>
      </c>
      <c r="G2730">
        <v>1</v>
      </c>
      <c r="H2730">
        <v>1</v>
      </c>
      <c r="I2730">
        <v>1</v>
      </c>
      <c r="J2730">
        <v>1</v>
      </c>
      <c r="K2730">
        <v>1</v>
      </c>
      <c r="L2730">
        <v>1</v>
      </c>
      <c r="M2730">
        <v>1</v>
      </c>
      <c r="N2730">
        <v>1</v>
      </c>
      <c r="O2730">
        <v>1</v>
      </c>
      <c r="P2730">
        <v>1</v>
      </c>
    </row>
    <row r="2731" spans="1:16" x14ac:dyDescent="0.3">
      <c r="A2731" t="s">
        <v>641</v>
      </c>
      <c r="B2731">
        <v>25</v>
      </c>
      <c r="C2731">
        <v>9</v>
      </c>
      <c r="D2731">
        <v>15</v>
      </c>
      <c r="E2731">
        <v>60</v>
      </c>
      <c r="F2731">
        <v>9</v>
      </c>
      <c r="G2731">
        <v>9</v>
      </c>
      <c r="H2731">
        <v>15</v>
      </c>
      <c r="I2731">
        <v>60</v>
      </c>
      <c r="J2731">
        <v>9</v>
      </c>
      <c r="K2731">
        <v>15</v>
      </c>
      <c r="L2731">
        <v>60</v>
      </c>
      <c r="M2731">
        <v>9</v>
      </c>
      <c r="N2731">
        <v>15</v>
      </c>
      <c r="O2731">
        <v>60</v>
      </c>
      <c r="P2731">
        <v>9</v>
      </c>
    </row>
    <row r="2732" spans="1:16" x14ac:dyDescent="0.3">
      <c r="A2732" t="s">
        <v>43</v>
      </c>
      <c r="B2732">
        <v>25</v>
      </c>
      <c r="D2732">
        <v>40</v>
      </c>
      <c r="E2732">
        <v>336</v>
      </c>
      <c r="F2732">
        <v>0</v>
      </c>
      <c r="H2732">
        <v>40</v>
      </c>
      <c r="I2732">
        <v>336</v>
      </c>
      <c r="J2732">
        <v>0</v>
      </c>
      <c r="K2732">
        <v>40</v>
      </c>
      <c r="L2732">
        <v>40</v>
      </c>
      <c r="M2732">
        <v>0</v>
      </c>
      <c r="N2732">
        <v>40</v>
      </c>
      <c r="O2732">
        <v>40</v>
      </c>
      <c r="P2732">
        <v>0</v>
      </c>
    </row>
    <row r="2733" spans="1:16" x14ac:dyDescent="0.3">
      <c r="A2733" t="s">
        <v>44</v>
      </c>
      <c r="B2733">
        <v>25</v>
      </c>
      <c r="D2733">
        <v>0</v>
      </c>
      <c r="E2733">
        <v>0</v>
      </c>
      <c r="F2733">
        <v>0</v>
      </c>
      <c r="H2733">
        <v>0</v>
      </c>
      <c r="I2733">
        <v>0</v>
      </c>
      <c r="J2733">
        <v>0</v>
      </c>
      <c r="K2733">
        <v>0</v>
      </c>
      <c r="L2733">
        <v>0</v>
      </c>
      <c r="M2733">
        <v>0</v>
      </c>
      <c r="N2733">
        <v>0</v>
      </c>
      <c r="O2733">
        <v>0</v>
      </c>
      <c r="P2733">
        <v>0</v>
      </c>
    </row>
    <row r="2734" spans="1:16" x14ac:dyDescent="0.3">
      <c r="A2734" t="s">
        <v>47</v>
      </c>
      <c r="B2734">
        <v>25</v>
      </c>
      <c r="D2734">
        <v>5</v>
      </c>
      <c r="E2734">
        <v>2</v>
      </c>
      <c r="F2734">
        <v>2</v>
      </c>
      <c r="H2734">
        <v>6</v>
      </c>
      <c r="I2734">
        <v>6</v>
      </c>
      <c r="J2734">
        <v>6</v>
      </c>
      <c r="K2734">
        <v>4</v>
      </c>
      <c r="L2734">
        <v>4</v>
      </c>
      <c r="M2734">
        <v>4</v>
      </c>
      <c r="N2734">
        <v>8</v>
      </c>
      <c r="O2734">
        <v>8</v>
      </c>
      <c r="P2734">
        <v>8</v>
      </c>
    </row>
    <row r="2735" spans="1:16" x14ac:dyDescent="0.3">
      <c r="A2735" t="s">
        <v>642</v>
      </c>
      <c r="B2735">
        <v>25</v>
      </c>
      <c r="D2735">
        <v>0</v>
      </c>
      <c r="E2735">
        <v>0</v>
      </c>
      <c r="F2735">
        <v>0</v>
      </c>
      <c r="H2735">
        <v>0</v>
      </c>
      <c r="I2735">
        <v>0</v>
      </c>
      <c r="J2735">
        <v>0</v>
      </c>
      <c r="K2735">
        <v>0</v>
      </c>
      <c r="L2735">
        <v>0</v>
      </c>
      <c r="M2735">
        <v>0</v>
      </c>
      <c r="N2735">
        <v>0</v>
      </c>
      <c r="O2735">
        <v>0</v>
      </c>
      <c r="P2735">
        <v>0</v>
      </c>
    </row>
    <row r="2736" spans="1:16" x14ac:dyDescent="0.3">
      <c r="A2736" t="s">
        <v>643</v>
      </c>
      <c r="B2736">
        <v>25</v>
      </c>
      <c r="D2736">
        <v>0</v>
      </c>
      <c r="E2736">
        <v>0</v>
      </c>
      <c r="F2736">
        <v>0</v>
      </c>
      <c r="H2736">
        <v>0</v>
      </c>
      <c r="I2736">
        <v>0</v>
      </c>
      <c r="J2736">
        <v>0</v>
      </c>
      <c r="K2736">
        <v>0</v>
      </c>
      <c r="L2736">
        <v>0</v>
      </c>
      <c r="M2736">
        <v>0</v>
      </c>
      <c r="N2736">
        <v>0</v>
      </c>
      <c r="O2736">
        <v>0</v>
      </c>
      <c r="P2736">
        <v>0</v>
      </c>
    </row>
    <row r="2737" spans="1:16" x14ac:dyDescent="0.3">
      <c r="A2737" t="s">
        <v>644</v>
      </c>
      <c r="B2737">
        <v>25</v>
      </c>
      <c r="D2737">
        <v>0</v>
      </c>
      <c r="E2737">
        <v>0</v>
      </c>
      <c r="F2737">
        <v>0</v>
      </c>
      <c r="H2737">
        <v>0</v>
      </c>
      <c r="I2737">
        <v>0</v>
      </c>
      <c r="J2737">
        <v>0</v>
      </c>
      <c r="K2737">
        <v>0</v>
      </c>
      <c r="L2737">
        <v>0</v>
      </c>
      <c r="M2737">
        <v>0</v>
      </c>
      <c r="N2737">
        <v>0</v>
      </c>
      <c r="O2737">
        <v>0</v>
      </c>
      <c r="P2737">
        <v>0</v>
      </c>
    </row>
    <row r="2738" spans="1:16" x14ac:dyDescent="0.3">
      <c r="A2738" t="s">
        <v>645</v>
      </c>
      <c r="B2738">
        <v>25</v>
      </c>
      <c r="D2738">
        <v>0</v>
      </c>
      <c r="E2738">
        <v>0</v>
      </c>
      <c r="F2738">
        <v>0</v>
      </c>
      <c r="H2738">
        <v>0</v>
      </c>
      <c r="I2738">
        <v>0</v>
      </c>
      <c r="J2738">
        <v>0</v>
      </c>
      <c r="K2738">
        <v>0</v>
      </c>
      <c r="L2738">
        <v>0</v>
      </c>
      <c r="M2738">
        <v>0</v>
      </c>
      <c r="N2738">
        <v>0</v>
      </c>
      <c r="O2738">
        <v>0</v>
      </c>
      <c r="P2738">
        <v>0</v>
      </c>
    </row>
    <row r="2739" spans="1:16" x14ac:dyDescent="0.3">
      <c r="A2739" t="s">
        <v>646</v>
      </c>
      <c r="B2739">
        <v>25</v>
      </c>
      <c r="D2739">
        <v>1</v>
      </c>
      <c r="E2739">
        <v>2</v>
      </c>
      <c r="F2739">
        <v>1</v>
      </c>
      <c r="H2739">
        <v>1</v>
      </c>
      <c r="I2739">
        <v>2</v>
      </c>
      <c r="J2739">
        <v>1</v>
      </c>
      <c r="K2739">
        <v>1</v>
      </c>
      <c r="L2739">
        <v>1</v>
      </c>
      <c r="M2739">
        <v>1</v>
      </c>
      <c r="N2739">
        <v>1</v>
      </c>
      <c r="O2739">
        <v>1</v>
      </c>
      <c r="P2739">
        <v>1</v>
      </c>
    </row>
    <row r="2740" spans="1:16" x14ac:dyDescent="0.3">
      <c r="A2740" t="s">
        <v>647</v>
      </c>
      <c r="B2740">
        <v>25</v>
      </c>
      <c r="D2740">
        <v>0</v>
      </c>
      <c r="E2740">
        <v>330</v>
      </c>
      <c r="F2740">
        <v>0</v>
      </c>
      <c r="H2740">
        <v>0</v>
      </c>
      <c r="I2740">
        <v>330</v>
      </c>
      <c r="J2740">
        <v>0</v>
      </c>
      <c r="K2740">
        <v>0</v>
      </c>
      <c r="L2740">
        <v>0</v>
      </c>
      <c r="M2740">
        <v>0</v>
      </c>
      <c r="N2740">
        <v>0</v>
      </c>
      <c r="O2740">
        <v>0</v>
      </c>
      <c r="P2740">
        <v>0</v>
      </c>
    </row>
    <row r="2741" spans="1:16" x14ac:dyDescent="0.3">
      <c r="A2741" t="s">
        <v>648</v>
      </c>
      <c r="B2741">
        <v>25</v>
      </c>
      <c r="D2741">
        <v>40</v>
      </c>
      <c r="E2741">
        <v>6</v>
      </c>
      <c r="F2741">
        <v>0</v>
      </c>
      <c r="H2741">
        <v>40</v>
      </c>
      <c r="I2741">
        <v>6</v>
      </c>
      <c r="J2741">
        <v>0</v>
      </c>
      <c r="K2741">
        <v>40</v>
      </c>
      <c r="L2741">
        <v>40</v>
      </c>
      <c r="M2741">
        <v>0</v>
      </c>
      <c r="N2741">
        <v>40</v>
      </c>
      <c r="O2741">
        <v>40</v>
      </c>
      <c r="P2741">
        <v>0</v>
      </c>
    </row>
    <row r="2742" spans="1:16" x14ac:dyDescent="0.3">
      <c r="A2742" t="s">
        <v>649</v>
      </c>
      <c r="B2742">
        <v>25</v>
      </c>
      <c r="D2742">
        <v>3</v>
      </c>
      <c r="E2742">
        <v>3</v>
      </c>
      <c r="F2742">
        <v>3</v>
      </c>
      <c r="H2742">
        <v>3</v>
      </c>
      <c r="I2742">
        <v>3</v>
      </c>
      <c r="J2742">
        <v>3</v>
      </c>
      <c r="K2742">
        <v>3</v>
      </c>
      <c r="L2742">
        <v>3</v>
      </c>
      <c r="M2742">
        <v>3</v>
      </c>
      <c r="N2742">
        <v>3</v>
      </c>
      <c r="O2742">
        <v>3</v>
      </c>
      <c r="P2742">
        <v>3</v>
      </c>
    </row>
    <row r="2743" spans="1:16" x14ac:dyDescent="0.3">
      <c r="A2743" t="s">
        <v>650</v>
      </c>
      <c r="B2743">
        <v>25</v>
      </c>
      <c r="D2743">
        <v>0</v>
      </c>
      <c r="E2743">
        <v>0</v>
      </c>
      <c r="F2743">
        <v>0</v>
      </c>
      <c r="H2743">
        <v>0</v>
      </c>
      <c r="I2743">
        <v>0</v>
      </c>
      <c r="J2743">
        <v>0</v>
      </c>
      <c r="K2743">
        <v>0</v>
      </c>
      <c r="L2743">
        <v>0</v>
      </c>
      <c r="M2743">
        <v>0</v>
      </c>
      <c r="N2743">
        <v>0</v>
      </c>
      <c r="O2743">
        <v>0</v>
      </c>
      <c r="P2743">
        <v>0</v>
      </c>
    </row>
    <row r="2744" spans="1:16" x14ac:dyDescent="0.3">
      <c r="A2744" t="s">
        <v>651</v>
      </c>
      <c r="B2744">
        <v>25</v>
      </c>
      <c r="D2744">
        <v>0</v>
      </c>
      <c r="E2744">
        <v>0</v>
      </c>
      <c r="F2744">
        <v>0</v>
      </c>
      <c r="H2744">
        <v>0</v>
      </c>
      <c r="I2744">
        <v>0</v>
      </c>
      <c r="J2744">
        <v>0</v>
      </c>
      <c r="K2744">
        <v>0</v>
      </c>
      <c r="L2744">
        <v>0</v>
      </c>
      <c r="M2744">
        <v>0</v>
      </c>
      <c r="N2744">
        <v>0</v>
      </c>
      <c r="O2744">
        <v>0</v>
      </c>
      <c r="P2744">
        <v>0</v>
      </c>
    </row>
    <row r="2745" spans="1:16" x14ac:dyDescent="0.3">
      <c r="A2745" t="s">
        <v>652</v>
      </c>
      <c r="B2745">
        <v>25</v>
      </c>
      <c r="D2745">
        <v>0</v>
      </c>
      <c r="E2745">
        <v>0</v>
      </c>
      <c r="F2745">
        <v>0</v>
      </c>
      <c r="H2745">
        <v>0</v>
      </c>
      <c r="I2745">
        <v>0</v>
      </c>
      <c r="J2745">
        <v>0</v>
      </c>
      <c r="K2745">
        <v>0</v>
      </c>
      <c r="L2745">
        <v>0</v>
      </c>
      <c r="M2745">
        <v>0</v>
      </c>
      <c r="N2745">
        <v>0</v>
      </c>
      <c r="O2745">
        <v>0</v>
      </c>
      <c r="P2745">
        <v>0</v>
      </c>
    </row>
    <row r="2746" spans="1:16" x14ac:dyDescent="0.3">
      <c r="A2746" t="s">
        <v>653</v>
      </c>
      <c r="B2746">
        <v>25</v>
      </c>
      <c r="E2746">
        <v>0</v>
      </c>
      <c r="I2746">
        <v>0</v>
      </c>
    </row>
    <row r="2747" spans="1:16" x14ac:dyDescent="0.3">
      <c r="A2747" t="s">
        <v>654</v>
      </c>
      <c r="B2747">
        <v>25</v>
      </c>
      <c r="E2747">
        <v>0</v>
      </c>
      <c r="I2747">
        <v>0</v>
      </c>
    </row>
    <row r="2748" spans="1:16" x14ac:dyDescent="0.3">
      <c r="A2748" t="s">
        <v>655</v>
      </c>
      <c r="B2748">
        <v>25</v>
      </c>
      <c r="E2748">
        <v>3</v>
      </c>
      <c r="I2748">
        <v>3</v>
      </c>
    </row>
    <row r="2749" spans="1:16" x14ac:dyDescent="0.3">
      <c r="A2749" t="s">
        <v>656</v>
      </c>
      <c r="B2749">
        <v>25</v>
      </c>
      <c r="E2749">
        <v>0</v>
      </c>
      <c r="I2749">
        <v>0</v>
      </c>
    </row>
    <row r="2750" spans="1:16" x14ac:dyDescent="0.3">
      <c r="A2750" t="s">
        <v>657</v>
      </c>
      <c r="B2750">
        <v>25</v>
      </c>
      <c r="E2750">
        <v>0</v>
      </c>
      <c r="I2750">
        <v>0</v>
      </c>
      <c r="L2750">
        <v>0</v>
      </c>
      <c r="O2750">
        <v>0</v>
      </c>
    </row>
    <row r="2751" spans="1:16" x14ac:dyDescent="0.3">
      <c r="A2751" t="s">
        <v>408</v>
      </c>
      <c r="B2751">
        <v>25</v>
      </c>
      <c r="E2751">
        <v>0</v>
      </c>
    </row>
    <row r="2752" spans="1:16" x14ac:dyDescent="0.3">
      <c r="A2752" t="s">
        <v>658</v>
      </c>
      <c r="B2752">
        <v>25</v>
      </c>
      <c r="C2752">
        <v>0</v>
      </c>
      <c r="D2752">
        <v>49</v>
      </c>
      <c r="E2752">
        <v>870</v>
      </c>
      <c r="F2752">
        <v>43</v>
      </c>
      <c r="G2752">
        <v>0</v>
      </c>
      <c r="H2752">
        <v>54</v>
      </c>
      <c r="I2752">
        <v>652</v>
      </c>
      <c r="J2752">
        <v>47</v>
      </c>
      <c r="K2752">
        <v>0</v>
      </c>
      <c r="L2752">
        <v>163</v>
      </c>
      <c r="M2752">
        <v>22</v>
      </c>
      <c r="N2752">
        <v>0</v>
      </c>
      <c r="O2752">
        <v>104</v>
      </c>
      <c r="P2752">
        <v>54</v>
      </c>
    </row>
    <row r="2753" spans="1:16" x14ac:dyDescent="0.3">
      <c r="A2753" t="s">
        <v>34</v>
      </c>
      <c r="B2753">
        <v>26</v>
      </c>
      <c r="C2753">
        <v>25</v>
      </c>
      <c r="D2753">
        <v>25</v>
      </c>
      <c r="E2753">
        <v>25</v>
      </c>
      <c r="F2753">
        <v>25</v>
      </c>
      <c r="G2753">
        <v>127</v>
      </c>
      <c r="H2753">
        <v>127</v>
      </c>
      <c r="I2753">
        <v>127</v>
      </c>
      <c r="J2753">
        <v>127</v>
      </c>
      <c r="K2753">
        <v>125</v>
      </c>
      <c r="L2753">
        <v>125</v>
      </c>
      <c r="M2753">
        <v>125</v>
      </c>
      <c r="N2753">
        <v>126</v>
      </c>
      <c r="O2753">
        <v>126</v>
      </c>
      <c r="P2753">
        <v>126</v>
      </c>
    </row>
    <row r="2754" spans="1:16" x14ac:dyDescent="0.3">
      <c r="A2754" t="s">
        <v>35</v>
      </c>
      <c r="B2754">
        <v>26</v>
      </c>
      <c r="C2754">
        <v>25</v>
      </c>
      <c r="D2754">
        <v>125</v>
      </c>
      <c r="E2754">
        <v>127</v>
      </c>
      <c r="F2754">
        <v>126</v>
      </c>
      <c r="G2754">
        <v>127</v>
      </c>
      <c r="H2754">
        <v>126</v>
      </c>
      <c r="I2754">
        <v>25</v>
      </c>
      <c r="J2754">
        <v>125</v>
      </c>
      <c r="K2754">
        <v>127</v>
      </c>
      <c r="L2754">
        <v>126</v>
      </c>
      <c r="M2754">
        <v>25</v>
      </c>
      <c r="N2754">
        <v>25</v>
      </c>
      <c r="O2754">
        <v>125</v>
      </c>
      <c r="P2754">
        <v>127</v>
      </c>
    </row>
    <row r="2755" spans="1:16" x14ac:dyDescent="0.3">
      <c r="A2755" t="s">
        <v>36</v>
      </c>
      <c r="B2755">
        <v>26</v>
      </c>
      <c r="C2755">
        <v>0</v>
      </c>
      <c r="D2755">
        <v>1</v>
      </c>
      <c r="E2755">
        <v>2</v>
      </c>
      <c r="F2755">
        <v>1</v>
      </c>
      <c r="G2755">
        <v>0</v>
      </c>
      <c r="H2755">
        <v>1</v>
      </c>
      <c r="I2755">
        <v>2</v>
      </c>
      <c r="J2755">
        <v>1</v>
      </c>
      <c r="K2755">
        <v>0</v>
      </c>
      <c r="L2755">
        <v>1</v>
      </c>
      <c r="M2755">
        <v>0</v>
      </c>
      <c r="N2755">
        <v>1</v>
      </c>
      <c r="O2755">
        <v>1</v>
      </c>
      <c r="P2755">
        <v>1</v>
      </c>
    </row>
    <row r="2756" spans="1:16" x14ac:dyDescent="0.3">
      <c r="A2756" t="s">
        <v>37</v>
      </c>
      <c r="B2756">
        <v>26</v>
      </c>
      <c r="D2756">
        <v>0</v>
      </c>
      <c r="E2756">
        <v>0</v>
      </c>
      <c r="H2756">
        <v>0</v>
      </c>
      <c r="I2756">
        <v>0</v>
      </c>
      <c r="K2756">
        <v>0</v>
      </c>
      <c r="L2756">
        <v>3</v>
      </c>
      <c r="N2756">
        <v>0</v>
      </c>
      <c r="O2756">
        <v>1</v>
      </c>
    </row>
    <row r="2757" spans="1:16" x14ac:dyDescent="0.3">
      <c r="A2757" t="s">
        <v>38</v>
      </c>
      <c r="B2757">
        <v>26</v>
      </c>
      <c r="C2757">
        <v>12</v>
      </c>
      <c r="D2757">
        <v>12</v>
      </c>
      <c r="E2757">
        <v>12</v>
      </c>
      <c r="F2757">
        <v>12</v>
      </c>
      <c r="G2757">
        <v>12</v>
      </c>
      <c r="H2757">
        <v>12</v>
      </c>
      <c r="I2757">
        <v>12</v>
      </c>
      <c r="J2757">
        <v>12</v>
      </c>
      <c r="K2757">
        <v>12</v>
      </c>
      <c r="L2757">
        <v>12</v>
      </c>
      <c r="M2757">
        <v>12</v>
      </c>
      <c r="N2757">
        <v>12</v>
      </c>
      <c r="O2757">
        <v>12</v>
      </c>
      <c r="P2757">
        <v>12</v>
      </c>
    </row>
    <row r="2758" spans="1:16" x14ac:dyDescent="0.3">
      <c r="A2758" t="s">
        <v>39</v>
      </c>
      <c r="B2758">
        <v>26</v>
      </c>
      <c r="D2758">
        <v>400</v>
      </c>
      <c r="F2758">
        <v>400</v>
      </c>
      <c r="H2758">
        <v>400</v>
      </c>
      <c r="J2758">
        <v>400</v>
      </c>
      <c r="P2758">
        <v>250</v>
      </c>
    </row>
    <row r="2759" spans="1:16" x14ac:dyDescent="0.3">
      <c r="A2759" t="s">
        <v>631</v>
      </c>
      <c r="B2759">
        <v>26</v>
      </c>
      <c r="D2759">
        <v>25</v>
      </c>
      <c r="F2759">
        <v>25</v>
      </c>
      <c r="H2759">
        <v>25</v>
      </c>
      <c r="J2759">
        <v>25</v>
      </c>
      <c r="P2759">
        <v>25</v>
      </c>
    </row>
    <row r="2760" spans="1:16" x14ac:dyDescent="0.3">
      <c r="A2760" t="s">
        <v>40</v>
      </c>
      <c r="B2760">
        <v>26</v>
      </c>
      <c r="D2760">
        <v>1</v>
      </c>
      <c r="F2760">
        <v>1</v>
      </c>
      <c r="H2760">
        <v>1</v>
      </c>
      <c r="J2760">
        <v>1</v>
      </c>
      <c r="P2760">
        <v>1</v>
      </c>
    </row>
    <row r="2761" spans="1:16" x14ac:dyDescent="0.3">
      <c r="A2761" t="s">
        <v>41</v>
      </c>
      <c r="B2761">
        <v>26</v>
      </c>
    </row>
    <row r="2762" spans="1:16" x14ac:dyDescent="0.3">
      <c r="A2762" t="s">
        <v>42</v>
      </c>
      <c r="B2762">
        <v>26</v>
      </c>
      <c r="E2762">
        <v>45</v>
      </c>
      <c r="I2762">
        <v>45</v>
      </c>
      <c r="L2762">
        <v>30</v>
      </c>
      <c r="O2762">
        <v>30</v>
      </c>
    </row>
    <row r="2763" spans="1:16" x14ac:dyDescent="0.3">
      <c r="A2763" t="s">
        <v>45</v>
      </c>
      <c r="B2763">
        <v>26</v>
      </c>
      <c r="D2763">
        <v>5</v>
      </c>
      <c r="E2763">
        <v>2</v>
      </c>
      <c r="H2763">
        <v>1</v>
      </c>
      <c r="I2763">
        <v>6</v>
      </c>
      <c r="K2763">
        <v>8</v>
      </c>
      <c r="L2763">
        <v>8</v>
      </c>
      <c r="N2763">
        <v>7</v>
      </c>
      <c r="O2763">
        <v>7</v>
      </c>
    </row>
    <row r="2764" spans="1:16" x14ac:dyDescent="0.3">
      <c r="A2764" t="s">
        <v>46</v>
      </c>
      <c r="B2764">
        <v>26</v>
      </c>
      <c r="D2764">
        <v>2</v>
      </c>
      <c r="F2764">
        <v>2</v>
      </c>
      <c r="H2764">
        <v>6</v>
      </c>
      <c r="J2764">
        <v>6</v>
      </c>
      <c r="P2764">
        <v>7</v>
      </c>
    </row>
    <row r="2765" spans="1:16" x14ac:dyDescent="0.3">
      <c r="A2765" t="s">
        <v>49</v>
      </c>
      <c r="B2765">
        <v>26</v>
      </c>
      <c r="C2765">
        <v>4</v>
      </c>
      <c r="D2765">
        <v>6.1</v>
      </c>
      <c r="E2765">
        <v>5.9</v>
      </c>
      <c r="F2765">
        <v>5.9</v>
      </c>
      <c r="G2765">
        <v>4</v>
      </c>
      <c r="H2765">
        <v>6.1</v>
      </c>
      <c r="I2765">
        <v>5.9</v>
      </c>
      <c r="J2765">
        <v>5.9</v>
      </c>
      <c r="K2765">
        <v>6.9</v>
      </c>
      <c r="L2765">
        <v>6.9</v>
      </c>
      <c r="M2765">
        <v>4</v>
      </c>
      <c r="N2765">
        <v>6.9</v>
      </c>
      <c r="O2765">
        <v>6.9</v>
      </c>
      <c r="P2765">
        <v>6.9</v>
      </c>
    </row>
    <row r="2766" spans="1:16" x14ac:dyDescent="0.3">
      <c r="A2766" t="s">
        <v>632</v>
      </c>
      <c r="B2766">
        <v>26</v>
      </c>
      <c r="C2766">
        <v>0</v>
      </c>
      <c r="D2766">
        <v>0</v>
      </c>
      <c r="E2766">
        <v>0</v>
      </c>
      <c r="F2766">
        <v>0</v>
      </c>
      <c r="G2766">
        <v>0</v>
      </c>
      <c r="H2766">
        <v>0</v>
      </c>
      <c r="I2766">
        <v>0</v>
      </c>
      <c r="J2766">
        <v>0</v>
      </c>
      <c r="K2766">
        <v>0</v>
      </c>
      <c r="L2766">
        <v>0</v>
      </c>
      <c r="M2766">
        <v>0</v>
      </c>
      <c r="N2766">
        <v>0</v>
      </c>
      <c r="O2766">
        <v>0</v>
      </c>
      <c r="P2766">
        <v>0</v>
      </c>
    </row>
    <row r="2767" spans="1:16" x14ac:dyDescent="0.3">
      <c r="A2767" t="s">
        <v>48</v>
      </c>
      <c r="B2767">
        <v>26</v>
      </c>
      <c r="C2767">
        <v>1900</v>
      </c>
      <c r="D2767">
        <v>1900</v>
      </c>
      <c r="E2767">
        <v>1900</v>
      </c>
      <c r="F2767">
        <v>1900</v>
      </c>
      <c r="G2767">
        <v>1900</v>
      </c>
      <c r="H2767">
        <v>1900</v>
      </c>
      <c r="I2767">
        <v>1900</v>
      </c>
      <c r="J2767">
        <v>1900</v>
      </c>
      <c r="K2767">
        <v>1900</v>
      </c>
      <c r="L2767">
        <v>1900</v>
      </c>
      <c r="M2767">
        <v>1900</v>
      </c>
      <c r="N2767">
        <v>1900</v>
      </c>
      <c r="O2767">
        <v>1900</v>
      </c>
      <c r="P2767">
        <v>1900</v>
      </c>
    </row>
    <row r="2768" spans="1:16" x14ac:dyDescent="0.3">
      <c r="A2768" t="s">
        <v>633</v>
      </c>
      <c r="B2768">
        <v>26</v>
      </c>
      <c r="C2768">
        <v>0</v>
      </c>
      <c r="D2768">
        <v>1770</v>
      </c>
      <c r="E2768">
        <v>3539</v>
      </c>
      <c r="F2768">
        <v>1583</v>
      </c>
      <c r="G2768">
        <v>0</v>
      </c>
      <c r="H2768">
        <v>1770</v>
      </c>
      <c r="I2768">
        <v>3539</v>
      </c>
      <c r="J2768">
        <v>1583</v>
      </c>
      <c r="K2768">
        <v>0</v>
      </c>
      <c r="L2768">
        <v>1770</v>
      </c>
      <c r="M2768">
        <v>0</v>
      </c>
      <c r="N2768">
        <v>1681</v>
      </c>
      <c r="O2768">
        <v>1732</v>
      </c>
      <c r="P2768">
        <v>1583</v>
      </c>
    </row>
    <row r="2769" spans="1:16" x14ac:dyDescent="0.3">
      <c r="A2769" t="s">
        <v>50</v>
      </c>
      <c r="B2769">
        <v>26</v>
      </c>
      <c r="C2769">
        <v>0</v>
      </c>
      <c r="D2769">
        <v>710</v>
      </c>
      <c r="E2769">
        <v>3539</v>
      </c>
      <c r="F2769">
        <v>1583</v>
      </c>
      <c r="G2769">
        <v>0</v>
      </c>
      <c r="H2769">
        <v>402</v>
      </c>
      <c r="I2769">
        <v>3539</v>
      </c>
      <c r="J2769">
        <v>1583</v>
      </c>
      <c r="K2769">
        <v>0</v>
      </c>
      <c r="L2769">
        <v>1770</v>
      </c>
      <c r="M2769">
        <v>0</v>
      </c>
      <c r="N2769">
        <v>1681</v>
      </c>
      <c r="O2769">
        <v>1732</v>
      </c>
      <c r="P2769">
        <v>1583</v>
      </c>
    </row>
    <row r="2770" spans="1:16" x14ac:dyDescent="0.3">
      <c r="A2770" t="s">
        <v>634</v>
      </c>
      <c r="B2770">
        <v>26</v>
      </c>
      <c r="C2770">
        <v>1</v>
      </c>
      <c r="D2770">
        <v>1</v>
      </c>
      <c r="E2770">
        <v>1</v>
      </c>
      <c r="F2770">
        <v>1</v>
      </c>
      <c r="G2770">
        <v>1</v>
      </c>
      <c r="H2770">
        <v>1</v>
      </c>
      <c r="I2770">
        <v>1</v>
      </c>
      <c r="J2770">
        <v>1</v>
      </c>
      <c r="K2770">
        <v>1</v>
      </c>
      <c r="L2770">
        <v>1</v>
      </c>
      <c r="M2770">
        <v>1</v>
      </c>
      <c r="N2770">
        <v>1</v>
      </c>
      <c r="O2770">
        <v>1</v>
      </c>
      <c r="P2770">
        <v>1</v>
      </c>
    </row>
    <row r="2771" spans="1:16" x14ac:dyDescent="0.3">
      <c r="A2771" t="s">
        <v>51</v>
      </c>
      <c r="B2771">
        <v>26</v>
      </c>
      <c r="C2771">
        <v>0</v>
      </c>
      <c r="D2771">
        <v>0</v>
      </c>
      <c r="E2771">
        <v>0</v>
      </c>
      <c r="F2771">
        <v>154</v>
      </c>
      <c r="G2771">
        <v>0</v>
      </c>
      <c r="H2771">
        <v>0</v>
      </c>
      <c r="I2771">
        <v>0</v>
      </c>
      <c r="J2771">
        <v>154</v>
      </c>
      <c r="K2771">
        <v>0</v>
      </c>
      <c r="L2771">
        <v>16</v>
      </c>
      <c r="M2771">
        <v>0</v>
      </c>
      <c r="N2771">
        <v>0</v>
      </c>
      <c r="O2771">
        <v>0</v>
      </c>
      <c r="P2771">
        <v>145</v>
      </c>
    </row>
    <row r="2772" spans="1:16" x14ac:dyDescent="0.3">
      <c r="A2772" t="s">
        <v>53</v>
      </c>
      <c r="B2772">
        <v>26</v>
      </c>
      <c r="C2772">
        <v>0</v>
      </c>
      <c r="D2772">
        <v>10</v>
      </c>
      <c r="E2772">
        <v>865</v>
      </c>
      <c r="F2772">
        <v>100</v>
      </c>
      <c r="G2772">
        <v>0</v>
      </c>
      <c r="H2772">
        <v>100</v>
      </c>
      <c r="I2772">
        <v>650</v>
      </c>
      <c r="J2772">
        <v>40</v>
      </c>
      <c r="K2772">
        <v>20</v>
      </c>
      <c r="L2772">
        <v>75</v>
      </c>
      <c r="M2772">
        <v>45</v>
      </c>
      <c r="N2772">
        <v>50</v>
      </c>
      <c r="O2772">
        <v>20</v>
      </c>
      <c r="P2772">
        <v>40</v>
      </c>
    </row>
    <row r="2773" spans="1:16" x14ac:dyDescent="0.3">
      <c r="A2773" t="s">
        <v>54</v>
      </c>
      <c r="B2773">
        <v>26</v>
      </c>
      <c r="C2773">
        <v>0</v>
      </c>
      <c r="D2773">
        <v>0</v>
      </c>
      <c r="E2773">
        <v>0</v>
      </c>
      <c r="F2773">
        <v>0</v>
      </c>
      <c r="G2773">
        <v>0</v>
      </c>
      <c r="H2773">
        <v>0</v>
      </c>
      <c r="I2773">
        <v>0</v>
      </c>
      <c r="J2773">
        <v>0</v>
      </c>
      <c r="K2773">
        <v>0</v>
      </c>
      <c r="L2773">
        <v>0</v>
      </c>
      <c r="M2773">
        <v>0</v>
      </c>
      <c r="N2773">
        <v>0</v>
      </c>
      <c r="O2773">
        <v>0</v>
      </c>
      <c r="P2773">
        <v>0</v>
      </c>
    </row>
    <row r="2774" spans="1:16" x14ac:dyDescent="0.3">
      <c r="A2774" t="s">
        <v>55</v>
      </c>
      <c r="B2774">
        <v>26</v>
      </c>
      <c r="C2774">
        <v>0</v>
      </c>
      <c r="D2774">
        <v>0</v>
      </c>
      <c r="E2774">
        <v>0</v>
      </c>
      <c r="F2774">
        <v>0</v>
      </c>
      <c r="G2774">
        <v>0</v>
      </c>
      <c r="H2774">
        <v>0</v>
      </c>
      <c r="I2774">
        <v>0</v>
      </c>
      <c r="J2774">
        <v>0</v>
      </c>
      <c r="K2774">
        <v>0</v>
      </c>
      <c r="L2774">
        <v>0</v>
      </c>
      <c r="M2774">
        <v>0</v>
      </c>
      <c r="N2774">
        <v>0</v>
      </c>
      <c r="O2774">
        <v>0</v>
      </c>
      <c r="P2774">
        <v>0</v>
      </c>
    </row>
    <row r="2775" spans="1:16" x14ac:dyDescent="0.3">
      <c r="A2775" t="s">
        <v>56</v>
      </c>
      <c r="B2775">
        <v>26</v>
      </c>
      <c r="C2775">
        <v>0.92</v>
      </c>
      <c r="D2775">
        <v>0.92</v>
      </c>
      <c r="E2775">
        <v>0.92</v>
      </c>
      <c r="F2775">
        <v>0.92</v>
      </c>
      <c r="G2775">
        <v>0.92</v>
      </c>
      <c r="H2775">
        <v>0.92</v>
      </c>
      <c r="I2775">
        <v>0.92</v>
      </c>
      <c r="J2775">
        <v>0.92</v>
      </c>
      <c r="K2775">
        <v>0.92</v>
      </c>
      <c r="L2775">
        <v>0.92</v>
      </c>
      <c r="M2775">
        <v>0.92</v>
      </c>
      <c r="N2775">
        <v>0.92</v>
      </c>
      <c r="O2775">
        <v>0.92</v>
      </c>
      <c r="P2775">
        <v>0.92</v>
      </c>
    </row>
    <row r="2776" spans="1:16" x14ac:dyDescent="0.3">
      <c r="A2776" t="s">
        <v>57</v>
      </c>
      <c r="B2776">
        <v>26</v>
      </c>
      <c r="C2776">
        <v>100</v>
      </c>
      <c r="D2776">
        <v>100</v>
      </c>
      <c r="E2776">
        <v>100</v>
      </c>
      <c r="F2776">
        <v>100</v>
      </c>
      <c r="G2776">
        <v>100</v>
      </c>
      <c r="H2776">
        <v>100</v>
      </c>
      <c r="I2776">
        <v>100</v>
      </c>
      <c r="J2776">
        <v>100</v>
      </c>
      <c r="K2776">
        <v>100</v>
      </c>
      <c r="L2776">
        <v>100</v>
      </c>
      <c r="M2776">
        <v>100</v>
      </c>
      <c r="N2776">
        <v>100</v>
      </c>
      <c r="O2776">
        <v>100</v>
      </c>
      <c r="P2776">
        <v>100</v>
      </c>
    </row>
    <row r="2777" spans="1:16" x14ac:dyDescent="0.3">
      <c r="A2777" t="s">
        <v>58</v>
      </c>
      <c r="B2777">
        <v>26</v>
      </c>
      <c r="C2777">
        <v>2</v>
      </c>
      <c r="D2777">
        <v>2</v>
      </c>
      <c r="E2777">
        <v>2</v>
      </c>
      <c r="F2777">
        <v>2</v>
      </c>
      <c r="G2777">
        <v>2</v>
      </c>
      <c r="H2777">
        <v>2</v>
      </c>
      <c r="I2777">
        <v>2</v>
      </c>
      <c r="J2777">
        <v>2</v>
      </c>
      <c r="K2777">
        <v>2</v>
      </c>
      <c r="L2777">
        <v>2</v>
      </c>
      <c r="M2777">
        <v>2</v>
      </c>
      <c r="N2777">
        <v>2</v>
      </c>
      <c r="O2777">
        <v>2</v>
      </c>
      <c r="P2777">
        <v>2</v>
      </c>
    </row>
    <row r="2778" spans="1:16" x14ac:dyDescent="0.3">
      <c r="A2778" t="s">
        <v>59</v>
      </c>
      <c r="B2778">
        <v>26</v>
      </c>
      <c r="C2778">
        <v>0</v>
      </c>
      <c r="D2778">
        <v>0</v>
      </c>
      <c r="E2778">
        <v>0</v>
      </c>
      <c r="F2778">
        <v>0</v>
      </c>
      <c r="G2778">
        <v>0</v>
      </c>
      <c r="H2778">
        <v>0</v>
      </c>
      <c r="I2778">
        <v>0</v>
      </c>
      <c r="J2778">
        <v>0</v>
      </c>
      <c r="K2778">
        <v>0</v>
      </c>
      <c r="L2778">
        <v>0</v>
      </c>
      <c r="M2778">
        <v>0</v>
      </c>
      <c r="N2778">
        <v>0</v>
      </c>
      <c r="O2778">
        <v>0</v>
      </c>
      <c r="P2778">
        <v>0</v>
      </c>
    </row>
    <row r="2779" spans="1:16" x14ac:dyDescent="0.3">
      <c r="A2779" t="s">
        <v>635</v>
      </c>
      <c r="B2779">
        <v>26</v>
      </c>
      <c r="E2779">
        <v>0</v>
      </c>
      <c r="I2779">
        <v>0</v>
      </c>
      <c r="L2779">
        <v>0</v>
      </c>
      <c r="O2779">
        <v>0</v>
      </c>
    </row>
    <row r="2780" spans="1:16" x14ac:dyDescent="0.3">
      <c r="A2780" t="s">
        <v>574</v>
      </c>
      <c r="B2780">
        <v>26</v>
      </c>
      <c r="E2780">
        <v>1026</v>
      </c>
      <c r="I2780">
        <v>830</v>
      </c>
      <c r="L2780">
        <v>424</v>
      </c>
      <c r="O2780">
        <v>581</v>
      </c>
    </row>
    <row r="2781" spans="1:16" x14ac:dyDescent="0.3">
      <c r="A2781" t="s">
        <v>78</v>
      </c>
      <c r="B2781">
        <v>26</v>
      </c>
      <c r="E2781">
        <v>15.5</v>
      </c>
      <c r="I2781">
        <v>12.6</v>
      </c>
      <c r="L2781">
        <v>9.6</v>
      </c>
      <c r="O2781">
        <v>13.2</v>
      </c>
    </row>
    <row r="2782" spans="1:16" x14ac:dyDescent="0.3">
      <c r="A2782" t="s">
        <v>636</v>
      </c>
      <c r="B2782">
        <v>26</v>
      </c>
      <c r="F2782">
        <v>1</v>
      </c>
      <c r="J2782">
        <v>1</v>
      </c>
      <c r="M2782">
        <v>0</v>
      </c>
      <c r="P2782">
        <v>1</v>
      </c>
    </row>
    <row r="2783" spans="1:16" x14ac:dyDescent="0.3">
      <c r="A2783" t="s">
        <v>637</v>
      </c>
      <c r="B2783">
        <v>26</v>
      </c>
      <c r="F2783">
        <v>50</v>
      </c>
      <c r="J2783">
        <v>50</v>
      </c>
      <c r="P2783">
        <v>50</v>
      </c>
    </row>
    <row r="2784" spans="1:16" x14ac:dyDescent="0.3">
      <c r="A2784" t="s">
        <v>638</v>
      </c>
      <c r="B2784">
        <v>26</v>
      </c>
      <c r="F2784">
        <v>0</v>
      </c>
      <c r="J2784">
        <v>0</v>
      </c>
      <c r="P2784">
        <v>0</v>
      </c>
    </row>
    <row r="2785" spans="1:16" x14ac:dyDescent="0.3">
      <c r="A2785" t="s">
        <v>639</v>
      </c>
      <c r="B2785">
        <v>26</v>
      </c>
      <c r="C2785">
        <v>3</v>
      </c>
      <c r="D2785">
        <v>0</v>
      </c>
      <c r="E2785">
        <v>0</v>
      </c>
      <c r="F2785">
        <v>1</v>
      </c>
      <c r="G2785">
        <v>3</v>
      </c>
      <c r="H2785">
        <v>0</v>
      </c>
      <c r="I2785">
        <v>0</v>
      </c>
      <c r="J2785">
        <v>1</v>
      </c>
      <c r="K2785">
        <v>0</v>
      </c>
      <c r="L2785">
        <v>0</v>
      </c>
      <c r="M2785">
        <v>1</v>
      </c>
      <c r="N2785">
        <v>0</v>
      </c>
      <c r="O2785">
        <v>0</v>
      </c>
      <c r="P2785">
        <v>1</v>
      </c>
    </row>
    <row r="2786" spans="1:16" x14ac:dyDescent="0.3">
      <c r="A2786" t="s">
        <v>640</v>
      </c>
      <c r="B2786">
        <v>26</v>
      </c>
      <c r="C2786">
        <v>0</v>
      </c>
      <c r="D2786">
        <v>0</v>
      </c>
      <c r="E2786">
        <v>0</v>
      </c>
      <c r="F2786">
        <v>0</v>
      </c>
      <c r="G2786">
        <v>0</v>
      </c>
      <c r="H2786">
        <v>0</v>
      </c>
      <c r="I2786">
        <v>0</v>
      </c>
      <c r="J2786">
        <v>0</v>
      </c>
      <c r="K2786">
        <v>0</v>
      </c>
      <c r="L2786">
        <v>0</v>
      </c>
      <c r="M2786">
        <v>0</v>
      </c>
      <c r="N2786">
        <v>0</v>
      </c>
      <c r="O2786">
        <v>0</v>
      </c>
      <c r="P2786">
        <v>0</v>
      </c>
    </row>
    <row r="2787" spans="1:16" x14ac:dyDescent="0.3">
      <c r="A2787" t="s">
        <v>52</v>
      </c>
      <c r="B2787">
        <v>26</v>
      </c>
      <c r="C2787">
        <v>1</v>
      </c>
      <c r="D2787">
        <v>1</v>
      </c>
      <c r="E2787">
        <v>1</v>
      </c>
      <c r="F2787">
        <v>1</v>
      </c>
      <c r="G2787">
        <v>1</v>
      </c>
      <c r="H2787">
        <v>1</v>
      </c>
      <c r="I2787">
        <v>1</v>
      </c>
      <c r="J2787">
        <v>1</v>
      </c>
      <c r="K2787">
        <v>1</v>
      </c>
      <c r="L2787">
        <v>1</v>
      </c>
      <c r="M2787">
        <v>1</v>
      </c>
      <c r="N2787">
        <v>1</v>
      </c>
      <c r="O2787">
        <v>1</v>
      </c>
      <c r="P2787">
        <v>1</v>
      </c>
    </row>
    <row r="2788" spans="1:16" x14ac:dyDescent="0.3">
      <c r="A2788" t="s">
        <v>641</v>
      </c>
      <c r="B2788">
        <v>26</v>
      </c>
      <c r="C2788">
        <v>9</v>
      </c>
      <c r="D2788">
        <v>15</v>
      </c>
      <c r="E2788">
        <v>60</v>
      </c>
      <c r="F2788">
        <v>9</v>
      </c>
      <c r="G2788">
        <v>9</v>
      </c>
      <c r="H2788">
        <v>15</v>
      </c>
      <c r="I2788">
        <v>60</v>
      </c>
      <c r="J2788">
        <v>9</v>
      </c>
      <c r="K2788">
        <v>15</v>
      </c>
      <c r="L2788">
        <v>60</v>
      </c>
      <c r="M2788">
        <v>9</v>
      </c>
      <c r="N2788">
        <v>15</v>
      </c>
      <c r="O2788">
        <v>60</v>
      </c>
      <c r="P2788">
        <v>9</v>
      </c>
    </row>
    <row r="2789" spans="1:16" x14ac:dyDescent="0.3">
      <c r="A2789" t="s">
        <v>43</v>
      </c>
      <c r="B2789">
        <v>26</v>
      </c>
      <c r="D2789">
        <v>40</v>
      </c>
      <c r="E2789">
        <v>336</v>
      </c>
      <c r="F2789">
        <v>0</v>
      </c>
      <c r="H2789">
        <v>40</v>
      </c>
      <c r="I2789">
        <v>336</v>
      </c>
      <c r="J2789">
        <v>0</v>
      </c>
      <c r="K2789">
        <v>40</v>
      </c>
      <c r="L2789">
        <v>40</v>
      </c>
      <c r="N2789">
        <v>40</v>
      </c>
      <c r="O2789">
        <v>40</v>
      </c>
      <c r="P2789">
        <v>0</v>
      </c>
    </row>
    <row r="2790" spans="1:16" x14ac:dyDescent="0.3">
      <c r="A2790" t="s">
        <v>44</v>
      </c>
      <c r="B2790">
        <v>26</v>
      </c>
      <c r="D2790">
        <v>0</v>
      </c>
      <c r="E2790">
        <v>0</v>
      </c>
      <c r="F2790">
        <v>0</v>
      </c>
      <c r="H2790">
        <v>0</v>
      </c>
      <c r="I2790">
        <v>0</v>
      </c>
      <c r="J2790">
        <v>0</v>
      </c>
      <c r="K2790">
        <v>0</v>
      </c>
      <c r="L2790">
        <v>0</v>
      </c>
      <c r="N2790">
        <v>0</v>
      </c>
      <c r="O2790">
        <v>0</v>
      </c>
      <c r="P2790">
        <v>0</v>
      </c>
    </row>
    <row r="2791" spans="1:16" x14ac:dyDescent="0.3">
      <c r="A2791" t="s">
        <v>47</v>
      </c>
      <c r="B2791">
        <v>26</v>
      </c>
      <c r="D2791">
        <v>5</v>
      </c>
      <c r="E2791">
        <v>2</v>
      </c>
      <c r="F2791">
        <v>2</v>
      </c>
      <c r="H2791">
        <v>1</v>
      </c>
      <c r="I2791">
        <v>6</v>
      </c>
      <c r="J2791">
        <v>6</v>
      </c>
      <c r="K2791">
        <v>8</v>
      </c>
      <c r="L2791">
        <v>8</v>
      </c>
      <c r="N2791">
        <v>7</v>
      </c>
      <c r="O2791">
        <v>7</v>
      </c>
      <c r="P2791">
        <v>7</v>
      </c>
    </row>
    <row r="2792" spans="1:16" x14ac:dyDescent="0.3">
      <c r="A2792" t="s">
        <v>642</v>
      </c>
      <c r="B2792">
        <v>26</v>
      </c>
      <c r="D2792">
        <v>0</v>
      </c>
      <c r="E2792">
        <v>0</v>
      </c>
      <c r="F2792">
        <v>0</v>
      </c>
      <c r="H2792">
        <v>0</v>
      </c>
      <c r="I2792">
        <v>0</v>
      </c>
      <c r="J2792">
        <v>0</v>
      </c>
      <c r="K2792">
        <v>0</v>
      </c>
      <c r="L2792">
        <v>0</v>
      </c>
      <c r="N2792">
        <v>0</v>
      </c>
      <c r="O2792">
        <v>0</v>
      </c>
      <c r="P2792">
        <v>0</v>
      </c>
    </row>
    <row r="2793" spans="1:16" x14ac:dyDescent="0.3">
      <c r="A2793" t="s">
        <v>643</v>
      </c>
      <c r="B2793">
        <v>26</v>
      </c>
      <c r="D2793">
        <v>0</v>
      </c>
      <c r="E2793">
        <v>0</v>
      </c>
      <c r="F2793">
        <v>0</v>
      </c>
      <c r="H2793">
        <v>0</v>
      </c>
      <c r="I2793">
        <v>0</v>
      </c>
      <c r="J2793">
        <v>0</v>
      </c>
      <c r="K2793">
        <v>0</v>
      </c>
      <c r="L2793">
        <v>0</v>
      </c>
      <c r="N2793">
        <v>0</v>
      </c>
      <c r="O2793">
        <v>0</v>
      </c>
      <c r="P2793">
        <v>0</v>
      </c>
    </row>
    <row r="2794" spans="1:16" x14ac:dyDescent="0.3">
      <c r="A2794" t="s">
        <v>644</v>
      </c>
      <c r="B2794">
        <v>26</v>
      </c>
      <c r="D2794">
        <v>0</v>
      </c>
      <c r="E2794">
        <v>0</v>
      </c>
      <c r="F2794">
        <v>0</v>
      </c>
      <c r="H2794">
        <v>0</v>
      </c>
      <c r="I2794">
        <v>0</v>
      </c>
      <c r="J2794">
        <v>0</v>
      </c>
      <c r="K2794">
        <v>0</v>
      </c>
      <c r="L2794">
        <v>0</v>
      </c>
      <c r="N2794">
        <v>0</v>
      </c>
      <c r="O2794">
        <v>0</v>
      </c>
      <c r="P2794">
        <v>0</v>
      </c>
    </row>
    <row r="2795" spans="1:16" x14ac:dyDescent="0.3">
      <c r="A2795" t="s">
        <v>645</v>
      </c>
      <c r="B2795">
        <v>26</v>
      </c>
      <c r="D2795">
        <v>0</v>
      </c>
      <c r="E2795">
        <v>0</v>
      </c>
      <c r="F2795">
        <v>0</v>
      </c>
      <c r="H2795">
        <v>0</v>
      </c>
      <c r="I2795">
        <v>0</v>
      </c>
      <c r="J2795">
        <v>0</v>
      </c>
      <c r="K2795">
        <v>0</v>
      </c>
      <c r="L2795">
        <v>0</v>
      </c>
      <c r="N2795">
        <v>0</v>
      </c>
      <c r="O2795">
        <v>0</v>
      </c>
      <c r="P2795">
        <v>0</v>
      </c>
    </row>
    <row r="2796" spans="1:16" x14ac:dyDescent="0.3">
      <c r="A2796" t="s">
        <v>646</v>
      </c>
      <c r="B2796">
        <v>26</v>
      </c>
      <c r="D2796">
        <v>1</v>
      </c>
      <c r="E2796">
        <v>2</v>
      </c>
      <c r="F2796">
        <v>1</v>
      </c>
      <c r="H2796">
        <v>1</v>
      </c>
      <c r="I2796">
        <v>2</v>
      </c>
      <c r="J2796">
        <v>1</v>
      </c>
      <c r="K2796">
        <v>1</v>
      </c>
      <c r="L2796">
        <v>1</v>
      </c>
      <c r="N2796">
        <v>1</v>
      </c>
      <c r="O2796">
        <v>1</v>
      </c>
      <c r="P2796">
        <v>1</v>
      </c>
    </row>
    <row r="2797" spans="1:16" x14ac:dyDescent="0.3">
      <c r="A2797" t="s">
        <v>647</v>
      </c>
      <c r="B2797">
        <v>26</v>
      </c>
      <c r="D2797">
        <v>0</v>
      </c>
      <c r="E2797">
        <v>330</v>
      </c>
      <c r="F2797">
        <v>0</v>
      </c>
      <c r="H2797">
        <v>0</v>
      </c>
      <c r="I2797">
        <v>330</v>
      </c>
      <c r="J2797">
        <v>0</v>
      </c>
      <c r="K2797">
        <v>0</v>
      </c>
      <c r="L2797">
        <v>0</v>
      </c>
      <c r="N2797">
        <v>0</v>
      </c>
      <c r="O2797">
        <v>0</v>
      </c>
      <c r="P2797">
        <v>0</v>
      </c>
    </row>
    <row r="2798" spans="1:16" x14ac:dyDescent="0.3">
      <c r="A2798" t="s">
        <v>648</v>
      </c>
      <c r="B2798">
        <v>26</v>
      </c>
      <c r="D2798">
        <v>40</v>
      </c>
      <c r="E2798">
        <v>6</v>
      </c>
      <c r="F2798">
        <v>0</v>
      </c>
      <c r="H2798">
        <v>40</v>
      </c>
      <c r="I2798">
        <v>6</v>
      </c>
      <c r="J2798">
        <v>0</v>
      </c>
      <c r="K2798">
        <v>40</v>
      </c>
      <c r="L2798">
        <v>40</v>
      </c>
      <c r="N2798">
        <v>40</v>
      </c>
      <c r="O2798">
        <v>40</v>
      </c>
      <c r="P2798">
        <v>0</v>
      </c>
    </row>
    <row r="2799" spans="1:16" x14ac:dyDescent="0.3">
      <c r="A2799" t="s">
        <v>649</v>
      </c>
      <c r="B2799">
        <v>26</v>
      </c>
      <c r="D2799">
        <v>3</v>
      </c>
      <c r="E2799">
        <v>3</v>
      </c>
      <c r="F2799">
        <v>3</v>
      </c>
      <c r="H2799">
        <v>3</v>
      </c>
      <c r="I2799">
        <v>3</v>
      </c>
      <c r="J2799">
        <v>3</v>
      </c>
      <c r="K2799">
        <v>3</v>
      </c>
      <c r="L2799">
        <v>3</v>
      </c>
      <c r="N2799">
        <v>3</v>
      </c>
      <c r="O2799">
        <v>3</v>
      </c>
      <c r="P2799">
        <v>3</v>
      </c>
    </row>
    <row r="2800" spans="1:16" x14ac:dyDescent="0.3">
      <c r="A2800" t="s">
        <v>650</v>
      </c>
      <c r="B2800">
        <v>26</v>
      </c>
      <c r="D2800">
        <v>0</v>
      </c>
      <c r="E2800">
        <v>0</v>
      </c>
      <c r="F2800">
        <v>0</v>
      </c>
      <c r="H2800">
        <v>0</v>
      </c>
      <c r="I2800">
        <v>0</v>
      </c>
      <c r="J2800">
        <v>0</v>
      </c>
      <c r="K2800">
        <v>0</v>
      </c>
      <c r="L2800">
        <v>0</v>
      </c>
      <c r="N2800">
        <v>0</v>
      </c>
      <c r="O2800">
        <v>0</v>
      </c>
      <c r="P2800">
        <v>0</v>
      </c>
    </row>
    <row r="2801" spans="1:16" x14ac:dyDescent="0.3">
      <c r="A2801" t="s">
        <v>651</v>
      </c>
      <c r="B2801">
        <v>26</v>
      </c>
      <c r="D2801">
        <v>0</v>
      </c>
      <c r="E2801">
        <v>0</v>
      </c>
      <c r="F2801">
        <v>0</v>
      </c>
      <c r="H2801">
        <v>0</v>
      </c>
      <c r="I2801">
        <v>0</v>
      </c>
      <c r="J2801">
        <v>0</v>
      </c>
      <c r="K2801">
        <v>0</v>
      </c>
      <c r="L2801">
        <v>0</v>
      </c>
      <c r="N2801">
        <v>0</v>
      </c>
      <c r="O2801">
        <v>0</v>
      </c>
      <c r="P2801">
        <v>0</v>
      </c>
    </row>
    <row r="2802" spans="1:16" x14ac:dyDescent="0.3">
      <c r="A2802" t="s">
        <v>652</v>
      </c>
      <c r="B2802">
        <v>26</v>
      </c>
      <c r="D2802">
        <v>0</v>
      </c>
      <c r="E2802">
        <v>0</v>
      </c>
      <c r="F2802">
        <v>0</v>
      </c>
      <c r="H2802">
        <v>0</v>
      </c>
      <c r="I2802">
        <v>0</v>
      </c>
      <c r="J2802">
        <v>0</v>
      </c>
      <c r="K2802">
        <v>0</v>
      </c>
      <c r="L2802">
        <v>0</v>
      </c>
      <c r="N2802">
        <v>0</v>
      </c>
      <c r="O2802">
        <v>0</v>
      </c>
      <c r="P2802">
        <v>0</v>
      </c>
    </row>
    <row r="2803" spans="1:16" x14ac:dyDescent="0.3">
      <c r="A2803" t="s">
        <v>653</v>
      </c>
      <c r="B2803">
        <v>26</v>
      </c>
      <c r="E2803">
        <v>0</v>
      </c>
      <c r="I2803">
        <v>0</v>
      </c>
    </row>
    <row r="2804" spans="1:16" x14ac:dyDescent="0.3">
      <c r="A2804" t="s">
        <v>654</v>
      </c>
      <c r="B2804">
        <v>26</v>
      </c>
      <c r="E2804">
        <v>0</v>
      </c>
      <c r="I2804">
        <v>0</v>
      </c>
    </row>
    <row r="2805" spans="1:16" x14ac:dyDescent="0.3">
      <c r="A2805" t="s">
        <v>655</v>
      </c>
      <c r="B2805">
        <v>26</v>
      </c>
      <c r="E2805">
        <v>3</v>
      </c>
      <c r="I2805">
        <v>3</v>
      </c>
    </row>
    <row r="2806" spans="1:16" x14ac:dyDescent="0.3">
      <c r="A2806" t="s">
        <v>656</v>
      </c>
      <c r="B2806">
        <v>26</v>
      </c>
      <c r="E2806">
        <v>0</v>
      </c>
      <c r="I2806">
        <v>0</v>
      </c>
    </row>
    <row r="2807" spans="1:16" x14ac:dyDescent="0.3">
      <c r="A2807" t="s">
        <v>657</v>
      </c>
      <c r="B2807">
        <v>26</v>
      </c>
      <c r="E2807">
        <v>0</v>
      </c>
      <c r="I2807">
        <v>0</v>
      </c>
      <c r="L2807">
        <v>0</v>
      </c>
      <c r="O2807">
        <v>0</v>
      </c>
    </row>
    <row r="2808" spans="1:16" x14ac:dyDescent="0.3">
      <c r="A2808" t="s">
        <v>408</v>
      </c>
      <c r="B2808">
        <v>26</v>
      </c>
      <c r="E2808">
        <v>0</v>
      </c>
    </row>
    <row r="2809" spans="1:16" x14ac:dyDescent="0.3">
      <c r="A2809" t="s">
        <v>659</v>
      </c>
      <c r="B2809">
        <v>26</v>
      </c>
      <c r="N2809">
        <v>31</v>
      </c>
    </row>
    <row r="2810" spans="1:16" x14ac:dyDescent="0.3">
      <c r="A2810" t="s">
        <v>658</v>
      </c>
      <c r="B2810">
        <v>26</v>
      </c>
      <c r="C2810">
        <v>0</v>
      </c>
      <c r="D2810">
        <v>11</v>
      </c>
      <c r="E2810">
        <v>940</v>
      </c>
      <c r="F2810">
        <v>109</v>
      </c>
      <c r="G2810">
        <v>0</v>
      </c>
      <c r="H2810">
        <v>109</v>
      </c>
      <c r="I2810">
        <v>707</v>
      </c>
      <c r="J2810">
        <v>43</v>
      </c>
      <c r="K2810">
        <v>0</v>
      </c>
      <c r="L2810">
        <v>153</v>
      </c>
      <c r="M2810">
        <v>0</v>
      </c>
      <c r="N2810">
        <v>37</v>
      </c>
      <c r="O2810">
        <v>39</v>
      </c>
      <c r="P2810">
        <v>43</v>
      </c>
    </row>
    <row r="2811" spans="1:16" x14ac:dyDescent="0.3">
      <c r="A2811" t="s">
        <v>34</v>
      </c>
      <c r="B2811">
        <v>30</v>
      </c>
      <c r="C2811">
        <v>61</v>
      </c>
      <c r="E2811">
        <v>61</v>
      </c>
      <c r="F2811">
        <v>61</v>
      </c>
      <c r="G2811">
        <v>31</v>
      </c>
      <c r="H2811">
        <v>31</v>
      </c>
      <c r="I2811">
        <v>31</v>
      </c>
      <c r="N2811">
        <v>135</v>
      </c>
      <c r="P2811">
        <v>135</v>
      </c>
    </row>
    <row r="2812" spans="1:16" x14ac:dyDescent="0.3">
      <c r="A2812" t="s">
        <v>35</v>
      </c>
      <c r="B2812">
        <v>30</v>
      </c>
      <c r="C2812">
        <v>61</v>
      </c>
      <c r="E2812">
        <v>31</v>
      </c>
      <c r="F2812">
        <v>135</v>
      </c>
      <c r="G2812">
        <v>31</v>
      </c>
      <c r="H2812">
        <v>135</v>
      </c>
      <c r="I2812">
        <v>61</v>
      </c>
      <c r="N2812">
        <v>61</v>
      </c>
      <c r="P2812">
        <v>31</v>
      </c>
    </row>
    <row r="2813" spans="1:16" x14ac:dyDescent="0.3">
      <c r="A2813" t="s">
        <v>36</v>
      </c>
      <c r="B2813">
        <v>30</v>
      </c>
      <c r="C2813">
        <v>1</v>
      </c>
      <c r="E2813">
        <v>2</v>
      </c>
      <c r="F2813">
        <v>1</v>
      </c>
      <c r="G2813">
        <v>0</v>
      </c>
      <c r="H2813">
        <v>1</v>
      </c>
      <c r="I2813">
        <v>2</v>
      </c>
      <c r="N2813">
        <v>1</v>
      </c>
      <c r="P2813">
        <v>1</v>
      </c>
    </row>
    <row r="2814" spans="1:16" x14ac:dyDescent="0.3">
      <c r="A2814" t="s">
        <v>37</v>
      </c>
      <c r="B2814">
        <v>30</v>
      </c>
      <c r="E2814">
        <v>0</v>
      </c>
      <c r="H2814">
        <v>0</v>
      </c>
      <c r="I2814">
        <v>0</v>
      </c>
      <c r="N2814">
        <v>0</v>
      </c>
    </row>
    <row r="2815" spans="1:16" x14ac:dyDescent="0.3">
      <c r="A2815" t="s">
        <v>38</v>
      </c>
      <c r="B2815">
        <v>30</v>
      </c>
      <c r="C2815">
        <v>12</v>
      </c>
      <c r="E2815">
        <v>12</v>
      </c>
      <c r="F2815">
        <v>12</v>
      </c>
      <c r="G2815">
        <v>12</v>
      </c>
      <c r="H2815">
        <v>12</v>
      </c>
      <c r="I2815">
        <v>12</v>
      </c>
      <c r="N2815">
        <v>12</v>
      </c>
      <c r="P2815">
        <v>12</v>
      </c>
    </row>
    <row r="2816" spans="1:16" x14ac:dyDescent="0.3">
      <c r="A2816" t="s">
        <v>39</v>
      </c>
      <c r="B2816">
        <v>30</v>
      </c>
      <c r="C2816">
        <v>272</v>
      </c>
      <c r="F2816">
        <v>253</v>
      </c>
      <c r="H2816">
        <v>301</v>
      </c>
      <c r="P2816">
        <v>187</v>
      </c>
    </row>
    <row r="2817" spans="1:23" x14ac:dyDescent="0.3">
      <c r="A2817" t="s">
        <v>631</v>
      </c>
      <c r="B2817">
        <v>30</v>
      </c>
      <c r="C2817">
        <v>25</v>
      </c>
      <c r="F2817">
        <v>25</v>
      </c>
      <c r="H2817">
        <v>25</v>
      </c>
      <c r="P2817">
        <v>25</v>
      </c>
    </row>
    <row r="2818" spans="1:23" x14ac:dyDescent="0.3">
      <c r="A2818" t="s">
        <v>40</v>
      </c>
      <c r="B2818">
        <v>30</v>
      </c>
      <c r="C2818">
        <v>1</v>
      </c>
      <c r="F2818">
        <v>1</v>
      </c>
      <c r="H2818">
        <v>1</v>
      </c>
      <c r="P2818">
        <v>1</v>
      </c>
    </row>
    <row r="2819" spans="1:23" x14ac:dyDescent="0.3">
      <c r="A2819" t="s">
        <v>41</v>
      </c>
      <c r="B2819">
        <v>30</v>
      </c>
    </row>
    <row r="2820" spans="1:23" x14ac:dyDescent="0.3">
      <c r="A2820" t="s">
        <v>42</v>
      </c>
      <c r="B2820">
        <v>30</v>
      </c>
      <c r="E2820">
        <v>55</v>
      </c>
      <c r="I2820">
        <v>55</v>
      </c>
      <c r="N2820">
        <v>25</v>
      </c>
    </row>
    <row r="2821" spans="1:23" x14ac:dyDescent="0.3">
      <c r="A2821" t="s">
        <v>45</v>
      </c>
      <c r="B2821">
        <v>30</v>
      </c>
      <c r="E2821">
        <v>6</v>
      </c>
      <c r="H2821">
        <v>5</v>
      </c>
      <c r="I2821">
        <v>2</v>
      </c>
      <c r="N2821">
        <v>4</v>
      </c>
      <c r="W2821">
        <v>8</v>
      </c>
    </row>
    <row r="2822" spans="1:23" x14ac:dyDescent="0.3">
      <c r="A2822" t="s">
        <v>46</v>
      </c>
      <c r="B2822">
        <v>30</v>
      </c>
      <c r="C2822">
        <v>6</v>
      </c>
      <c r="F2822">
        <v>6</v>
      </c>
      <c r="H2822">
        <v>2</v>
      </c>
      <c r="P2822">
        <v>4</v>
      </c>
    </row>
    <row r="2823" spans="1:23" x14ac:dyDescent="0.3">
      <c r="A2823" t="s">
        <v>49</v>
      </c>
      <c r="B2823">
        <v>30</v>
      </c>
      <c r="C2823">
        <v>7.4</v>
      </c>
      <c r="E2823">
        <v>7.4</v>
      </c>
      <c r="F2823">
        <v>7.4</v>
      </c>
      <c r="G2823">
        <v>4</v>
      </c>
      <c r="H2823">
        <v>5.7</v>
      </c>
      <c r="I2823">
        <v>7.4</v>
      </c>
      <c r="N2823">
        <v>5.8</v>
      </c>
      <c r="P2823">
        <v>5.8</v>
      </c>
    </row>
    <row r="2824" spans="1:23" x14ac:dyDescent="0.3">
      <c r="A2824" t="s">
        <v>632</v>
      </c>
      <c r="B2824">
        <v>30</v>
      </c>
      <c r="C2824">
        <v>0</v>
      </c>
      <c r="E2824">
        <v>0</v>
      </c>
      <c r="F2824">
        <v>0</v>
      </c>
      <c r="G2824">
        <v>0</v>
      </c>
      <c r="H2824">
        <v>0</v>
      </c>
      <c r="I2824">
        <v>0</v>
      </c>
      <c r="N2824">
        <v>0</v>
      </c>
      <c r="P2824">
        <v>0</v>
      </c>
    </row>
    <row r="2825" spans="1:23" x14ac:dyDescent="0.3">
      <c r="A2825" t="s">
        <v>48</v>
      </c>
      <c r="B2825">
        <v>30</v>
      </c>
      <c r="C2825">
        <v>1900</v>
      </c>
      <c r="E2825">
        <v>1900</v>
      </c>
      <c r="F2825">
        <v>1900</v>
      </c>
      <c r="G2825">
        <v>1900</v>
      </c>
      <c r="H2825">
        <v>1900</v>
      </c>
      <c r="I2825">
        <v>1900</v>
      </c>
      <c r="N2825">
        <v>1900</v>
      </c>
      <c r="P2825">
        <v>1900</v>
      </c>
    </row>
    <row r="2826" spans="1:23" x14ac:dyDescent="0.3">
      <c r="A2826" t="s">
        <v>633</v>
      </c>
      <c r="B2826">
        <v>30</v>
      </c>
      <c r="C2826">
        <v>1770</v>
      </c>
      <c r="E2826">
        <v>3539</v>
      </c>
      <c r="F2826">
        <v>1583</v>
      </c>
      <c r="G2826">
        <v>0</v>
      </c>
      <c r="H2826">
        <v>1778</v>
      </c>
      <c r="I2826">
        <v>3557</v>
      </c>
      <c r="N2826">
        <v>1752</v>
      </c>
      <c r="P2826">
        <v>1567</v>
      </c>
    </row>
    <row r="2827" spans="1:23" x14ac:dyDescent="0.3">
      <c r="A2827" t="s">
        <v>50</v>
      </c>
      <c r="B2827">
        <v>30</v>
      </c>
      <c r="C2827">
        <v>652</v>
      </c>
      <c r="E2827">
        <v>3539</v>
      </c>
      <c r="F2827">
        <v>1583</v>
      </c>
      <c r="G2827">
        <v>0</v>
      </c>
      <c r="H2827">
        <v>389</v>
      </c>
      <c r="I2827">
        <v>3557</v>
      </c>
      <c r="N2827">
        <v>1752</v>
      </c>
      <c r="P2827">
        <v>1567</v>
      </c>
    </row>
    <row r="2828" spans="1:23" x14ac:dyDescent="0.3">
      <c r="A2828" t="s">
        <v>634</v>
      </c>
      <c r="B2828">
        <v>30</v>
      </c>
      <c r="C2828">
        <v>1</v>
      </c>
      <c r="E2828">
        <v>1</v>
      </c>
      <c r="F2828">
        <v>1</v>
      </c>
      <c r="G2828">
        <v>1</v>
      </c>
      <c r="H2828">
        <v>1</v>
      </c>
      <c r="I2828">
        <v>1</v>
      </c>
      <c r="N2828">
        <v>1</v>
      </c>
      <c r="P2828">
        <v>1</v>
      </c>
    </row>
    <row r="2829" spans="1:23" x14ac:dyDescent="0.3">
      <c r="A2829" t="s">
        <v>51</v>
      </c>
      <c r="B2829">
        <v>30</v>
      </c>
      <c r="C2829">
        <v>0</v>
      </c>
      <c r="E2829">
        <v>0</v>
      </c>
      <c r="F2829">
        <v>6</v>
      </c>
      <c r="G2829">
        <v>0</v>
      </c>
      <c r="H2829">
        <v>0</v>
      </c>
      <c r="I2829">
        <v>0</v>
      </c>
      <c r="N2829">
        <v>0</v>
      </c>
      <c r="P2829">
        <v>60</v>
      </c>
    </row>
    <row r="2830" spans="1:23" x14ac:dyDescent="0.3">
      <c r="A2830" t="s">
        <v>53</v>
      </c>
      <c r="B2830">
        <v>30</v>
      </c>
      <c r="C2830">
        <v>2</v>
      </c>
      <c r="E2830">
        <v>1078</v>
      </c>
      <c r="F2830">
        <v>6</v>
      </c>
      <c r="G2830">
        <v>0</v>
      </c>
      <c r="H2830">
        <v>20</v>
      </c>
      <c r="I2830">
        <v>735</v>
      </c>
      <c r="N2830">
        <v>23</v>
      </c>
      <c r="P2830">
        <v>55</v>
      </c>
    </row>
    <row r="2831" spans="1:23" x14ac:dyDescent="0.3">
      <c r="A2831" t="s">
        <v>54</v>
      </c>
      <c r="B2831">
        <v>30</v>
      </c>
      <c r="C2831">
        <v>0</v>
      </c>
      <c r="E2831">
        <v>0</v>
      </c>
      <c r="F2831">
        <v>0</v>
      </c>
      <c r="G2831">
        <v>0</v>
      </c>
      <c r="H2831">
        <v>0</v>
      </c>
      <c r="I2831">
        <v>0</v>
      </c>
      <c r="N2831">
        <v>0</v>
      </c>
      <c r="P2831">
        <v>0</v>
      </c>
    </row>
    <row r="2832" spans="1:23" x14ac:dyDescent="0.3">
      <c r="A2832" t="s">
        <v>55</v>
      </c>
      <c r="B2832">
        <v>30</v>
      </c>
      <c r="C2832">
        <v>0</v>
      </c>
      <c r="E2832">
        <v>0</v>
      </c>
      <c r="F2832">
        <v>0</v>
      </c>
      <c r="G2832">
        <v>0</v>
      </c>
      <c r="H2832">
        <v>0</v>
      </c>
      <c r="I2832">
        <v>0</v>
      </c>
      <c r="N2832">
        <v>0</v>
      </c>
      <c r="P2832">
        <v>0</v>
      </c>
    </row>
    <row r="2833" spans="1:16" x14ac:dyDescent="0.3">
      <c r="A2833" t="s">
        <v>56</v>
      </c>
      <c r="B2833">
        <v>30</v>
      </c>
      <c r="C2833">
        <v>0.92</v>
      </c>
      <c r="E2833">
        <v>0.92</v>
      </c>
      <c r="F2833">
        <v>0.92</v>
      </c>
      <c r="G2833">
        <v>0.92</v>
      </c>
      <c r="H2833">
        <v>0.92</v>
      </c>
      <c r="I2833">
        <v>0.92</v>
      </c>
      <c r="N2833">
        <v>0.92</v>
      </c>
      <c r="P2833">
        <v>0.92</v>
      </c>
    </row>
    <row r="2834" spans="1:16" x14ac:dyDescent="0.3">
      <c r="A2834" t="s">
        <v>57</v>
      </c>
      <c r="B2834">
        <v>30</v>
      </c>
      <c r="C2834">
        <v>100</v>
      </c>
      <c r="E2834">
        <v>100</v>
      </c>
      <c r="F2834">
        <v>100</v>
      </c>
      <c r="G2834">
        <v>100</v>
      </c>
      <c r="H2834">
        <v>100</v>
      </c>
      <c r="I2834">
        <v>100</v>
      </c>
      <c r="N2834">
        <v>100</v>
      </c>
      <c r="P2834">
        <v>100</v>
      </c>
    </row>
    <row r="2835" spans="1:16" x14ac:dyDescent="0.3">
      <c r="A2835" t="s">
        <v>58</v>
      </c>
      <c r="B2835">
        <v>30</v>
      </c>
      <c r="C2835">
        <v>2</v>
      </c>
      <c r="E2835">
        <v>2</v>
      </c>
      <c r="F2835">
        <v>2</v>
      </c>
      <c r="G2835">
        <v>2</v>
      </c>
      <c r="H2835">
        <v>2</v>
      </c>
      <c r="I2835">
        <v>2</v>
      </c>
      <c r="N2835">
        <v>2</v>
      </c>
      <c r="P2835">
        <v>2</v>
      </c>
    </row>
    <row r="2836" spans="1:16" x14ac:dyDescent="0.3">
      <c r="A2836" t="s">
        <v>59</v>
      </c>
      <c r="B2836">
        <v>30</v>
      </c>
      <c r="C2836">
        <v>0</v>
      </c>
      <c r="E2836">
        <v>0</v>
      </c>
      <c r="F2836">
        <v>0</v>
      </c>
      <c r="G2836">
        <v>0</v>
      </c>
      <c r="H2836">
        <v>0</v>
      </c>
      <c r="I2836">
        <v>0</v>
      </c>
      <c r="N2836">
        <v>0</v>
      </c>
      <c r="P2836">
        <v>0</v>
      </c>
    </row>
    <row r="2837" spans="1:16" x14ac:dyDescent="0.3">
      <c r="A2837" t="s">
        <v>635</v>
      </c>
      <c r="B2837">
        <v>30</v>
      </c>
      <c r="E2837">
        <v>0</v>
      </c>
      <c r="I2837">
        <v>0</v>
      </c>
      <c r="N2837">
        <v>0</v>
      </c>
    </row>
    <row r="2838" spans="1:16" x14ac:dyDescent="0.3">
      <c r="A2838" t="s">
        <v>574</v>
      </c>
      <c r="B2838">
        <v>30</v>
      </c>
      <c r="E2838">
        <v>2237</v>
      </c>
      <c r="I2838">
        <v>1575</v>
      </c>
      <c r="N2838">
        <v>618</v>
      </c>
    </row>
    <row r="2839" spans="1:16" x14ac:dyDescent="0.3">
      <c r="A2839" t="s">
        <v>78</v>
      </c>
      <c r="B2839">
        <v>30</v>
      </c>
      <c r="E2839">
        <v>27.7</v>
      </c>
      <c r="I2839">
        <v>19.5</v>
      </c>
      <c r="N2839">
        <v>16.899999999999999</v>
      </c>
    </row>
    <row r="2840" spans="1:16" x14ac:dyDescent="0.3">
      <c r="A2840" t="s">
        <v>636</v>
      </c>
      <c r="B2840">
        <v>30</v>
      </c>
      <c r="F2840">
        <v>1</v>
      </c>
      <c r="I2840">
        <v>0</v>
      </c>
      <c r="P2840">
        <v>1</v>
      </c>
    </row>
    <row r="2841" spans="1:16" x14ac:dyDescent="0.3">
      <c r="A2841" t="s">
        <v>637</v>
      </c>
      <c r="B2841">
        <v>30</v>
      </c>
      <c r="F2841">
        <v>50</v>
      </c>
      <c r="P2841">
        <v>50</v>
      </c>
    </row>
    <row r="2842" spans="1:16" x14ac:dyDescent="0.3">
      <c r="A2842" t="s">
        <v>638</v>
      </c>
      <c r="B2842">
        <v>30</v>
      </c>
      <c r="F2842">
        <v>0</v>
      </c>
      <c r="P2842">
        <v>0</v>
      </c>
    </row>
    <row r="2843" spans="1:16" x14ac:dyDescent="0.3">
      <c r="A2843" t="s">
        <v>639</v>
      </c>
      <c r="B2843">
        <v>30</v>
      </c>
      <c r="C2843">
        <v>3</v>
      </c>
      <c r="E2843">
        <v>0</v>
      </c>
      <c r="F2843">
        <v>1</v>
      </c>
      <c r="G2843">
        <v>3</v>
      </c>
      <c r="H2843">
        <v>0</v>
      </c>
      <c r="I2843">
        <v>0</v>
      </c>
      <c r="N2843">
        <v>0</v>
      </c>
      <c r="P2843">
        <v>1</v>
      </c>
    </row>
    <row r="2844" spans="1:16" x14ac:dyDescent="0.3">
      <c r="A2844" t="s">
        <v>640</v>
      </c>
      <c r="B2844">
        <v>30</v>
      </c>
      <c r="C2844">
        <v>0</v>
      </c>
      <c r="E2844">
        <v>0</v>
      </c>
      <c r="F2844">
        <v>0</v>
      </c>
      <c r="G2844">
        <v>0</v>
      </c>
      <c r="H2844">
        <v>0</v>
      </c>
      <c r="I2844">
        <v>0</v>
      </c>
      <c r="N2844">
        <v>0</v>
      </c>
      <c r="P2844">
        <v>0</v>
      </c>
    </row>
    <row r="2845" spans="1:16" x14ac:dyDescent="0.3">
      <c r="A2845" t="s">
        <v>52</v>
      </c>
      <c r="B2845">
        <v>30</v>
      </c>
      <c r="C2845">
        <v>1</v>
      </c>
      <c r="E2845">
        <v>1</v>
      </c>
      <c r="F2845">
        <v>1</v>
      </c>
      <c r="G2845">
        <v>0.99</v>
      </c>
      <c r="H2845">
        <v>0.99</v>
      </c>
      <c r="I2845">
        <v>0.99</v>
      </c>
      <c r="N2845">
        <v>1.01</v>
      </c>
      <c r="P2845">
        <v>1.01</v>
      </c>
    </row>
    <row r="2846" spans="1:16" x14ac:dyDescent="0.3">
      <c r="A2846" t="s">
        <v>641</v>
      </c>
      <c r="B2846">
        <v>30</v>
      </c>
      <c r="C2846">
        <v>9</v>
      </c>
      <c r="E2846">
        <v>60</v>
      </c>
      <c r="F2846">
        <v>9</v>
      </c>
      <c r="G2846">
        <v>9</v>
      </c>
      <c r="H2846">
        <v>15</v>
      </c>
      <c r="I2846">
        <v>60</v>
      </c>
      <c r="N2846">
        <v>15</v>
      </c>
      <c r="P2846">
        <v>9</v>
      </c>
    </row>
    <row r="2847" spans="1:16" x14ac:dyDescent="0.3">
      <c r="A2847" t="s">
        <v>43</v>
      </c>
      <c r="B2847">
        <v>30</v>
      </c>
      <c r="C2847">
        <v>35</v>
      </c>
      <c r="E2847">
        <v>415</v>
      </c>
      <c r="F2847">
        <v>0</v>
      </c>
      <c r="H2847">
        <v>35</v>
      </c>
      <c r="I2847">
        <v>401</v>
      </c>
      <c r="N2847">
        <v>35</v>
      </c>
      <c r="P2847">
        <v>0</v>
      </c>
    </row>
    <row r="2848" spans="1:16" x14ac:dyDescent="0.3">
      <c r="A2848" t="s">
        <v>44</v>
      </c>
      <c r="B2848">
        <v>30</v>
      </c>
      <c r="C2848">
        <v>-5</v>
      </c>
      <c r="E2848">
        <v>0</v>
      </c>
      <c r="F2848">
        <v>0</v>
      </c>
      <c r="H2848">
        <v>-5</v>
      </c>
      <c r="I2848">
        <v>0</v>
      </c>
      <c r="N2848">
        <v>-5</v>
      </c>
      <c r="P2848">
        <v>0</v>
      </c>
    </row>
    <row r="2849" spans="1:16" x14ac:dyDescent="0.3">
      <c r="A2849" t="s">
        <v>47</v>
      </c>
      <c r="B2849">
        <v>30</v>
      </c>
      <c r="C2849">
        <v>6</v>
      </c>
      <c r="E2849">
        <v>6</v>
      </c>
      <c r="F2849">
        <v>6</v>
      </c>
      <c r="H2849">
        <v>5</v>
      </c>
      <c r="I2849">
        <v>2</v>
      </c>
      <c r="N2849">
        <v>4</v>
      </c>
      <c r="P2849">
        <v>4</v>
      </c>
    </row>
    <row r="2850" spans="1:16" x14ac:dyDescent="0.3">
      <c r="A2850" t="s">
        <v>642</v>
      </c>
      <c r="B2850">
        <v>30</v>
      </c>
      <c r="C2850">
        <v>0</v>
      </c>
      <c r="E2850">
        <v>0</v>
      </c>
      <c r="F2850">
        <v>0</v>
      </c>
      <c r="H2850">
        <v>0</v>
      </c>
      <c r="I2850">
        <v>0</v>
      </c>
      <c r="N2850">
        <v>0</v>
      </c>
      <c r="P2850">
        <v>0</v>
      </c>
    </row>
    <row r="2851" spans="1:16" x14ac:dyDescent="0.3">
      <c r="A2851" t="s">
        <v>643</v>
      </c>
      <c r="B2851">
        <v>30</v>
      </c>
      <c r="C2851">
        <v>0</v>
      </c>
      <c r="E2851">
        <v>0</v>
      </c>
      <c r="F2851">
        <v>0</v>
      </c>
      <c r="H2851">
        <v>0</v>
      </c>
      <c r="I2851">
        <v>0</v>
      </c>
      <c r="N2851">
        <v>0</v>
      </c>
      <c r="P2851">
        <v>0</v>
      </c>
    </row>
    <row r="2852" spans="1:16" x14ac:dyDescent="0.3">
      <c r="A2852" t="s">
        <v>644</v>
      </c>
      <c r="B2852">
        <v>30</v>
      </c>
      <c r="C2852">
        <v>0</v>
      </c>
      <c r="E2852">
        <v>0</v>
      </c>
      <c r="F2852">
        <v>0</v>
      </c>
      <c r="H2852">
        <v>0</v>
      </c>
      <c r="I2852">
        <v>0</v>
      </c>
      <c r="N2852">
        <v>0</v>
      </c>
      <c r="P2852">
        <v>0</v>
      </c>
    </row>
    <row r="2853" spans="1:16" x14ac:dyDescent="0.3">
      <c r="A2853" t="s">
        <v>645</v>
      </c>
      <c r="B2853">
        <v>30</v>
      </c>
      <c r="C2853">
        <v>0</v>
      </c>
      <c r="E2853">
        <v>0</v>
      </c>
      <c r="F2853">
        <v>0</v>
      </c>
      <c r="H2853">
        <v>0</v>
      </c>
      <c r="I2853">
        <v>0</v>
      </c>
      <c r="N2853">
        <v>0</v>
      </c>
      <c r="P2853">
        <v>0</v>
      </c>
    </row>
    <row r="2854" spans="1:16" x14ac:dyDescent="0.3">
      <c r="A2854" t="s">
        <v>646</v>
      </c>
      <c r="B2854">
        <v>30</v>
      </c>
      <c r="C2854">
        <v>1</v>
      </c>
      <c r="E2854">
        <v>2</v>
      </c>
      <c r="F2854">
        <v>1</v>
      </c>
      <c r="H2854">
        <v>1</v>
      </c>
      <c r="I2854">
        <v>2</v>
      </c>
      <c r="N2854">
        <v>1</v>
      </c>
      <c r="P2854">
        <v>1</v>
      </c>
    </row>
    <row r="2855" spans="1:16" x14ac:dyDescent="0.3">
      <c r="A2855" t="s">
        <v>647</v>
      </c>
      <c r="B2855">
        <v>30</v>
      </c>
      <c r="C2855">
        <v>-5</v>
      </c>
      <c r="E2855">
        <v>409</v>
      </c>
      <c r="F2855">
        <v>0</v>
      </c>
      <c r="H2855">
        <v>-5</v>
      </c>
      <c r="I2855">
        <v>395</v>
      </c>
      <c r="N2855">
        <v>-5</v>
      </c>
      <c r="P2855">
        <v>0</v>
      </c>
    </row>
    <row r="2856" spans="1:16" x14ac:dyDescent="0.3">
      <c r="A2856" t="s">
        <v>648</v>
      </c>
      <c r="B2856">
        <v>30</v>
      </c>
      <c r="C2856">
        <v>40</v>
      </c>
      <c r="E2856">
        <v>6</v>
      </c>
      <c r="F2856">
        <v>0</v>
      </c>
      <c r="H2856">
        <v>40</v>
      </c>
      <c r="I2856">
        <v>6</v>
      </c>
      <c r="N2856">
        <v>40</v>
      </c>
      <c r="P2856">
        <v>0</v>
      </c>
    </row>
    <row r="2857" spans="1:16" x14ac:dyDescent="0.3">
      <c r="A2857" t="s">
        <v>649</v>
      </c>
      <c r="B2857">
        <v>30</v>
      </c>
      <c r="C2857">
        <v>3</v>
      </c>
      <c r="E2857">
        <v>3</v>
      </c>
      <c r="F2857">
        <v>3</v>
      </c>
      <c r="H2857">
        <v>3</v>
      </c>
      <c r="I2857">
        <v>3</v>
      </c>
      <c r="N2857">
        <v>3</v>
      </c>
      <c r="P2857">
        <v>3</v>
      </c>
    </row>
    <row r="2858" spans="1:16" x14ac:dyDescent="0.3">
      <c r="A2858" t="s">
        <v>650</v>
      </c>
      <c r="B2858">
        <v>30</v>
      </c>
      <c r="C2858">
        <v>0</v>
      </c>
      <c r="E2858">
        <v>0</v>
      </c>
      <c r="F2858">
        <v>0</v>
      </c>
      <c r="H2858">
        <v>0</v>
      </c>
      <c r="I2858">
        <v>0</v>
      </c>
      <c r="N2858">
        <v>0</v>
      </c>
      <c r="P2858">
        <v>0</v>
      </c>
    </row>
    <row r="2859" spans="1:16" x14ac:dyDescent="0.3">
      <c r="A2859" t="s">
        <v>651</v>
      </c>
      <c r="B2859">
        <v>30</v>
      </c>
      <c r="C2859">
        <v>0</v>
      </c>
      <c r="E2859">
        <v>0</v>
      </c>
      <c r="F2859">
        <v>0</v>
      </c>
      <c r="H2859">
        <v>0</v>
      </c>
      <c r="I2859">
        <v>0</v>
      </c>
      <c r="N2859">
        <v>0</v>
      </c>
      <c r="P2859">
        <v>0</v>
      </c>
    </row>
    <row r="2860" spans="1:16" x14ac:dyDescent="0.3">
      <c r="A2860" t="s">
        <v>652</v>
      </c>
      <c r="B2860">
        <v>30</v>
      </c>
      <c r="C2860">
        <v>0</v>
      </c>
      <c r="E2860">
        <v>0</v>
      </c>
      <c r="F2860">
        <v>0</v>
      </c>
      <c r="H2860">
        <v>0</v>
      </c>
      <c r="I2860">
        <v>0</v>
      </c>
      <c r="N2860">
        <v>0</v>
      </c>
      <c r="P2860">
        <v>0</v>
      </c>
    </row>
    <row r="2861" spans="1:16" x14ac:dyDescent="0.3">
      <c r="A2861" t="s">
        <v>653</v>
      </c>
      <c r="B2861">
        <v>30</v>
      </c>
      <c r="E2861">
        <v>0</v>
      </c>
      <c r="I2861">
        <v>0</v>
      </c>
    </row>
    <row r="2862" spans="1:16" x14ac:dyDescent="0.3">
      <c r="A2862" t="s">
        <v>654</v>
      </c>
      <c r="B2862">
        <v>30</v>
      </c>
      <c r="E2862">
        <v>0</v>
      </c>
      <c r="I2862">
        <v>0</v>
      </c>
    </row>
    <row r="2863" spans="1:16" x14ac:dyDescent="0.3">
      <c r="A2863" t="s">
        <v>655</v>
      </c>
      <c r="B2863">
        <v>30</v>
      </c>
      <c r="E2863">
        <v>3</v>
      </c>
      <c r="I2863">
        <v>3</v>
      </c>
    </row>
    <row r="2864" spans="1:16" x14ac:dyDescent="0.3">
      <c r="A2864" t="s">
        <v>656</v>
      </c>
      <c r="B2864">
        <v>30</v>
      </c>
      <c r="E2864">
        <v>0</v>
      </c>
      <c r="I2864">
        <v>0</v>
      </c>
    </row>
    <row r="2865" spans="1:16" x14ac:dyDescent="0.3">
      <c r="A2865" t="s">
        <v>657</v>
      </c>
      <c r="B2865">
        <v>30</v>
      </c>
      <c r="E2865">
        <v>0</v>
      </c>
      <c r="I2865">
        <v>0</v>
      </c>
      <c r="N2865">
        <v>0</v>
      </c>
    </row>
    <row r="2866" spans="1:16" x14ac:dyDescent="0.3">
      <c r="A2866" t="s">
        <v>408</v>
      </c>
      <c r="B2866">
        <v>30</v>
      </c>
      <c r="E2866">
        <v>0</v>
      </c>
    </row>
    <row r="2867" spans="1:16" x14ac:dyDescent="0.3">
      <c r="A2867" t="s">
        <v>658</v>
      </c>
      <c r="B2867">
        <v>30</v>
      </c>
      <c r="C2867">
        <v>2</v>
      </c>
      <c r="E2867">
        <v>1172</v>
      </c>
      <c r="F2867">
        <v>7</v>
      </c>
      <c r="G2867">
        <v>0</v>
      </c>
      <c r="H2867">
        <v>22</v>
      </c>
      <c r="I2867">
        <v>799</v>
      </c>
      <c r="N2867">
        <v>25</v>
      </c>
      <c r="P2867">
        <v>60</v>
      </c>
    </row>
    <row r="2868" spans="1:16" x14ac:dyDescent="0.3">
      <c r="A2868" t="s">
        <v>34</v>
      </c>
      <c r="B2868">
        <v>31</v>
      </c>
      <c r="C2868">
        <v>30</v>
      </c>
      <c r="D2868">
        <v>30</v>
      </c>
      <c r="E2868">
        <v>30</v>
      </c>
      <c r="F2868">
        <v>30</v>
      </c>
      <c r="G2868">
        <v>8</v>
      </c>
      <c r="H2868">
        <v>8</v>
      </c>
      <c r="I2868">
        <v>8</v>
      </c>
      <c r="J2868">
        <v>8</v>
      </c>
      <c r="K2868">
        <v>136</v>
      </c>
      <c r="L2868">
        <v>136</v>
      </c>
      <c r="M2868">
        <v>136</v>
      </c>
      <c r="N2868">
        <v>137</v>
      </c>
      <c r="O2868">
        <v>137</v>
      </c>
      <c r="P2868">
        <v>137</v>
      </c>
    </row>
    <row r="2869" spans="1:16" x14ac:dyDescent="0.3">
      <c r="A2869" t="s">
        <v>35</v>
      </c>
      <c r="B2869">
        <v>31</v>
      </c>
      <c r="C2869">
        <v>30</v>
      </c>
      <c r="D2869">
        <v>136</v>
      </c>
      <c r="E2869">
        <v>8</v>
      </c>
      <c r="F2869">
        <v>137</v>
      </c>
      <c r="G2869">
        <v>8</v>
      </c>
      <c r="H2869">
        <v>137</v>
      </c>
      <c r="I2869">
        <v>30</v>
      </c>
      <c r="J2869">
        <v>136</v>
      </c>
      <c r="K2869">
        <v>8</v>
      </c>
      <c r="L2869">
        <v>137</v>
      </c>
      <c r="M2869">
        <v>30</v>
      </c>
      <c r="N2869">
        <v>30</v>
      </c>
      <c r="O2869">
        <v>136</v>
      </c>
      <c r="P2869">
        <v>8</v>
      </c>
    </row>
    <row r="2870" spans="1:16" x14ac:dyDescent="0.3">
      <c r="A2870" t="s">
        <v>36</v>
      </c>
      <c r="B2870">
        <v>31</v>
      </c>
      <c r="C2870">
        <v>0</v>
      </c>
      <c r="D2870">
        <v>1</v>
      </c>
      <c r="E2870">
        <v>2</v>
      </c>
      <c r="F2870">
        <v>1</v>
      </c>
      <c r="G2870">
        <v>0</v>
      </c>
      <c r="H2870">
        <v>2</v>
      </c>
      <c r="I2870">
        <v>2</v>
      </c>
      <c r="J2870">
        <v>1</v>
      </c>
      <c r="K2870">
        <v>0</v>
      </c>
      <c r="L2870">
        <v>1</v>
      </c>
      <c r="M2870">
        <v>0</v>
      </c>
      <c r="N2870">
        <v>1</v>
      </c>
      <c r="O2870">
        <v>1</v>
      </c>
      <c r="P2870">
        <v>1</v>
      </c>
    </row>
    <row r="2871" spans="1:16" x14ac:dyDescent="0.3">
      <c r="A2871" t="s">
        <v>37</v>
      </c>
      <c r="B2871">
        <v>31</v>
      </c>
      <c r="D2871">
        <v>0</v>
      </c>
      <c r="E2871">
        <v>0</v>
      </c>
      <c r="H2871">
        <v>0</v>
      </c>
      <c r="I2871">
        <v>0</v>
      </c>
      <c r="K2871">
        <v>0</v>
      </c>
      <c r="L2871">
        <v>3</v>
      </c>
      <c r="N2871">
        <v>0</v>
      </c>
      <c r="O2871">
        <v>1</v>
      </c>
    </row>
    <row r="2872" spans="1:16" x14ac:dyDescent="0.3">
      <c r="A2872" t="s">
        <v>38</v>
      </c>
      <c r="B2872">
        <v>31</v>
      </c>
      <c r="C2872">
        <v>12</v>
      </c>
      <c r="D2872">
        <v>12</v>
      </c>
      <c r="E2872">
        <v>12</v>
      </c>
      <c r="F2872">
        <v>12</v>
      </c>
      <c r="G2872">
        <v>12</v>
      </c>
      <c r="H2872">
        <v>12</v>
      </c>
      <c r="I2872">
        <v>12</v>
      </c>
      <c r="J2872">
        <v>12</v>
      </c>
      <c r="K2872">
        <v>12</v>
      </c>
      <c r="L2872">
        <v>12</v>
      </c>
      <c r="M2872">
        <v>12</v>
      </c>
      <c r="N2872">
        <v>12</v>
      </c>
      <c r="O2872">
        <v>12</v>
      </c>
      <c r="P2872">
        <v>12</v>
      </c>
    </row>
    <row r="2873" spans="1:16" x14ac:dyDescent="0.3">
      <c r="A2873" t="s">
        <v>39</v>
      </c>
      <c r="B2873">
        <v>31</v>
      </c>
      <c r="D2873">
        <v>182</v>
      </c>
      <c r="F2873">
        <v>215</v>
      </c>
      <c r="H2873">
        <v>191</v>
      </c>
      <c r="J2873">
        <v>170</v>
      </c>
      <c r="P2873">
        <v>120</v>
      </c>
    </row>
    <row r="2874" spans="1:16" x14ac:dyDescent="0.3">
      <c r="A2874" t="s">
        <v>631</v>
      </c>
      <c r="B2874">
        <v>31</v>
      </c>
      <c r="D2874">
        <v>25</v>
      </c>
      <c r="F2874">
        <v>25</v>
      </c>
      <c r="H2874">
        <v>25</v>
      </c>
      <c r="J2874">
        <v>25</v>
      </c>
      <c r="P2874">
        <v>25</v>
      </c>
    </row>
    <row r="2875" spans="1:16" x14ac:dyDescent="0.3">
      <c r="A2875" t="s">
        <v>40</v>
      </c>
      <c r="B2875">
        <v>31</v>
      </c>
      <c r="D2875">
        <v>1</v>
      </c>
      <c r="F2875">
        <v>1</v>
      </c>
      <c r="H2875">
        <v>2</v>
      </c>
      <c r="J2875">
        <v>1</v>
      </c>
      <c r="P2875">
        <v>1</v>
      </c>
    </row>
    <row r="2876" spans="1:16" x14ac:dyDescent="0.3">
      <c r="A2876" t="s">
        <v>41</v>
      </c>
      <c r="B2876">
        <v>31</v>
      </c>
    </row>
    <row r="2877" spans="1:16" x14ac:dyDescent="0.3">
      <c r="A2877" t="s">
        <v>42</v>
      </c>
      <c r="B2877">
        <v>31</v>
      </c>
      <c r="E2877">
        <v>55</v>
      </c>
      <c r="I2877">
        <v>55</v>
      </c>
      <c r="L2877">
        <v>25</v>
      </c>
      <c r="O2877">
        <v>35</v>
      </c>
    </row>
    <row r="2878" spans="1:16" x14ac:dyDescent="0.3">
      <c r="A2878" t="s">
        <v>45</v>
      </c>
      <c r="B2878">
        <v>31</v>
      </c>
      <c r="E2878">
        <v>6</v>
      </c>
      <c r="H2878">
        <v>5</v>
      </c>
      <c r="I2878">
        <v>2</v>
      </c>
      <c r="K2878">
        <v>3</v>
      </c>
      <c r="L2878">
        <v>3</v>
      </c>
      <c r="N2878">
        <v>4</v>
      </c>
      <c r="O2878">
        <v>4</v>
      </c>
    </row>
    <row r="2879" spans="1:16" x14ac:dyDescent="0.3">
      <c r="A2879" t="s">
        <v>46</v>
      </c>
      <c r="B2879">
        <v>31</v>
      </c>
      <c r="D2879">
        <v>6</v>
      </c>
      <c r="F2879">
        <v>6</v>
      </c>
      <c r="J2879">
        <v>2</v>
      </c>
      <c r="P2879">
        <v>3</v>
      </c>
    </row>
    <row r="2880" spans="1:16" x14ac:dyDescent="0.3">
      <c r="A2880" t="s">
        <v>49</v>
      </c>
      <c r="B2880">
        <v>31</v>
      </c>
      <c r="C2880">
        <v>4</v>
      </c>
      <c r="D2880">
        <v>7.9</v>
      </c>
      <c r="E2880">
        <v>7.9</v>
      </c>
      <c r="F2880">
        <v>7.9</v>
      </c>
      <c r="G2880">
        <v>4</v>
      </c>
      <c r="H2880">
        <v>6.5</v>
      </c>
      <c r="I2880">
        <v>7.9</v>
      </c>
      <c r="J2880">
        <v>7.9</v>
      </c>
      <c r="K2880">
        <v>6.3</v>
      </c>
      <c r="L2880">
        <v>6.3</v>
      </c>
      <c r="M2880">
        <v>4</v>
      </c>
      <c r="N2880">
        <v>7.4</v>
      </c>
      <c r="O2880">
        <v>7.4</v>
      </c>
      <c r="P2880">
        <v>6.3</v>
      </c>
    </row>
    <row r="2881" spans="1:16" x14ac:dyDescent="0.3">
      <c r="A2881" t="s">
        <v>632</v>
      </c>
      <c r="B2881">
        <v>31</v>
      </c>
      <c r="C2881">
        <v>0</v>
      </c>
      <c r="D2881">
        <v>0</v>
      </c>
      <c r="E2881">
        <v>0</v>
      </c>
      <c r="F2881">
        <v>0</v>
      </c>
      <c r="G2881">
        <v>0</v>
      </c>
      <c r="H2881">
        <v>0</v>
      </c>
      <c r="I2881">
        <v>0</v>
      </c>
      <c r="J2881">
        <v>0</v>
      </c>
      <c r="K2881">
        <v>0</v>
      </c>
      <c r="L2881">
        <v>0</v>
      </c>
      <c r="M2881">
        <v>0</v>
      </c>
      <c r="N2881">
        <v>0</v>
      </c>
      <c r="O2881">
        <v>0</v>
      </c>
      <c r="P2881">
        <v>0</v>
      </c>
    </row>
    <row r="2882" spans="1:16" x14ac:dyDescent="0.3">
      <c r="A2882" t="s">
        <v>48</v>
      </c>
      <c r="B2882">
        <v>31</v>
      </c>
      <c r="C2882">
        <v>1900</v>
      </c>
      <c r="D2882">
        <v>1900</v>
      </c>
      <c r="E2882">
        <v>1900</v>
      </c>
      <c r="F2882">
        <v>1900</v>
      </c>
      <c r="G2882">
        <v>1900</v>
      </c>
      <c r="H2882">
        <v>1900</v>
      </c>
      <c r="I2882">
        <v>1900</v>
      </c>
      <c r="J2882">
        <v>1900</v>
      </c>
      <c r="K2882">
        <v>1900</v>
      </c>
      <c r="L2882">
        <v>1900</v>
      </c>
      <c r="M2882">
        <v>1900</v>
      </c>
      <c r="N2882">
        <v>1900</v>
      </c>
      <c r="O2882">
        <v>1900</v>
      </c>
      <c r="P2882">
        <v>1900</v>
      </c>
    </row>
    <row r="2883" spans="1:16" x14ac:dyDescent="0.3">
      <c r="A2883" t="s">
        <v>633</v>
      </c>
      <c r="B2883">
        <v>31</v>
      </c>
      <c r="C2883">
        <v>0</v>
      </c>
      <c r="D2883">
        <v>1844</v>
      </c>
      <c r="E2883">
        <v>3504</v>
      </c>
      <c r="F2883">
        <v>1567</v>
      </c>
      <c r="G2883">
        <v>0</v>
      </c>
      <c r="H2883">
        <v>3485</v>
      </c>
      <c r="I2883">
        <v>3592</v>
      </c>
      <c r="J2883">
        <v>1607</v>
      </c>
      <c r="K2883">
        <v>0</v>
      </c>
      <c r="L2883">
        <v>1733</v>
      </c>
      <c r="M2883">
        <v>0</v>
      </c>
      <c r="N2883">
        <v>1639</v>
      </c>
      <c r="O2883">
        <v>1639</v>
      </c>
      <c r="P2883">
        <v>1544</v>
      </c>
    </row>
    <row r="2884" spans="1:16" x14ac:dyDescent="0.3">
      <c r="A2884" t="s">
        <v>50</v>
      </c>
      <c r="B2884">
        <v>31</v>
      </c>
      <c r="C2884">
        <v>0</v>
      </c>
      <c r="D2884">
        <v>1844</v>
      </c>
      <c r="E2884">
        <v>3504</v>
      </c>
      <c r="F2884">
        <v>1567</v>
      </c>
      <c r="G2884">
        <v>0</v>
      </c>
      <c r="H2884">
        <v>3485</v>
      </c>
      <c r="I2884">
        <v>3592</v>
      </c>
      <c r="J2884">
        <v>1607</v>
      </c>
      <c r="K2884">
        <v>0</v>
      </c>
      <c r="L2884">
        <v>1733</v>
      </c>
      <c r="M2884">
        <v>0</v>
      </c>
      <c r="N2884">
        <v>1639</v>
      </c>
      <c r="O2884">
        <v>1639</v>
      </c>
      <c r="P2884">
        <v>1544</v>
      </c>
    </row>
    <row r="2885" spans="1:16" x14ac:dyDescent="0.3">
      <c r="A2885" t="s">
        <v>634</v>
      </c>
      <c r="B2885">
        <v>31</v>
      </c>
      <c r="C2885">
        <v>1</v>
      </c>
      <c r="D2885">
        <v>1</v>
      </c>
      <c r="E2885">
        <v>1</v>
      </c>
      <c r="F2885">
        <v>1</v>
      </c>
      <c r="G2885">
        <v>1</v>
      </c>
      <c r="H2885">
        <v>1</v>
      </c>
      <c r="I2885">
        <v>1</v>
      </c>
      <c r="J2885">
        <v>1</v>
      </c>
      <c r="K2885">
        <v>1</v>
      </c>
      <c r="L2885">
        <v>1</v>
      </c>
      <c r="M2885">
        <v>1</v>
      </c>
      <c r="N2885">
        <v>1</v>
      </c>
      <c r="O2885">
        <v>1</v>
      </c>
      <c r="P2885">
        <v>1</v>
      </c>
    </row>
    <row r="2886" spans="1:16" x14ac:dyDescent="0.3">
      <c r="A2886" t="s">
        <v>51</v>
      </c>
      <c r="B2886">
        <v>31</v>
      </c>
      <c r="C2886">
        <v>0</v>
      </c>
      <c r="D2886">
        <v>0</v>
      </c>
      <c r="E2886">
        <v>0</v>
      </c>
      <c r="F2886">
        <v>156</v>
      </c>
      <c r="G2886">
        <v>0</v>
      </c>
      <c r="H2886">
        <v>0</v>
      </c>
      <c r="I2886">
        <v>0</v>
      </c>
      <c r="J2886">
        <v>97</v>
      </c>
      <c r="K2886">
        <v>0</v>
      </c>
      <c r="L2886">
        <v>1</v>
      </c>
      <c r="M2886">
        <v>0</v>
      </c>
      <c r="N2886">
        <v>0</v>
      </c>
      <c r="O2886">
        <v>0</v>
      </c>
      <c r="P2886">
        <v>388</v>
      </c>
    </row>
    <row r="2887" spans="1:16" x14ac:dyDescent="0.3">
      <c r="A2887" t="s">
        <v>53</v>
      </c>
      <c r="B2887">
        <v>31</v>
      </c>
      <c r="C2887">
        <v>0</v>
      </c>
      <c r="D2887">
        <v>0</v>
      </c>
      <c r="E2887">
        <v>993</v>
      </c>
      <c r="F2887">
        <v>127</v>
      </c>
      <c r="G2887">
        <v>0</v>
      </c>
      <c r="H2887">
        <v>183</v>
      </c>
      <c r="I2887">
        <v>562</v>
      </c>
      <c r="J2887">
        <v>1</v>
      </c>
      <c r="K2887">
        <v>1</v>
      </c>
      <c r="L2887">
        <v>1</v>
      </c>
      <c r="M2887">
        <v>1</v>
      </c>
      <c r="N2887">
        <v>199</v>
      </c>
      <c r="O2887">
        <v>0</v>
      </c>
      <c r="P2887">
        <v>407</v>
      </c>
    </row>
    <row r="2888" spans="1:16" x14ac:dyDescent="0.3">
      <c r="A2888" t="s">
        <v>54</v>
      </c>
      <c r="B2888">
        <v>31</v>
      </c>
      <c r="C2888">
        <v>0</v>
      </c>
      <c r="D2888">
        <v>0</v>
      </c>
      <c r="E2888">
        <v>0</v>
      </c>
      <c r="F2888">
        <v>0</v>
      </c>
      <c r="G2888">
        <v>0</v>
      </c>
      <c r="H2888">
        <v>0</v>
      </c>
      <c r="I2888">
        <v>0</v>
      </c>
      <c r="J2888">
        <v>0</v>
      </c>
      <c r="K2888">
        <v>0</v>
      </c>
      <c r="L2888">
        <v>0</v>
      </c>
      <c r="M2888">
        <v>0</v>
      </c>
      <c r="N2888">
        <v>0</v>
      </c>
      <c r="O2888">
        <v>0</v>
      </c>
      <c r="P2888">
        <v>0</v>
      </c>
    </row>
    <row r="2889" spans="1:16" x14ac:dyDescent="0.3">
      <c r="A2889" t="s">
        <v>55</v>
      </c>
      <c r="B2889">
        <v>31</v>
      </c>
      <c r="C2889">
        <v>0</v>
      </c>
      <c r="D2889">
        <v>0</v>
      </c>
      <c r="E2889">
        <v>0</v>
      </c>
      <c r="F2889">
        <v>0</v>
      </c>
      <c r="G2889">
        <v>0</v>
      </c>
      <c r="H2889">
        <v>0</v>
      </c>
      <c r="I2889">
        <v>0</v>
      </c>
      <c r="J2889">
        <v>0</v>
      </c>
      <c r="K2889">
        <v>0</v>
      </c>
      <c r="L2889">
        <v>0</v>
      </c>
      <c r="M2889">
        <v>0</v>
      </c>
      <c r="N2889">
        <v>0</v>
      </c>
      <c r="O2889">
        <v>0</v>
      </c>
      <c r="P2889">
        <v>0</v>
      </c>
    </row>
    <row r="2890" spans="1:16" x14ac:dyDescent="0.3">
      <c r="A2890" t="s">
        <v>56</v>
      </c>
      <c r="B2890">
        <v>31</v>
      </c>
      <c r="C2890">
        <v>0.92</v>
      </c>
      <c r="D2890">
        <v>0.92</v>
      </c>
      <c r="E2890">
        <v>0.92</v>
      </c>
      <c r="F2890">
        <v>0.92</v>
      </c>
      <c r="G2890">
        <v>0.92</v>
      </c>
      <c r="H2890">
        <v>0.92</v>
      </c>
      <c r="I2890">
        <v>0.92</v>
      </c>
      <c r="J2890">
        <v>0.92</v>
      </c>
      <c r="K2890">
        <v>0.92</v>
      </c>
      <c r="L2890">
        <v>0.92</v>
      </c>
      <c r="M2890">
        <v>0.92</v>
      </c>
      <c r="N2890">
        <v>0.92</v>
      </c>
      <c r="O2890">
        <v>0.92</v>
      </c>
      <c r="P2890">
        <v>0.92</v>
      </c>
    </row>
    <row r="2891" spans="1:16" x14ac:dyDescent="0.3">
      <c r="A2891" t="s">
        <v>57</v>
      </c>
      <c r="B2891">
        <v>31</v>
      </c>
      <c r="C2891">
        <v>100</v>
      </c>
      <c r="D2891">
        <v>100</v>
      </c>
      <c r="E2891">
        <v>100</v>
      </c>
      <c r="F2891">
        <v>100</v>
      </c>
      <c r="G2891">
        <v>100</v>
      </c>
      <c r="H2891">
        <v>100</v>
      </c>
      <c r="I2891">
        <v>100</v>
      </c>
      <c r="J2891">
        <v>100</v>
      </c>
      <c r="K2891">
        <v>100</v>
      </c>
      <c r="L2891">
        <v>100</v>
      </c>
      <c r="M2891">
        <v>100</v>
      </c>
      <c r="N2891">
        <v>100</v>
      </c>
      <c r="O2891">
        <v>100</v>
      </c>
      <c r="P2891">
        <v>100</v>
      </c>
    </row>
    <row r="2892" spans="1:16" x14ac:dyDescent="0.3">
      <c r="A2892" t="s">
        <v>58</v>
      </c>
      <c r="B2892">
        <v>31</v>
      </c>
      <c r="C2892">
        <v>2</v>
      </c>
      <c r="D2892">
        <v>2</v>
      </c>
      <c r="E2892">
        <v>2</v>
      </c>
      <c r="F2892">
        <v>2</v>
      </c>
      <c r="G2892">
        <v>2</v>
      </c>
      <c r="H2892">
        <v>2</v>
      </c>
      <c r="I2892">
        <v>2</v>
      </c>
      <c r="J2892">
        <v>2</v>
      </c>
      <c r="K2892">
        <v>2</v>
      </c>
      <c r="L2892">
        <v>2</v>
      </c>
      <c r="M2892">
        <v>2</v>
      </c>
      <c r="N2892">
        <v>2</v>
      </c>
      <c r="O2892">
        <v>2</v>
      </c>
      <c r="P2892">
        <v>2</v>
      </c>
    </row>
    <row r="2893" spans="1:16" x14ac:dyDescent="0.3">
      <c r="A2893" t="s">
        <v>59</v>
      </c>
      <c r="B2893">
        <v>31</v>
      </c>
      <c r="C2893">
        <v>0</v>
      </c>
      <c r="D2893">
        <v>0</v>
      </c>
      <c r="E2893">
        <v>0</v>
      </c>
      <c r="F2893">
        <v>0</v>
      </c>
      <c r="G2893">
        <v>0</v>
      </c>
      <c r="H2893">
        <v>0</v>
      </c>
      <c r="I2893">
        <v>0</v>
      </c>
      <c r="J2893">
        <v>0</v>
      </c>
      <c r="K2893">
        <v>0</v>
      </c>
      <c r="L2893">
        <v>0</v>
      </c>
      <c r="M2893">
        <v>0</v>
      </c>
      <c r="N2893">
        <v>0</v>
      </c>
      <c r="O2893">
        <v>0</v>
      </c>
      <c r="P2893">
        <v>0</v>
      </c>
    </row>
    <row r="2894" spans="1:16" x14ac:dyDescent="0.3">
      <c r="A2894" t="s">
        <v>635</v>
      </c>
      <c r="B2894">
        <v>31</v>
      </c>
      <c r="E2894">
        <v>0</v>
      </c>
      <c r="I2894">
        <v>0</v>
      </c>
      <c r="L2894">
        <v>0</v>
      </c>
      <c r="O2894">
        <v>0</v>
      </c>
    </row>
    <row r="2895" spans="1:16" x14ac:dyDescent="0.3">
      <c r="A2895" t="s">
        <v>574</v>
      </c>
      <c r="B2895">
        <v>31</v>
      </c>
      <c r="E2895">
        <v>1575</v>
      </c>
      <c r="I2895">
        <v>410</v>
      </c>
      <c r="L2895">
        <v>329</v>
      </c>
      <c r="O2895">
        <v>264</v>
      </c>
    </row>
    <row r="2896" spans="1:16" x14ac:dyDescent="0.3">
      <c r="A2896" t="s">
        <v>78</v>
      </c>
      <c r="B2896">
        <v>31</v>
      </c>
      <c r="E2896">
        <v>19.5</v>
      </c>
      <c r="I2896">
        <v>5.0999999999999996</v>
      </c>
      <c r="L2896">
        <v>9</v>
      </c>
      <c r="O2896">
        <v>5.0999999999999996</v>
      </c>
    </row>
    <row r="2897" spans="1:16" x14ac:dyDescent="0.3">
      <c r="A2897" t="s">
        <v>636</v>
      </c>
      <c r="B2897">
        <v>31</v>
      </c>
      <c r="F2897">
        <v>2</v>
      </c>
      <c r="J2897">
        <v>0</v>
      </c>
      <c r="M2897">
        <v>0</v>
      </c>
      <c r="P2897">
        <v>2</v>
      </c>
    </row>
    <row r="2898" spans="1:16" x14ac:dyDescent="0.3">
      <c r="A2898" t="s">
        <v>637</v>
      </c>
      <c r="B2898">
        <v>31</v>
      </c>
      <c r="F2898">
        <v>50</v>
      </c>
      <c r="P2898">
        <v>50</v>
      </c>
    </row>
    <row r="2899" spans="1:16" x14ac:dyDescent="0.3">
      <c r="A2899" t="s">
        <v>638</v>
      </c>
      <c r="B2899">
        <v>31</v>
      </c>
      <c r="F2899">
        <v>2</v>
      </c>
      <c r="P2899">
        <v>1</v>
      </c>
    </row>
    <row r="2900" spans="1:16" x14ac:dyDescent="0.3">
      <c r="A2900" t="s">
        <v>639</v>
      </c>
      <c r="B2900">
        <v>31</v>
      </c>
      <c r="C2900">
        <v>3</v>
      </c>
      <c r="D2900">
        <v>0</v>
      </c>
      <c r="E2900">
        <v>0</v>
      </c>
      <c r="F2900">
        <v>1</v>
      </c>
      <c r="G2900">
        <v>3</v>
      </c>
      <c r="H2900">
        <v>0</v>
      </c>
      <c r="I2900">
        <v>0</v>
      </c>
      <c r="J2900">
        <v>1</v>
      </c>
      <c r="K2900">
        <v>0</v>
      </c>
      <c r="L2900">
        <v>0</v>
      </c>
      <c r="M2900">
        <v>1</v>
      </c>
      <c r="N2900">
        <v>0</v>
      </c>
      <c r="O2900">
        <v>0</v>
      </c>
      <c r="P2900">
        <v>1</v>
      </c>
    </row>
    <row r="2901" spans="1:16" x14ac:dyDescent="0.3">
      <c r="A2901" t="s">
        <v>640</v>
      </c>
      <c r="B2901">
        <v>31</v>
      </c>
      <c r="C2901">
        <v>0</v>
      </c>
      <c r="D2901">
        <v>0</v>
      </c>
      <c r="E2901">
        <v>0</v>
      </c>
      <c r="F2901">
        <v>0</v>
      </c>
      <c r="G2901">
        <v>0</v>
      </c>
      <c r="H2901">
        <v>0</v>
      </c>
      <c r="I2901">
        <v>0</v>
      </c>
      <c r="J2901">
        <v>0</v>
      </c>
      <c r="K2901">
        <v>0</v>
      </c>
      <c r="L2901">
        <v>0</v>
      </c>
      <c r="M2901">
        <v>0</v>
      </c>
      <c r="N2901">
        <v>0</v>
      </c>
      <c r="O2901">
        <v>0</v>
      </c>
      <c r="P2901">
        <v>0</v>
      </c>
    </row>
    <row r="2902" spans="1:16" x14ac:dyDescent="0.3">
      <c r="A2902" t="s">
        <v>52</v>
      </c>
      <c r="B2902">
        <v>31</v>
      </c>
      <c r="C2902">
        <v>1.01</v>
      </c>
      <c r="D2902">
        <v>1.01</v>
      </c>
      <c r="E2902">
        <v>1.01</v>
      </c>
      <c r="F2902">
        <v>1.01</v>
      </c>
      <c r="G2902">
        <v>0.98</v>
      </c>
      <c r="H2902">
        <v>0.98</v>
      </c>
      <c r="I2902">
        <v>0.98</v>
      </c>
      <c r="J2902">
        <v>0.98</v>
      </c>
      <c r="K2902">
        <v>1.01</v>
      </c>
      <c r="L2902">
        <v>1.01</v>
      </c>
      <c r="M2902">
        <v>1.01</v>
      </c>
      <c r="N2902">
        <v>1.03</v>
      </c>
      <c r="O2902">
        <v>1.03</v>
      </c>
      <c r="P2902">
        <v>1.03</v>
      </c>
    </row>
    <row r="2903" spans="1:16" x14ac:dyDescent="0.3">
      <c r="A2903" t="s">
        <v>641</v>
      </c>
      <c r="B2903">
        <v>31</v>
      </c>
      <c r="C2903">
        <v>9</v>
      </c>
      <c r="D2903">
        <v>15</v>
      </c>
      <c r="E2903">
        <v>60</v>
      </c>
      <c r="F2903">
        <v>9</v>
      </c>
      <c r="G2903">
        <v>9</v>
      </c>
      <c r="H2903">
        <v>15</v>
      </c>
      <c r="I2903">
        <v>60</v>
      </c>
      <c r="J2903">
        <v>9</v>
      </c>
      <c r="K2903">
        <v>15</v>
      </c>
      <c r="L2903">
        <v>60</v>
      </c>
      <c r="M2903">
        <v>9</v>
      </c>
      <c r="N2903">
        <v>15</v>
      </c>
      <c r="O2903">
        <v>60</v>
      </c>
      <c r="P2903">
        <v>9</v>
      </c>
    </row>
    <row r="2904" spans="1:16" x14ac:dyDescent="0.3">
      <c r="A2904" t="s">
        <v>43</v>
      </c>
      <c r="B2904">
        <v>31</v>
      </c>
      <c r="D2904">
        <v>35</v>
      </c>
      <c r="E2904">
        <v>336</v>
      </c>
      <c r="F2904">
        <v>0</v>
      </c>
      <c r="H2904">
        <v>35</v>
      </c>
      <c r="I2904">
        <v>336</v>
      </c>
      <c r="J2904">
        <v>0</v>
      </c>
      <c r="K2904">
        <v>40</v>
      </c>
      <c r="L2904">
        <v>35</v>
      </c>
      <c r="N2904">
        <v>35</v>
      </c>
      <c r="O2904">
        <v>35</v>
      </c>
      <c r="P2904">
        <v>0</v>
      </c>
    </row>
    <row r="2905" spans="1:16" x14ac:dyDescent="0.3">
      <c r="A2905" t="s">
        <v>44</v>
      </c>
      <c r="B2905">
        <v>31</v>
      </c>
      <c r="D2905">
        <v>-5</v>
      </c>
      <c r="E2905">
        <v>0</v>
      </c>
      <c r="F2905">
        <v>0</v>
      </c>
      <c r="H2905">
        <v>-5</v>
      </c>
      <c r="I2905">
        <v>0</v>
      </c>
      <c r="J2905">
        <v>0</v>
      </c>
      <c r="K2905">
        <v>0</v>
      </c>
      <c r="L2905">
        <v>-5</v>
      </c>
      <c r="N2905">
        <v>-5</v>
      </c>
      <c r="O2905">
        <v>-5</v>
      </c>
      <c r="P2905">
        <v>0</v>
      </c>
    </row>
    <row r="2906" spans="1:16" x14ac:dyDescent="0.3">
      <c r="A2906" t="s">
        <v>47</v>
      </c>
      <c r="B2906">
        <v>31</v>
      </c>
      <c r="D2906">
        <v>6</v>
      </c>
      <c r="E2906">
        <v>6</v>
      </c>
      <c r="F2906">
        <v>6</v>
      </c>
      <c r="H2906">
        <v>5</v>
      </c>
      <c r="I2906">
        <v>2</v>
      </c>
      <c r="J2906">
        <v>2</v>
      </c>
      <c r="K2906">
        <v>3</v>
      </c>
      <c r="L2906">
        <v>3</v>
      </c>
      <c r="N2906">
        <v>4</v>
      </c>
      <c r="O2906">
        <v>4</v>
      </c>
      <c r="P2906">
        <v>3</v>
      </c>
    </row>
    <row r="2907" spans="1:16" x14ac:dyDescent="0.3">
      <c r="A2907" t="s">
        <v>642</v>
      </c>
      <c r="B2907">
        <v>31</v>
      </c>
      <c r="D2907">
        <v>0</v>
      </c>
      <c r="E2907">
        <v>0</v>
      </c>
      <c r="F2907">
        <v>0</v>
      </c>
      <c r="H2907">
        <v>0</v>
      </c>
      <c r="I2907">
        <v>0</v>
      </c>
      <c r="J2907">
        <v>0</v>
      </c>
      <c r="K2907">
        <v>0</v>
      </c>
      <c r="L2907">
        <v>0</v>
      </c>
      <c r="N2907">
        <v>0</v>
      </c>
      <c r="O2907">
        <v>0</v>
      </c>
      <c r="P2907">
        <v>0</v>
      </c>
    </row>
    <row r="2908" spans="1:16" x14ac:dyDescent="0.3">
      <c r="A2908" t="s">
        <v>643</v>
      </c>
      <c r="B2908">
        <v>31</v>
      </c>
      <c r="D2908">
        <v>0</v>
      </c>
      <c r="E2908">
        <v>0</v>
      </c>
      <c r="F2908">
        <v>0</v>
      </c>
      <c r="H2908">
        <v>0</v>
      </c>
      <c r="I2908">
        <v>0</v>
      </c>
      <c r="J2908">
        <v>0</v>
      </c>
      <c r="K2908">
        <v>0</v>
      </c>
      <c r="L2908">
        <v>0</v>
      </c>
      <c r="N2908">
        <v>0</v>
      </c>
      <c r="O2908">
        <v>0</v>
      </c>
      <c r="P2908">
        <v>0</v>
      </c>
    </row>
    <row r="2909" spans="1:16" x14ac:dyDescent="0.3">
      <c r="A2909" t="s">
        <v>644</v>
      </c>
      <c r="B2909">
        <v>31</v>
      </c>
      <c r="D2909">
        <v>0</v>
      </c>
      <c r="E2909">
        <v>0</v>
      </c>
      <c r="F2909">
        <v>0</v>
      </c>
      <c r="H2909">
        <v>0</v>
      </c>
      <c r="I2909">
        <v>0</v>
      </c>
      <c r="J2909">
        <v>0</v>
      </c>
      <c r="K2909">
        <v>0</v>
      </c>
      <c r="L2909">
        <v>0</v>
      </c>
      <c r="N2909">
        <v>0</v>
      </c>
      <c r="O2909">
        <v>0</v>
      </c>
      <c r="P2909">
        <v>0</v>
      </c>
    </row>
    <row r="2910" spans="1:16" x14ac:dyDescent="0.3">
      <c r="A2910" t="s">
        <v>645</v>
      </c>
      <c r="B2910">
        <v>31</v>
      </c>
      <c r="D2910">
        <v>0</v>
      </c>
      <c r="E2910">
        <v>0</v>
      </c>
      <c r="F2910">
        <v>0</v>
      </c>
      <c r="H2910">
        <v>0</v>
      </c>
      <c r="I2910">
        <v>0</v>
      </c>
      <c r="J2910">
        <v>0</v>
      </c>
      <c r="K2910">
        <v>0</v>
      </c>
      <c r="L2910">
        <v>0</v>
      </c>
      <c r="N2910">
        <v>0</v>
      </c>
      <c r="O2910">
        <v>0</v>
      </c>
      <c r="P2910">
        <v>0</v>
      </c>
    </row>
    <row r="2911" spans="1:16" x14ac:dyDescent="0.3">
      <c r="A2911" t="s">
        <v>646</v>
      </c>
      <c r="B2911">
        <v>31</v>
      </c>
      <c r="D2911">
        <v>1</v>
      </c>
      <c r="E2911">
        <v>2</v>
      </c>
      <c r="F2911">
        <v>1</v>
      </c>
      <c r="H2911">
        <v>1</v>
      </c>
      <c r="I2911">
        <v>2</v>
      </c>
      <c r="J2911">
        <v>1</v>
      </c>
      <c r="K2911">
        <v>1</v>
      </c>
      <c r="L2911">
        <v>2</v>
      </c>
      <c r="N2911">
        <v>1</v>
      </c>
      <c r="O2911">
        <v>2</v>
      </c>
      <c r="P2911">
        <v>1</v>
      </c>
    </row>
    <row r="2912" spans="1:16" x14ac:dyDescent="0.3">
      <c r="A2912" t="s">
        <v>647</v>
      </c>
      <c r="B2912">
        <v>31</v>
      </c>
      <c r="D2912">
        <v>-5</v>
      </c>
      <c r="E2912">
        <v>330</v>
      </c>
      <c r="F2912">
        <v>0</v>
      </c>
      <c r="H2912">
        <v>-5</v>
      </c>
      <c r="I2912">
        <v>330</v>
      </c>
      <c r="J2912">
        <v>0</v>
      </c>
      <c r="K2912">
        <v>0</v>
      </c>
      <c r="L2912">
        <v>-5</v>
      </c>
      <c r="N2912">
        <v>-5</v>
      </c>
      <c r="O2912">
        <v>-5</v>
      </c>
      <c r="P2912">
        <v>0</v>
      </c>
    </row>
    <row r="2913" spans="1:16" x14ac:dyDescent="0.3">
      <c r="A2913" t="s">
        <v>648</v>
      </c>
      <c r="B2913">
        <v>31</v>
      </c>
      <c r="D2913">
        <v>40</v>
      </c>
      <c r="E2913">
        <v>6</v>
      </c>
      <c r="F2913">
        <v>0</v>
      </c>
      <c r="H2913">
        <v>40</v>
      </c>
      <c r="I2913">
        <v>6</v>
      </c>
      <c r="J2913">
        <v>0</v>
      </c>
      <c r="K2913">
        <v>40</v>
      </c>
      <c r="L2913">
        <v>40</v>
      </c>
      <c r="N2913">
        <v>40</v>
      </c>
      <c r="O2913">
        <v>40</v>
      </c>
      <c r="P2913">
        <v>0</v>
      </c>
    </row>
    <row r="2914" spans="1:16" x14ac:dyDescent="0.3">
      <c r="A2914" t="s">
        <v>649</v>
      </c>
      <c r="B2914">
        <v>31</v>
      </c>
      <c r="D2914">
        <v>3</v>
      </c>
      <c r="E2914">
        <v>3</v>
      </c>
      <c r="F2914">
        <v>3</v>
      </c>
      <c r="H2914">
        <v>3</v>
      </c>
      <c r="I2914">
        <v>3</v>
      </c>
      <c r="J2914">
        <v>3</v>
      </c>
      <c r="K2914">
        <v>3</v>
      </c>
      <c r="L2914">
        <v>3</v>
      </c>
      <c r="N2914">
        <v>3</v>
      </c>
      <c r="O2914">
        <v>3</v>
      </c>
      <c r="P2914">
        <v>3</v>
      </c>
    </row>
    <row r="2915" spans="1:16" x14ac:dyDescent="0.3">
      <c r="A2915" t="s">
        <v>650</v>
      </c>
      <c r="B2915">
        <v>31</v>
      </c>
      <c r="D2915">
        <v>0</v>
      </c>
      <c r="E2915">
        <v>0</v>
      </c>
      <c r="F2915">
        <v>0</v>
      </c>
      <c r="H2915">
        <v>0</v>
      </c>
      <c r="I2915">
        <v>0</v>
      </c>
      <c r="J2915">
        <v>0</v>
      </c>
      <c r="K2915">
        <v>0</v>
      </c>
      <c r="L2915">
        <v>0</v>
      </c>
      <c r="N2915">
        <v>0</v>
      </c>
      <c r="O2915">
        <v>0</v>
      </c>
      <c r="P2915">
        <v>0</v>
      </c>
    </row>
    <row r="2916" spans="1:16" x14ac:dyDescent="0.3">
      <c r="A2916" t="s">
        <v>651</v>
      </c>
      <c r="B2916">
        <v>31</v>
      </c>
      <c r="D2916">
        <v>0</v>
      </c>
      <c r="E2916">
        <v>0</v>
      </c>
      <c r="F2916">
        <v>0</v>
      </c>
      <c r="H2916">
        <v>0</v>
      </c>
      <c r="I2916">
        <v>0</v>
      </c>
      <c r="J2916">
        <v>0</v>
      </c>
      <c r="K2916">
        <v>0</v>
      </c>
      <c r="L2916">
        <v>0</v>
      </c>
      <c r="N2916">
        <v>0</v>
      </c>
      <c r="O2916">
        <v>0</v>
      </c>
      <c r="P2916">
        <v>0</v>
      </c>
    </row>
    <row r="2917" spans="1:16" x14ac:dyDescent="0.3">
      <c r="A2917" t="s">
        <v>652</v>
      </c>
      <c r="B2917">
        <v>31</v>
      </c>
      <c r="D2917">
        <v>0</v>
      </c>
      <c r="E2917">
        <v>0</v>
      </c>
      <c r="F2917">
        <v>0</v>
      </c>
      <c r="H2917">
        <v>0</v>
      </c>
      <c r="I2917">
        <v>0</v>
      </c>
      <c r="J2917">
        <v>0</v>
      </c>
      <c r="K2917">
        <v>0</v>
      </c>
      <c r="L2917">
        <v>0</v>
      </c>
      <c r="N2917">
        <v>0</v>
      </c>
      <c r="O2917">
        <v>0</v>
      </c>
      <c r="P2917">
        <v>0</v>
      </c>
    </row>
    <row r="2918" spans="1:16" x14ac:dyDescent="0.3">
      <c r="A2918" t="s">
        <v>653</v>
      </c>
      <c r="B2918">
        <v>31</v>
      </c>
      <c r="E2918">
        <v>0</v>
      </c>
      <c r="I2918">
        <v>0</v>
      </c>
      <c r="L2918">
        <v>0</v>
      </c>
      <c r="O2918">
        <v>0</v>
      </c>
    </row>
    <row r="2919" spans="1:16" x14ac:dyDescent="0.3">
      <c r="A2919" t="s">
        <v>654</v>
      </c>
      <c r="B2919">
        <v>31</v>
      </c>
      <c r="E2919">
        <v>0</v>
      </c>
      <c r="I2919">
        <v>0</v>
      </c>
      <c r="L2919">
        <v>0</v>
      </c>
      <c r="O2919">
        <v>0</v>
      </c>
    </row>
    <row r="2920" spans="1:16" x14ac:dyDescent="0.3">
      <c r="A2920" t="s">
        <v>655</v>
      </c>
      <c r="B2920">
        <v>31</v>
      </c>
      <c r="E2920">
        <v>3</v>
      </c>
      <c r="I2920">
        <v>3</v>
      </c>
      <c r="L2920">
        <v>3</v>
      </c>
      <c r="O2920">
        <v>3</v>
      </c>
    </row>
    <row r="2921" spans="1:16" x14ac:dyDescent="0.3">
      <c r="A2921" t="s">
        <v>656</v>
      </c>
      <c r="B2921">
        <v>31</v>
      </c>
      <c r="E2921">
        <v>0</v>
      </c>
      <c r="I2921">
        <v>0</v>
      </c>
      <c r="L2921">
        <v>0</v>
      </c>
      <c r="O2921">
        <v>0</v>
      </c>
    </row>
    <row r="2922" spans="1:16" x14ac:dyDescent="0.3">
      <c r="A2922" t="s">
        <v>657</v>
      </c>
      <c r="B2922">
        <v>31</v>
      </c>
      <c r="E2922">
        <v>0</v>
      </c>
      <c r="I2922">
        <v>0</v>
      </c>
      <c r="L2922">
        <v>0</v>
      </c>
      <c r="O2922">
        <v>0</v>
      </c>
    </row>
    <row r="2923" spans="1:16" x14ac:dyDescent="0.3">
      <c r="A2923" t="s">
        <v>408</v>
      </c>
      <c r="B2923">
        <v>31</v>
      </c>
      <c r="E2923">
        <v>0</v>
      </c>
    </row>
    <row r="2924" spans="1:16" x14ac:dyDescent="0.3">
      <c r="A2924" t="s">
        <v>659</v>
      </c>
      <c r="B2924">
        <v>31</v>
      </c>
      <c r="N2924">
        <v>50</v>
      </c>
    </row>
    <row r="2925" spans="1:16" x14ac:dyDescent="0.3">
      <c r="A2925" t="s">
        <v>658</v>
      </c>
      <c r="B2925">
        <v>31</v>
      </c>
      <c r="C2925">
        <v>0</v>
      </c>
      <c r="D2925">
        <v>0</v>
      </c>
      <c r="E2925">
        <v>1079</v>
      </c>
      <c r="F2925">
        <v>138</v>
      </c>
      <c r="G2925">
        <v>0</v>
      </c>
      <c r="H2925">
        <v>199</v>
      </c>
      <c r="I2925">
        <v>611</v>
      </c>
      <c r="J2925">
        <v>1</v>
      </c>
      <c r="K2925">
        <v>0</v>
      </c>
      <c r="L2925">
        <v>3</v>
      </c>
      <c r="M2925">
        <v>0</v>
      </c>
      <c r="N2925">
        <v>108</v>
      </c>
      <c r="O2925">
        <v>108</v>
      </c>
      <c r="P2925">
        <v>442</v>
      </c>
    </row>
    <row r="2926" spans="1:16" x14ac:dyDescent="0.3">
      <c r="A2926" t="s">
        <v>34</v>
      </c>
      <c r="B2926">
        <v>32</v>
      </c>
      <c r="C2926">
        <v>8</v>
      </c>
      <c r="D2926">
        <v>8</v>
      </c>
      <c r="E2926">
        <v>8</v>
      </c>
      <c r="F2926">
        <v>8</v>
      </c>
      <c r="G2926">
        <v>33</v>
      </c>
      <c r="H2926">
        <v>33</v>
      </c>
      <c r="I2926">
        <v>33</v>
      </c>
      <c r="J2926">
        <v>33</v>
      </c>
      <c r="K2926">
        <v>139</v>
      </c>
      <c r="L2926">
        <v>139</v>
      </c>
      <c r="M2926">
        <v>139</v>
      </c>
      <c r="N2926">
        <v>140</v>
      </c>
      <c r="O2926">
        <v>140</v>
      </c>
      <c r="P2926">
        <v>140</v>
      </c>
    </row>
    <row r="2927" spans="1:16" x14ac:dyDescent="0.3">
      <c r="A2927" t="s">
        <v>35</v>
      </c>
      <c r="B2927">
        <v>32</v>
      </c>
      <c r="C2927">
        <v>8</v>
      </c>
      <c r="D2927">
        <v>139</v>
      </c>
      <c r="E2927">
        <v>33</v>
      </c>
      <c r="F2927">
        <v>140</v>
      </c>
      <c r="G2927">
        <v>33</v>
      </c>
      <c r="H2927">
        <v>140</v>
      </c>
      <c r="I2927">
        <v>8</v>
      </c>
      <c r="J2927">
        <v>139</v>
      </c>
      <c r="K2927">
        <v>33</v>
      </c>
      <c r="L2927">
        <v>140</v>
      </c>
      <c r="M2927">
        <v>8</v>
      </c>
      <c r="N2927">
        <v>8</v>
      </c>
      <c r="O2927">
        <v>139</v>
      </c>
      <c r="P2927">
        <v>33</v>
      </c>
    </row>
    <row r="2928" spans="1:16" x14ac:dyDescent="0.3">
      <c r="A2928" t="s">
        <v>36</v>
      </c>
      <c r="B2928">
        <v>32</v>
      </c>
      <c r="C2928">
        <v>0</v>
      </c>
      <c r="D2928">
        <v>1</v>
      </c>
      <c r="E2928">
        <v>2</v>
      </c>
      <c r="F2928">
        <v>1</v>
      </c>
      <c r="G2928">
        <v>0</v>
      </c>
      <c r="H2928">
        <v>1</v>
      </c>
      <c r="I2928">
        <v>2</v>
      </c>
      <c r="J2928">
        <v>1</v>
      </c>
      <c r="K2928">
        <v>1</v>
      </c>
      <c r="L2928">
        <v>1</v>
      </c>
      <c r="M2928">
        <v>0</v>
      </c>
      <c r="N2928">
        <v>1</v>
      </c>
      <c r="O2928">
        <v>1</v>
      </c>
      <c r="P2928">
        <v>0</v>
      </c>
    </row>
    <row r="2929" spans="1:16" x14ac:dyDescent="0.3">
      <c r="A2929" t="s">
        <v>37</v>
      </c>
      <c r="B2929">
        <v>32</v>
      </c>
      <c r="D2929">
        <v>0</v>
      </c>
      <c r="E2929">
        <v>0</v>
      </c>
      <c r="H2929">
        <v>0</v>
      </c>
      <c r="I2929">
        <v>0</v>
      </c>
      <c r="K2929">
        <v>0</v>
      </c>
      <c r="L2929">
        <v>2</v>
      </c>
      <c r="N2929">
        <v>0</v>
      </c>
      <c r="O2929">
        <v>2</v>
      </c>
    </row>
    <row r="2930" spans="1:16" x14ac:dyDescent="0.3">
      <c r="A2930" t="s">
        <v>38</v>
      </c>
      <c r="B2930">
        <v>32</v>
      </c>
      <c r="C2930">
        <v>12</v>
      </c>
      <c r="D2930">
        <v>12</v>
      </c>
      <c r="E2930">
        <v>12</v>
      </c>
      <c r="F2930">
        <v>12</v>
      </c>
      <c r="G2930">
        <v>12</v>
      </c>
      <c r="H2930">
        <v>12</v>
      </c>
      <c r="I2930">
        <v>12</v>
      </c>
      <c r="J2930">
        <v>12</v>
      </c>
      <c r="K2930">
        <v>12</v>
      </c>
      <c r="L2930">
        <v>12</v>
      </c>
      <c r="M2930">
        <v>12</v>
      </c>
      <c r="N2930">
        <v>12</v>
      </c>
      <c r="O2930">
        <v>12</v>
      </c>
      <c r="P2930">
        <v>12</v>
      </c>
    </row>
    <row r="2931" spans="1:16" x14ac:dyDescent="0.3">
      <c r="A2931" t="s">
        <v>39</v>
      </c>
      <c r="B2931">
        <v>32</v>
      </c>
      <c r="D2931">
        <v>145</v>
      </c>
      <c r="F2931">
        <v>81</v>
      </c>
      <c r="H2931">
        <v>133</v>
      </c>
      <c r="J2931">
        <v>207</v>
      </c>
      <c r="N2931">
        <v>138</v>
      </c>
    </row>
    <row r="2932" spans="1:16" x14ac:dyDescent="0.3">
      <c r="A2932" t="s">
        <v>631</v>
      </c>
      <c r="B2932">
        <v>32</v>
      </c>
      <c r="D2932">
        <v>25</v>
      </c>
      <c r="F2932">
        <v>25</v>
      </c>
      <c r="H2932">
        <v>25</v>
      </c>
      <c r="J2932">
        <v>25</v>
      </c>
      <c r="N2932">
        <v>25</v>
      </c>
    </row>
    <row r="2933" spans="1:16" x14ac:dyDescent="0.3">
      <c r="A2933" t="s">
        <v>40</v>
      </c>
      <c r="B2933">
        <v>32</v>
      </c>
      <c r="D2933">
        <v>1</v>
      </c>
      <c r="F2933">
        <v>1</v>
      </c>
      <c r="H2933">
        <v>1</v>
      </c>
      <c r="J2933">
        <v>1</v>
      </c>
      <c r="N2933">
        <v>1</v>
      </c>
    </row>
    <row r="2934" spans="1:16" x14ac:dyDescent="0.3">
      <c r="A2934" t="s">
        <v>41</v>
      </c>
      <c r="B2934">
        <v>32</v>
      </c>
    </row>
    <row r="2935" spans="1:16" x14ac:dyDescent="0.3">
      <c r="A2935" t="s">
        <v>42</v>
      </c>
      <c r="B2935">
        <v>32</v>
      </c>
      <c r="E2935">
        <v>55</v>
      </c>
      <c r="I2935">
        <v>55</v>
      </c>
      <c r="L2935">
        <v>35</v>
      </c>
      <c r="O2935">
        <v>35</v>
      </c>
    </row>
    <row r="2936" spans="1:16" x14ac:dyDescent="0.3">
      <c r="A2936" t="s">
        <v>45</v>
      </c>
      <c r="B2936">
        <v>32</v>
      </c>
      <c r="D2936">
        <v>1</v>
      </c>
      <c r="E2936">
        <v>6</v>
      </c>
      <c r="H2936">
        <v>5</v>
      </c>
      <c r="I2936">
        <v>2</v>
      </c>
      <c r="K2936">
        <v>3</v>
      </c>
      <c r="L2936">
        <v>8</v>
      </c>
      <c r="O2936">
        <v>4</v>
      </c>
    </row>
    <row r="2937" spans="1:16" x14ac:dyDescent="0.3">
      <c r="A2937" t="s">
        <v>46</v>
      </c>
      <c r="B2937">
        <v>32</v>
      </c>
      <c r="F2937">
        <v>6</v>
      </c>
      <c r="J2937">
        <v>2</v>
      </c>
      <c r="K2937">
        <v>8</v>
      </c>
      <c r="N2937">
        <v>4</v>
      </c>
    </row>
    <row r="2938" spans="1:16" x14ac:dyDescent="0.3">
      <c r="A2938" t="s">
        <v>49</v>
      </c>
      <c r="B2938">
        <v>32</v>
      </c>
      <c r="C2938">
        <v>4</v>
      </c>
      <c r="D2938">
        <v>7.8</v>
      </c>
      <c r="E2938">
        <v>6.8</v>
      </c>
      <c r="F2938">
        <v>6.8</v>
      </c>
      <c r="G2938">
        <v>4</v>
      </c>
      <c r="H2938">
        <v>7.8</v>
      </c>
      <c r="I2938">
        <v>6.8</v>
      </c>
      <c r="J2938">
        <v>6.8</v>
      </c>
      <c r="K2938">
        <v>6.1</v>
      </c>
      <c r="L2938">
        <v>6.4</v>
      </c>
      <c r="M2938">
        <v>4</v>
      </c>
      <c r="N2938">
        <v>6.4</v>
      </c>
      <c r="O2938">
        <v>6.4</v>
      </c>
      <c r="P2938">
        <v>4</v>
      </c>
    </row>
    <row r="2939" spans="1:16" x14ac:dyDescent="0.3">
      <c r="A2939" t="s">
        <v>632</v>
      </c>
      <c r="B2939">
        <v>32</v>
      </c>
      <c r="C2939">
        <v>0</v>
      </c>
      <c r="D2939">
        <v>0</v>
      </c>
      <c r="E2939">
        <v>0</v>
      </c>
      <c r="F2939">
        <v>0</v>
      </c>
      <c r="G2939">
        <v>0</v>
      </c>
      <c r="H2939">
        <v>0</v>
      </c>
      <c r="I2939">
        <v>0</v>
      </c>
      <c r="J2939">
        <v>0</v>
      </c>
      <c r="K2939">
        <v>0</v>
      </c>
      <c r="L2939">
        <v>0</v>
      </c>
      <c r="M2939">
        <v>0</v>
      </c>
      <c r="N2939">
        <v>0</v>
      </c>
      <c r="O2939">
        <v>0</v>
      </c>
      <c r="P2939">
        <v>0</v>
      </c>
    </row>
    <row r="2940" spans="1:16" x14ac:dyDescent="0.3">
      <c r="A2940" t="s">
        <v>48</v>
      </c>
      <c r="B2940">
        <v>32</v>
      </c>
      <c r="C2940">
        <v>1900</v>
      </c>
      <c r="D2940">
        <v>1900</v>
      </c>
      <c r="E2940">
        <v>1900</v>
      </c>
      <c r="F2940">
        <v>1900</v>
      </c>
      <c r="G2940">
        <v>1900</v>
      </c>
      <c r="H2940">
        <v>1900</v>
      </c>
      <c r="I2940">
        <v>1900</v>
      </c>
      <c r="J2940">
        <v>1900</v>
      </c>
      <c r="K2940">
        <v>1900</v>
      </c>
      <c r="L2940">
        <v>1900</v>
      </c>
      <c r="M2940">
        <v>1900</v>
      </c>
      <c r="N2940">
        <v>1900</v>
      </c>
      <c r="O2940">
        <v>1900</v>
      </c>
      <c r="P2940">
        <v>1900</v>
      </c>
    </row>
    <row r="2941" spans="1:16" x14ac:dyDescent="0.3">
      <c r="A2941" t="s">
        <v>633</v>
      </c>
      <c r="B2941">
        <v>32</v>
      </c>
      <c r="C2941">
        <v>0</v>
      </c>
      <c r="D2941">
        <v>1577</v>
      </c>
      <c r="E2941">
        <v>3153</v>
      </c>
      <c r="F2941">
        <v>1411</v>
      </c>
      <c r="G2941">
        <v>0</v>
      </c>
      <c r="H2941">
        <v>1609</v>
      </c>
      <c r="I2941">
        <v>3217</v>
      </c>
      <c r="J2941">
        <v>1439</v>
      </c>
      <c r="K2941">
        <v>1585</v>
      </c>
      <c r="L2941">
        <v>1555</v>
      </c>
      <c r="M2941">
        <v>0</v>
      </c>
      <c r="N2941">
        <v>1593</v>
      </c>
      <c r="O2941">
        <v>1586</v>
      </c>
      <c r="P2941">
        <v>0</v>
      </c>
    </row>
    <row r="2942" spans="1:16" x14ac:dyDescent="0.3">
      <c r="A2942" t="s">
        <v>50</v>
      </c>
      <c r="B2942">
        <v>32</v>
      </c>
      <c r="C2942">
        <v>0</v>
      </c>
      <c r="D2942">
        <v>1577</v>
      </c>
      <c r="E2942">
        <v>3153</v>
      </c>
      <c r="F2942">
        <v>1411</v>
      </c>
      <c r="G2942">
        <v>0</v>
      </c>
      <c r="H2942">
        <v>1609</v>
      </c>
      <c r="I2942">
        <v>3217</v>
      </c>
      <c r="J2942">
        <v>1439</v>
      </c>
      <c r="K2942">
        <v>657</v>
      </c>
      <c r="L2942">
        <v>1555</v>
      </c>
      <c r="M2942">
        <v>0</v>
      </c>
      <c r="N2942">
        <v>919</v>
      </c>
      <c r="O2942">
        <v>1586</v>
      </c>
      <c r="P2942">
        <v>0</v>
      </c>
    </row>
    <row r="2943" spans="1:16" x14ac:dyDescent="0.3">
      <c r="A2943" t="s">
        <v>634</v>
      </c>
      <c r="B2943">
        <v>32</v>
      </c>
      <c r="C2943">
        <v>1</v>
      </c>
      <c r="D2943">
        <v>1</v>
      </c>
      <c r="E2943">
        <v>1</v>
      </c>
      <c r="F2943">
        <v>1</v>
      </c>
      <c r="G2943">
        <v>1</v>
      </c>
      <c r="H2943">
        <v>1</v>
      </c>
      <c r="I2943">
        <v>1</v>
      </c>
      <c r="J2943">
        <v>1</v>
      </c>
      <c r="K2943">
        <v>1</v>
      </c>
      <c r="L2943">
        <v>1</v>
      </c>
      <c r="M2943">
        <v>1</v>
      </c>
      <c r="N2943">
        <v>1</v>
      </c>
      <c r="O2943">
        <v>1</v>
      </c>
      <c r="P2943">
        <v>1</v>
      </c>
    </row>
    <row r="2944" spans="1:16" x14ac:dyDescent="0.3">
      <c r="A2944" t="s">
        <v>51</v>
      </c>
      <c r="B2944">
        <v>32</v>
      </c>
      <c r="C2944">
        <v>0</v>
      </c>
      <c r="D2944">
        <v>0</v>
      </c>
      <c r="E2944">
        <v>0</v>
      </c>
      <c r="F2944">
        <v>160</v>
      </c>
      <c r="G2944">
        <v>0</v>
      </c>
      <c r="H2944">
        <v>0</v>
      </c>
      <c r="I2944">
        <v>0</v>
      </c>
      <c r="J2944">
        <v>231</v>
      </c>
      <c r="K2944">
        <v>0</v>
      </c>
      <c r="L2944">
        <v>35</v>
      </c>
      <c r="M2944">
        <v>0</v>
      </c>
      <c r="N2944">
        <v>0</v>
      </c>
      <c r="O2944">
        <v>20</v>
      </c>
      <c r="P2944">
        <v>0</v>
      </c>
    </row>
    <row r="2945" spans="1:16" x14ac:dyDescent="0.3">
      <c r="A2945" t="s">
        <v>53</v>
      </c>
      <c r="B2945">
        <v>32</v>
      </c>
      <c r="C2945">
        <v>0</v>
      </c>
      <c r="D2945">
        <v>110</v>
      </c>
      <c r="E2945">
        <v>1300</v>
      </c>
      <c r="F2945">
        <v>38</v>
      </c>
      <c r="G2945">
        <v>0</v>
      </c>
      <c r="H2945">
        <v>56</v>
      </c>
      <c r="I2945">
        <v>648</v>
      </c>
      <c r="J2945">
        <v>121</v>
      </c>
      <c r="K2945">
        <v>153</v>
      </c>
      <c r="L2945">
        <v>84</v>
      </c>
      <c r="M2945">
        <v>70</v>
      </c>
      <c r="N2945">
        <v>36</v>
      </c>
      <c r="O2945">
        <v>135</v>
      </c>
      <c r="P2945">
        <v>75</v>
      </c>
    </row>
    <row r="2946" spans="1:16" x14ac:dyDescent="0.3">
      <c r="A2946" t="s">
        <v>54</v>
      </c>
      <c r="B2946">
        <v>32</v>
      </c>
      <c r="C2946">
        <v>0</v>
      </c>
      <c r="D2946">
        <v>0</v>
      </c>
      <c r="E2946">
        <v>0</v>
      </c>
      <c r="F2946">
        <v>0</v>
      </c>
      <c r="G2946">
        <v>0</v>
      </c>
      <c r="H2946">
        <v>0</v>
      </c>
      <c r="I2946">
        <v>0</v>
      </c>
      <c r="J2946">
        <v>0</v>
      </c>
      <c r="K2946">
        <v>0</v>
      </c>
      <c r="L2946">
        <v>0</v>
      </c>
      <c r="M2946">
        <v>0</v>
      </c>
      <c r="N2946">
        <v>0</v>
      </c>
      <c r="O2946">
        <v>0</v>
      </c>
      <c r="P2946">
        <v>0</v>
      </c>
    </row>
    <row r="2947" spans="1:16" x14ac:dyDescent="0.3">
      <c r="A2947" t="s">
        <v>55</v>
      </c>
      <c r="B2947">
        <v>32</v>
      </c>
      <c r="C2947">
        <v>0</v>
      </c>
      <c r="D2947">
        <v>0</v>
      </c>
      <c r="E2947">
        <v>0</v>
      </c>
      <c r="F2947">
        <v>0</v>
      </c>
      <c r="G2947">
        <v>0</v>
      </c>
      <c r="H2947">
        <v>0</v>
      </c>
      <c r="I2947">
        <v>0</v>
      </c>
      <c r="J2947">
        <v>0</v>
      </c>
      <c r="K2947">
        <v>0</v>
      </c>
      <c r="L2947">
        <v>0</v>
      </c>
      <c r="M2947">
        <v>0</v>
      </c>
      <c r="N2947">
        <v>0</v>
      </c>
      <c r="O2947">
        <v>0</v>
      </c>
      <c r="P2947">
        <v>0</v>
      </c>
    </row>
    <row r="2948" spans="1:16" x14ac:dyDescent="0.3">
      <c r="A2948" t="s">
        <v>56</v>
      </c>
      <c r="B2948">
        <v>32</v>
      </c>
      <c r="C2948">
        <v>0.92</v>
      </c>
      <c r="D2948">
        <v>0.92</v>
      </c>
      <c r="E2948">
        <v>0.92</v>
      </c>
      <c r="F2948">
        <v>0.92</v>
      </c>
      <c r="G2948">
        <v>0.92</v>
      </c>
      <c r="H2948">
        <v>0.92</v>
      </c>
      <c r="I2948">
        <v>0.92</v>
      </c>
      <c r="J2948">
        <v>0.92</v>
      </c>
      <c r="K2948">
        <v>0.92</v>
      </c>
      <c r="L2948">
        <v>0.92</v>
      </c>
      <c r="M2948">
        <v>0.92</v>
      </c>
      <c r="N2948">
        <v>0.92</v>
      </c>
      <c r="O2948">
        <v>0.92</v>
      </c>
      <c r="P2948">
        <v>0.92</v>
      </c>
    </row>
    <row r="2949" spans="1:16" x14ac:dyDescent="0.3">
      <c r="A2949" t="s">
        <v>57</v>
      </c>
      <c r="B2949">
        <v>32</v>
      </c>
      <c r="C2949">
        <v>100</v>
      </c>
      <c r="D2949">
        <v>100</v>
      </c>
      <c r="E2949">
        <v>100</v>
      </c>
      <c r="F2949">
        <v>100</v>
      </c>
      <c r="G2949">
        <v>100</v>
      </c>
      <c r="H2949">
        <v>100</v>
      </c>
      <c r="I2949">
        <v>100</v>
      </c>
      <c r="J2949">
        <v>100</v>
      </c>
      <c r="K2949">
        <v>100</v>
      </c>
      <c r="L2949">
        <v>100</v>
      </c>
      <c r="M2949">
        <v>100</v>
      </c>
      <c r="N2949">
        <v>100</v>
      </c>
      <c r="O2949">
        <v>100</v>
      </c>
      <c r="P2949">
        <v>100</v>
      </c>
    </row>
    <row r="2950" spans="1:16" x14ac:dyDescent="0.3">
      <c r="A2950" t="s">
        <v>58</v>
      </c>
      <c r="B2950">
        <v>32</v>
      </c>
      <c r="C2950">
        <v>2</v>
      </c>
      <c r="D2950">
        <v>2</v>
      </c>
      <c r="E2950">
        <v>2</v>
      </c>
      <c r="F2950">
        <v>2</v>
      </c>
      <c r="G2950">
        <v>2</v>
      </c>
      <c r="H2950">
        <v>2</v>
      </c>
      <c r="I2950">
        <v>2</v>
      </c>
      <c r="J2950">
        <v>2</v>
      </c>
      <c r="K2950">
        <v>2</v>
      </c>
      <c r="L2950">
        <v>2</v>
      </c>
      <c r="M2950">
        <v>2</v>
      </c>
      <c r="N2950">
        <v>2</v>
      </c>
      <c r="O2950">
        <v>2</v>
      </c>
      <c r="P2950">
        <v>2</v>
      </c>
    </row>
    <row r="2951" spans="1:16" x14ac:dyDescent="0.3">
      <c r="A2951" t="s">
        <v>59</v>
      </c>
      <c r="B2951">
        <v>32</v>
      </c>
      <c r="C2951">
        <v>0</v>
      </c>
      <c r="D2951">
        <v>0</v>
      </c>
      <c r="E2951">
        <v>0</v>
      </c>
      <c r="F2951">
        <v>0</v>
      </c>
      <c r="G2951">
        <v>0</v>
      </c>
      <c r="H2951">
        <v>0</v>
      </c>
      <c r="I2951">
        <v>0</v>
      </c>
      <c r="J2951">
        <v>0</v>
      </c>
      <c r="K2951">
        <v>0</v>
      </c>
      <c r="L2951">
        <v>0</v>
      </c>
      <c r="M2951">
        <v>0</v>
      </c>
      <c r="N2951">
        <v>0</v>
      </c>
      <c r="O2951">
        <v>0</v>
      </c>
      <c r="P2951">
        <v>0</v>
      </c>
    </row>
    <row r="2952" spans="1:16" x14ac:dyDescent="0.3">
      <c r="A2952" t="s">
        <v>635</v>
      </c>
      <c r="B2952">
        <v>32</v>
      </c>
      <c r="E2952">
        <v>0</v>
      </c>
      <c r="I2952">
        <v>0</v>
      </c>
      <c r="L2952">
        <v>0</v>
      </c>
      <c r="O2952">
        <v>0</v>
      </c>
    </row>
    <row r="2953" spans="1:16" x14ac:dyDescent="0.3">
      <c r="A2953" t="s">
        <v>574</v>
      </c>
      <c r="B2953">
        <v>32</v>
      </c>
      <c r="E2953">
        <v>809</v>
      </c>
      <c r="I2953" t="s">
        <v>620</v>
      </c>
      <c r="L2953">
        <v>380</v>
      </c>
      <c r="O2953">
        <v>418</v>
      </c>
    </row>
    <row r="2954" spans="1:16" x14ac:dyDescent="0.3">
      <c r="A2954" t="s">
        <v>78</v>
      </c>
      <c r="B2954">
        <v>32</v>
      </c>
      <c r="E2954">
        <v>10</v>
      </c>
      <c r="I2954">
        <v>37.200000000000003</v>
      </c>
      <c r="L2954">
        <v>7.4</v>
      </c>
      <c r="O2954">
        <v>8.1</v>
      </c>
    </row>
    <row r="2955" spans="1:16" x14ac:dyDescent="0.3">
      <c r="A2955" t="s">
        <v>636</v>
      </c>
      <c r="B2955">
        <v>32</v>
      </c>
      <c r="F2955">
        <v>0</v>
      </c>
      <c r="J2955">
        <v>2</v>
      </c>
      <c r="M2955">
        <v>2</v>
      </c>
      <c r="P2955">
        <v>0</v>
      </c>
    </row>
    <row r="2956" spans="1:16" x14ac:dyDescent="0.3">
      <c r="A2956" t="s">
        <v>637</v>
      </c>
      <c r="B2956">
        <v>32</v>
      </c>
      <c r="J2956">
        <v>50</v>
      </c>
      <c r="M2956">
        <v>50</v>
      </c>
    </row>
    <row r="2957" spans="1:16" x14ac:dyDescent="0.3">
      <c r="A2957" t="s">
        <v>638</v>
      </c>
      <c r="B2957">
        <v>32</v>
      </c>
      <c r="J2957">
        <v>1</v>
      </c>
      <c r="M2957">
        <v>0</v>
      </c>
    </row>
    <row r="2958" spans="1:16" x14ac:dyDescent="0.3">
      <c r="A2958" t="s">
        <v>639</v>
      </c>
      <c r="B2958">
        <v>32</v>
      </c>
      <c r="C2958">
        <v>3</v>
      </c>
      <c r="D2958">
        <v>0</v>
      </c>
      <c r="E2958">
        <v>0</v>
      </c>
      <c r="F2958">
        <v>1</v>
      </c>
      <c r="G2958">
        <v>3</v>
      </c>
      <c r="H2958">
        <v>0</v>
      </c>
      <c r="I2958">
        <v>0</v>
      </c>
      <c r="J2958">
        <v>1</v>
      </c>
      <c r="K2958">
        <v>0</v>
      </c>
      <c r="L2958">
        <v>0</v>
      </c>
      <c r="M2958">
        <v>1</v>
      </c>
      <c r="N2958">
        <v>0</v>
      </c>
      <c r="O2958">
        <v>0</v>
      </c>
      <c r="P2958">
        <v>1</v>
      </c>
    </row>
    <row r="2959" spans="1:16" x14ac:dyDescent="0.3">
      <c r="A2959" t="s">
        <v>640</v>
      </c>
      <c r="B2959">
        <v>32</v>
      </c>
      <c r="C2959">
        <v>0</v>
      </c>
      <c r="D2959">
        <v>0</v>
      </c>
      <c r="E2959">
        <v>0</v>
      </c>
      <c r="F2959">
        <v>0</v>
      </c>
      <c r="G2959">
        <v>0</v>
      </c>
      <c r="H2959">
        <v>0</v>
      </c>
      <c r="I2959">
        <v>0</v>
      </c>
      <c r="J2959">
        <v>0</v>
      </c>
      <c r="K2959">
        <v>0</v>
      </c>
      <c r="L2959">
        <v>0</v>
      </c>
      <c r="M2959">
        <v>0</v>
      </c>
      <c r="N2959">
        <v>0</v>
      </c>
      <c r="O2959">
        <v>0</v>
      </c>
      <c r="P2959">
        <v>0</v>
      </c>
    </row>
    <row r="2960" spans="1:16" x14ac:dyDescent="0.3">
      <c r="A2960" t="s">
        <v>52</v>
      </c>
      <c r="B2960">
        <v>32</v>
      </c>
      <c r="C2960">
        <v>1.1599999999999999</v>
      </c>
      <c r="D2960">
        <v>1.1599999999999999</v>
      </c>
      <c r="E2960">
        <v>1.1599999999999999</v>
      </c>
      <c r="F2960">
        <v>1.1599999999999999</v>
      </c>
      <c r="G2960">
        <v>1.1299999999999999</v>
      </c>
      <c r="H2960">
        <v>1.1299999999999999</v>
      </c>
      <c r="I2960">
        <v>1.1299999999999999</v>
      </c>
      <c r="J2960">
        <v>1.1299999999999999</v>
      </c>
      <c r="K2960">
        <v>1.1499999999999999</v>
      </c>
      <c r="L2960">
        <v>1.1499999999999999</v>
      </c>
      <c r="M2960">
        <v>1.1499999999999999</v>
      </c>
      <c r="N2960">
        <v>1.1399999999999999</v>
      </c>
      <c r="O2960">
        <v>1.1399999999999999</v>
      </c>
      <c r="P2960">
        <v>1.1399999999999999</v>
      </c>
    </row>
    <row r="2961" spans="1:16" x14ac:dyDescent="0.3">
      <c r="A2961" t="s">
        <v>641</v>
      </c>
      <c r="B2961">
        <v>32</v>
      </c>
      <c r="C2961">
        <v>9</v>
      </c>
      <c r="D2961">
        <v>15</v>
      </c>
      <c r="E2961">
        <v>60</v>
      </c>
      <c r="F2961">
        <v>9</v>
      </c>
      <c r="G2961">
        <v>9</v>
      </c>
      <c r="H2961">
        <v>15</v>
      </c>
      <c r="I2961">
        <v>60</v>
      </c>
      <c r="J2961">
        <v>9</v>
      </c>
      <c r="K2961">
        <v>15</v>
      </c>
      <c r="L2961">
        <v>60</v>
      </c>
      <c r="M2961">
        <v>9</v>
      </c>
      <c r="N2961">
        <v>15</v>
      </c>
      <c r="O2961">
        <v>60</v>
      </c>
      <c r="P2961">
        <v>9</v>
      </c>
    </row>
    <row r="2962" spans="1:16" x14ac:dyDescent="0.3">
      <c r="A2962" t="s">
        <v>43</v>
      </c>
      <c r="B2962">
        <v>32</v>
      </c>
      <c r="D2962">
        <v>35</v>
      </c>
      <c r="E2962">
        <v>336</v>
      </c>
      <c r="F2962">
        <v>0</v>
      </c>
      <c r="H2962">
        <v>35</v>
      </c>
      <c r="I2962">
        <v>336</v>
      </c>
      <c r="J2962">
        <v>0</v>
      </c>
      <c r="K2962">
        <v>35</v>
      </c>
      <c r="L2962">
        <v>35</v>
      </c>
      <c r="N2962">
        <v>35</v>
      </c>
      <c r="O2962">
        <v>35</v>
      </c>
    </row>
    <row r="2963" spans="1:16" x14ac:dyDescent="0.3">
      <c r="A2963" t="s">
        <v>44</v>
      </c>
      <c r="B2963">
        <v>32</v>
      </c>
      <c r="D2963">
        <v>-5</v>
      </c>
      <c r="E2963">
        <v>0</v>
      </c>
      <c r="F2963">
        <v>0</v>
      </c>
      <c r="H2963">
        <v>-5</v>
      </c>
      <c r="I2963">
        <v>0</v>
      </c>
      <c r="J2963">
        <v>0</v>
      </c>
      <c r="K2963">
        <v>-5</v>
      </c>
      <c r="L2963">
        <v>-5</v>
      </c>
      <c r="N2963">
        <v>-5</v>
      </c>
      <c r="O2963">
        <v>-5</v>
      </c>
    </row>
    <row r="2964" spans="1:16" x14ac:dyDescent="0.3">
      <c r="A2964" t="s">
        <v>47</v>
      </c>
      <c r="B2964">
        <v>32</v>
      </c>
      <c r="D2964">
        <v>1</v>
      </c>
      <c r="E2964">
        <v>6</v>
      </c>
      <c r="F2964">
        <v>6</v>
      </c>
      <c r="H2964">
        <v>5</v>
      </c>
      <c r="I2964">
        <v>2</v>
      </c>
      <c r="J2964">
        <v>2</v>
      </c>
      <c r="K2964">
        <v>3</v>
      </c>
      <c r="L2964">
        <v>8</v>
      </c>
      <c r="N2964">
        <v>4</v>
      </c>
      <c r="O2964">
        <v>4</v>
      </c>
    </row>
    <row r="2965" spans="1:16" x14ac:dyDescent="0.3">
      <c r="A2965" t="s">
        <v>642</v>
      </c>
      <c r="B2965">
        <v>32</v>
      </c>
      <c r="D2965">
        <v>0</v>
      </c>
      <c r="E2965">
        <v>0</v>
      </c>
      <c r="F2965">
        <v>0</v>
      </c>
      <c r="H2965">
        <v>0</v>
      </c>
      <c r="I2965">
        <v>0</v>
      </c>
      <c r="J2965">
        <v>0</v>
      </c>
      <c r="K2965">
        <v>0</v>
      </c>
      <c r="L2965">
        <v>0</v>
      </c>
      <c r="N2965">
        <v>0</v>
      </c>
      <c r="O2965">
        <v>0</v>
      </c>
    </row>
    <row r="2966" spans="1:16" x14ac:dyDescent="0.3">
      <c r="A2966" t="s">
        <v>643</v>
      </c>
      <c r="B2966">
        <v>32</v>
      </c>
      <c r="D2966">
        <v>0</v>
      </c>
      <c r="E2966">
        <v>0</v>
      </c>
      <c r="F2966">
        <v>0</v>
      </c>
      <c r="H2966">
        <v>0</v>
      </c>
      <c r="I2966">
        <v>0</v>
      </c>
      <c r="J2966">
        <v>0</v>
      </c>
      <c r="K2966">
        <v>0</v>
      </c>
      <c r="L2966">
        <v>0</v>
      </c>
      <c r="N2966">
        <v>0</v>
      </c>
      <c r="O2966">
        <v>0</v>
      </c>
    </row>
    <row r="2967" spans="1:16" x14ac:dyDescent="0.3">
      <c r="A2967" t="s">
        <v>644</v>
      </c>
      <c r="B2967">
        <v>32</v>
      </c>
      <c r="D2967">
        <v>0</v>
      </c>
      <c r="E2967">
        <v>0</v>
      </c>
      <c r="F2967">
        <v>0</v>
      </c>
      <c r="H2967">
        <v>0</v>
      </c>
      <c r="I2967">
        <v>0</v>
      </c>
      <c r="J2967">
        <v>0</v>
      </c>
      <c r="K2967">
        <v>0</v>
      </c>
      <c r="L2967">
        <v>0</v>
      </c>
      <c r="N2967">
        <v>0</v>
      </c>
      <c r="O2967">
        <v>0</v>
      </c>
    </row>
    <row r="2968" spans="1:16" x14ac:dyDescent="0.3">
      <c r="A2968" t="s">
        <v>645</v>
      </c>
      <c r="B2968">
        <v>32</v>
      </c>
      <c r="D2968">
        <v>0</v>
      </c>
      <c r="E2968">
        <v>0</v>
      </c>
      <c r="F2968">
        <v>0</v>
      </c>
      <c r="H2968">
        <v>0</v>
      </c>
      <c r="I2968">
        <v>0</v>
      </c>
      <c r="J2968">
        <v>0</v>
      </c>
      <c r="K2968">
        <v>0</v>
      </c>
      <c r="L2968">
        <v>0</v>
      </c>
      <c r="N2968">
        <v>0</v>
      </c>
      <c r="O2968">
        <v>0</v>
      </c>
    </row>
    <row r="2969" spans="1:16" x14ac:dyDescent="0.3">
      <c r="A2969" t="s">
        <v>646</v>
      </c>
      <c r="B2969">
        <v>32</v>
      </c>
      <c r="D2969">
        <v>1</v>
      </c>
      <c r="E2969">
        <v>2</v>
      </c>
      <c r="F2969">
        <v>1</v>
      </c>
      <c r="H2969">
        <v>1</v>
      </c>
      <c r="I2969">
        <v>2</v>
      </c>
      <c r="J2969">
        <v>1</v>
      </c>
      <c r="K2969">
        <v>1</v>
      </c>
      <c r="L2969">
        <v>2</v>
      </c>
      <c r="N2969">
        <v>1</v>
      </c>
      <c r="O2969">
        <v>2</v>
      </c>
    </row>
    <row r="2970" spans="1:16" x14ac:dyDescent="0.3">
      <c r="A2970" t="s">
        <v>647</v>
      </c>
      <c r="B2970">
        <v>32</v>
      </c>
      <c r="D2970">
        <v>-5</v>
      </c>
      <c r="E2970">
        <v>330</v>
      </c>
      <c r="F2970">
        <v>0</v>
      </c>
      <c r="H2970">
        <v>-5</v>
      </c>
      <c r="I2970">
        <v>330</v>
      </c>
      <c r="J2970">
        <v>0</v>
      </c>
      <c r="K2970">
        <v>-5</v>
      </c>
      <c r="L2970">
        <v>-5</v>
      </c>
      <c r="N2970">
        <v>-5</v>
      </c>
      <c r="O2970">
        <v>-5</v>
      </c>
    </row>
    <row r="2971" spans="1:16" x14ac:dyDescent="0.3">
      <c r="A2971" t="s">
        <v>648</v>
      </c>
      <c r="B2971">
        <v>32</v>
      </c>
      <c r="D2971">
        <v>40</v>
      </c>
      <c r="E2971">
        <v>6</v>
      </c>
      <c r="F2971">
        <v>0</v>
      </c>
      <c r="H2971">
        <v>40</v>
      </c>
      <c r="I2971">
        <v>6</v>
      </c>
      <c r="J2971">
        <v>0</v>
      </c>
      <c r="K2971">
        <v>40</v>
      </c>
      <c r="L2971">
        <v>40</v>
      </c>
      <c r="N2971">
        <v>40</v>
      </c>
      <c r="O2971">
        <v>40</v>
      </c>
    </row>
    <row r="2972" spans="1:16" x14ac:dyDescent="0.3">
      <c r="A2972" t="s">
        <v>649</v>
      </c>
      <c r="B2972">
        <v>32</v>
      </c>
      <c r="D2972">
        <v>3</v>
      </c>
      <c r="E2972">
        <v>3</v>
      </c>
      <c r="F2972">
        <v>3</v>
      </c>
      <c r="H2972">
        <v>3</v>
      </c>
      <c r="I2972">
        <v>3</v>
      </c>
      <c r="J2972">
        <v>3</v>
      </c>
      <c r="K2972">
        <v>3</v>
      </c>
      <c r="L2972">
        <v>3</v>
      </c>
      <c r="N2972">
        <v>3</v>
      </c>
      <c r="O2972">
        <v>3</v>
      </c>
    </row>
    <row r="2973" spans="1:16" x14ac:dyDescent="0.3">
      <c r="A2973" t="s">
        <v>650</v>
      </c>
      <c r="B2973">
        <v>32</v>
      </c>
      <c r="D2973">
        <v>0</v>
      </c>
      <c r="E2973">
        <v>0</v>
      </c>
      <c r="F2973">
        <v>0</v>
      </c>
      <c r="H2973">
        <v>0</v>
      </c>
      <c r="I2973">
        <v>0</v>
      </c>
      <c r="J2973">
        <v>0</v>
      </c>
      <c r="K2973">
        <v>0</v>
      </c>
      <c r="L2973">
        <v>0</v>
      </c>
      <c r="N2973">
        <v>0</v>
      </c>
      <c r="O2973">
        <v>0</v>
      </c>
    </row>
    <row r="2974" spans="1:16" x14ac:dyDescent="0.3">
      <c r="A2974" t="s">
        <v>651</v>
      </c>
      <c r="B2974">
        <v>32</v>
      </c>
      <c r="D2974">
        <v>0</v>
      </c>
      <c r="E2974">
        <v>0</v>
      </c>
      <c r="F2974">
        <v>0</v>
      </c>
      <c r="H2974">
        <v>0</v>
      </c>
      <c r="I2974">
        <v>0</v>
      </c>
      <c r="J2974">
        <v>0</v>
      </c>
      <c r="K2974">
        <v>0</v>
      </c>
      <c r="L2974">
        <v>0</v>
      </c>
      <c r="N2974">
        <v>0</v>
      </c>
      <c r="O2974">
        <v>0</v>
      </c>
    </row>
    <row r="2975" spans="1:16" x14ac:dyDescent="0.3">
      <c r="A2975" t="s">
        <v>652</v>
      </c>
      <c r="B2975">
        <v>32</v>
      </c>
      <c r="D2975">
        <v>0</v>
      </c>
      <c r="E2975">
        <v>0</v>
      </c>
      <c r="F2975">
        <v>0</v>
      </c>
      <c r="H2975">
        <v>0</v>
      </c>
      <c r="I2975">
        <v>0</v>
      </c>
      <c r="J2975">
        <v>0</v>
      </c>
      <c r="K2975">
        <v>0</v>
      </c>
      <c r="L2975">
        <v>0</v>
      </c>
      <c r="N2975">
        <v>0</v>
      </c>
      <c r="O2975">
        <v>0</v>
      </c>
    </row>
    <row r="2976" spans="1:16" x14ac:dyDescent="0.3">
      <c r="A2976" t="s">
        <v>653</v>
      </c>
      <c r="B2976">
        <v>32</v>
      </c>
      <c r="E2976">
        <v>0</v>
      </c>
      <c r="I2976">
        <v>0</v>
      </c>
      <c r="L2976">
        <v>0</v>
      </c>
      <c r="O2976">
        <v>0</v>
      </c>
    </row>
    <row r="2977" spans="1:16" x14ac:dyDescent="0.3">
      <c r="A2977" t="s">
        <v>654</v>
      </c>
      <c r="B2977">
        <v>32</v>
      </c>
      <c r="E2977">
        <v>0</v>
      </c>
      <c r="I2977">
        <v>0</v>
      </c>
      <c r="L2977">
        <v>0</v>
      </c>
      <c r="O2977">
        <v>0</v>
      </c>
    </row>
    <row r="2978" spans="1:16" x14ac:dyDescent="0.3">
      <c r="A2978" t="s">
        <v>655</v>
      </c>
      <c r="B2978">
        <v>32</v>
      </c>
      <c r="E2978">
        <v>3</v>
      </c>
      <c r="I2978">
        <v>3</v>
      </c>
      <c r="L2978">
        <v>3</v>
      </c>
      <c r="O2978">
        <v>3</v>
      </c>
    </row>
    <row r="2979" spans="1:16" x14ac:dyDescent="0.3">
      <c r="A2979" t="s">
        <v>656</v>
      </c>
      <c r="B2979">
        <v>32</v>
      </c>
      <c r="E2979">
        <v>0</v>
      </c>
      <c r="I2979">
        <v>0</v>
      </c>
      <c r="L2979">
        <v>0</v>
      </c>
      <c r="O2979">
        <v>0</v>
      </c>
    </row>
    <row r="2980" spans="1:16" x14ac:dyDescent="0.3">
      <c r="A2980" t="s">
        <v>657</v>
      </c>
      <c r="B2980">
        <v>32</v>
      </c>
      <c r="E2980">
        <v>0</v>
      </c>
      <c r="I2980">
        <v>0</v>
      </c>
      <c r="L2980">
        <v>0</v>
      </c>
      <c r="O2980">
        <v>0</v>
      </c>
    </row>
    <row r="2981" spans="1:16" x14ac:dyDescent="0.3">
      <c r="A2981" t="s">
        <v>408</v>
      </c>
      <c r="B2981">
        <v>32</v>
      </c>
      <c r="E2981">
        <v>1</v>
      </c>
    </row>
    <row r="2982" spans="1:16" x14ac:dyDescent="0.3">
      <c r="A2982" t="s">
        <v>658</v>
      </c>
      <c r="B2982">
        <v>32</v>
      </c>
      <c r="C2982">
        <v>0</v>
      </c>
      <c r="D2982">
        <v>120</v>
      </c>
      <c r="E2982">
        <v>1413</v>
      </c>
      <c r="F2982">
        <v>41</v>
      </c>
      <c r="G2982">
        <v>0</v>
      </c>
      <c r="H2982">
        <v>61</v>
      </c>
      <c r="I2982">
        <v>704</v>
      </c>
      <c r="J2982">
        <v>132</v>
      </c>
      <c r="K2982">
        <v>166</v>
      </c>
      <c r="L2982">
        <v>167</v>
      </c>
      <c r="M2982">
        <v>0</v>
      </c>
      <c r="N2982">
        <v>39</v>
      </c>
      <c r="O2982">
        <v>229</v>
      </c>
      <c r="P2982">
        <v>0</v>
      </c>
    </row>
    <row r="2983" spans="1:16" x14ac:dyDescent="0.3">
      <c r="A2983" t="s">
        <v>34</v>
      </c>
      <c r="B2983">
        <v>33</v>
      </c>
      <c r="C2983">
        <v>32</v>
      </c>
      <c r="D2983">
        <v>32</v>
      </c>
      <c r="E2983">
        <v>32</v>
      </c>
      <c r="F2983">
        <v>32</v>
      </c>
      <c r="G2983">
        <v>34</v>
      </c>
      <c r="H2983">
        <v>34</v>
      </c>
      <c r="I2983">
        <v>34</v>
      </c>
      <c r="J2983">
        <v>34</v>
      </c>
      <c r="K2983">
        <v>212</v>
      </c>
      <c r="L2983">
        <v>212</v>
      </c>
      <c r="M2983">
        <v>212</v>
      </c>
      <c r="N2983">
        <v>213</v>
      </c>
      <c r="O2983">
        <v>213</v>
      </c>
      <c r="P2983">
        <v>213</v>
      </c>
    </row>
    <row r="2984" spans="1:16" x14ac:dyDescent="0.3">
      <c r="A2984" t="s">
        <v>35</v>
      </c>
      <c r="B2984">
        <v>33</v>
      </c>
      <c r="C2984">
        <v>32</v>
      </c>
      <c r="D2984">
        <v>212</v>
      </c>
      <c r="E2984">
        <v>34</v>
      </c>
      <c r="F2984">
        <v>213</v>
      </c>
      <c r="G2984">
        <v>34</v>
      </c>
      <c r="H2984">
        <v>213</v>
      </c>
      <c r="I2984">
        <v>32</v>
      </c>
      <c r="J2984">
        <v>212</v>
      </c>
      <c r="K2984">
        <v>34</v>
      </c>
      <c r="L2984">
        <v>213</v>
      </c>
      <c r="M2984">
        <v>32</v>
      </c>
      <c r="N2984">
        <v>32</v>
      </c>
      <c r="O2984">
        <v>212</v>
      </c>
      <c r="P2984">
        <v>34</v>
      </c>
    </row>
    <row r="2985" spans="1:16" x14ac:dyDescent="0.3">
      <c r="A2985" t="s">
        <v>36</v>
      </c>
      <c r="B2985">
        <v>33</v>
      </c>
      <c r="C2985">
        <v>0</v>
      </c>
      <c r="D2985">
        <v>1</v>
      </c>
      <c r="E2985">
        <v>2</v>
      </c>
      <c r="F2985">
        <v>1</v>
      </c>
      <c r="G2985">
        <v>0</v>
      </c>
      <c r="H2985">
        <v>1</v>
      </c>
      <c r="I2985">
        <v>2</v>
      </c>
      <c r="J2985">
        <v>1</v>
      </c>
      <c r="K2985">
        <v>1</v>
      </c>
      <c r="L2985">
        <v>1</v>
      </c>
      <c r="M2985">
        <v>0</v>
      </c>
      <c r="N2985">
        <v>0</v>
      </c>
      <c r="O2985">
        <v>1</v>
      </c>
      <c r="P2985">
        <v>1</v>
      </c>
    </row>
    <row r="2986" spans="1:16" x14ac:dyDescent="0.3">
      <c r="A2986" t="s">
        <v>37</v>
      </c>
      <c r="B2986">
        <v>33</v>
      </c>
      <c r="D2986">
        <v>0</v>
      </c>
      <c r="E2986">
        <v>0</v>
      </c>
      <c r="H2986">
        <v>0</v>
      </c>
      <c r="I2986">
        <v>0</v>
      </c>
      <c r="K2986">
        <v>0</v>
      </c>
      <c r="L2986">
        <v>2</v>
      </c>
      <c r="N2986">
        <v>0</v>
      </c>
      <c r="O2986">
        <v>1</v>
      </c>
    </row>
    <row r="2987" spans="1:16" x14ac:dyDescent="0.3">
      <c r="A2987" t="s">
        <v>38</v>
      </c>
      <c r="B2987">
        <v>33</v>
      </c>
      <c r="C2987">
        <v>12</v>
      </c>
      <c r="D2987">
        <v>12</v>
      </c>
      <c r="E2987">
        <v>12</v>
      </c>
      <c r="F2987">
        <v>12</v>
      </c>
      <c r="G2987">
        <v>12</v>
      </c>
      <c r="H2987">
        <v>12</v>
      </c>
      <c r="I2987">
        <v>12</v>
      </c>
      <c r="J2987">
        <v>12</v>
      </c>
      <c r="K2987">
        <v>12</v>
      </c>
      <c r="L2987">
        <v>12</v>
      </c>
      <c r="M2987">
        <v>12</v>
      </c>
      <c r="N2987">
        <v>12</v>
      </c>
      <c r="O2987">
        <v>12</v>
      </c>
      <c r="P2987">
        <v>12</v>
      </c>
    </row>
    <row r="2988" spans="1:16" x14ac:dyDescent="0.3">
      <c r="A2988" t="s">
        <v>39</v>
      </c>
      <c r="B2988">
        <v>33</v>
      </c>
      <c r="D2988">
        <v>465</v>
      </c>
      <c r="F2988">
        <v>125</v>
      </c>
      <c r="H2988">
        <v>473</v>
      </c>
      <c r="J2988">
        <v>215</v>
      </c>
      <c r="K2988">
        <v>122</v>
      </c>
      <c r="P2988">
        <v>162</v>
      </c>
    </row>
    <row r="2989" spans="1:16" x14ac:dyDescent="0.3">
      <c r="A2989" t="s">
        <v>631</v>
      </c>
      <c r="B2989">
        <v>33</v>
      </c>
      <c r="D2989">
        <v>25</v>
      </c>
      <c r="F2989">
        <v>25</v>
      </c>
      <c r="H2989">
        <v>25</v>
      </c>
      <c r="J2989">
        <v>25</v>
      </c>
      <c r="K2989">
        <v>25</v>
      </c>
      <c r="P2989">
        <v>25</v>
      </c>
    </row>
    <row r="2990" spans="1:16" x14ac:dyDescent="0.3">
      <c r="A2990" t="s">
        <v>40</v>
      </c>
      <c r="B2990">
        <v>33</v>
      </c>
      <c r="D2990">
        <v>1</v>
      </c>
      <c r="F2990">
        <v>1</v>
      </c>
      <c r="H2990">
        <v>1</v>
      </c>
      <c r="J2990">
        <v>1</v>
      </c>
      <c r="K2990">
        <v>1</v>
      </c>
      <c r="P2990">
        <v>1</v>
      </c>
    </row>
    <row r="2991" spans="1:16" x14ac:dyDescent="0.3">
      <c r="A2991" t="s">
        <v>41</v>
      </c>
      <c r="B2991">
        <v>33</v>
      </c>
    </row>
    <row r="2992" spans="1:16" x14ac:dyDescent="0.3">
      <c r="A2992" t="s">
        <v>42</v>
      </c>
      <c r="B2992">
        <v>33</v>
      </c>
      <c r="E2992">
        <v>55</v>
      </c>
      <c r="I2992">
        <v>55</v>
      </c>
      <c r="L2992">
        <v>30</v>
      </c>
      <c r="O2992">
        <v>30</v>
      </c>
    </row>
    <row r="2993" spans="1:16" x14ac:dyDescent="0.3">
      <c r="A2993" t="s">
        <v>45</v>
      </c>
      <c r="B2993">
        <v>33</v>
      </c>
      <c r="D2993">
        <v>1</v>
      </c>
      <c r="E2993">
        <v>6</v>
      </c>
      <c r="H2993">
        <v>5</v>
      </c>
      <c r="I2993">
        <v>2</v>
      </c>
      <c r="L2993">
        <v>8</v>
      </c>
      <c r="O2993">
        <v>4</v>
      </c>
    </row>
    <row r="2994" spans="1:16" x14ac:dyDescent="0.3">
      <c r="A2994" t="s">
        <v>46</v>
      </c>
      <c r="B2994">
        <v>33</v>
      </c>
      <c r="D2994">
        <v>6</v>
      </c>
      <c r="F2994">
        <v>6</v>
      </c>
      <c r="H2994">
        <v>2</v>
      </c>
      <c r="J2994">
        <v>2</v>
      </c>
      <c r="K2994">
        <v>8</v>
      </c>
      <c r="N2994">
        <v>4</v>
      </c>
      <c r="P2994">
        <v>4</v>
      </c>
    </row>
    <row r="2995" spans="1:16" x14ac:dyDescent="0.3">
      <c r="A2995" t="s">
        <v>49</v>
      </c>
      <c r="B2995">
        <v>33</v>
      </c>
      <c r="C2995">
        <v>4</v>
      </c>
      <c r="D2995">
        <v>5.9</v>
      </c>
      <c r="E2995">
        <v>6.5</v>
      </c>
      <c r="F2995">
        <v>6.5</v>
      </c>
      <c r="G2995">
        <v>4</v>
      </c>
      <c r="H2995">
        <v>5.5</v>
      </c>
      <c r="I2995">
        <v>6.5</v>
      </c>
      <c r="J2995">
        <v>6.5</v>
      </c>
      <c r="K2995">
        <v>6.7</v>
      </c>
      <c r="L2995">
        <v>6.7</v>
      </c>
      <c r="M2995">
        <v>4</v>
      </c>
      <c r="N2995">
        <v>6.7</v>
      </c>
      <c r="O2995">
        <v>6.7</v>
      </c>
      <c r="P2995">
        <v>6.7</v>
      </c>
    </row>
    <row r="2996" spans="1:16" x14ac:dyDescent="0.3">
      <c r="A2996" t="s">
        <v>632</v>
      </c>
      <c r="B2996">
        <v>33</v>
      </c>
      <c r="C2996">
        <v>0</v>
      </c>
      <c r="D2996">
        <v>0</v>
      </c>
      <c r="E2996">
        <v>0</v>
      </c>
      <c r="F2996">
        <v>0</v>
      </c>
      <c r="G2996">
        <v>0</v>
      </c>
      <c r="H2996">
        <v>0</v>
      </c>
      <c r="I2996">
        <v>0</v>
      </c>
      <c r="J2996">
        <v>0</v>
      </c>
      <c r="K2996">
        <v>0</v>
      </c>
      <c r="L2996">
        <v>0</v>
      </c>
      <c r="M2996">
        <v>0</v>
      </c>
      <c r="N2996">
        <v>0</v>
      </c>
      <c r="O2996">
        <v>0</v>
      </c>
      <c r="P2996">
        <v>0</v>
      </c>
    </row>
    <row r="2997" spans="1:16" x14ac:dyDescent="0.3">
      <c r="A2997" t="s">
        <v>48</v>
      </c>
      <c r="B2997">
        <v>33</v>
      </c>
      <c r="C2997">
        <v>1900</v>
      </c>
      <c r="D2997">
        <v>1900</v>
      </c>
      <c r="E2997">
        <v>1900</v>
      </c>
      <c r="F2997">
        <v>1900</v>
      </c>
      <c r="G2997">
        <v>1900</v>
      </c>
      <c r="H2997">
        <v>1900</v>
      </c>
      <c r="I2997">
        <v>1900</v>
      </c>
      <c r="J2997">
        <v>1900</v>
      </c>
      <c r="K2997">
        <v>1900</v>
      </c>
      <c r="L2997">
        <v>1900</v>
      </c>
      <c r="M2997">
        <v>1900</v>
      </c>
      <c r="N2997">
        <v>1900</v>
      </c>
      <c r="O2997">
        <v>1900</v>
      </c>
      <c r="P2997">
        <v>1900</v>
      </c>
    </row>
    <row r="2998" spans="1:16" x14ac:dyDescent="0.3">
      <c r="A2998" t="s">
        <v>633</v>
      </c>
      <c r="B2998">
        <v>33</v>
      </c>
      <c r="C2998">
        <v>0</v>
      </c>
      <c r="D2998">
        <v>1770</v>
      </c>
      <c r="E2998">
        <v>3539</v>
      </c>
      <c r="F2998">
        <v>1583</v>
      </c>
      <c r="G2998">
        <v>0</v>
      </c>
      <c r="H2998">
        <v>1787</v>
      </c>
      <c r="I2998">
        <v>3575</v>
      </c>
      <c r="J2998">
        <v>1599</v>
      </c>
      <c r="K2998">
        <v>1770</v>
      </c>
      <c r="L2998">
        <v>1723</v>
      </c>
      <c r="M2998">
        <v>0</v>
      </c>
      <c r="N2998">
        <v>0</v>
      </c>
      <c r="O2998">
        <v>1818</v>
      </c>
      <c r="P2998">
        <v>1583</v>
      </c>
    </row>
    <row r="2999" spans="1:16" x14ac:dyDescent="0.3">
      <c r="A2999" t="s">
        <v>50</v>
      </c>
      <c r="B2999">
        <v>33</v>
      </c>
      <c r="C2999">
        <v>0</v>
      </c>
      <c r="D2999">
        <v>417</v>
      </c>
      <c r="E2999">
        <v>3539</v>
      </c>
      <c r="F2999">
        <v>1583</v>
      </c>
      <c r="G2999">
        <v>0</v>
      </c>
      <c r="H2999">
        <v>186</v>
      </c>
      <c r="I2999">
        <v>3575</v>
      </c>
      <c r="J2999">
        <v>1599</v>
      </c>
      <c r="K2999">
        <v>1278</v>
      </c>
      <c r="L2999">
        <v>1723</v>
      </c>
      <c r="M2999">
        <v>0</v>
      </c>
      <c r="N2999">
        <v>0</v>
      </c>
      <c r="O2999">
        <v>1462</v>
      </c>
      <c r="P2999">
        <v>1583</v>
      </c>
    </row>
    <row r="3000" spans="1:16" x14ac:dyDescent="0.3">
      <c r="A3000" t="s">
        <v>634</v>
      </c>
      <c r="B3000">
        <v>33</v>
      </c>
      <c r="C3000">
        <v>1</v>
      </c>
      <c r="D3000">
        <v>1</v>
      </c>
      <c r="E3000">
        <v>1</v>
      </c>
      <c r="F3000">
        <v>1</v>
      </c>
      <c r="G3000">
        <v>1</v>
      </c>
      <c r="H3000">
        <v>1</v>
      </c>
      <c r="I3000">
        <v>1</v>
      </c>
      <c r="J3000">
        <v>1</v>
      </c>
      <c r="K3000">
        <v>1</v>
      </c>
      <c r="L3000">
        <v>1</v>
      </c>
      <c r="M3000">
        <v>1</v>
      </c>
      <c r="N3000">
        <v>1</v>
      </c>
      <c r="O3000">
        <v>1</v>
      </c>
      <c r="P3000">
        <v>1</v>
      </c>
    </row>
    <row r="3001" spans="1:16" x14ac:dyDescent="0.3">
      <c r="A3001" t="s">
        <v>51</v>
      </c>
      <c r="B3001">
        <v>33</v>
      </c>
      <c r="C3001">
        <v>0</v>
      </c>
      <c r="D3001">
        <v>0</v>
      </c>
      <c r="E3001">
        <v>0</v>
      </c>
      <c r="F3001">
        <v>87</v>
      </c>
      <c r="G3001">
        <v>0</v>
      </c>
      <c r="H3001">
        <v>0</v>
      </c>
      <c r="I3001">
        <v>0</v>
      </c>
      <c r="J3001">
        <v>87</v>
      </c>
      <c r="K3001">
        <v>0</v>
      </c>
      <c r="L3001">
        <v>37</v>
      </c>
      <c r="M3001">
        <v>0</v>
      </c>
      <c r="N3001">
        <v>0</v>
      </c>
      <c r="O3001">
        <v>0</v>
      </c>
      <c r="P3001">
        <v>85</v>
      </c>
    </row>
    <row r="3002" spans="1:16" x14ac:dyDescent="0.3">
      <c r="A3002" t="s">
        <v>53</v>
      </c>
      <c r="B3002">
        <v>33</v>
      </c>
      <c r="C3002">
        <v>0</v>
      </c>
      <c r="D3002">
        <v>50</v>
      </c>
      <c r="E3002">
        <v>1500</v>
      </c>
      <c r="F3002">
        <v>50</v>
      </c>
      <c r="G3002">
        <v>0</v>
      </c>
      <c r="H3002">
        <v>50</v>
      </c>
      <c r="I3002">
        <v>1000</v>
      </c>
      <c r="J3002">
        <v>50</v>
      </c>
      <c r="K3002">
        <v>50</v>
      </c>
      <c r="L3002">
        <v>50</v>
      </c>
      <c r="M3002">
        <v>50</v>
      </c>
      <c r="N3002">
        <v>50</v>
      </c>
      <c r="O3002">
        <v>50</v>
      </c>
      <c r="P3002">
        <v>50</v>
      </c>
    </row>
    <row r="3003" spans="1:16" x14ac:dyDescent="0.3">
      <c r="A3003" t="s">
        <v>54</v>
      </c>
      <c r="B3003">
        <v>33</v>
      </c>
      <c r="C3003">
        <v>0</v>
      </c>
      <c r="D3003">
        <v>0</v>
      </c>
      <c r="E3003">
        <v>0</v>
      </c>
      <c r="F3003">
        <v>0</v>
      </c>
      <c r="G3003">
        <v>0</v>
      </c>
      <c r="H3003">
        <v>0</v>
      </c>
      <c r="I3003">
        <v>0</v>
      </c>
      <c r="J3003">
        <v>0</v>
      </c>
      <c r="K3003">
        <v>0</v>
      </c>
      <c r="L3003">
        <v>0</v>
      </c>
      <c r="M3003">
        <v>0</v>
      </c>
      <c r="N3003">
        <v>0</v>
      </c>
      <c r="O3003">
        <v>0</v>
      </c>
      <c r="P3003">
        <v>0</v>
      </c>
    </row>
    <row r="3004" spans="1:16" x14ac:dyDescent="0.3">
      <c r="A3004" t="s">
        <v>55</v>
      </c>
      <c r="B3004">
        <v>33</v>
      </c>
      <c r="C3004">
        <v>0</v>
      </c>
      <c r="D3004">
        <v>0</v>
      </c>
      <c r="E3004">
        <v>0</v>
      </c>
      <c r="F3004">
        <v>0</v>
      </c>
      <c r="G3004">
        <v>0</v>
      </c>
      <c r="H3004">
        <v>0</v>
      </c>
      <c r="I3004">
        <v>0</v>
      </c>
      <c r="J3004">
        <v>0</v>
      </c>
      <c r="K3004">
        <v>0</v>
      </c>
      <c r="L3004">
        <v>0</v>
      </c>
      <c r="M3004">
        <v>0</v>
      </c>
      <c r="N3004">
        <v>0</v>
      </c>
      <c r="O3004">
        <v>0</v>
      </c>
      <c r="P3004">
        <v>0</v>
      </c>
    </row>
    <row r="3005" spans="1:16" x14ac:dyDescent="0.3">
      <c r="A3005" t="s">
        <v>56</v>
      </c>
      <c r="B3005">
        <v>33</v>
      </c>
      <c r="C3005">
        <v>0.92</v>
      </c>
      <c r="D3005">
        <v>0.92</v>
      </c>
      <c r="E3005">
        <v>0.92</v>
      </c>
      <c r="F3005">
        <v>0.92</v>
      </c>
      <c r="G3005">
        <v>0.92</v>
      </c>
      <c r="H3005">
        <v>0.92</v>
      </c>
      <c r="I3005">
        <v>0.92</v>
      </c>
      <c r="J3005">
        <v>0.92</v>
      </c>
      <c r="K3005">
        <v>0.92</v>
      </c>
      <c r="L3005">
        <v>0.92</v>
      </c>
      <c r="M3005">
        <v>0.92</v>
      </c>
      <c r="N3005">
        <v>0.92</v>
      </c>
      <c r="O3005">
        <v>0.92</v>
      </c>
      <c r="P3005">
        <v>0.92</v>
      </c>
    </row>
    <row r="3006" spans="1:16" x14ac:dyDescent="0.3">
      <c r="A3006" t="s">
        <v>57</v>
      </c>
      <c r="B3006">
        <v>33</v>
      </c>
      <c r="C3006">
        <v>100</v>
      </c>
      <c r="D3006">
        <v>100</v>
      </c>
      <c r="E3006">
        <v>100</v>
      </c>
      <c r="F3006">
        <v>100</v>
      </c>
      <c r="G3006">
        <v>100</v>
      </c>
      <c r="H3006">
        <v>100</v>
      </c>
      <c r="I3006">
        <v>100</v>
      </c>
      <c r="J3006">
        <v>100</v>
      </c>
      <c r="K3006">
        <v>100</v>
      </c>
      <c r="L3006">
        <v>100</v>
      </c>
      <c r="M3006">
        <v>100</v>
      </c>
      <c r="N3006">
        <v>100</v>
      </c>
      <c r="O3006">
        <v>100</v>
      </c>
      <c r="P3006">
        <v>100</v>
      </c>
    </row>
    <row r="3007" spans="1:16" x14ac:dyDescent="0.3">
      <c r="A3007" t="s">
        <v>58</v>
      </c>
      <c r="B3007">
        <v>33</v>
      </c>
      <c r="C3007">
        <v>2</v>
      </c>
      <c r="D3007">
        <v>2</v>
      </c>
      <c r="E3007">
        <v>2</v>
      </c>
      <c r="F3007">
        <v>2</v>
      </c>
      <c r="G3007">
        <v>2</v>
      </c>
      <c r="H3007">
        <v>2</v>
      </c>
      <c r="I3007">
        <v>2</v>
      </c>
      <c r="J3007">
        <v>2</v>
      </c>
      <c r="K3007">
        <v>2</v>
      </c>
      <c r="L3007">
        <v>2</v>
      </c>
      <c r="M3007">
        <v>2</v>
      </c>
      <c r="N3007">
        <v>2</v>
      </c>
      <c r="O3007">
        <v>2</v>
      </c>
      <c r="P3007">
        <v>2</v>
      </c>
    </row>
    <row r="3008" spans="1:16" x14ac:dyDescent="0.3">
      <c r="A3008" t="s">
        <v>59</v>
      </c>
      <c r="B3008">
        <v>33</v>
      </c>
      <c r="C3008">
        <v>0</v>
      </c>
      <c r="D3008">
        <v>0</v>
      </c>
      <c r="E3008">
        <v>0</v>
      </c>
      <c r="F3008">
        <v>0</v>
      </c>
      <c r="G3008">
        <v>0</v>
      </c>
      <c r="H3008">
        <v>0</v>
      </c>
      <c r="I3008">
        <v>0</v>
      </c>
      <c r="J3008">
        <v>0</v>
      </c>
      <c r="K3008">
        <v>0</v>
      </c>
      <c r="L3008">
        <v>0</v>
      </c>
      <c r="M3008">
        <v>0</v>
      </c>
      <c r="N3008">
        <v>0</v>
      </c>
      <c r="O3008">
        <v>0</v>
      </c>
      <c r="P3008">
        <v>0</v>
      </c>
    </row>
    <row r="3009" spans="1:16" x14ac:dyDescent="0.3">
      <c r="A3009" t="s">
        <v>635</v>
      </c>
      <c r="B3009">
        <v>33</v>
      </c>
      <c r="E3009">
        <v>0</v>
      </c>
      <c r="I3009">
        <v>0</v>
      </c>
      <c r="L3009">
        <v>0</v>
      </c>
      <c r="O3009">
        <v>0</v>
      </c>
    </row>
    <row r="3010" spans="1:16" x14ac:dyDescent="0.3">
      <c r="A3010" t="s">
        <v>574</v>
      </c>
      <c r="B3010">
        <v>33</v>
      </c>
      <c r="E3010" t="s">
        <v>620</v>
      </c>
      <c r="I3010" t="s">
        <v>623</v>
      </c>
      <c r="L3010">
        <v>622</v>
      </c>
      <c r="O3010">
        <v>1097</v>
      </c>
    </row>
    <row r="3011" spans="1:16" x14ac:dyDescent="0.3">
      <c r="A3011" t="s">
        <v>78</v>
      </c>
      <c r="B3011">
        <v>33</v>
      </c>
      <c r="E3011">
        <v>37.200000000000003</v>
      </c>
      <c r="I3011">
        <v>39</v>
      </c>
      <c r="L3011">
        <v>14.1</v>
      </c>
      <c r="O3011">
        <v>24.9</v>
      </c>
    </row>
    <row r="3012" spans="1:16" x14ac:dyDescent="0.3">
      <c r="A3012" t="s">
        <v>636</v>
      </c>
      <c r="B3012">
        <v>33</v>
      </c>
      <c r="F3012">
        <v>2</v>
      </c>
      <c r="J3012">
        <v>2</v>
      </c>
      <c r="M3012">
        <v>0</v>
      </c>
      <c r="P3012">
        <v>2</v>
      </c>
    </row>
    <row r="3013" spans="1:16" x14ac:dyDescent="0.3">
      <c r="A3013" t="s">
        <v>637</v>
      </c>
      <c r="B3013">
        <v>33</v>
      </c>
      <c r="F3013">
        <v>50</v>
      </c>
      <c r="J3013">
        <v>50</v>
      </c>
      <c r="P3013">
        <v>50</v>
      </c>
    </row>
    <row r="3014" spans="1:16" x14ac:dyDescent="0.3">
      <c r="A3014" t="s">
        <v>638</v>
      </c>
      <c r="B3014">
        <v>33</v>
      </c>
      <c r="F3014">
        <v>0</v>
      </c>
      <c r="J3014">
        <v>0</v>
      </c>
      <c r="P3014">
        <v>0</v>
      </c>
    </row>
    <row r="3015" spans="1:16" x14ac:dyDescent="0.3">
      <c r="A3015" t="s">
        <v>639</v>
      </c>
      <c r="B3015">
        <v>33</v>
      </c>
      <c r="C3015">
        <v>3</v>
      </c>
      <c r="D3015">
        <v>0</v>
      </c>
      <c r="E3015">
        <v>0</v>
      </c>
      <c r="F3015">
        <v>1</v>
      </c>
      <c r="G3015">
        <v>3</v>
      </c>
      <c r="H3015">
        <v>0</v>
      </c>
      <c r="I3015">
        <v>0</v>
      </c>
      <c r="J3015">
        <v>1</v>
      </c>
      <c r="K3015">
        <v>0</v>
      </c>
      <c r="L3015">
        <v>0</v>
      </c>
      <c r="M3015">
        <v>1</v>
      </c>
      <c r="N3015">
        <v>0</v>
      </c>
      <c r="O3015">
        <v>0</v>
      </c>
      <c r="P3015">
        <v>1</v>
      </c>
    </row>
    <row r="3016" spans="1:16" x14ac:dyDescent="0.3">
      <c r="A3016" t="s">
        <v>640</v>
      </c>
      <c r="B3016">
        <v>33</v>
      </c>
      <c r="C3016">
        <v>0</v>
      </c>
      <c r="D3016">
        <v>0</v>
      </c>
      <c r="E3016">
        <v>0</v>
      </c>
      <c r="F3016">
        <v>0</v>
      </c>
      <c r="G3016">
        <v>0</v>
      </c>
      <c r="H3016">
        <v>0</v>
      </c>
      <c r="I3016">
        <v>0</v>
      </c>
      <c r="J3016">
        <v>0</v>
      </c>
      <c r="K3016">
        <v>0</v>
      </c>
      <c r="L3016">
        <v>0</v>
      </c>
      <c r="M3016">
        <v>0</v>
      </c>
      <c r="N3016">
        <v>0</v>
      </c>
      <c r="O3016">
        <v>0</v>
      </c>
      <c r="P3016">
        <v>0</v>
      </c>
    </row>
    <row r="3017" spans="1:16" x14ac:dyDescent="0.3">
      <c r="A3017" t="s">
        <v>52</v>
      </c>
      <c r="B3017">
        <v>33</v>
      </c>
      <c r="C3017">
        <v>1</v>
      </c>
      <c r="D3017">
        <v>1</v>
      </c>
      <c r="E3017">
        <v>1</v>
      </c>
      <c r="F3017">
        <v>1</v>
      </c>
      <c r="G3017">
        <v>0.99</v>
      </c>
      <c r="H3017">
        <v>0.99</v>
      </c>
      <c r="I3017">
        <v>0.99</v>
      </c>
      <c r="J3017">
        <v>0.99</v>
      </c>
      <c r="K3017">
        <v>1</v>
      </c>
      <c r="L3017">
        <v>1</v>
      </c>
      <c r="M3017">
        <v>1</v>
      </c>
      <c r="N3017">
        <v>1</v>
      </c>
      <c r="O3017">
        <v>1</v>
      </c>
      <c r="P3017">
        <v>1</v>
      </c>
    </row>
    <row r="3018" spans="1:16" x14ac:dyDescent="0.3">
      <c r="A3018" t="s">
        <v>641</v>
      </c>
      <c r="B3018">
        <v>33</v>
      </c>
      <c r="C3018">
        <v>9</v>
      </c>
      <c r="D3018">
        <v>15</v>
      </c>
      <c r="E3018">
        <v>60</v>
      </c>
      <c r="F3018">
        <v>9</v>
      </c>
      <c r="G3018">
        <v>9</v>
      </c>
      <c r="H3018">
        <v>15</v>
      </c>
      <c r="I3018">
        <v>60</v>
      </c>
      <c r="J3018">
        <v>9</v>
      </c>
      <c r="K3018">
        <v>15</v>
      </c>
      <c r="L3018">
        <v>60</v>
      </c>
      <c r="M3018">
        <v>9</v>
      </c>
      <c r="N3018">
        <v>15</v>
      </c>
      <c r="O3018">
        <v>60</v>
      </c>
      <c r="P3018">
        <v>9</v>
      </c>
    </row>
    <row r="3019" spans="1:16" x14ac:dyDescent="0.3">
      <c r="A3019" t="s">
        <v>43</v>
      </c>
      <c r="B3019">
        <v>33</v>
      </c>
      <c r="D3019">
        <v>40</v>
      </c>
      <c r="E3019">
        <v>336</v>
      </c>
      <c r="F3019">
        <v>0</v>
      </c>
      <c r="H3019">
        <v>40</v>
      </c>
      <c r="I3019">
        <v>336</v>
      </c>
      <c r="J3019">
        <v>0</v>
      </c>
      <c r="K3019">
        <v>40</v>
      </c>
      <c r="L3019">
        <v>336</v>
      </c>
      <c r="N3019">
        <v>40</v>
      </c>
      <c r="O3019">
        <v>336</v>
      </c>
      <c r="P3019">
        <v>0</v>
      </c>
    </row>
    <row r="3020" spans="1:16" x14ac:dyDescent="0.3">
      <c r="A3020" t="s">
        <v>44</v>
      </c>
      <c r="B3020">
        <v>33</v>
      </c>
      <c r="D3020">
        <v>0</v>
      </c>
      <c r="E3020">
        <v>0</v>
      </c>
      <c r="F3020">
        <v>0</v>
      </c>
      <c r="H3020">
        <v>0</v>
      </c>
      <c r="I3020">
        <v>0</v>
      </c>
      <c r="J3020">
        <v>0</v>
      </c>
      <c r="K3020">
        <v>0</v>
      </c>
      <c r="L3020">
        <v>0</v>
      </c>
      <c r="N3020">
        <v>0</v>
      </c>
      <c r="O3020">
        <v>0</v>
      </c>
      <c r="P3020">
        <v>0</v>
      </c>
    </row>
    <row r="3021" spans="1:16" x14ac:dyDescent="0.3">
      <c r="A3021" t="s">
        <v>47</v>
      </c>
      <c r="B3021">
        <v>33</v>
      </c>
      <c r="D3021">
        <v>1</v>
      </c>
      <c r="E3021">
        <v>6</v>
      </c>
      <c r="F3021">
        <v>6</v>
      </c>
      <c r="H3021">
        <v>5</v>
      </c>
      <c r="I3021">
        <v>2</v>
      </c>
      <c r="J3021">
        <v>2</v>
      </c>
      <c r="K3021">
        <v>8</v>
      </c>
      <c r="L3021">
        <v>8</v>
      </c>
      <c r="N3021">
        <v>4</v>
      </c>
      <c r="O3021">
        <v>4</v>
      </c>
      <c r="P3021">
        <v>4</v>
      </c>
    </row>
    <row r="3022" spans="1:16" x14ac:dyDescent="0.3">
      <c r="A3022" t="s">
        <v>642</v>
      </c>
      <c r="B3022">
        <v>33</v>
      </c>
      <c r="D3022">
        <v>0</v>
      </c>
      <c r="E3022">
        <v>0</v>
      </c>
      <c r="F3022">
        <v>0</v>
      </c>
      <c r="H3022">
        <v>0</v>
      </c>
      <c r="I3022">
        <v>0</v>
      </c>
      <c r="J3022">
        <v>0</v>
      </c>
      <c r="K3022">
        <v>0</v>
      </c>
      <c r="L3022">
        <v>0</v>
      </c>
      <c r="N3022">
        <v>0</v>
      </c>
      <c r="O3022">
        <v>0</v>
      </c>
      <c r="P3022">
        <v>0</v>
      </c>
    </row>
    <row r="3023" spans="1:16" x14ac:dyDescent="0.3">
      <c r="A3023" t="s">
        <v>643</v>
      </c>
      <c r="B3023">
        <v>33</v>
      </c>
      <c r="D3023">
        <v>0</v>
      </c>
      <c r="E3023">
        <v>0</v>
      </c>
      <c r="F3023">
        <v>0</v>
      </c>
      <c r="H3023">
        <v>0</v>
      </c>
      <c r="I3023">
        <v>0</v>
      </c>
      <c r="J3023">
        <v>0</v>
      </c>
      <c r="K3023">
        <v>0</v>
      </c>
      <c r="L3023">
        <v>0</v>
      </c>
      <c r="N3023">
        <v>0</v>
      </c>
      <c r="O3023">
        <v>0</v>
      </c>
      <c r="P3023">
        <v>0</v>
      </c>
    </row>
    <row r="3024" spans="1:16" x14ac:dyDescent="0.3">
      <c r="A3024" t="s">
        <v>644</v>
      </c>
      <c r="B3024">
        <v>33</v>
      </c>
      <c r="D3024">
        <v>0</v>
      </c>
      <c r="E3024">
        <v>0</v>
      </c>
      <c r="F3024">
        <v>0</v>
      </c>
      <c r="H3024">
        <v>0</v>
      </c>
      <c r="I3024">
        <v>0</v>
      </c>
      <c r="J3024">
        <v>0</v>
      </c>
      <c r="K3024">
        <v>0</v>
      </c>
      <c r="L3024">
        <v>0</v>
      </c>
      <c r="N3024">
        <v>0</v>
      </c>
      <c r="O3024">
        <v>0</v>
      </c>
      <c r="P3024">
        <v>0</v>
      </c>
    </row>
    <row r="3025" spans="1:16" x14ac:dyDescent="0.3">
      <c r="A3025" t="s">
        <v>645</v>
      </c>
      <c r="B3025">
        <v>33</v>
      </c>
      <c r="D3025">
        <v>0</v>
      </c>
      <c r="E3025">
        <v>0</v>
      </c>
      <c r="F3025">
        <v>0</v>
      </c>
      <c r="H3025">
        <v>0</v>
      </c>
      <c r="I3025">
        <v>0</v>
      </c>
      <c r="J3025">
        <v>0</v>
      </c>
      <c r="K3025">
        <v>0</v>
      </c>
      <c r="L3025">
        <v>0</v>
      </c>
      <c r="N3025">
        <v>0</v>
      </c>
      <c r="O3025">
        <v>0</v>
      </c>
      <c r="P3025">
        <v>0</v>
      </c>
    </row>
    <row r="3026" spans="1:16" x14ac:dyDescent="0.3">
      <c r="A3026" t="s">
        <v>646</v>
      </c>
      <c r="B3026">
        <v>33</v>
      </c>
      <c r="D3026">
        <v>1</v>
      </c>
      <c r="E3026">
        <v>2</v>
      </c>
      <c r="F3026">
        <v>1</v>
      </c>
      <c r="H3026">
        <v>1</v>
      </c>
      <c r="I3026">
        <v>2</v>
      </c>
      <c r="J3026">
        <v>1</v>
      </c>
      <c r="K3026">
        <v>1</v>
      </c>
      <c r="L3026">
        <v>2</v>
      </c>
      <c r="N3026">
        <v>1</v>
      </c>
      <c r="O3026">
        <v>2</v>
      </c>
      <c r="P3026">
        <v>1</v>
      </c>
    </row>
    <row r="3027" spans="1:16" x14ac:dyDescent="0.3">
      <c r="A3027" t="s">
        <v>647</v>
      </c>
      <c r="B3027">
        <v>33</v>
      </c>
      <c r="D3027">
        <v>0</v>
      </c>
      <c r="E3027">
        <v>330</v>
      </c>
      <c r="F3027">
        <v>0</v>
      </c>
      <c r="H3027">
        <v>0</v>
      </c>
      <c r="I3027">
        <v>330</v>
      </c>
      <c r="J3027">
        <v>0</v>
      </c>
      <c r="K3027">
        <v>0</v>
      </c>
      <c r="L3027">
        <v>330</v>
      </c>
      <c r="N3027">
        <v>0</v>
      </c>
      <c r="O3027">
        <v>330</v>
      </c>
      <c r="P3027">
        <v>0</v>
      </c>
    </row>
    <row r="3028" spans="1:16" x14ac:dyDescent="0.3">
      <c r="A3028" t="s">
        <v>648</v>
      </c>
      <c r="B3028">
        <v>33</v>
      </c>
      <c r="D3028">
        <v>40</v>
      </c>
      <c r="E3028">
        <v>6</v>
      </c>
      <c r="F3028">
        <v>0</v>
      </c>
      <c r="H3028">
        <v>40</v>
      </c>
      <c r="I3028">
        <v>6</v>
      </c>
      <c r="J3028">
        <v>0</v>
      </c>
      <c r="K3028">
        <v>40</v>
      </c>
      <c r="L3028">
        <v>6</v>
      </c>
      <c r="N3028">
        <v>40</v>
      </c>
      <c r="O3028">
        <v>6</v>
      </c>
      <c r="P3028">
        <v>0</v>
      </c>
    </row>
    <row r="3029" spans="1:16" x14ac:dyDescent="0.3">
      <c r="A3029" t="s">
        <v>649</v>
      </c>
      <c r="B3029">
        <v>33</v>
      </c>
      <c r="D3029">
        <v>3</v>
      </c>
      <c r="E3029">
        <v>3</v>
      </c>
      <c r="F3029">
        <v>3</v>
      </c>
      <c r="H3029">
        <v>3</v>
      </c>
      <c r="I3029">
        <v>3</v>
      </c>
      <c r="J3029">
        <v>3</v>
      </c>
      <c r="K3029">
        <v>3</v>
      </c>
      <c r="L3029">
        <v>3</v>
      </c>
      <c r="N3029">
        <v>3</v>
      </c>
      <c r="O3029">
        <v>3</v>
      </c>
      <c r="P3029">
        <v>3</v>
      </c>
    </row>
    <row r="3030" spans="1:16" x14ac:dyDescent="0.3">
      <c r="A3030" t="s">
        <v>650</v>
      </c>
      <c r="B3030">
        <v>33</v>
      </c>
      <c r="D3030">
        <v>0</v>
      </c>
      <c r="E3030">
        <v>0</v>
      </c>
      <c r="F3030">
        <v>0</v>
      </c>
      <c r="H3030">
        <v>0</v>
      </c>
      <c r="I3030">
        <v>0</v>
      </c>
      <c r="J3030">
        <v>0</v>
      </c>
      <c r="K3030">
        <v>0</v>
      </c>
      <c r="L3030">
        <v>0</v>
      </c>
      <c r="N3030">
        <v>0</v>
      </c>
      <c r="O3030">
        <v>0</v>
      </c>
      <c r="P3030">
        <v>0</v>
      </c>
    </row>
    <row r="3031" spans="1:16" x14ac:dyDescent="0.3">
      <c r="A3031" t="s">
        <v>651</v>
      </c>
      <c r="B3031">
        <v>33</v>
      </c>
      <c r="D3031">
        <v>0</v>
      </c>
      <c r="E3031">
        <v>0</v>
      </c>
      <c r="F3031">
        <v>0</v>
      </c>
      <c r="H3031">
        <v>0</v>
      </c>
      <c r="I3031">
        <v>0</v>
      </c>
      <c r="J3031">
        <v>0</v>
      </c>
      <c r="K3031">
        <v>0</v>
      </c>
      <c r="L3031">
        <v>0</v>
      </c>
      <c r="N3031">
        <v>0</v>
      </c>
      <c r="O3031">
        <v>0</v>
      </c>
      <c r="P3031">
        <v>0</v>
      </c>
    </row>
    <row r="3032" spans="1:16" x14ac:dyDescent="0.3">
      <c r="A3032" t="s">
        <v>652</v>
      </c>
      <c r="B3032">
        <v>33</v>
      </c>
      <c r="D3032">
        <v>0</v>
      </c>
      <c r="E3032">
        <v>0</v>
      </c>
      <c r="F3032">
        <v>0</v>
      </c>
      <c r="H3032">
        <v>0</v>
      </c>
      <c r="I3032">
        <v>0</v>
      </c>
      <c r="J3032">
        <v>0</v>
      </c>
      <c r="K3032">
        <v>0</v>
      </c>
      <c r="L3032">
        <v>0</v>
      </c>
      <c r="N3032">
        <v>0</v>
      </c>
      <c r="O3032">
        <v>0</v>
      </c>
      <c r="P3032">
        <v>0</v>
      </c>
    </row>
    <row r="3033" spans="1:16" x14ac:dyDescent="0.3">
      <c r="A3033" t="s">
        <v>653</v>
      </c>
      <c r="B3033">
        <v>33</v>
      </c>
      <c r="E3033">
        <v>0</v>
      </c>
      <c r="I3033">
        <v>0</v>
      </c>
      <c r="L3033">
        <v>0</v>
      </c>
      <c r="O3033">
        <v>0</v>
      </c>
    </row>
    <row r="3034" spans="1:16" x14ac:dyDescent="0.3">
      <c r="A3034" t="s">
        <v>654</v>
      </c>
      <c r="B3034">
        <v>33</v>
      </c>
      <c r="E3034">
        <v>0</v>
      </c>
      <c r="I3034">
        <v>0</v>
      </c>
      <c r="L3034">
        <v>0</v>
      </c>
      <c r="O3034">
        <v>0</v>
      </c>
    </row>
    <row r="3035" spans="1:16" x14ac:dyDescent="0.3">
      <c r="A3035" t="s">
        <v>655</v>
      </c>
      <c r="B3035">
        <v>33</v>
      </c>
      <c r="E3035">
        <v>3</v>
      </c>
      <c r="I3035">
        <v>3</v>
      </c>
      <c r="L3035">
        <v>3</v>
      </c>
      <c r="O3035">
        <v>3</v>
      </c>
    </row>
    <row r="3036" spans="1:16" x14ac:dyDescent="0.3">
      <c r="A3036" t="s">
        <v>656</v>
      </c>
      <c r="B3036">
        <v>33</v>
      </c>
      <c r="E3036">
        <v>0</v>
      </c>
      <c r="I3036">
        <v>0</v>
      </c>
      <c r="L3036">
        <v>0</v>
      </c>
      <c r="O3036">
        <v>0</v>
      </c>
    </row>
    <row r="3037" spans="1:16" x14ac:dyDescent="0.3">
      <c r="A3037" t="s">
        <v>657</v>
      </c>
      <c r="B3037">
        <v>33</v>
      </c>
      <c r="E3037">
        <v>0</v>
      </c>
      <c r="I3037">
        <v>0</v>
      </c>
      <c r="L3037">
        <v>0</v>
      </c>
      <c r="O3037">
        <v>0</v>
      </c>
    </row>
    <row r="3038" spans="1:16" x14ac:dyDescent="0.3">
      <c r="A3038" t="s">
        <v>408</v>
      </c>
      <c r="B3038">
        <v>33</v>
      </c>
      <c r="E3038">
        <v>0</v>
      </c>
    </row>
    <row r="3039" spans="1:16" x14ac:dyDescent="0.3">
      <c r="A3039" t="s">
        <v>658</v>
      </c>
      <c r="B3039">
        <v>33</v>
      </c>
      <c r="C3039">
        <v>0</v>
      </c>
      <c r="D3039">
        <v>54</v>
      </c>
      <c r="E3039">
        <v>1630</v>
      </c>
      <c r="F3039">
        <v>54</v>
      </c>
      <c r="G3039">
        <v>0</v>
      </c>
      <c r="H3039">
        <v>54</v>
      </c>
      <c r="I3039">
        <v>1087</v>
      </c>
      <c r="J3039">
        <v>54</v>
      </c>
      <c r="K3039">
        <v>54</v>
      </c>
      <c r="L3039">
        <v>108</v>
      </c>
      <c r="M3039">
        <v>0</v>
      </c>
      <c r="N3039">
        <v>0</v>
      </c>
      <c r="O3039">
        <v>108</v>
      </c>
      <c r="P3039">
        <v>54</v>
      </c>
    </row>
    <row r="3040" spans="1:16" x14ac:dyDescent="0.3">
      <c r="A3040" t="s">
        <v>34</v>
      </c>
      <c r="B3040">
        <v>34</v>
      </c>
      <c r="C3040">
        <v>33</v>
      </c>
      <c r="D3040">
        <v>33</v>
      </c>
      <c r="E3040">
        <v>33</v>
      </c>
      <c r="F3040">
        <v>33</v>
      </c>
      <c r="G3040">
        <v>62</v>
      </c>
      <c r="H3040">
        <v>62</v>
      </c>
      <c r="I3040">
        <v>62</v>
      </c>
      <c r="J3040">
        <v>62</v>
      </c>
      <c r="K3040">
        <v>211</v>
      </c>
      <c r="L3040">
        <v>211</v>
      </c>
      <c r="M3040">
        <v>211</v>
      </c>
      <c r="N3040">
        <v>210</v>
      </c>
      <c r="O3040">
        <v>210</v>
      </c>
      <c r="P3040">
        <v>210</v>
      </c>
    </row>
    <row r="3041" spans="1:16" x14ac:dyDescent="0.3">
      <c r="A3041" t="s">
        <v>35</v>
      </c>
      <c r="B3041">
        <v>34</v>
      </c>
      <c r="C3041">
        <v>33</v>
      </c>
      <c r="D3041">
        <v>211</v>
      </c>
      <c r="E3041">
        <v>62</v>
      </c>
      <c r="F3041">
        <v>210</v>
      </c>
      <c r="G3041">
        <v>62</v>
      </c>
      <c r="H3041">
        <v>210</v>
      </c>
      <c r="I3041">
        <v>33</v>
      </c>
      <c r="J3041">
        <v>211</v>
      </c>
      <c r="K3041">
        <v>62</v>
      </c>
      <c r="L3041">
        <v>210</v>
      </c>
      <c r="M3041">
        <v>33</v>
      </c>
      <c r="N3041">
        <v>33</v>
      </c>
      <c r="O3041">
        <v>211</v>
      </c>
      <c r="P3041">
        <v>62</v>
      </c>
    </row>
    <row r="3042" spans="1:16" x14ac:dyDescent="0.3">
      <c r="A3042" t="s">
        <v>36</v>
      </c>
      <c r="B3042">
        <v>34</v>
      </c>
      <c r="C3042">
        <v>0</v>
      </c>
      <c r="D3042">
        <v>1</v>
      </c>
      <c r="E3042">
        <v>2</v>
      </c>
      <c r="F3042">
        <v>1</v>
      </c>
      <c r="G3042">
        <v>0</v>
      </c>
      <c r="H3042">
        <v>1</v>
      </c>
      <c r="I3042">
        <v>2</v>
      </c>
      <c r="J3042">
        <v>1</v>
      </c>
      <c r="K3042">
        <v>0</v>
      </c>
      <c r="L3042">
        <v>1</v>
      </c>
      <c r="M3042">
        <v>0</v>
      </c>
      <c r="N3042">
        <v>0</v>
      </c>
      <c r="O3042">
        <v>1</v>
      </c>
      <c r="P3042">
        <v>0</v>
      </c>
    </row>
    <row r="3043" spans="1:16" x14ac:dyDescent="0.3">
      <c r="A3043" t="s">
        <v>37</v>
      </c>
      <c r="B3043">
        <v>34</v>
      </c>
      <c r="D3043">
        <v>0</v>
      </c>
      <c r="E3043">
        <v>0</v>
      </c>
      <c r="H3043">
        <v>0</v>
      </c>
      <c r="I3043">
        <v>0</v>
      </c>
      <c r="K3043">
        <v>0</v>
      </c>
      <c r="L3043">
        <v>3</v>
      </c>
      <c r="N3043">
        <v>0</v>
      </c>
      <c r="O3043">
        <v>3</v>
      </c>
    </row>
    <row r="3044" spans="1:16" x14ac:dyDescent="0.3">
      <c r="A3044" t="s">
        <v>38</v>
      </c>
      <c r="B3044">
        <v>34</v>
      </c>
      <c r="C3044">
        <v>12</v>
      </c>
      <c r="D3044">
        <v>12</v>
      </c>
      <c r="E3044">
        <v>12</v>
      </c>
      <c r="F3044">
        <v>12</v>
      </c>
      <c r="G3044">
        <v>12</v>
      </c>
      <c r="H3044">
        <v>12</v>
      </c>
      <c r="I3044">
        <v>12</v>
      </c>
      <c r="J3044">
        <v>12</v>
      </c>
      <c r="K3044">
        <v>12</v>
      </c>
      <c r="L3044">
        <v>12</v>
      </c>
      <c r="M3044">
        <v>12</v>
      </c>
      <c r="N3044">
        <v>12</v>
      </c>
      <c r="O3044">
        <v>12</v>
      </c>
      <c r="P3044">
        <v>12</v>
      </c>
    </row>
    <row r="3045" spans="1:16" x14ac:dyDescent="0.3">
      <c r="A3045" t="s">
        <v>39</v>
      </c>
      <c r="B3045">
        <v>34</v>
      </c>
      <c r="D3045">
        <v>282</v>
      </c>
      <c r="F3045">
        <v>116</v>
      </c>
      <c r="H3045">
        <v>305</v>
      </c>
      <c r="J3045">
        <v>130</v>
      </c>
    </row>
    <row r="3046" spans="1:16" x14ac:dyDescent="0.3">
      <c r="A3046" t="s">
        <v>631</v>
      </c>
      <c r="B3046">
        <v>34</v>
      </c>
      <c r="D3046">
        <v>25</v>
      </c>
      <c r="F3046">
        <v>25</v>
      </c>
      <c r="H3046">
        <v>25</v>
      </c>
      <c r="J3046">
        <v>25</v>
      </c>
    </row>
    <row r="3047" spans="1:16" x14ac:dyDescent="0.3">
      <c r="A3047" t="s">
        <v>40</v>
      </c>
      <c r="B3047">
        <v>34</v>
      </c>
      <c r="D3047">
        <v>1</v>
      </c>
      <c r="F3047">
        <v>1</v>
      </c>
      <c r="H3047">
        <v>1</v>
      </c>
      <c r="J3047">
        <v>1</v>
      </c>
    </row>
    <row r="3048" spans="1:16" x14ac:dyDescent="0.3">
      <c r="A3048" t="s">
        <v>41</v>
      </c>
      <c r="B3048">
        <v>34</v>
      </c>
    </row>
    <row r="3049" spans="1:16" x14ac:dyDescent="0.3">
      <c r="A3049" t="s">
        <v>42</v>
      </c>
      <c r="B3049">
        <v>34</v>
      </c>
      <c r="E3049">
        <v>55</v>
      </c>
      <c r="I3049">
        <v>55</v>
      </c>
      <c r="L3049">
        <v>30</v>
      </c>
      <c r="O3049">
        <v>30</v>
      </c>
    </row>
    <row r="3050" spans="1:16" x14ac:dyDescent="0.3">
      <c r="A3050" t="s">
        <v>45</v>
      </c>
      <c r="B3050">
        <v>34</v>
      </c>
      <c r="D3050">
        <v>1</v>
      </c>
      <c r="E3050">
        <v>6</v>
      </c>
      <c r="H3050">
        <v>5</v>
      </c>
      <c r="I3050">
        <v>2</v>
      </c>
      <c r="L3050">
        <v>8</v>
      </c>
      <c r="O3050">
        <v>4</v>
      </c>
    </row>
    <row r="3051" spans="1:16" x14ac:dyDescent="0.3">
      <c r="A3051" t="s">
        <v>46</v>
      </c>
      <c r="B3051">
        <v>34</v>
      </c>
      <c r="D3051">
        <v>6</v>
      </c>
      <c r="F3051">
        <v>6</v>
      </c>
      <c r="H3051">
        <v>2</v>
      </c>
      <c r="J3051">
        <v>2</v>
      </c>
      <c r="K3051">
        <v>8</v>
      </c>
      <c r="N3051">
        <v>4</v>
      </c>
    </row>
    <row r="3052" spans="1:16" x14ac:dyDescent="0.3">
      <c r="A3052" t="s">
        <v>49</v>
      </c>
      <c r="B3052">
        <v>34</v>
      </c>
      <c r="C3052">
        <v>4</v>
      </c>
      <c r="D3052">
        <v>7.1</v>
      </c>
      <c r="E3052">
        <v>6.5</v>
      </c>
      <c r="F3052">
        <v>6.5</v>
      </c>
      <c r="G3052">
        <v>4</v>
      </c>
      <c r="H3052">
        <v>6.9</v>
      </c>
      <c r="I3052">
        <v>6.5</v>
      </c>
      <c r="J3052">
        <v>6.5</v>
      </c>
      <c r="K3052">
        <v>4.3</v>
      </c>
      <c r="L3052">
        <v>4.3</v>
      </c>
      <c r="M3052">
        <v>4</v>
      </c>
      <c r="N3052">
        <v>6.3</v>
      </c>
      <c r="O3052">
        <v>6.3</v>
      </c>
      <c r="P3052">
        <v>4</v>
      </c>
    </row>
    <row r="3053" spans="1:16" x14ac:dyDescent="0.3">
      <c r="A3053" t="s">
        <v>632</v>
      </c>
      <c r="B3053">
        <v>34</v>
      </c>
      <c r="C3053">
        <v>0</v>
      </c>
      <c r="D3053">
        <v>0</v>
      </c>
      <c r="E3053">
        <v>0</v>
      </c>
      <c r="F3053">
        <v>0</v>
      </c>
      <c r="G3053">
        <v>0</v>
      </c>
      <c r="H3053">
        <v>0</v>
      </c>
      <c r="I3053">
        <v>0</v>
      </c>
      <c r="J3053">
        <v>0</v>
      </c>
      <c r="K3053">
        <v>0</v>
      </c>
      <c r="L3053">
        <v>0</v>
      </c>
      <c r="M3053">
        <v>0</v>
      </c>
      <c r="N3053">
        <v>0</v>
      </c>
      <c r="O3053">
        <v>0</v>
      </c>
      <c r="P3053">
        <v>0</v>
      </c>
    </row>
    <row r="3054" spans="1:16" x14ac:dyDescent="0.3">
      <c r="A3054" t="s">
        <v>48</v>
      </c>
      <c r="B3054">
        <v>34</v>
      </c>
      <c r="C3054">
        <v>1900</v>
      </c>
      <c r="D3054">
        <v>1900</v>
      </c>
      <c r="E3054">
        <v>1900</v>
      </c>
      <c r="F3054">
        <v>1900</v>
      </c>
      <c r="G3054">
        <v>1900</v>
      </c>
      <c r="H3054">
        <v>1900</v>
      </c>
      <c r="I3054">
        <v>1900</v>
      </c>
      <c r="J3054">
        <v>1900</v>
      </c>
      <c r="K3054">
        <v>1900</v>
      </c>
      <c r="L3054">
        <v>1900</v>
      </c>
      <c r="M3054">
        <v>1900</v>
      </c>
      <c r="N3054">
        <v>1900</v>
      </c>
      <c r="O3054">
        <v>1900</v>
      </c>
      <c r="P3054">
        <v>1900</v>
      </c>
    </row>
    <row r="3055" spans="1:16" x14ac:dyDescent="0.3">
      <c r="A3055" t="s">
        <v>633</v>
      </c>
      <c r="B3055">
        <v>34</v>
      </c>
      <c r="C3055">
        <v>0</v>
      </c>
      <c r="D3055">
        <v>1770</v>
      </c>
      <c r="E3055">
        <v>3539</v>
      </c>
      <c r="F3055">
        <v>1583</v>
      </c>
      <c r="G3055">
        <v>0</v>
      </c>
      <c r="H3055">
        <v>1787</v>
      </c>
      <c r="I3055">
        <v>3575</v>
      </c>
      <c r="J3055">
        <v>1599</v>
      </c>
      <c r="K3055">
        <v>0</v>
      </c>
      <c r="L3055">
        <v>1694</v>
      </c>
      <c r="M3055">
        <v>0</v>
      </c>
      <c r="N3055">
        <v>0</v>
      </c>
      <c r="O3055">
        <v>1694</v>
      </c>
      <c r="P3055">
        <v>0</v>
      </c>
    </row>
    <row r="3056" spans="1:16" x14ac:dyDescent="0.3">
      <c r="A3056" t="s">
        <v>50</v>
      </c>
      <c r="B3056">
        <v>34</v>
      </c>
      <c r="C3056">
        <v>0</v>
      </c>
      <c r="D3056">
        <v>738</v>
      </c>
      <c r="E3056">
        <v>3539</v>
      </c>
      <c r="F3056">
        <v>1583</v>
      </c>
      <c r="G3056">
        <v>0</v>
      </c>
      <c r="H3056">
        <v>169</v>
      </c>
      <c r="I3056">
        <v>3575</v>
      </c>
      <c r="J3056">
        <v>1599</v>
      </c>
      <c r="K3056">
        <v>0</v>
      </c>
      <c r="L3056">
        <v>1319</v>
      </c>
      <c r="M3056">
        <v>0</v>
      </c>
      <c r="N3056">
        <v>0</v>
      </c>
      <c r="O3056">
        <v>1248</v>
      </c>
      <c r="P3056">
        <v>0</v>
      </c>
    </row>
    <row r="3057" spans="1:16" x14ac:dyDescent="0.3">
      <c r="A3057" t="s">
        <v>634</v>
      </c>
      <c r="B3057">
        <v>34</v>
      </c>
      <c r="C3057">
        <v>1</v>
      </c>
      <c r="D3057">
        <v>1</v>
      </c>
      <c r="E3057">
        <v>1</v>
      </c>
      <c r="F3057">
        <v>1</v>
      </c>
      <c r="G3057">
        <v>1</v>
      </c>
      <c r="H3057">
        <v>1</v>
      </c>
      <c r="I3057">
        <v>1</v>
      </c>
      <c r="J3057">
        <v>1</v>
      </c>
      <c r="K3057">
        <v>1</v>
      </c>
      <c r="L3057">
        <v>1</v>
      </c>
      <c r="M3057">
        <v>1</v>
      </c>
      <c r="N3057">
        <v>1</v>
      </c>
      <c r="O3057">
        <v>1</v>
      </c>
      <c r="P3057">
        <v>1</v>
      </c>
    </row>
    <row r="3058" spans="1:16" x14ac:dyDescent="0.3">
      <c r="A3058" t="s">
        <v>51</v>
      </c>
      <c r="B3058">
        <v>34</v>
      </c>
      <c r="C3058">
        <v>0</v>
      </c>
      <c r="D3058">
        <v>0</v>
      </c>
      <c r="E3058">
        <v>0</v>
      </c>
      <c r="F3058">
        <v>95</v>
      </c>
      <c r="G3058">
        <v>0</v>
      </c>
      <c r="H3058">
        <v>0</v>
      </c>
      <c r="I3058">
        <v>0</v>
      </c>
      <c r="J3058">
        <v>95</v>
      </c>
      <c r="K3058">
        <v>0</v>
      </c>
      <c r="L3058">
        <v>96</v>
      </c>
      <c r="M3058">
        <v>0</v>
      </c>
      <c r="N3058">
        <v>0</v>
      </c>
      <c r="O3058">
        <v>96</v>
      </c>
      <c r="P3058">
        <v>0</v>
      </c>
    </row>
    <row r="3059" spans="1:16" x14ac:dyDescent="0.3">
      <c r="A3059" t="s">
        <v>53</v>
      </c>
      <c r="B3059">
        <v>34</v>
      </c>
      <c r="C3059">
        <v>0</v>
      </c>
      <c r="D3059">
        <v>50</v>
      </c>
      <c r="E3059">
        <v>1600</v>
      </c>
      <c r="F3059">
        <v>50</v>
      </c>
      <c r="G3059">
        <v>0</v>
      </c>
      <c r="H3059">
        <v>50</v>
      </c>
      <c r="I3059">
        <v>600</v>
      </c>
      <c r="J3059">
        <v>50</v>
      </c>
      <c r="K3059">
        <v>50</v>
      </c>
      <c r="L3059">
        <v>0</v>
      </c>
      <c r="M3059">
        <v>50</v>
      </c>
      <c r="N3059">
        <v>50</v>
      </c>
      <c r="O3059">
        <v>0</v>
      </c>
      <c r="P3059">
        <v>50</v>
      </c>
    </row>
    <row r="3060" spans="1:16" x14ac:dyDescent="0.3">
      <c r="A3060" t="s">
        <v>54</v>
      </c>
      <c r="B3060">
        <v>34</v>
      </c>
      <c r="C3060">
        <v>0</v>
      </c>
      <c r="D3060">
        <v>0</v>
      </c>
      <c r="E3060">
        <v>0</v>
      </c>
      <c r="F3060">
        <v>0</v>
      </c>
      <c r="G3060">
        <v>0</v>
      </c>
      <c r="H3060">
        <v>0</v>
      </c>
      <c r="I3060">
        <v>0</v>
      </c>
      <c r="J3060">
        <v>0</v>
      </c>
      <c r="K3060">
        <v>0</v>
      </c>
      <c r="L3060">
        <v>0</v>
      </c>
      <c r="M3060">
        <v>0</v>
      </c>
      <c r="N3060">
        <v>0</v>
      </c>
      <c r="O3060">
        <v>0</v>
      </c>
      <c r="P3060">
        <v>0</v>
      </c>
    </row>
    <row r="3061" spans="1:16" x14ac:dyDescent="0.3">
      <c r="A3061" t="s">
        <v>55</v>
      </c>
      <c r="B3061">
        <v>34</v>
      </c>
      <c r="C3061">
        <v>0</v>
      </c>
      <c r="D3061">
        <v>0</v>
      </c>
      <c r="E3061">
        <v>0</v>
      </c>
      <c r="F3061">
        <v>0</v>
      </c>
      <c r="G3061">
        <v>0</v>
      </c>
      <c r="H3061">
        <v>0</v>
      </c>
      <c r="I3061">
        <v>0</v>
      </c>
      <c r="J3061">
        <v>0</v>
      </c>
      <c r="K3061">
        <v>0</v>
      </c>
      <c r="L3061">
        <v>0</v>
      </c>
      <c r="M3061">
        <v>0</v>
      </c>
      <c r="N3061">
        <v>0</v>
      </c>
      <c r="O3061">
        <v>0</v>
      </c>
      <c r="P3061">
        <v>0</v>
      </c>
    </row>
    <row r="3062" spans="1:16" x14ac:dyDescent="0.3">
      <c r="A3062" t="s">
        <v>56</v>
      </c>
      <c r="B3062">
        <v>34</v>
      </c>
      <c r="C3062">
        <v>0.92</v>
      </c>
      <c r="D3062">
        <v>0.92</v>
      </c>
      <c r="E3062">
        <v>0.92</v>
      </c>
      <c r="F3062">
        <v>0.92</v>
      </c>
      <c r="G3062">
        <v>0.92</v>
      </c>
      <c r="H3062">
        <v>0.92</v>
      </c>
      <c r="I3062">
        <v>0.92</v>
      </c>
      <c r="J3062">
        <v>0.92</v>
      </c>
      <c r="K3062">
        <v>0.92</v>
      </c>
      <c r="L3062">
        <v>0.92</v>
      </c>
      <c r="M3062">
        <v>0.92</v>
      </c>
      <c r="N3062">
        <v>0.92</v>
      </c>
      <c r="O3062">
        <v>0.92</v>
      </c>
      <c r="P3062">
        <v>0.92</v>
      </c>
    </row>
    <row r="3063" spans="1:16" x14ac:dyDescent="0.3">
      <c r="A3063" t="s">
        <v>57</v>
      </c>
      <c r="B3063">
        <v>34</v>
      </c>
      <c r="C3063">
        <v>100</v>
      </c>
      <c r="D3063">
        <v>100</v>
      </c>
      <c r="E3063">
        <v>100</v>
      </c>
      <c r="F3063">
        <v>100</v>
      </c>
      <c r="G3063">
        <v>100</v>
      </c>
      <c r="H3063">
        <v>100</v>
      </c>
      <c r="I3063">
        <v>100</v>
      </c>
      <c r="J3063">
        <v>100</v>
      </c>
      <c r="K3063">
        <v>100</v>
      </c>
      <c r="L3063">
        <v>100</v>
      </c>
      <c r="M3063">
        <v>100</v>
      </c>
      <c r="N3063">
        <v>100</v>
      </c>
      <c r="O3063">
        <v>100</v>
      </c>
      <c r="P3063">
        <v>100</v>
      </c>
    </row>
    <row r="3064" spans="1:16" x14ac:dyDescent="0.3">
      <c r="A3064" t="s">
        <v>58</v>
      </c>
      <c r="B3064">
        <v>34</v>
      </c>
      <c r="C3064">
        <v>2</v>
      </c>
      <c r="D3064">
        <v>2</v>
      </c>
      <c r="E3064">
        <v>2</v>
      </c>
      <c r="F3064">
        <v>2</v>
      </c>
      <c r="G3064">
        <v>2</v>
      </c>
      <c r="H3064">
        <v>2</v>
      </c>
      <c r="I3064">
        <v>2</v>
      </c>
      <c r="J3064">
        <v>2</v>
      </c>
      <c r="K3064">
        <v>2</v>
      </c>
      <c r="L3064">
        <v>2</v>
      </c>
      <c r="M3064">
        <v>2</v>
      </c>
      <c r="N3064">
        <v>2</v>
      </c>
      <c r="O3064">
        <v>2</v>
      </c>
      <c r="P3064">
        <v>2</v>
      </c>
    </row>
    <row r="3065" spans="1:16" x14ac:dyDescent="0.3">
      <c r="A3065" t="s">
        <v>59</v>
      </c>
      <c r="B3065">
        <v>34</v>
      </c>
      <c r="C3065">
        <v>0</v>
      </c>
      <c r="D3065">
        <v>0</v>
      </c>
      <c r="E3065">
        <v>0</v>
      </c>
      <c r="F3065">
        <v>0</v>
      </c>
      <c r="G3065">
        <v>0</v>
      </c>
      <c r="H3065">
        <v>0</v>
      </c>
      <c r="I3065">
        <v>0</v>
      </c>
      <c r="J3065">
        <v>0</v>
      </c>
      <c r="K3065">
        <v>0</v>
      </c>
      <c r="L3065">
        <v>0</v>
      </c>
      <c r="M3065">
        <v>0</v>
      </c>
      <c r="N3065">
        <v>0</v>
      </c>
      <c r="O3065">
        <v>0</v>
      </c>
      <c r="P3065">
        <v>0</v>
      </c>
    </row>
    <row r="3066" spans="1:16" x14ac:dyDescent="0.3">
      <c r="A3066" t="s">
        <v>635</v>
      </c>
      <c r="B3066">
        <v>34</v>
      </c>
      <c r="E3066">
        <v>0</v>
      </c>
      <c r="I3066">
        <v>0</v>
      </c>
      <c r="L3066">
        <v>0</v>
      </c>
      <c r="O3066">
        <v>0</v>
      </c>
    </row>
    <row r="3067" spans="1:16" x14ac:dyDescent="0.3">
      <c r="A3067" t="s">
        <v>574</v>
      </c>
      <c r="B3067">
        <v>34</v>
      </c>
      <c r="E3067" t="s">
        <v>623</v>
      </c>
      <c r="I3067">
        <v>1189</v>
      </c>
      <c r="L3067">
        <v>505</v>
      </c>
      <c r="O3067">
        <v>703</v>
      </c>
    </row>
    <row r="3068" spans="1:16" x14ac:dyDescent="0.3">
      <c r="A3068" t="s">
        <v>78</v>
      </c>
      <c r="B3068">
        <v>34</v>
      </c>
      <c r="E3068">
        <v>39</v>
      </c>
      <c r="I3068">
        <v>14.7</v>
      </c>
      <c r="L3068">
        <v>11.5</v>
      </c>
      <c r="O3068">
        <v>16</v>
      </c>
    </row>
    <row r="3069" spans="1:16" x14ac:dyDescent="0.3">
      <c r="A3069" t="s">
        <v>636</v>
      </c>
      <c r="B3069">
        <v>34</v>
      </c>
      <c r="F3069">
        <v>0</v>
      </c>
      <c r="J3069">
        <v>0</v>
      </c>
      <c r="M3069">
        <v>0</v>
      </c>
      <c r="P3069">
        <v>0</v>
      </c>
    </row>
    <row r="3070" spans="1:16" x14ac:dyDescent="0.3">
      <c r="A3070" t="s">
        <v>639</v>
      </c>
      <c r="B3070">
        <v>34</v>
      </c>
      <c r="C3070">
        <v>3</v>
      </c>
      <c r="D3070">
        <v>0</v>
      </c>
      <c r="E3070">
        <v>0</v>
      </c>
      <c r="F3070">
        <v>1</v>
      </c>
      <c r="G3070">
        <v>3</v>
      </c>
      <c r="H3070">
        <v>0</v>
      </c>
      <c r="I3070">
        <v>0</v>
      </c>
      <c r="J3070">
        <v>1</v>
      </c>
      <c r="K3070">
        <v>0</v>
      </c>
      <c r="L3070">
        <v>0</v>
      </c>
      <c r="M3070">
        <v>1</v>
      </c>
      <c r="N3070">
        <v>0</v>
      </c>
      <c r="O3070">
        <v>0</v>
      </c>
      <c r="P3070">
        <v>1</v>
      </c>
    </row>
    <row r="3071" spans="1:16" x14ac:dyDescent="0.3">
      <c r="A3071" t="s">
        <v>640</v>
      </c>
      <c r="B3071">
        <v>34</v>
      </c>
      <c r="C3071">
        <v>0</v>
      </c>
      <c r="D3071">
        <v>0</v>
      </c>
      <c r="E3071">
        <v>0</v>
      </c>
      <c r="F3071">
        <v>0</v>
      </c>
      <c r="G3071">
        <v>0</v>
      </c>
      <c r="H3071">
        <v>0</v>
      </c>
      <c r="I3071">
        <v>0</v>
      </c>
      <c r="J3071">
        <v>0</v>
      </c>
      <c r="K3071">
        <v>0</v>
      </c>
      <c r="L3071">
        <v>0</v>
      </c>
      <c r="M3071">
        <v>0</v>
      </c>
      <c r="N3071">
        <v>0</v>
      </c>
      <c r="O3071">
        <v>0</v>
      </c>
      <c r="P3071">
        <v>0</v>
      </c>
    </row>
    <row r="3072" spans="1:16" x14ac:dyDescent="0.3">
      <c r="A3072" t="s">
        <v>52</v>
      </c>
      <c r="B3072">
        <v>34</v>
      </c>
      <c r="C3072">
        <v>1</v>
      </c>
      <c r="D3072">
        <v>1</v>
      </c>
      <c r="E3072">
        <v>1</v>
      </c>
      <c r="F3072">
        <v>1</v>
      </c>
      <c r="G3072">
        <v>0.99</v>
      </c>
      <c r="H3072">
        <v>0.99</v>
      </c>
      <c r="I3072">
        <v>0.99</v>
      </c>
      <c r="J3072">
        <v>0.99</v>
      </c>
      <c r="K3072">
        <v>1</v>
      </c>
      <c r="L3072">
        <v>1</v>
      </c>
      <c r="M3072">
        <v>1</v>
      </c>
      <c r="N3072">
        <v>1</v>
      </c>
      <c r="O3072">
        <v>1</v>
      </c>
      <c r="P3072">
        <v>1</v>
      </c>
    </row>
    <row r="3073" spans="1:16" x14ac:dyDescent="0.3">
      <c r="A3073" t="s">
        <v>641</v>
      </c>
      <c r="B3073">
        <v>34</v>
      </c>
      <c r="C3073">
        <v>9</v>
      </c>
      <c r="D3073">
        <v>15</v>
      </c>
      <c r="E3073">
        <v>60</v>
      </c>
      <c r="F3073">
        <v>9</v>
      </c>
      <c r="G3073">
        <v>9</v>
      </c>
      <c r="H3073">
        <v>15</v>
      </c>
      <c r="I3073">
        <v>60</v>
      </c>
      <c r="J3073">
        <v>9</v>
      </c>
      <c r="K3073">
        <v>15</v>
      </c>
      <c r="L3073">
        <v>60</v>
      </c>
      <c r="M3073">
        <v>9</v>
      </c>
      <c r="N3073">
        <v>15</v>
      </c>
      <c r="O3073">
        <v>60</v>
      </c>
      <c r="P3073">
        <v>9</v>
      </c>
    </row>
    <row r="3074" spans="1:16" x14ac:dyDescent="0.3">
      <c r="A3074" t="s">
        <v>43</v>
      </c>
      <c r="B3074">
        <v>34</v>
      </c>
      <c r="D3074">
        <v>40</v>
      </c>
      <c r="E3074">
        <v>336</v>
      </c>
      <c r="F3074">
        <v>0</v>
      </c>
      <c r="H3074">
        <v>40</v>
      </c>
      <c r="I3074">
        <v>336</v>
      </c>
      <c r="J3074">
        <v>0</v>
      </c>
      <c r="K3074">
        <v>40</v>
      </c>
      <c r="L3074">
        <v>336</v>
      </c>
      <c r="N3074">
        <v>40</v>
      </c>
      <c r="O3074">
        <v>336</v>
      </c>
    </row>
    <row r="3075" spans="1:16" x14ac:dyDescent="0.3">
      <c r="A3075" t="s">
        <v>44</v>
      </c>
      <c r="B3075">
        <v>34</v>
      </c>
      <c r="D3075">
        <v>0</v>
      </c>
      <c r="E3075">
        <v>0</v>
      </c>
      <c r="F3075">
        <v>0</v>
      </c>
      <c r="H3075">
        <v>0</v>
      </c>
      <c r="I3075">
        <v>0</v>
      </c>
      <c r="J3075">
        <v>0</v>
      </c>
      <c r="K3075">
        <v>0</v>
      </c>
      <c r="L3075">
        <v>0</v>
      </c>
      <c r="N3075">
        <v>0</v>
      </c>
      <c r="O3075">
        <v>0</v>
      </c>
    </row>
    <row r="3076" spans="1:16" x14ac:dyDescent="0.3">
      <c r="A3076" t="s">
        <v>47</v>
      </c>
      <c r="B3076">
        <v>34</v>
      </c>
      <c r="D3076">
        <v>1</v>
      </c>
      <c r="E3076">
        <v>6</v>
      </c>
      <c r="F3076">
        <v>6</v>
      </c>
      <c r="H3076">
        <v>5</v>
      </c>
      <c r="I3076">
        <v>2</v>
      </c>
      <c r="J3076">
        <v>2</v>
      </c>
      <c r="K3076">
        <v>8</v>
      </c>
      <c r="L3076">
        <v>8</v>
      </c>
      <c r="N3076">
        <v>4</v>
      </c>
      <c r="O3076">
        <v>4</v>
      </c>
    </row>
    <row r="3077" spans="1:16" x14ac:dyDescent="0.3">
      <c r="A3077" t="s">
        <v>642</v>
      </c>
      <c r="B3077">
        <v>34</v>
      </c>
      <c r="D3077">
        <v>0</v>
      </c>
      <c r="E3077">
        <v>0</v>
      </c>
      <c r="F3077">
        <v>0</v>
      </c>
      <c r="H3077">
        <v>0</v>
      </c>
      <c r="I3077">
        <v>0</v>
      </c>
      <c r="J3077">
        <v>0</v>
      </c>
      <c r="K3077">
        <v>0</v>
      </c>
      <c r="L3077">
        <v>0</v>
      </c>
      <c r="N3077">
        <v>0</v>
      </c>
      <c r="O3077">
        <v>0</v>
      </c>
    </row>
    <row r="3078" spans="1:16" x14ac:dyDescent="0.3">
      <c r="A3078" t="s">
        <v>643</v>
      </c>
      <c r="B3078">
        <v>34</v>
      </c>
      <c r="D3078">
        <v>0</v>
      </c>
      <c r="E3078">
        <v>0</v>
      </c>
      <c r="F3078">
        <v>0</v>
      </c>
      <c r="H3078">
        <v>0</v>
      </c>
      <c r="I3078">
        <v>0</v>
      </c>
      <c r="J3078">
        <v>0</v>
      </c>
      <c r="K3078">
        <v>0</v>
      </c>
      <c r="L3078">
        <v>0</v>
      </c>
      <c r="N3078">
        <v>0</v>
      </c>
      <c r="O3078">
        <v>0</v>
      </c>
    </row>
    <row r="3079" spans="1:16" x14ac:dyDescent="0.3">
      <c r="A3079" t="s">
        <v>644</v>
      </c>
      <c r="B3079">
        <v>34</v>
      </c>
      <c r="D3079">
        <v>0</v>
      </c>
      <c r="E3079">
        <v>0</v>
      </c>
      <c r="F3079">
        <v>0</v>
      </c>
      <c r="H3079">
        <v>0</v>
      </c>
      <c r="I3079">
        <v>0</v>
      </c>
      <c r="J3079">
        <v>0</v>
      </c>
      <c r="K3079">
        <v>0</v>
      </c>
      <c r="L3079">
        <v>0</v>
      </c>
      <c r="N3079">
        <v>0</v>
      </c>
      <c r="O3079">
        <v>0</v>
      </c>
    </row>
    <row r="3080" spans="1:16" x14ac:dyDescent="0.3">
      <c r="A3080" t="s">
        <v>645</v>
      </c>
      <c r="B3080">
        <v>34</v>
      </c>
      <c r="D3080">
        <v>0</v>
      </c>
      <c r="E3080">
        <v>0</v>
      </c>
      <c r="F3080">
        <v>0</v>
      </c>
      <c r="H3080">
        <v>0</v>
      </c>
      <c r="I3080">
        <v>0</v>
      </c>
      <c r="J3080">
        <v>0</v>
      </c>
      <c r="K3080">
        <v>0</v>
      </c>
      <c r="L3080">
        <v>0</v>
      </c>
      <c r="N3080">
        <v>0</v>
      </c>
      <c r="O3080">
        <v>0</v>
      </c>
    </row>
    <row r="3081" spans="1:16" x14ac:dyDescent="0.3">
      <c r="A3081" t="s">
        <v>646</v>
      </c>
      <c r="B3081">
        <v>34</v>
      </c>
      <c r="D3081">
        <v>1</v>
      </c>
      <c r="E3081">
        <v>2</v>
      </c>
      <c r="F3081">
        <v>1</v>
      </c>
      <c r="H3081">
        <v>1</v>
      </c>
      <c r="I3081">
        <v>2</v>
      </c>
      <c r="J3081">
        <v>1</v>
      </c>
      <c r="K3081">
        <v>1</v>
      </c>
      <c r="L3081">
        <v>2</v>
      </c>
      <c r="N3081">
        <v>1</v>
      </c>
      <c r="O3081">
        <v>2</v>
      </c>
    </row>
    <row r="3082" spans="1:16" x14ac:dyDescent="0.3">
      <c r="A3082" t="s">
        <v>647</v>
      </c>
      <c r="B3082">
        <v>34</v>
      </c>
      <c r="D3082">
        <v>0</v>
      </c>
      <c r="E3082">
        <v>330</v>
      </c>
      <c r="F3082">
        <v>0</v>
      </c>
      <c r="H3082">
        <v>0</v>
      </c>
      <c r="I3082">
        <v>330</v>
      </c>
      <c r="J3082">
        <v>0</v>
      </c>
      <c r="K3082">
        <v>0</v>
      </c>
      <c r="L3082">
        <v>330</v>
      </c>
      <c r="N3082">
        <v>0</v>
      </c>
      <c r="O3082">
        <v>330</v>
      </c>
    </row>
    <row r="3083" spans="1:16" x14ac:dyDescent="0.3">
      <c r="A3083" t="s">
        <v>648</v>
      </c>
      <c r="B3083">
        <v>34</v>
      </c>
      <c r="D3083">
        <v>40</v>
      </c>
      <c r="E3083">
        <v>6</v>
      </c>
      <c r="F3083">
        <v>0</v>
      </c>
      <c r="H3083">
        <v>40</v>
      </c>
      <c r="I3083">
        <v>6</v>
      </c>
      <c r="J3083">
        <v>0</v>
      </c>
      <c r="K3083">
        <v>40</v>
      </c>
      <c r="L3083">
        <v>6</v>
      </c>
      <c r="N3083">
        <v>40</v>
      </c>
      <c r="O3083">
        <v>6</v>
      </c>
    </row>
    <row r="3084" spans="1:16" x14ac:dyDescent="0.3">
      <c r="A3084" t="s">
        <v>649</v>
      </c>
      <c r="B3084">
        <v>34</v>
      </c>
      <c r="D3084">
        <v>3</v>
      </c>
      <c r="E3084">
        <v>3</v>
      </c>
      <c r="F3084">
        <v>3</v>
      </c>
      <c r="H3084">
        <v>3</v>
      </c>
      <c r="I3084">
        <v>3</v>
      </c>
      <c r="J3084">
        <v>3</v>
      </c>
      <c r="K3084">
        <v>3</v>
      </c>
      <c r="L3084">
        <v>3</v>
      </c>
      <c r="N3084">
        <v>3</v>
      </c>
      <c r="O3084">
        <v>3</v>
      </c>
    </row>
    <row r="3085" spans="1:16" x14ac:dyDescent="0.3">
      <c r="A3085" t="s">
        <v>650</v>
      </c>
      <c r="B3085">
        <v>34</v>
      </c>
      <c r="D3085">
        <v>0</v>
      </c>
      <c r="E3085">
        <v>0</v>
      </c>
      <c r="F3085">
        <v>0</v>
      </c>
      <c r="H3085">
        <v>0</v>
      </c>
      <c r="I3085">
        <v>0</v>
      </c>
      <c r="J3085">
        <v>0</v>
      </c>
      <c r="K3085">
        <v>0</v>
      </c>
      <c r="L3085">
        <v>0</v>
      </c>
      <c r="N3085">
        <v>0</v>
      </c>
      <c r="O3085">
        <v>0</v>
      </c>
    </row>
    <row r="3086" spans="1:16" x14ac:dyDescent="0.3">
      <c r="A3086" t="s">
        <v>651</v>
      </c>
      <c r="B3086">
        <v>34</v>
      </c>
      <c r="D3086">
        <v>0</v>
      </c>
      <c r="E3086">
        <v>0</v>
      </c>
      <c r="F3086">
        <v>0</v>
      </c>
      <c r="H3086">
        <v>0</v>
      </c>
      <c r="I3086">
        <v>0</v>
      </c>
      <c r="J3086">
        <v>0</v>
      </c>
      <c r="K3086">
        <v>0</v>
      </c>
      <c r="L3086">
        <v>0</v>
      </c>
      <c r="N3086">
        <v>0</v>
      </c>
      <c r="O3086">
        <v>0</v>
      </c>
    </row>
    <row r="3087" spans="1:16" x14ac:dyDescent="0.3">
      <c r="A3087" t="s">
        <v>652</v>
      </c>
      <c r="B3087">
        <v>34</v>
      </c>
      <c r="D3087">
        <v>0</v>
      </c>
      <c r="E3087">
        <v>0</v>
      </c>
      <c r="F3087">
        <v>0</v>
      </c>
      <c r="H3087">
        <v>0</v>
      </c>
      <c r="I3087">
        <v>0</v>
      </c>
      <c r="J3087">
        <v>0</v>
      </c>
      <c r="K3087">
        <v>0</v>
      </c>
      <c r="L3087">
        <v>0</v>
      </c>
      <c r="N3087">
        <v>0</v>
      </c>
      <c r="O3087">
        <v>0</v>
      </c>
    </row>
    <row r="3088" spans="1:16" x14ac:dyDescent="0.3">
      <c r="A3088" t="s">
        <v>653</v>
      </c>
      <c r="B3088">
        <v>34</v>
      </c>
      <c r="E3088">
        <v>0</v>
      </c>
      <c r="I3088">
        <v>0</v>
      </c>
      <c r="L3088">
        <v>0</v>
      </c>
      <c r="O3088">
        <v>0</v>
      </c>
    </row>
    <row r="3089" spans="1:16" x14ac:dyDescent="0.3">
      <c r="A3089" t="s">
        <v>654</v>
      </c>
      <c r="B3089">
        <v>34</v>
      </c>
      <c r="E3089">
        <v>0</v>
      </c>
      <c r="I3089">
        <v>0</v>
      </c>
      <c r="L3089">
        <v>0</v>
      </c>
      <c r="O3089">
        <v>0</v>
      </c>
    </row>
    <row r="3090" spans="1:16" x14ac:dyDescent="0.3">
      <c r="A3090" t="s">
        <v>655</v>
      </c>
      <c r="B3090">
        <v>34</v>
      </c>
      <c r="E3090">
        <v>3</v>
      </c>
      <c r="I3090">
        <v>3</v>
      </c>
      <c r="L3090">
        <v>3</v>
      </c>
      <c r="O3090">
        <v>3</v>
      </c>
    </row>
    <row r="3091" spans="1:16" x14ac:dyDescent="0.3">
      <c r="A3091" t="s">
        <v>656</v>
      </c>
      <c r="B3091">
        <v>34</v>
      </c>
      <c r="E3091">
        <v>0</v>
      </c>
      <c r="I3091">
        <v>0</v>
      </c>
      <c r="L3091">
        <v>0</v>
      </c>
      <c r="O3091">
        <v>0</v>
      </c>
    </row>
    <row r="3092" spans="1:16" x14ac:dyDescent="0.3">
      <c r="A3092" t="s">
        <v>657</v>
      </c>
      <c r="B3092">
        <v>34</v>
      </c>
      <c r="E3092">
        <v>0</v>
      </c>
      <c r="I3092">
        <v>0</v>
      </c>
      <c r="L3092">
        <v>0</v>
      </c>
      <c r="O3092">
        <v>0</v>
      </c>
    </row>
    <row r="3093" spans="1:16" x14ac:dyDescent="0.3">
      <c r="A3093" t="s">
        <v>408</v>
      </c>
      <c r="B3093">
        <v>34</v>
      </c>
      <c r="E3093">
        <v>0</v>
      </c>
    </row>
    <row r="3094" spans="1:16" x14ac:dyDescent="0.3">
      <c r="A3094" t="s">
        <v>658</v>
      </c>
      <c r="B3094">
        <v>34</v>
      </c>
      <c r="C3094">
        <v>0</v>
      </c>
      <c r="D3094">
        <v>54</v>
      </c>
      <c r="E3094">
        <v>1739</v>
      </c>
      <c r="F3094">
        <v>54</v>
      </c>
      <c r="G3094">
        <v>0</v>
      </c>
      <c r="H3094">
        <v>54</v>
      </c>
      <c r="I3094">
        <v>652</v>
      </c>
      <c r="J3094">
        <v>54</v>
      </c>
      <c r="K3094">
        <v>0</v>
      </c>
      <c r="L3094">
        <v>108</v>
      </c>
      <c r="M3094">
        <v>0</v>
      </c>
      <c r="N3094">
        <v>0</v>
      </c>
      <c r="O3094">
        <v>108</v>
      </c>
      <c r="P3094">
        <v>0</v>
      </c>
    </row>
    <row r="3096" spans="1:16" x14ac:dyDescent="0.3">
      <c r="A3096" t="s">
        <v>660</v>
      </c>
    </row>
    <row r="3097" spans="1:16" x14ac:dyDescent="0.3">
      <c r="A3097" t="s">
        <v>661</v>
      </c>
    </row>
    <row r="3098" spans="1:16" x14ac:dyDescent="0.3">
      <c r="A3098" t="s">
        <v>0</v>
      </c>
      <c r="B3098" t="s">
        <v>1</v>
      </c>
      <c r="C3098" t="s">
        <v>662</v>
      </c>
    </row>
    <row r="3099" spans="1:16" x14ac:dyDescent="0.3">
      <c r="A3099" t="s">
        <v>663</v>
      </c>
      <c r="B3099">
        <v>1</v>
      </c>
      <c r="C3099">
        <v>3</v>
      </c>
    </row>
    <row r="3100" spans="1:16" x14ac:dyDescent="0.3">
      <c r="A3100" t="s">
        <v>664</v>
      </c>
      <c r="B3100">
        <v>1</v>
      </c>
      <c r="C3100">
        <v>120</v>
      </c>
    </row>
    <row r="3101" spans="1:16" x14ac:dyDescent="0.3">
      <c r="A3101" t="s">
        <v>665</v>
      </c>
      <c r="B3101">
        <v>1</v>
      </c>
      <c r="C3101">
        <v>0</v>
      </c>
    </row>
    <row r="3102" spans="1:16" x14ac:dyDescent="0.3">
      <c r="A3102" t="s">
        <v>666</v>
      </c>
      <c r="B3102">
        <v>1</v>
      </c>
      <c r="C3102">
        <v>3</v>
      </c>
    </row>
    <row r="3103" spans="1:16" x14ac:dyDescent="0.3">
      <c r="A3103" t="s">
        <v>667</v>
      </c>
      <c r="B3103">
        <v>1</v>
      </c>
      <c r="C3103">
        <v>206</v>
      </c>
    </row>
    <row r="3104" spans="1:16" x14ac:dyDescent="0.3">
      <c r="A3104" t="s">
        <v>577</v>
      </c>
      <c r="B3104">
        <v>1</v>
      </c>
      <c r="C3104">
        <v>40</v>
      </c>
    </row>
    <row r="3105" spans="1:3" x14ac:dyDescent="0.3">
      <c r="A3105" t="s">
        <v>668</v>
      </c>
      <c r="B3105">
        <v>1</v>
      </c>
      <c r="C3105">
        <v>0</v>
      </c>
    </row>
    <row r="3106" spans="1:3" x14ac:dyDescent="0.3">
      <c r="A3106" t="s">
        <v>272</v>
      </c>
      <c r="B3106">
        <v>1</v>
      </c>
      <c r="C3106">
        <v>0</v>
      </c>
    </row>
    <row r="3107" spans="1:3" x14ac:dyDescent="0.3">
      <c r="A3107" t="s">
        <v>669</v>
      </c>
      <c r="B3107">
        <v>1</v>
      </c>
      <c r="C3107">
        <v>1</v>
      </c>
    </row>
    <row r="3108" spans="1:3" x14ac:dyDescent="0.3">
      <c r="A3108" t="s">
        <v>670</v>
      </c>
      <c r="B3108">
        <v>1</v>
      </c>
      <c r="C3108">
        <v>0</v>
      </c>
    </row>
    <row r="3109" spans="1:3" x14ac:dyDescent="0.3">
      <c r="A3109" t="s">
        <v>663</v>
      </c>
      <c r="B3109">
        <v>2</v>
      </c>
      <c r="C3109">
        <v>3</v>
      </c>
    </row>
    <row r="3110" spans="1:3" x14ac:dyDescent="0.3">
      <c r="A3110" t="s">
        <v>664</v>
      </c>
      <c r="B3110">
        <v>2</v>
      </c>
      <c r="C3110">
        <v>120</v>
      </c>
    </row>
    <row r="3111" spans="1:3" x14ac:dyDescent="0.3">
      <c r="A3111" t="s">
        <v>665</v>
      </c>
      <c r="B3111">
        <v>2</v>
      </c>
      <c r="C3111">
        <v>0</v>
      </c>
    </row>
    <row r="3112" spans="1:3" x14ac:dyDescent="0.3">
      <c r="A3112" t="s">
        <v>666</v>
      </c>
      <c r="B3112">
        <v>2</v>
      </c>
      <c r="C3112">
        <v>3</v>
      </c>
    </row>
    <row r="3113" spans="1:3" x14ac:dyDescent="0.3">
      <c r="A3113" t="s">
        <v>667</v>
      </c>
      <c r="B3113">
        <v>2</v>
      </c>
      <c r="C3113">
        <v>206</v>
      </c>
    </row>
    <row r="3114" spans="1:3" x14ac:dyDescent="0.3">
      <c r="A3114" t="s">
        <v>577</v>
      </c>
      <c r="B3114">
        <v>2</v>
      </c>
      <c r="C3114">
        <v>55</v>
      </c>
    </row>
    <row r="3115" spans="1:3" x14ac:dyDescent="0.3">
      <c r="A3115" t="s">
        <v>668</v>
      </c>
      <c r="B3115">
        <v>2</v>
      </c>
      <c r="C3115">
        <v>0</v>
      </c>
    </row>
    <row r="3116" spans="1:3" x14ac:dyDescent="0.3">
      <c r="A3116" t="s">
        <v>272</v>
      </c>
      <c r="B3116">
        <v>2</v>
      </c>
      <c r="C3116">
        <v>0</v>
      </c>
    </row>
    <row r="3117" spans="1:3" x14ac:dyDescent="0.3">
      <c r="A3117" t="s">
        <v>669</v>
      </c>
      <c r="B3117">
        <v>2</v>
      </c>
      <c r="C3117">
        <v>2</v>
      </c>
    </row>
    <row r="3118" spans="1:3" x14ac:dyDescent="0.3">
      <c r="A3118" t="s">
        <v>670</v>
      </c>
      <c r="B3118">
        <v>2</v>
      </c>
      <c r="C3118">
        <v>0</v>
      </c>
    </row>
    <row r="3119" spans="1:3" x14ac:dyDescent="0.3">
      <c r="A3119" t="s">
        <v>663</v>
      </c>
      <c r="B3119">
        <v>3</v>
      </c>
      <c r="C3119">
        <v>3</v>
      </c>
    </row>
    <row r="3120" spans="1:3" x14ac:dyDescent="0.3">
      <c r="A3120" t="s">
        <v>664</v>
      </c>
      <c r="B3120">
        <v>3</v>
      </c>
      <c r="C3120">
        <v>120</v>
      </c>
    </row>
    <row r="3121" spans="1:3" x14ac:dyDescent="0.3">
      <c r="A3121" t="s">
        <v>665</v>
      </c>
      <c r="B3121">
        <v>3</v>
      </c>
      <c r="C3121">
        <v>0</v>
      </c>
    </row>
    <row r="3122" spans="1:3" x14ac:dyDescent="0.3">
      <c r="A3122" t="s">
        <v>666</v>
      </c>
      <c r="B3122">
        <v>3</v>
      </c>
      <c r="C3122">
        <v>3</v>
      </c>
    </row>
    <row r="3123" spans="1:3" x14ac:dyDescent="0.3">
      <c r="A3123" t="s">
        <v>667</v>
      </c>
      <c r="B3123">
        <v>3</v>
      </c>
      <c r="C3123">
        <v>206</v>
      </c>
    </row>
    <row r="3124" spans="1:3" x14ac:dyDescent="0.3">
      <c r="A3124" t="s">
        <v>577</v>
      </c>
      <c r="B3124">
        <v>3</v>
      </c>
      <c r="C3124">
        <v>100</v>
      </c>
    </row>
    <row r="3125" spans="1:3" x14ac:dyDescent="0.3">
      <c r="A3125" t="s">
        <v>668</v>
      </c>
      <c r="B3125">
        <v>3</v>
      </c>
      <c r="C3125">
        <v>0</v>
      </c>
    </row>
    <row r="3126" spans="1:3" x14ac:dyDescent="0.3">
      <c r="A3126" t="s">
        <v>272</v>
      </c>
      <c r="B3126">
        <v>3</v>
      </c>
      <c r="C3126">
        <v>0</v>
      </c>
    </row>
    <row r="3127" spans="1:3" x14ac:dyDescent="0.3">
      <c r="A3127" t="s">
        <v>669</v>
      </c>
      <c r="B3127">
        <v>3</v>
      </c>
      <c r="C3127">
        <v>3</v>
      </c>
    </row>
    <row r="3128" spans="1:3" x14ac:dyDescent="0.3">
      <c r="A3128" t="s">
        <v>670</v>
      </c>
      <c r="B3128">
        <v>3</v>
      </c>
      <c r="C3128">
        <v>0</v>
      </c>
    </row>
    <row r="3129" spans="1:3" x14ac:dyDescent="0.3">
      <c r="A3129" t="s">
        <v>663</v>
      </c>
      <c r="B3129">
        <v>4</v>
      </c>
      <c r="C3129">
        <v>3</v>
      </c>
    </row>
    <row r="3130" spans="1:3" x14ac:dyDescent="0.3">
      <c r="A3130" t="s">
        <v>664</v>
      </c>
      <c r="B3130">
        <v>4</v>
      </c>
      <c r="C3130">
        <v>120</v>
      </c>
    </row>
    <row r="3131" spans="1:3" x14ac:dyDescent="0.3">
      <c r="A3131" t="s">
        <v>665</v>
      </c>
      <c r="B3131">
        <v>4</v>
      </c>
      <c r="C3131">
        <v>0</v>
      </c>
    </row>
    <row r="3132" spans="1:3" x14ac:dyDescent="0.3">
      <c r="A3132" t="s">
        <v>666</v>
      </c>
      <c r="B3132">
        <v>4</v>
      </c>
      <c r="C3132">
        <v>3</v>
      </c>
    </row>
    <row r="3133" spans="1:3" x14ac:dyDescent="0.3">
      <c r="A3133" t="s">
        <v>667</v>
      </c>
      <c r="B3133">
        <v>4</v>
      </c>
      <c r="C3133">
        <v>206</v>
      </c>
    </row>
    <row r="3134" spans="1:3" x14ac:dyDescent="0.3">
      <c r="A3134" t="s">
        <v>577</v>
      </c>
      <c r="B3134">
        <v>4</v>
      </c>
      <c r="C3134">
        <v>25</v>
      </c>
    </row>
    <row r="3135" spans="1:3" x14ac:dyDescent="0.3">
      <c r="A3135" t="s">
        <v>668</v>
      </c>
      <c r="B3135">
        <v>4</v>
      </c>
      <c r="C3135">
        <v>0</v>
      </c>
    </row>
    <row r="3136" spans="1:3" x14ac:dyDescent="0.3">
      <c r="A3136" t="s">
        <v>272</v>
      </c>
      <c r="B3136">
        <v>4</v>
      </c>
      <c r="C3136">
        <v>0</v>
      </c>
    </row>
    <row r="3137" spans="1:3" x14ac:dyDescent="0.3">
      <c r="A3137" t="s">
        <v>669</v>
      </c>
      <c r="B3137">
        <v>4</v>
      </c>
      <c r="C3137">
        <v>4</v>
      </c>
    </row>
    <row r="3138" spans="1:3" x14ac:dyDescent="0.3">
      <c r="A3138" t="s">
        <v>670</v>
      </c>
      <c r="B3138">
        <v>4</v>
      </c>
      <c r="C3138">
        <v>0</v>
      </c>
    </row>
    <row r="3139" spans="1:3" x14ac:dyDescent="0.3">
      <c r="A3139" t="s">
        <v>663</v>
      </c>
      <c r="B3139">
        <v>5</v>
      </c>
      <c r="C3139">
        <v>3</v>
      </c>
    </row>
    <row r="3140" spans="1:3" x14ac:dyDescent="0.3">
      <c r="A3140" t="s">
        <v>664</v>
      </c>
      <c r="B3140">
        <v>5</v>
      </c>
      <c r="C3140">
        <v>120</v>
      </c>
    </row>
    <row r="3141" spans="1:3" x14ac:dyDescent="0.3">
      <c r="A3141" t="s">
        <v>665</v>
      </c>
      <c r="B3141">
        <v>5</v>
      </c>
      <c r="C3141">
        <v>0</v>
      </c>
    </row>
    <row r="3142" spans="1:3" x14ac:dyDescent="0.3">
      <c r="A3142" t="s">
        <v>666</v>
      </c>
      <c r="B3142">
        <v>5</v>
      </c>
      <c r="C3142">
        <v>3</v>
      </c>
    </row>
    <row r="3143" spans="1:3" x14ac:dyDescent="0.3">
      <c r="A3143" t="s">
        <v>667</v>
      </c>
      <c r="B3143">
        <v>5</v>
      </c>
      <c r="C3143">
        <v>206</v>
      </c>
    </row>
    <row r="3144" spans="1:3" x14ac:dyDescent="0.3">
      <c r="A3144" t="s">
        <v>577</v>
      </c>
      <c r="B3144">
        <v>5</v>
      </c>
      <c r="C3144">
        <v>1</v>
      </c>
    </row>
    <row r="3145" spans="1:3" x14ac:dyDescent="0.3">
      <c r="A3145" t="s">
        <v>668</v>
      </c>
      <c r="B3145">
        <v>5</v>
      </c>
      <c r="C3145">
        <v>0</v>
      </c>
    </row>
    <row r="3146" spans="1:3" x14ac:dyDescent="0.3">
      <c r="A3146" t="s">
        <v>272</v>
      </c>
      <c r="B3146">
        <v>5</v>
      </c>
      <c r="C3146">
        <v>0</v>
      </c>
    </row>
    <row r="3147" spans="1:3" x14ac:dyDescent="0.3">
      <c r="A3147" t="s">
        <v>669</v>
      </c>
      <c r="B3147">
        <v>5</v>
      </c>
      <c r="C3147">
        <v>5</v>
      </c>
    </row>
    <row r="3148" spans="1:3" x14ac:dyDescent="0.3">
      <c r="A3148" t="s">
        <v>670</v>
      </c>
      <c r="B3148">
        <v>5</v>
      </c>
      <c r="C3148">
        <v>0</v>
      </c>
    </row>
    <row r="3149" spans="1:3" x14ac:dyDescent="0.3">
      <c r="A3149" t="s">
        <v>663</v>
      </c>
      <c r="B3149">
        <v>6</v>
      </c>
      <c r="C3149">
        <v>3</v>
      </c>
    </row>
    <row r="3150" spans="1:3" x14ac:dyDescent="0.3">
      <c r="A3150" t="s">
        <v>664</v>
      </c>
      <c r="B3150">
        <v>6</v>
      </c>
      <c r="C3150">
        <v>120</v>
      </c>
    </row>
    <row r="3151" spans="1:3" x14ac:dyDescent="0.3">
      <c r="A3151" t="s">
        <v>665</v>
      </c>
      <c r="B3151">
        <v>6</v>
      </c>
      <c r="C3151">
        <v>0</v>
      </c>
    </row>
    <row r="3152" spans="1:3" x14ac:dyDescent="0.3">
      <c r="A3152" t="s">
        <v>666</v>
      </c>
      <c r="B3152">
        <v>6</v>
      </c>
      <c r="C3152">
        <v>3</v>
      </c>
    </row>
    <row r="3153" spans="1:3" x14ac:dyDescent="0.3">
      <c r="A3153" t="s">
        <v>667</v>
      </c>
      <c r="B3153">
        <v>6</v>
      </c>
      <c r="C3153">
        <v>206</v>
      </c>
    </row>
    <row r="3154" spans="1:3" x14ac:dyDescent="0.3">
      <c r="A3154" t="s">
        <v>577</v>
      </c>
      <c r="B3154">
        <v>6</v>
      </c>
      <c r="C3154">
        <v>15</v>
      </c>
    </row>
    <row r="3155" spans="1:3" x14ac:dyDescent="0.3">
      <c r="A3155" t="s">
        <v>668</v>
      </c>
      <c r="B3155">
        <v>6</v>
      </c>
      <c r="C3155">
        <v>0</v>
      </c>
    </row>
    <row r="3156" spans="1:3" x14ac:dyDescent="0.3">
      <c r="A3156" t="s">
        <v>272</v>
      </c>
      <c r="B3156">
        <v>6</v>
      </c>
      <c r="C3156">
        <v>0</v>
      </c>
    </row>
    <row r="3157" spans="1:3" x14ac:dyDescent="0.3">
      <c r="A3157" t="s">
        <v>669</v>
      </c>
      <c r="B3157">
        <v>6</v>
      </c>
      <c r="C3157">
        <v>6</v>
      </c>
    </row>
    <row r="3158" spans="1:3" x14ac:dyDescent="0.3">
      <c r="A3158" t="s">
        <v>670</v>
      </c>
      <c r="B3158">
        <v>6</v>
      </c>
      <c r="C3158">
        <v>0</v>
      </c>
    </row>
    <row r="3159" spans="1:3" x14ac:dyDescent="0.3">
      <c r="A3159" t="s">
        <v>663</v>
      </c>
      <c r="B3159">
        <v>7</v>
      </c>
      <c r="C3159">
        <v>3</v>
      </c>
    </row>
    <row r="3160" spans="1:3" x14ac:dyDescent="0.3">
      <c r="A3160" t="s">
        <v>664</v>
      </c>
      <c r="B3160">
        <v>7</v>
      </c>
      <c r="C3160">
        <v>120</v>
      </c>
    </row>
    <row r="3161" spans="1:3" x14ac:dyDescent="0.3">
      <c r="A3161" t="s">
        <v>665</v>
      </c>
      <c r="B3161">
        <v>7</v>
      </c>
      <c r="C3161">
        <v>0</v>
      </c>
    </row>
    <row r="3162" spans="1:3" x14ac:dyDescent="0.3">
      <c r="A3162" t="s">
        <v>666</v>
      </c>
      <c r="B3162">
        <v>7</v>
      </c>
      <c r="C3162">
        <v>3</v>
      </c>
    </row>
    <row r="3163" spans="1:3" x14ac:dyDescent="0.3">
      <c r="A3163" t="s">
        <v>667</v>
      </c>
      <c r="B3163">
        <v>7</v>
      </c>
      <c r="C3163">
        <v>206</v>
      </c>
    </row>
    <row r="3164" spans="1:3" x14ac:dyDescent="0.3">
      <c r="A3164" t="s">
        <v>577</v>
      </c>
      <c r="B3164">
        <v>7</v>
      </c>
      <c r="C3164">
        <v>1</v>
      </c>
    </row>
    <row r="3165" spans="1:3" x14ac:dyDescent="0.3">
      <c r="A3165" t="s">
        <v>668</v>
      </c>
      <c r="B3165">
        <v>7</v>
      </c>
      <c r="C3165">
        <v>0</v>
      </c>
    </row>
    <row r="3166" spans="1:3" x14ac:dyDescent="0.3">
      <c r="A3166" t="s">
        <v>272</v>
      </c>
      <c r="B3166">
        <v>7</v>
      </c>
      <c r="C3166">
        <v>0</v>
      </c>
    </row>
    <row r="3167" spans="1:3" x14ac:dyDescent="0.3">
      <c r="A3167" t="s">
        <v>669</v>
      </c>
      <c r="B3167">
        <v>7</v>
      </c>
      <c r="C3167">
        <v>7</v>
      </c>
    </row>
    <row r="3168" spans="1:3" x14ac:dyDescent="0.3">
      <c r="A3168" t="s">
        <v>670</v>
      </c>
      <c r="B3168">
        <v>7</v>
      </c>
      <c r="C3168">
        <v>0</v>
      </c>
    </row>
    <row r="3169" spans="1:3" x14ac:dyDescent="0.3">
      <c r="A3169" t="s">
        <v>663</v>
      </c>
      <c r="B3169">
        <v>9</v>
      </c>
      <c r="C3169">
        <v>3</v>
      </c>
    </row>
    <row r="3170" spans="1:3" x14ac:dyDescent="0.3">
      <c r="A3170" t="s">
        <v>664</v>
      </c>
      <c r="B3170">
        <v>9</v>
      </c>
      <c r="C3170">
        <v>120</v>
      </c>
    </row>
    <row r="3171" spans="1:3" x14ac:dyDescent="0.3">
      <c r="A3171" t="s">
        <v>665</v>
      </c>
      <c r="B3171">
        <v>9</v>
      </c>
      <c r="C3171">
        <v>0</v>
      </c>
    </row>
    <row r="3172" spans="1:3" x14ac:dyDescent="0.3">
      <c r="A3172" t="s">
        <v>666</v>
      </c>
      <c r="B3172">
        <v>9</v>
      </c>
      <c r="C3172">
        <v>3</v>
      </c>
    </row>
    <row r="3173" spans="1:3" x14ac:dyDescent="0.3">
      <c r="A3173" t="s">
        <v>667</v>
      </c>
      <c r="B3173">
        <v>9</v>
      </c>
      <c r="C3173">
        <v>206</v>
      </c>
    </row>
    <row r="3174" spans="1:3" x14ac:dyDescent="0.3">
      <c r="A3174" t="s">
        <v>577</v>
      </c>
      <c r="B3174">
        <v>9</v>
      </c>
      <c r="C3174">
        <v>0</v>
      </c>
    </row>
    <row r="3175" spans="1:3" x14ac:dyDescent="0.3">
      <c r="A3175" t="s">
        <v>668</v>
      </c>
      <c r="B3175">
        <v>9</v>
      </c>
      <c r="C3175">
        <v>0</v>
      </c>
    </row>
    <row r="3176" spans="1:3" x14ac:dyDescent="0.3">
      <c r="A3176" t="s">
        <v>272</v>
      </c>
      <c r="B3176">
        <v>9</v>
      </c>
      <c r="C3176">
        <v>0</v>
      </c>
    </row>
    <row r="3177" spans="1:3" x14ac:dyDescent="0.3">
      <c r="A3177" t="s">
        <v>669</v>
      </c>
      <c r="B3177">
        <v>9</v>
      </c>
      <c r="C3177">
        <v>9</v>
      </c>
    </row>
    <row r="3178" spans="1:3" x14ac:dyDescent="0.3">
      <c r="A3178" t="s">
        <v>670</v>
      </c>
      <c r="B3178">
        <v>9</v>
      </c>
      <c r="C3178">
        <v>0</v>
      </c>
    </row>
    <row r="3179" spans="1:3" x14ac:dyDescent="0.3">
      <c r="A3179" t="s">
        <v>663</v>
      </c>
      <c r="B3179">
        <v>10</v>
      </c>
      <c r="C3179">
        <v>3</v>
      </c>
    </row>
    <row r="3180" spans="1:3" x14ac:dyDescent="0.3">
      <c r="A3180" t="s">
        <v>664</v>
      </c>
      <c r="B3180">
        <v>10</v>
      </c>
      <c r="C3180">
        <v>120</v>
      </c>
    </row>
    <row r="3181" spans="1:3" x14ac:dyDescent="0.3">
      <c r="A3181" t="s">
        <v>665</v>
      </c>
      <c r="B3181">
        <v>10</v>
      </c>
      <c r="C3181">
        <v>0</v>
      </c>
    </row>
    <row r="3182" spans="1:3" x14ac:dyDescent="0.3">
      <c r="A3182" t="s">
        <v>666</v>
      </c>
      <c r="B3182">
        <v>10</v>
      </c>
      <c r="C3182">
        <v>3</v>
      </c>
    </row>
    <row r="3183" spans="1:3" x14ac:dyDescent="0.3">
      <c r="A3183" t="s">
        <v>667</v>
      </c>
      <c r="B3183">
        <v>10</v>
      </c>
      <c r="C3183">
        <v>206</v>
      </c>
    </row>
    <row r="3184" spans="1:3" x14ac:dyDescent="0.3">
      <c r="A3184" t="s">
        <v>577</v>
      </c>
      <c r="B3184">
        <v>10</v>
      </c>
      <c r="C3184">
        <v>1</v>
      </c>
    </row>
    <row r="3185" spans="1:3" x14ac:dyDescent="0.3">
      <c r="A3185" t="s">
        <v>668</v>
      </c>
      <c r="B3185">
        <v>10</v>
      </c>
      <c r="C3185">
        <v>0</v>
      </c>
    </row>
    <row r="3186" spans="1:3" x14ac:dyDescent="0.3">
      <c r="A3186" t="s">
        <v>272</v>
      </c>
      <c r="B3186">
        <v>10</v>
      </c>
      <c r="C3186">
        <v>0</v>
      </c>
    </row>
    <row r="3187" spans="1:3" x14ac:dyDescent="0.3">
      <c r="A3187" t="s">
        <v>669</v>
      </c>
      <c r="B3187">
        <v>10</v>
      </c>
      <c r="C3187">
        <v>10</v>
      </c>
    </row>
    <row r="3188" spans="1:3" x14ac:dyDescent="0.3">
      <c r="A3188" t="s">
        <v>670</v>
      </c>
      <c r="B3188">
        <v>10</v>
      </c>
      <c r="C3188">
        <v>0</v>
      </c>
    </row>
    <row r="3189" spans="1:3" x14ac:dyDescent="0.3">
      <c r="A3189" t="s">
        <v>663</v>
      </c>
      <c r="B3189">
        <v>11</v>
      </c>
      <c r="C3189">
        <v>3</v>
      </c>
    </row>
    <row r="3190" spans="1:3" x14ac:dyDescent="0.3">
      <c r="A3190" t="s">
        <v>664</v>
      </c>
      <c r="B3190">
        <v>11</v>
      </c>
      <c r="C3190">
        <v>120</v>
      </c>
    </row>
    <row r="3191" spans="1:3" x14ac:dyDescent="0.3">
      <c r="A3191" t="s">
        <v>665</v>
      </c>
      <c r="B3191">
        <v>11</v>
      </c>
      <c r="C3191">
        <v>0</v>
      </c>
    </row>
    <row r="3192" spans="1:3" x14ac:dyDescent="0.3">
      <c r="A3192" t="s">
        <v>666</v>
      </c>
      <c r="B3192">
        <v>11</v>
      </c>
      <c r="C3192">
        <v>3</v>
      </c>
    </row>
    <row r="3193" spans="1:3" x14ac:dyDescent="0.3">
      <c r="A3193" t="s">
        <v>667</v>
      </c>
      <c r="B3193">
        <v>11</v>
      </c>
      <c r="C3193">
        <v>206</v>
      </c>
    </row>
    <row r="3194" spans="1:3" x14ac:dyDescent="0.3">
      <c r="A3194" t="s">
        <v>577</v>
      </c>
      <c r="B3194">
        <v>11</v>
      </c>
      <c r="C3194">
        <v>10</v>
      </c>
    </row>
    <row r="3195" spans="1:3" x14ac:dyDescent="0.3">
      <c r="A3195" t="s">
        <v>668</v>
      </c>
      <c r="B3195">
        <v>11</v>
      </c>
      <c r="C3195">
        <v>0</v>
      </c>
    </row>
    <row r="3196" spans="1:3" x14ac:dyDescent="0.3">
      <c r="A3196" t="s">
        <v>272</v>
      </c>
      <c r="B3196">
        <v>11</v>
      </c>
      <c r="C3196">
        <v>0</v>
      </c>
    </row>
    <row r="3197" spans="1:3" x14ac:dyDescent="0.3">
      <c r="A3197" t="s">
        <v>669</v>
      </c>
      <c r="B3197">
        <v>11</v>
      </c>
      <c r="C3197">
        <v>11</v>
      </c>
    </row>
    <row r="3198" spans="1:3" x14ac:dyDescent="0.3">
      <c r="A3198" t="s">
        <v>670</v>
      </c>
      <c r="B3198">
        <v>11</v>
      </c>
      <c r="C3198">
        <v>0</v>
      </c>
    </row>
    <row r="3199" spans="1:3" x14ac:dyDescent="0.3">
      <c r="A3199" t="s">
        <v>663</v>
      </c>
      <c r="B3199">
        <v>12</v>
      </c>
      <c r="C3199">
        <v>3</v>
      </c>
    </row>
    <row r="3200" spans="1:3" x14ac:dyDescent="0.3">
      <c r="A3200" t="s">
        <v>664</v>
      </c>
      <c r="B3200">
        <v>12</v>
      </c>
      <c r="C3200">
        <v>120</v>
      </c>
    </row>
    <row r="3201" spans="1:3" x14ac:dyDescent="0.3">
      <c r="A3201" t="s">
        <v>665</v>
      </c>
      <c r="B3201">
        <v>12</v>
      </c>
      <c r="C3201">
        <v>0</v>
      </c>
    </row>
    <row r="3202" spans="1:3" x14ac:dyDescent="0.3">
      <c r="A3202" t="s">
        <v>666</v>
      </c>
      <c r="B3202">
        <v>12</v>
      </c>
      <c r="C3202">
        <v>3</v>
      </c>
    </row>
    <row r="3203" spans="1:3" x14ac:dyDescent="0.3">
      <c r="A3203" t="s">
        <v>667</v>
      </c>
      <c r="B3203">
        <v>12</v>
      </c>
      <c r="C3203">
        <v>206</v>
      </c>
    </row>
    <row r="3204" spans="1:3" x14ac:dyDescent="0.3">
      <c r="A3204" t="s">
        <v>577</v>
      </c>
      <c r="B3204">
        <v>12</v>
      </c>
      <c r="C3204">
        <v>15</v>
      </c>
    </row>
    <row r="3205" spans="1:3" x14ac:dyDescent="0.3">
      <c r="A3205" t="s">
        <v>668</v>
      </c>
      <c r="B3205">
        <v>12</v>
      </c>
      <c r="C3205">
        <v>0</v>
      </c>
    </row>
    <row r="3206" spans="1:3" x14ac:dyDescent="0.3">
      <c r="A3206" t="s">
        <v>272</v>
      </c>
      <c r="B3206">
        <v>12</v>
      </c>
      <c r="C3206">
        <v>0</v>
      </c>
    </row>
    <row r="3207" spans="1:3" x14ac:dyDescent="0.3">
      <c r="A3207" t="s">
        <v>669</v>
      </c>
      <c r="B3207">
        <v>12</v>
      </c>
      <c r="C3207">
        <v>12</v>
      </c>
    </row>
    <row r="3208" spans="1:3" x14ac:dyDescent="0.3">
      <c r="A3208" t="s">
        <v>670</v>
      </c>
      <c r="B3208">
        <v>12</v>
      </c>
      <c r="C3208">
        <v>0</v>
      </c>
    </row>
    <row r="3209" spans="1:3" x14ac:dyDescent="0.3">
      <c r="A3209" t="s">
        <v>663</v>
      </c>
      <c r="B3209">
        <v>13</v>
      </c>
      <c r="C3209">
        <v>3</v>
      </c>
    </row>
    <row r="3210" spans="1:3" x14ac:dyDescent="0.3">
      <c r="A3210" t="s">
        <v>664</v>
      </c>
      <c r="B3210">
        <v>13</v>
      </c>
      <c r="C3210">
        <v>120</v>
      </c>
    </row>
    <row r="3211" spans="1:3" x14ac:dyDescent="0.3">
      <c r="A3211" t="s">
        <v>665</v>
      </c>
      <c r="B3211">
        <v>13</v>
      </c>
      <c r="C3211">
        <v>0</v>
      </c>
    </row>
    <row r="3212" spans="1:3" x14ac:dyDescent="0.3">
      <c r="A3212" t="s">
        <v>666</v>
      </c>
      <c r="B3212">
        <v>13</v>
      </c>
      <c r="C3212">
        <v>3</v>
      </c>
    </row>
    <row r="3213" spans="1:3" x14ac:dyDescent="0.3">
      <c r="A3213" t="s">
        <v>667</v>
      </c>
      <c r="B3213">
        <v>13</v>
      </c>
      <c r="C3213">
        <v>206</v>
      </c>
    </row>
    <row r="3214" spans="1:3" x14ac:dyDescent="0.3">
      <c r="A3214" t="s">
        <v>577</v>
      </c>
      <c r="B3214">
        <v>13</v>
      </c>
      <c r="C3214">
        <v>20</v>
      </c>
    </row>
    <row r="3215" spans="1:3" x14ac:dyDescent="0.3">
      <c r="A3215" t="s">
        <v>668</v>
      </c>
      <c r="B3215">
        <v>13</v>
      </c>
      <c r="C3215">
        <v>0</v>
      </c>
    </row>
    <row r="3216" spans="1:3" x14ac:dyDescent="0.3">
      <c r="A3216" t="s">
        <v>272</v>
      </c>
      <c r="B3216">
        <v>13</v>
      </c>
      <c r="C3216">
        <v>0</v>
      </c>
    </row>
    <row r="3217" spans="1:3" x14ac:dyDescent="0.3">
      <c r="A3217" t="s">
        <v>669</v>
      </c>
      <c r="B3217">
        <v>13</v>
      </c>
      <c r="C3217">
        <v>13</v>
      </c>
    </row>
    <row r="3218" spans="1:3" x14ac:dyDescent="0.3">
      <c r="A3218" t="s">
        <v>670</v>
      </c>
      <c r="B3218">
        <v>13</v>
      </c>
      <c r="C3218">
        <v>0</v>
      </c>
    </row>
    <row r="3219" spans="1:3" x14ac:dyDescent="0.3">
      <c r="A3219" t="s">
        <v>663</v>
      </c>
      <c r="B3219">
        <v>14</v>
      </c>
      <c r="C3219">
        <v>3</v>
      </c>
    </row>
    <row r="3220" spans="1:3" x14ac:dyDescent="0.3">
      <c r="A3220" t="s">
        <v>664</v>
      </c>
      <c r="B3220">
        <v>14</v>
      </c>
      <c r="C3220">
        <v>120</v>
      </c>
    </row>
    <row r="3221" spans="1:3" x14ac:dyDescent="0.3">
      <c r="A3221" t="s">
        <v>665</v>
      </c>
      <c r="B3221">
        <v>14</v>
      </c>
      <c r="C3221">
        <v>0</v>
      </c>
    </row>
    <row r="3222" spans="1:3" x14ac:dyDescent="0.3">
      <c r="A3222" t="s">
        <v>666</v>
      </c>
      <c r="B3222">
        <v>14</v>
      </c>
      <c r="C3222">
        <v>3</v>
      </c>
    </row>
    <row r="3223" spans="1:3" x14ac:dyDescent="0.3">
      <c r="A3223" t="s">
        <v>667</v>
      </c>
      <c r="B3223">
        <v>14</v>
      </c>
      <c r="C3223">
        <v>206</v>
      </c>
    </row>
    <row r="3224" spans="1:3" x14ac:dyDescent="0.3">
      <c r="A3224" t="s">
        <v>577</v>
      </c>
      <c r="B3224">
        <v>14</v>
      </c>
      <c r="C3224">
        <v>65</v>
      </c>
    </row>
    <row r="3225" spans="1:3" x14ac:dyDescent="0.3">
      <c r="A3225" t="s">
        <v>668</v>
      </c>
      <c r="B3225">
        <v>14</v>
      </c>
      <c r="C3225">
        <v>0</v>
      </c>
    </row>
    <row r="3226" spans="1:3" x14ac:dyDescent="0.3">
      <c r="A3226" t="s">
        <v>272</v>
      </c>
      <c r="B3226">
        <v>14</v>
      </c>
      <c r="C3226">
        <v>0</v>
      </c>
    </row>
    <row r="3227" spans="1:3" x14ac:dyDescent="0.3">
      <c r="A3227" t="s">
        <v>669</v>
      </c>
      <c r="B3227">
        <v>14</v>
      </c>
      <c r="C3227">
        <v>14</v>
      </c>
    </row>
    <row r="3228" spans="1:3" x14ac:dyDescent="0.3">
      <c r="A3228" t="s">
        <v>670</v>
      </c>
      <c r="B3228">
        <v>14</v>
      </c>
      <c r="C3228">
        <v>0</v>
      </c>
    </row>
    <row r="3229" spans="1:3" x14ac:dyDescent="0.3">
      <c r="A3229" t="s">
        <v>663</v>
      </c>
      <c r="B3229">
        <v>15</v>
      </c>
      <c r="C3229">
        <v>3</v>
      </c>
    </row>
    <row r="3230" spans="1:3" x14ac:dyDescent="0.3">
      <c r="A3230" t="s">
        <v>664</v>
      </c>
      <c r="B3230">
        <v>15</v>
      </c>
      <c r="C3230">
        <v>120</v>
      </c>
    </row>
    <row r="3231" spans="1:3" x14ac:dyDescent="0.3">
      <c r="A3231" t="s">
        <v>665</v>
      </c>
      <c r="B3231">
        <v>15</v>
      </c>
      <c r="C3231">
        <v>0</v>
      </c>
    </row>
    <row r="3232" spans="1:3" x14ac:dyDescent="0.3">
      <c r="A3232" t="s">
        <v>666</v>
      </c>
      <c r="B3232">
        <v>15</v>
      </c>
      <c r="C3232">
        <v>3</v>
      </c>
    </row>
    <row r="3233" spans="1:3" x14ac:dyDescent="0.3">
      <c r="A3233" t="s">
        <v>667</v>
      </c>
      <c r="B3233">
        <v>15</v>
      </c>
      <c r="C3233">
        <v>206</v>
      </c>
    </row>
    <row r="3234" spans="1:3" x14ac:dyDescent="0.3">
      <c r="A3234" t="s">
        <v>577</v>
      </c>
      <c r="B3234">
        <v>15</v>
      </c>
      <c r="C3234">
        <v>100</v>
      </c>
    </row>
    <row r="3235" spans="1:3" x14ac:dyDescent="0.3">
      <c r="A3235" t="s">
        <v>668</v>
      </c>
      <c r="B3235">
        <v>15</v>
      </c>
      <c r="C3235">
        <v>0</v>
      </c>
    </row>
    <row r="3236" spans="1:3" x14ac:dyDescent="0.3">
      <c r="A3236" t="s">
        <v>272</v>
      </c>
      <c r="B3236">
        <v>15</v>
      </c>
      <c r="C3236">
        <v>0</v>
      </c>
    </row>
    <row r="3237" spans="1:3" x14ac:dyDescent="0.3">
      <c r="A3237" t="s">
        <v>669</v>
      </c>
      <c r="B3237">
        <v>15</v>
      </c>
      <c r="C3237">
        <v>15</v>
      </c>
    </row>
    <row r="3238" spans="1:3" x14ac:dyDescent="0.3">
      <c r="A3238" t="s">
        <v>670</v>
      </c>
      <c r="B3238">
        <v>15</v>
      </c>
      <c r="C3238">
        <v>0</v>
      </c>
    </row>
    <row r="3239" spans="1:3" x14ac:dyDescent="0.3">
      <c r="A3239" t="s">
        <v>663</v>
      </c>
      <c r="B3239">
        <v>16</v>
      </c>
      <c r="C3239">
        <v>3</v>
      </c>
    </row>
    <row r="3240" spans="1:3" x14ac:dyDescent="0.3">
      <c r="A3240" t="s">
        <v>664</v>
      </c>
      <c r="B3240">
        <v>16</v>
      </c>
      <c r="C3240">
        <v>120</v>
      </c>
    </row>
    <row r="3241" spans="1:3" x14ac:dyDescent="0.3">
      <c r="A3241" t="s">
        <v>665</v>
      </c>
      <c r="B3241">
        <v>16</v>
      </c>
      <c r="C3241">
        <v>0</v>
      </c>
    </row>
    <row r="3242" spans="1:3" x14ac:dyDescent="0.3">
      <c r="A3242" t="s">
        <v>666</v>
      </c>
      <c r="B3242">
        <v>16</v>
      </c>
      <c r="C3242">
        <v>3</v>
      </c>
    </row>
    <row r="3243" spans="1:3" x14ac:dyDescent="0.3">
      <c r="A3243" t="s">
        <v>667</v>
      </c>
      <c r="B3243">
        <v>16</v>
      </c>
      <c r="C3243">
        <v>206</v>
      </c>
    </row>
    <row r="3244" spans="1:3" x14ac:dyDescent="0.3">
      <c r="A3244" t="s">
        <v>577</v>
      </c>
      <c r="B3244">
        <v>16</v>
      </c>
      <c r="C3244">
        <v>100</v>
      </c>
    </row>
    <row r="3245" spans="1:3" x14ac:dyDescent="0.3">
      <c r="A3245" t="s">
        <v>668</v>
      </c>
      <c r="B3245">
        <v>16</v>
      </c>
      <c r="C3245">
        <v>0</v>
      </c>
    </row>
    <row r="3246" spans="1:3" x14ac:dyDescent="0.3">
      <c r="A3246" t="s">
        <v>272</v>
      </c>
      <c r="B3246">
        <v>16</v>
      </c>
      <c r="C3246">
        <v>0</v>
      </c>
    </row>
    <row r="3247" spans="1:3" x14ac:dyDescent="0.3">
      <c r="A3247" t="s">
        <v>669</v>
      </c>
      <c r="B3247">
        <v>16</v>
      </c>
      <c r="C3247">
        <v>16</v>
      </c>
    </row>
    <row r="3248" spans="1:3" x14ac:dyDescent="0.3">
      <c r="A3248" t="s">
        <v>670</v>
      </c>
      <c r="B3248">
        <v>16</v>
      </c>
      <c r="C3248">
        <v>0</v>
      </c>
    </row>
    <row r="3249" spans="1:3" x14ac:dyDescent="0.3">
      <c r="A3249" t="s">
        <v>663</v>
      </c>
      <c r="B3249">
        <v>19</v>
      </c>
      <c r="C3249">
        <v>3</v>
      </c>
    </row>
    <row r="3250" spans="1:3" x14ac:dyDescent="0.3">
      <c r="A3250" t="s">
        <v>664</v>
      </c>
      <c r="B3250">
        <v>19</v>
      </c>
      <c r="C3250">
        <v>120</v>
      </c>
    </row>
    <row r="3251" spans="1:3" x14ac:dyDescent="0.3">
      <c r="A3251" t="s">
        <v>665</v>
      </c>
      <c r="B3251">
        <v>19</v>
      </c>
      <c r="C3251">
        <v>0</v>
      </c>
    </row>
    <row r="3252" spans="1:3" x14ac:dyDescent="0.3">
      <c r="A3252" t="s">
        <v>666</v>
      </c>
      <c r="B3252">
        <v>19</v>
      </c>
      <c r="C3252">
        <v>3</v>
      </c>
    </row>
    <row r="3253" spans="1:3" x14ac:dyDescent="0.3">
      <c r="A3253" t="s">
        <v>667</v>
      </c>
      <c r="B3253">
        <v>19</v>
      </c>
      <c r="C3253">
        <v>206</v>
      </c>
    </row>
    <row r="3254" spans="1:3" x14ac:dyDescent="0.3">
      <c r="A3254" t="s">
        <v>577</v>
      </c>
      <c r="B3254">
        <v>19</v>
      </c>
      <c r="C3254">
        <v>20</v>
      </c>
    </row>
    <row r="3255" spans="1:3" x14ac:dyDescent="0.3">
      <c r="A3255" t="s">
        <v>668</v>
      </c>
      <c r="B3255">
        <v>19</v>
      </c>
      <c r="C3255">
        <v>0</v>
      </c>
    </row>
    <row r="3256" spans="1:3" x14ac:dyDescent="0.3">
      <c r="A3256" t="s">
        <v>272</v>
      </c>
      <c r="B3256">
        <v>19</v>
      </c>
      <c r="C3256">
        <v>0</v>
      </c>
    </row>
    <row r="3257" spans="1:3" x14ac:dyDescent="0.3">
      <c r="A3257" t="s">
        <v>669</v>
      </c>
      <c r="B3257">
        <v>19</v>
      </c>
      <c r="C3257">
        <v>19</v>
      </c>
    </row>
    <row r="3258" spans="1:3" x14ac:dyDescent="0.3">
      <c r="A3258" t="s">
        <v>670</v>
      </c>
      <c r="B3258">
        <v>19</v>
      </c>
      <c r="C3258">
        <v>0</v>
      </c>
    </row>
    <row r="3259" spans="1:3" x14ac:dyDescent="0.3">
      <c r="A3259" t="s">
        <v>663</v>
      </c>
      <c r="B3259">
        <v>21</v>
      </c>
      <c r="C3259">
        <v>3</v>
      </c>
    </row>
    <row r="3260" spans="1:3" x14ac:dyDescent="0.3">
      <c r="A3260" t="s">
        <v>664</v>
      </c>
      <c r="B3260">
        <v>21</v>
      </c>
      <c r="C3260">
        <v>120</v>
      </c>
    </row>
    <row r="3261" spans="1:3" x14ac:dyDescent="0.3">
      <c r="A3261" t="s">
        <v>665</v>
      </c>
      <c r="B3261">
        <v>21</v>
      </c>
      <c r="C3261">
        <v>0</v>
      </c>
    </row>
    <row r="3262" spans="1:3" x14ac:dyDescent="0.3">
      <c r="A3262" t="s">
        <v>666</v>
      </c>
      <c r="B3262">
        <v>21</v>
      </c>
      <c r="C3262">
        <v>3</v>
      </c>
    </row>
    <row r="3263" spans="1:3" x14ac:dyDescent="0.3">
      <c r="A3263" t="s">
        <v>667</v>
      </c>
      <c r="B3263">
        <v>21</v>
      </c>
      <c r="C3263">
        <v>206</v>
      </c>
    </row>
    <row r="3264" spans="1:3" x14ac:dyDescent="0.3">
      <c r="A3264" t="s">
        <v>577</v>
      </c>
      <c r="B3264">
        <v>21</v>
      </c>
      <c r="C3264">
        <v>30</v>
      </c>
    </row>
    <row r="3265" spans="1:3" x14ac:dyDescent="0.3">
      <c r="A3265" t="s">
        <v>668</v>
      </c>
      <c r="B3265">
        <v>21</v>
      </c>
      <c r="C3265">
        <v>0</v>
      </c>
    </row>
    <row r="3266" spans="1:3" x14ac:dyDescent="0.3">
      <c r="A3266" t="s">
        <v>272</v>
      </c>
      <c r="B3266">
        <v>21</v>
      </c>
      <c r="C3266">
        <v>0</v>
      </c>
    </row>
    <row r="3267" spans="1:3" x14ac:dyDescent="0.3">
      <c r="A3267" t="s">
        <v>669</v>
      </c>
      <c r="B3267">
        <v>21</v>
      </c>
      <c r="C3267">
        <v>21</v>
      </c>
    </row>
    <row r="3268" spans="1:3" x14ac:dyDescent="0.3">
      <c r="A3268" t="s">
        <v>670</v>
      </c>
      <c r="B3268">
        <v>21</v>
      </c>
      <c r="C3268">
        <v>0</v>
      </c>
    </row>
    <row r="3269" spans="1:3" x14ac:dyDescent="0.3">
      <c r="A3269" t="s">
        <v>663</v>
      </c>
      <c r="B3269">
        <v>22</v>
      </c>
      <c r="C3269">
        <v>3</v>
      </c>
    </row>
    <row r="3270" spans="1:3" x14ac:dyDescent="0.3">
      <c r="A3270" t="s">
        <v>664</v>
      </c>
      <c r="B3270">
        <v>22</v>
      </c>
      <c r="C3270">
        <v>120</v>
      </c>
    </row>
    <row r="3271" spans="1:3" x14ac:dyDescent="0.3">
      <c r="A3271" t="s">
        <v>665</v>
      </c>
      <c r="B3271">
        <v>22</v>
      </c>
      <c r="C3271">
        <v>0</v>
      </c>
    </row>
    <row r="3272" spans="1:3" x14ac:dyDescent="0.3">
      <c r="A3272" t="s">
        <v>666</v>
      </c>
      <c r="B3272">
        <v>22</v>
      </c>
      <c r="C3272">
        <v>3</v>
      </c>
    </row>
    <row r="3273" spans="1:3" x14ac:dyDescent="0.3">
      <c r="A3273" t="s">
        <v>667</v>
      </c>
      <c r="B3273">
        <v>22</v>
      </c>
      <c r="C3273">
        <v>206</v>
      </c>
    </row>
    <row r="3274" spans="1:3" x14ac:dyDescent="0.3">
      <c r="A3274" t="s">
        <v>577</v>
      </c>
      <c r="B3274">
        <v>22</v>
      </c>
      <c r="C3274">
        <v>80</v>
      </c>
    </row>
    <row r="3275" spans="1:3" x14ac:dyDescent="0.3">
      <c r="A3275" t="s">
        <v>668</v>
      </c>
      <c r="B3275">
        <v>22</v>
      </c>
      <c r="C3275">
        <v>0</v>
      </c>
    </row>
    <row r="3276" spans="1:3" x14ac:dyDescent="0.3">
      <c r="A3276" t="s">
        <v>272</v>
      </c>
      <c r="B3276">
        <v>22</v>
      </c>
      <c r="C3276">
        <v>0</v>
      </c>
    </row>
    <row r="3277" spans="1:3" x14ac:dyDescent="0.3">
      <c r="A3277" t="s">
        <v>669</v>
      </c>
      <c r="B3277">
        <v>22</v>
      </c>
      <c r="C3277">
        <v>22</v>
      </c>
    </row>
    <row r="3278" spans="1:3" x14ac:dyDescent="0.3">
      <c r="A3278" t="s">
        <v>670</v>
      </c>
      <c r="B3278">
        <v>22</v>
      </c>
      <c r="C3278">
        <v>0</v>
      </c>
    </row>
    <row r="3279" spans="1:3" x14ac:dyDescent="0.3">
      <c r="A3279" t="s">
        <v>663</v>
      </c>
      <c r="B3279">
        <v>23</v>
      </c>
      <c r="C3279">
        <v>3</v>
      </c>
    </row>
    <row r="3280" spans="1:3" x14ac:dyDescent="0.3">
      <c r="A3280" t="s">
        <v>664</v>
      </c>
      <c r="B3280">
        <v>23</v>
      </c>
      <c r="C3280">
        <v>120</v>
      </c>
    </row>
    <row r="3281" spans="1:3" x14ac:dyDescent="0.3">
      <c r="A3281" t="s">
        <v>665</v>
      </c>
      <c r="B3281">
        <v>23</v>
      </c>
      <c r="C3281">
        <v>0</v>
      </c>
    </row>
    <row r="3282" spans="1:3" x14ac:dyDescent="0.3">
      <c r="A3282" t="s">
        <v>666</v>
      </c>
      <c r="B3282">
        <v>23</v>
      </c>
      <c r="C3282">
        <v>3</v>
      </c>
    </row>
    <row r="3283" spans="1:3" x14ac:dyDescent="0.3">
      <c r="A3283" t="s">
        <v>667</v>
      </c>
      <c r="B3283">
        <v>23</v>
      </c>
      <c r="C3283">
        <v>206</v>
      </c>
    </row>
    <row r="3284" spans="1:3" x14ac:dyDescent="0.3">
      <c r="A3284" t="s">
        <v>577</v>
      </c>
      <c r="B3284">
        <v>23</v>
      </c>
      <c r="C3284">
        <v>85</v>
      </c>
    </row>
    <row r="3285" spans="1:3" x14ac:dyDescent="0.3">
      <c r="A3285" t="s">
        <v>668</v>
      </c>
      <c r="B3285">
        <v>23</v>
      </c>
      <c r="C3285">
        <v>0</v>
      </c>
    </row>
    <row r="3286" spans="1:3" x14ac:dyDescent="0.3">
      <c r="A3286" t="s">
        <v>272</v>
      </c>
      <c r="B3286">
        <v>23</v>
      </c>
      <c r="C3286">
        <v>0</v>
      </c>
    </row>
    <row r="3287" spans="1:3" x14ac:dyDescent="0.3">
      <c r="A3287" t="s">
        <v>669</v>
      </c>
      <c r="B3287">
        <v>23</v>
      </c>
      <c r="C3287">
        <v>23</v>
      </c>
    </row>
    <row r="3288" spans="1:3" x14ac:dyDescent="0.3">
      <c r="A3288" t="s">
        <v>670</v>
      </c>
      <c r="B3288">
        <v>23</v>
      </c>
      <c r="C3288">
        <v>0</v>
      </c>
    </row>
    <row r="3289" spans="1:3" x14ac:dyDescent="0.3">
      <c r="A3289" t="s">
        <v>663</v>
      </c>
      <c r="B3289">
        <v>24</v>
      </c>
      <c r="C3289">
        <v>3</v>
      </c>
    </row>
    <row r="3290" spans="1:3" x14ac:dyDescent="0.3">
      <c r="A3290" t="s">
        <v>664</v>
      </c>
      <c r="B3290">
        <v>24</v>
      </c>
      <c r="C3290">
        <v>120</v>
      </c>
    </row>
    <row r="3291" spans="1:3" x14ac:dyDescent="0.3">
      <c r="A3291" t="s">
        <v>665</v>
      </c>
      <c r="B3291">
        <v>24</v>
      </c>
      <c r="C3291">
        <v>0</v>
      </c>
    </row>
    <row r="3292" spans="1:3" x14ac:dyDescent="0.3">
      <c r="A3292" t="s">
        <v>666</v>
      </c>
      <c r="B3292">
        <v>24</v>
      </c>
      <c r="C3292">
        <v>3</v>
      </c>
    </row>
    <row r="3293" spans="1:3" x14ac:dyDescent="0.3">
      <c r="A3293" t="s">
        <v>667</v>
      </c>
      <c r="B3293">
        <v>24</v>
      </c>
      <c r="C3293">
        <v>206</v>
      </c>
    </row>
    <row r="3294" spans="1:3" x14ac:dyDescent="0.3">
      <c r="A3294" t="s">
        <v>577</v>
      </c>
      <c r="B3294">
        <v>24</v>
      </c>
      <c r="C3294">
        <v>90</v>
      </c>
    </row>
    <row r="3295" spans="1:3" x14ac:dyDescent="0.3">
      <c r="A3295" t="s">
        <v>668</v>
      </c>
      <c r="B3295">
        <v>24</v>
      </c>
      <c r="C3295">
        <v>0</v>
      </c>
    </row>
    <row r="3296" spans="1:3" x14ac:dyDescent="0.3">
      <c r="A3296" t="s">
        <v>272</v>
      </c>
      <c r="B3296">
        <v>24</v>
      </c>
      <c r="C3296">
        <v>0</v>
      </c>
    </row>
    <row r="3297" spans="1:3" x14ac:dyDescent="0.3">
      <c r="A3297" t="s">
        <v>669</v>
      </c>
      <c r="B3297">
        <v>24</v>
      </c>
      <c r="C3297">
        <v>24</v>
      </c>
    </row>
    <row r="3298" spans="1:3" x14ac:dyDescent="0.3">
      <c r="A3298" t="s">
        <v>670</v>
      </c>
      <c r="B3298">
        <v>24</v>
      </c>
      <c r="C3298">
        <v>0</v>
      </c>
    </row>
    <row r="3299" spans="1:3" x14ac:dyDescent="0.3">
      <c r="A3299" t="s">
        <v>663</v>
      </c>
      <c r="B3299">
        <v>25</v>
      </c>
      <c r="C3299">
        <v>3</v>
      </c>
    </row>
    <row r="3300" spans="1:3" x14ac:dyDescent="0.3">
      <c r="A3300" t="s">
        <v>664</v>
      </c>
      <c r="B3300">
        <v>25</v>
      </c>
      <c r="C3300">
        <v>120</v>
      </c>
    </row>
    <row r="3301" spans="1:3" x14ac:dyDescent="0.3">
      <c r="A3301" t="s">
        <v>665</v>
      </c>
      <c r="B3301">
        <v>25</v>
      </c>
      <c r="C3301">
        <v>0</v>
      </c>
    </row>
    <row r="3302" spans="1:3" x14ac:dyDescent="0.3">
      <c r="A3302" t="s">
        <v>666</v>
      </c>
      <c r="B3302">
        <v>25</v>
      </c>
      <c r="C3302">
        <v>3</v>
      </c>
    </row>
    <row r="3303" spans="1:3" x14ac:dyDescent="0.3">
      <c r="A3303" t="s">
        <v>667</v>
      </c>
      <c r="B3303">
        <v>25</v>
      </c>
      <c r="C3303">
        <v>206</v>
      </c>
    </row>
    <row r="3304" spans="1:3" x14ac:dyDescent="0.3">
      <c r="A3304" t="s">
        <v>577</v>
      </c>
      <c r="B3304">
        <v>25</v>
      </c>
      <c r="C3304">
        <v>1</v>
      </c>
    </row>
    <row r="3305" spans="1:3" x14ac:dyDescent="0.3">
      <c r="A3305" t="s">
        <v>668</v>
      </c>
      <c r="B3305">
        <v>25</v>
      </c>
      <c r="C3305">
        <v>0</v>
      </c>
    </row>
    <row r="3306" spans="1:3" x14ac:dyDescent="0.3">
      <c r="A3306" t="s">
        <v>272</v>
      </c>
      <c r="B3306">
        <v>25</v>
      </c>
      <c r="C3306">
        <v>0</v>
      </c>
    </row>
    <row r="3307" spans="1:3" x14ac:dyDescent="0.3">
      <c r="A3307" t="s">
        <v>669</v>
      </c>
      <c r="B3307">
        <v>25</v>
      </c>
      <c r="C3307">
        <v>25</v>
      </c>
    </row>
    <row r="3308" spans="1:3" x14ac:dyDescent="0.3">
      <c r="A3308" t="s">
        <v>670</v>
      </c>
      <c r="B3308">
        <v>25</v>
      </c>
      <c r="C3308">
        <v>0</v>
      </c>
    </row>
    <row r="3309" spans="1:3" x14ac:dyDescent="0.3">
      <c r="A3309" t="s">
        <v>663</v>
      </c>
      <c r="B3309">
        <v>26</v>
      </c>
      <c r="C3309">
        <v>3</v>
      </c>
    </row>
    <row r="3310" spans="1:3" x14ac:dyDescent="0.3">
      <c r="A3310" t="s">
        <v>664</v>
      </c>
      <c r="B3310">
        <v>26</v>
      </c>
      <c r="C3310">
        <v>120</v>
      </c>
    </row>
    <row r="3311" spans="1:3" x14ac:dyDescent="0.3">
      <c r="A3311" t="s">
        <v>665</v>
      </c>
      <c r="B3311">
        <v>26</v>
      </c>
      <c r="C3311">
        <v>0</v>
      </c>
    </row>
    <row r="3312" spans="1:3" x14ac:dyDescent="0.3">
      <c r="A3312" t="s">
        <v>666</v>
      </c>
      <c r="B3312">
        <v>26</v>
      </c>
      <c r="C3312">
        <v>3</v>
      </c>
    </row>
    <row r="3313" spans="1:3" x14ac:dyDescent="0.3">
      <c r="A3313" t="s">
        <v>667</v>
      </c>
      <c r="B3313">
        <v>26</v>
      </c>
      <c r="C3313">
        <v>206</v>
      </c>
    </row>
    <row r="3314" spans="1:3" x14ac:dyDescent="0.3">
      <c r="A3314" t="s">
        <v>577</v>
      </c>
      <c r="B3314">
        <v>26</v>
      </c>
      <c r="C3314">
        <v>15</v>
      </c>
    </row>
    <row r="3315" spans="1:3" x14ac:dyDescent="0.3">
      <c r="A3315" t="s">
        <v>668</v>
      </c>
      <c r="B3315">
        <v>26</v>
      </c>
      <c r="C3315">
        <v>0</v>
      </c>
    </row>
    <row r="3316" spans="1:3" x14ac:dyDescent="0.3">
      <c r="A3316" t="s">
        <v>272</v>
      </c>
      <c r="B3316">
        <v>26</v>
      </c>
      <c r="C3316">
        <v>0</v>
      </c>
    </row>
    <row r="3317" spans="1:3" x14ac:dyDescent="0.3">
      <c r="A3317" t="s">
        <v>669</v>
      </c>
      <c r="B3317">
        <v>26</v>
      </c>
      <c r="C3317">
        <v>26</v>
      </c>
    </row>
    <row r="3318" spans="1:3" x14ac:dyDescent="0.3">
      <c r="A3318" t="s">
        <v>670</v>
      </c>
      <c r="B3318">
        <v>26</v>
      </c>
      <c r="C3318">
        <v>0</v>
      </c>
    </row>
    <row r="3319" spans="1:3" x14ac:dyDescent="0.3">
      <c r="A3319" t="s">
        <v>663</v>
      </c>
      <c r="B3319">
        <v>30</v>
      </c>
      <c r="C3319">
        <v>3</v>
      </c>
    </row>
    <row r="3320" spans="1:3" x14ac:dyDescent="0.3">
      <c r="A3320" t="s">
        <v>664</v>
      </c>
      <c r="B3320">
        <v>30</v>
      </c>
      <c r="C3320">
        <v>120</v>
      </c>
    </row>
    <row r="3321" spans="1:3" x14ac:dyDescent="0.3">
      <c r="A3321" t="s">
        <v>665</v>
      </c>
      <c r="B3321">
        <v>30</v>
      </c>
      <c r="C3321">
        <v>0</v>
      </c>
    </row>
    <row r="3322" spans="1:3" x14ac:dyDescent="0.3">
      <c r="A3322" t="s">
        <v>666</v>
      </c>
      <c r="B3322">
        <v>30</v>
      </c>
      <c r="C3322">
        <v>1</v>
      </c>
    </row>
    <row r="3323" spans="1:3" x14ac:dyDescent="0.3">
      <c r="A3323" t="s">
        <v>667</v>
      </c>
      <c r="B3323">
        <v>30</v>
      </c>
      <c r="C3323">
        <v>206</v>
      </c>
    </row>
    <row r="3324" spans="1:3" x14ac:dyDescent="0.3">
      <c r="A3324" t="s">
        <v>577</v>
      </c>
      <c r="B3324">
        <v>30</v>
      </c>
      <c r="C3324">
        <v>1</v>
      </c>
    </row>
    <row r="3325" spans="1:3" x14ac:dyDescent="0.3">
      <c r="A3325" t="s">
        <v>668</v>
      </c>
      <c r="B3325">
        <v>30</v>
      </c>
      <c r="C3325">
        <v>0</v>
      </c>
    </row>
    <row r="3326" spans="1:3" x14ac:dyDescent="0.3">
      <c r="A3326" t="s">
        <v>272</v>
      </c>
      <c r="B3326">
        <v>30</v>
      </c>
      <c r="C3326">
        <v>0</v>
      </c>
    </row>
    <row r="3327" spans="1:3" x14ac:dyDescent="0.3">
      <c r="A3327" t="s">
        <v>669</v>
      </c>
      <c r="B3327">
        <v>30</v>
      </c>
      <c r="C3327">
        <v>30</v>
      </c>
    </row>
    <row r="3328" spans="1:3" x14ac:dyDescent="0.3">
      <c r="A3328" t="s">
        <v>670</v>
      </c>
      <c r="B3328">
        <v>30</v>
      </c>
      <c r="C3328">
        <v>0</v>
      </c>
    </row>
    <row r="3329" spans="1:3" x14ac:dyDescent="0.3">
      <c r="A3329" t="s">
        <v>663</v>
      </c>
      <c r="B3329">
        <v>31</v>
      </c>
      <c r="C3329">
        <v>3</v>
      </c>
    </row>
    <row r="3330" spans="1:3" x14ac:dyDescent="0.3">
      <c r="A3330" t="s">
        <v>664</v>
      </c>
      <c r="B3330">
        <v>31</v>
      </c>
      <c r="C3330">
        <v>120</v>
      </c>
    </row>
    <row r="3331" spans="1:3" x14ac:dyDescent="0.3">
      <c r="A3331" t="s">
        <v>665</v>
      </c>
      <c r="B3331">
        <v>31</v>
      </c>
      <c r="C3331">
        <v>0</v>
      </c>
    </row>
    <row r="3332" spans="1:3" x14ac:dyDescent="0.3">
      <c r="A3332" t="s">
        <v>666</v>
      </c>
      <c r="B3332">
        <v>31</v>
      </c>
      <c r="C3332">
        <v>1</v>
      </c>
    </row>
    <row r="3333" spans="1:3" x14ac:dyDescent="0.3">
      <c r="A3333" t="s">
        <v>667</v>
      </c>
      <c r="B3333">
        <v>31</v>
      </c>
      <c r="C3333">
        <v>206</v>
      </c>
    </row>
    <row r="3334" spans="1:3" x14ac:dyDescent="0.3">
      <c r="A3334" t="s">
        <v>577</v>
      </c>
      <c r="B3334">
        <v>31</v>
      </c>
      <c r="C3334">
        <v>10</v>
      </c>
    </row>
    <row r="3335" spans="1:3" x14ac:dyDescent="0.3">
      <c r="A3335" t="s">
        <v>668</v>
      </c>
      <c r="B3335">
        <v>31</v>
      </c>
      <c r="C3335">
        <v>0</v>
      </c>
    </row>
    <row r="3336" spans="1:3" x14ac:dyDescent="0.3">
      <c r="A3336" t="s">
        <v>272</v>
      </c>
      <c r="B3336">
        <v>31</v>
      </c>
      <c r="C3336">
        <v>0</v>
      </c>
    </row>
    <row r="3337" spans="1:3" x14ac:dyDescent="0.3">
      <c r="A3337" t="s">
        <v>669</v>
      </c>
      <c r="B3337">
        <v>31</v>
      </c>
      <c r="C3337">
        <v>31</v>
      </c>
    </row>
    <row r="3338" spans="1:3" x14ac:dyDescent="0.3">
      <c r="A3338" t="s">
        <v>670</v>
      </c>
      <c r="B3338">
        <v>31</v>
      </c>
      <c r="C3338">
        <v>0</v>
      </c>
    </row>
    <row r="3339" spans="1:3" x14ac:dyDescent="0.3">
      <c r="A3339" t="s">
        <v>663</v>
      </c>
      <c r="B3339">
        <v>32</v>
      </c>
      <c r="C3339">
        <v>3</v>
      </c>
    </row>
    <row r="3340" spans="1:3" x14ac:dyDescent="0.3">
      <c r="A3340" t="s">
        <v>664</v>
      </c>
      <c r="B3340">
        <v>32</v>
      </c>
      <c r="C3340">
        <v>120</v>
      </c>
    </row>
    <row r="3341" spans="1:3" x14ac:dyDescent="0.3">
      <c r="A3341" t="s">
        <v>665</v>
      </c>
      <c r="B3341">
        <v>32</v>
      </c>
      <c r="C3341">
        <v>0</v>
      </c>
    </row>
    <row r="3342" spans="1:3" x14ac:dyDescent="0.3">
      <c r="A3342" t="s">
        <v>666</v>
      </c>
      <c r="B3342">
        <v>32</v>
      </c>
      <c r="C3342">
        <v>1</v>
      </c>
    </row>
    <row r="3343" spans="1:3" x14ac:dyDescent="0.3">
      <c r="A3343" t="s">
        <v>667</v>
      </c>
      <c r="B3343">
        <v>32</v>
      </c>
      <c r="C3343">
        <v>206</v>
      </c>
    </row>
    <row r="3344" spans="1:3" x14ac:dyDescent="0.3">
      <c r="A3344" t="s">
        <v>577</v>
      </c>
      <c r="B3344">
        <v>32</v>
      </c>
      <c r="C3344">
        <v>25.5</v>
      </c>
    </row>
    <row r="3345" spans="1:3" x14ac:dyDescent="0.3">
      <c r="A3345" t="s">
        <v>668</v>
      </c>
      <c r="B3345">
        <v>32</v>
      </c>
      <c r="C3345">
        <v>0</v>
      </c>
    </row>
    <row r="3346" spans="1:3" x14ac:dyDescent="0.3">
      <c r="A3346" t="s">
        <v>272</v>
      </c>
      <c r="B3346">
        <v>32</v>
      </c>
      <c r="C3346">
        <v>0</v>
      </c>
    </row>
    <row r="3347" spans="1:3" x14ac:dyDescent="0.3">
      <c r="A3347" t="s">
        <v>669</v>
      </c>
      <c r="B3347">
        <v>32</v>
      </c>
      <c r="C3347">
        <v>32</v>
      </c>
    </row>
    <row r="3348" spans="1:3" x14ac:dyDescent="0.3">
      <c r="A3348" t="s">
        <v>670</v>
      </c>
      <c r="B3348">
        <v>32</v>
      </c>
      <c r="C3348">
        <v>0</v>
      </c>
    </row>
    <row r="3349" spans="1:3" x14ac:dyDescent="0.3">
      <c r="A3349" t="s">
        <v>663</v>
      </c>
      <c r="B3349">
        <v>33</v>
      </c>
      <c r="C3349">
        <v>3</v>
      </c>
    </row>
    <row r="3350" spans="1:3" x14ac:dyDescent="0.3">
      <c r="A3350" t="s">
        <v>664</v>
      </c>
      <c r="B3350">
        <v>33</v>
      </c>
      <c r="C3350">
        <v>120</v>
      </c>
    </row>
    <row r="3351" spans="1:3" x14ac:dyDescent="0.3">
      <c r="A3351" t="s">
        <v>665</v>
      </c>
      <c r="B3351">
        <v>33</v>
      </c>
      <c r="C3351">
        <v>0</v>
      </c>
    </row>
    <row r="3352" spans="1:3" x14ac:dyDescent="0.3">
      <c r="A3352" t="s">
        <v>666</v>
      </c>
      <c r="B3352">
        <v>33</v>
      </c>
      <c r="C3352">
        <v>1</v>
      </c>
    </row>
    <row r="3353" spans="1:3" x14ac:dyDescent="0.3">
      <c r="A3353" t="s">
        <v>667</v>
      </c>
      <c r="B3353">
        <v>33</v>
      </c>
      <c r="C3353">
        <v>206</v>
      </c>
    </row>
    <row r="3354" spans="1:3" x14ac:dyDescent="0.3">
      <c r="A3354" t="s">
        <v>577</v>
      </c>
      <c r="B3354">
        <v>33</v>
      </c>
      <c r="C3354">
        <v>65</v>
      </c>
    </row>
    <row r="3355" spans="1:3" x14ac:dyDescent="0.3">
      <c r="A3355" t="s">
        <v>668</v>
      </c>
      <c r="B3355">
        <v>33</v>
      </c>
      <c r="C3355">
        <v>0</v>
      </c>
    </row>
    <row r="3356" spans="1:3" x14ac:dyDescent="0.3">
      <c r="A3356" t="s">
        <v>272</v>
      </c>
      <c r="B3356">
        <v>33</v>
      </c>
      <c r="C3356">
        <v>0</v>
      </c>
    </row>
    <row r="3357" spans="1:3" x14ac:dyDescent="0.3">
      <c r="A3357" t="s">
        <v>669</v>
      </c>
      <c r="B3357">
        <v>33</v>
      </c>
      <c r="C3357">
        <v>33</v>
      </c>
    </row>
    <row r="3358" spans="1:3" x14ac:dyDescent="0.3">
      <c r="A3358" t="s">
        <v>670</v>
      </c>
      <c r="B3358">
        <v>33</v>
      </c>
      <c r="C3358">
        <v>0</v>
      </c>
    </row>
    <row r="3359" spans="1:3" x14ac:dyDescent="0.3">
      <c r="A3359" t="s">
        <v>663</v>
      </c>
      <c r="B3359">
        <v>34</v>
      </c>
      <c r="C3359">
        <v>3</v>
      </c>
    </row>
    <row r="3360" spans="1:3" x14ac:dyDescent="0.3">
      <c r="A3360" t="s">
        <v>664</v>
      </c>
      <c r="B3360">
        <v>34</v>
      </c>
      <c r="C3360">
        <v>120</v>
      </c>
    </row>
    <row r="3361" spans="1:18" x14ac:dyDescent="0.3">
      <c r="A3361" t="s">
        <v>665</v>
      </c>
      <c r="B3361">
        <v>34</v>
      </c>
      <c r="C3361">
        <v>0</v>
      </c>
    </row>
    <row r="3362" spans="1:18" x14ac:dyDescent="0.3">
      <c r="A3362" t="s">
        <v>666</v>
      </c>
      <c r="B3362">
        <v>34</v>
      </c>
      <c r="C3362">
        <v>1</v>
      </c>
    </row>
    <row r="3363" spans="1:18" x14ac:dyDescent="0.3">
      <c r="A3363" t="s">
        <v>667</v>
      </c>
      <c r="B3363">
        <v>34</v>
      </c>
      <c r="C3363">
        <v>206</v>
      </c>
    </row>
    <row r="3364" spans="1:18" x14ac:dyDescent="0.3">
      <c r="A3364" t="s">
        <v>577</v>
      </c>
      <c r="B3364">
        <v>34</v>
      </c>
      <c r="C3364">
        <v>105</v>
      </c>
    </row>
    <row r="3365" spans="1:18" x14ac:dyDescent="0.3">
      <c r="A3365" t="s">
        <v>668</v>
      </c>
      <c r="B3365">
        <v>34</v>
      </c>
      <c r="C3365">
        <v>0</v>
      </c>
    </row>
    <row r="3366" spans="1:18" x14ac:dyDescent="0.3">
      <c r="A3366" t="s">
        <v>272</v>
      </c>
      <c r="B3366">
        <v>34</v>
      </c>
      <c r="C3366">
        <v>0</v>
      </c>
    </row>
    <row r="3367" spans="1:18" x14ac:dyDescent="0.3">
      <c r="A3367" t="s">
        <v>669</v>
      </c>
      <c r="B3367">
        <v>34</v>
      </c>
      <c r="C3367">
        <v>34</v>
      </c>
    </row>
    <row r="3368" spans="1:18" x14ac:dyDescent="0.3">
      <c r="A3368" t="s">
        <v>670</v>
      </c>
      <c r="B3368">
        <v>34</v>
      </c>
      <c r="C3368">
        <v>0</v>
      </c>
    </row>
    <row r="3370" spans="1:18" x14ac:dyDescent="0.3">
      <c r="A3370" t="s">
        <v>671</v>
      </c>
    </row>
    <row r="3371" spans="1:18" x14ac:dyDescent="0.3">
      <c r="A3371" t="s">
        <v>672</v>
      </c>
    </row>
    <row r="3372" spans="1:18" x14ac:dyDescent="0.3">
      <c r="A3372" t="s">
        <v>0</v>
      </c>
      <c r="B3372" t="s">
        <v>1</v>
      </c>
      <c r="C3372" t="s">
        <v>246</v>
      </c>
      <c r="D3372" t="s">
        <v>247</v>
      </c>
      <c r="E3372" t="s">
        <v>248</v>
      </c>
      <c r="F3372" t="s">
        <v>249</v>
      </c>
      <c r="G3372" t="s">
        <v>250</v>
      </c>
      <c r="H3372" t="s">
        <v>251</v>
      </c>
      <c r="I3372" t="s">
        <v>252</v>
      </c>
      <c r="J3372" t="s">
        <v>253</v>
      </c>
      <c r="K3372" t="s">
        <v>673</v>
      </c>
      <c r="L3372" t="s">
        <v>674</v>
      </c>
      <c r="M3372" t="s">
        <v>675</v>
      </c>
      <c r="N3372" t="s">
        <v>676</v>
      </c>
      <c r="O3372" t="s">
        <v>677</v>
      </c>
      <c r="P3372" t="s">
        <v>678</v>
      </c>
      <c r="Q3372" t="s">
        <v>679</v>
      </c>
      <c r="R3372" t="s">
        <v>680</v>
      </c>
    </row>
    <row r="3373" spans="1:18" x14ac:dyDescent="0.3">
      <c r="A3373" t="s">
        <v>254</v>
      </c>
      <c r="B3373">
        <v>1</v>
      </c>
      <c r="C3373">
        <v>111</v>
      </c>
      <c r="D3373">
        <v>112</v>
      </c>
      <c r="E3373">
        <v>211</v>
      </c>
      <c r="F3373">
        <v>212</v>
      </c>
      <c r="G3373">
        <v>121</v>
      </c>
      <c r="H3373">
        <v>122</v>
      </c>
      <c r="I3373">
        <v>221</v>
      </c>
      <c r="J3373">
        <v>222</v>
      </c>
      <c r="K3373">
        <v>311</v>
      </c>
      <c r="L3373">
        <v>312</v>
      </c>
      <c r="M3373">
        <v>411</v>
      </c>
      <c r="N3373">
        <v>412</v>
      </c>
      <c r="O3373">
        <v>321</v>
      </c>
      <c r="P3373">
        <v>322</v>
      </c>
      <c r="Q3373">
        <v>421</v>
      </c>
      <c r="R3373">
        <v>422</v>
      </c>
    </row>
    <row r="3374" spans="1:18" x14ac:dyDescent="0.3">
      <c r="A3374" t="s">
        <v>255</v>
      </c>
      <c r="B3374">
        <v>1</v>
      </c>
      <c r="C3374">
        <v>8</v>
      </c>
      <c r="D3374">
        <v>15</v>
      </c>
      <c r="E3374">
        <v>8</v>
      </c>
      <c r="F3374">
        <v>8</v>
      </c>
      <c r="G3374">
        <v>8</v>
      </c>
      <c r="H3374">
        <v>15</v>
      </c>
      <c r="I3374">
        <v>8</v>
      </c>
      <c r="J3374">
        <v>8</v>
      </c>
    </row>
    <row r="3375" spans="1:18" x14ac:dyDescent="0.3">
      <c r="A3375" t="s">
        <v>256</v>
      </c>
      <c r="B3375">
        <v>1</v>
      </c>
      <c r="C3375">
        <v>9</v>
      </c>
      <c r="D3375">
        <v>51</v>
      </c>
      <c r="E3375">
        <v>25</v>
      </c>
      <c r="F3375">
        <v>9</v>
      </c>
      <c r="G3375">
        <v>14</v>
      </c>
      <c r="H3375">
        <v>46</v>
      </c>
      <c r="I3375">
        <v>14</v>
      </c>
      <c r="J3375">
        <v>20</v>
      </c>
    </row>
    <row r="3376" spans="1:18" x14ac:dyDescent="0.3">
      <c r="A3376" t="s">
        <v>257</v>
      </c>
      <c r="B3376">
        <v>1</v>
      </c>
      <c r="C3376">
        <v>3</v>
      </c>
      <c r="D3376">
        <v>6</v>
      </c>
      <c r="E3376">
        <v>3</v>
      </c>
      <c r="F3376">
        <v>3</v>
      </c>
      <c r="G3376">
        <v>3</v>
      </c>
      <c r="H3376">
        <v>6</v>
      </c>
      <c r="I3376">
        <v>3</v>
      </c>
      <c r="J3376">
        <v>3</v>
      </c>
    </row>
    <row r="3377" spans="1:10" x14ac:dyDescent="0.3">
      <c r="A3377" t="s">
        <v>258</v>
      </c>
      <c r="B3377">
        <v>1</v>
      </c>
      <c r="C3377">
        <v>0</v>
      </c>
      <c r="D3377">
        <v>0</v>
      </c>
      <c r="E3377">
        <v>0</v>
      </c>
      <c r="F3377">
        <v>0</v>
      </c>
      <c r="G3377">
        <v>0</v>
      </c>
      <c r="H3377">
        <v>0</v>
      </c>
      <c r="I3377">
        <v>0</v>
      </c>
      <c r="J3377">
        <v>0</v>
      </c>
    </row>
    <row r="3378" spans="1:10" x14ac:dyDescent="0.3">
      <c r="A3378" t="s">
        <v>259</v>
      </c>
      <c r="B3378">
        <v>1</v>
      </c>
      <c r="C3378">
        <v>0</v>
      </c>
      <c r="D3378">
        <v>0</v>
      </c>
      <c r="E3378">
        <v>0</v>
      </c>
      <c r="F3378">
        <v>0</v>
      </c>
      <c r="G3378">
        <v>0</v>
      </c>
      <c r="H3378">
        <v>0</v>
      </c>
      <c r="I3378">
        <v>0</v>
      </c>
      <c r="J3378">
        <v>0</v>
      </c>
    </row>
    <row r="3379" spans="1:10" x14ac:dyDescent="0.3">
      <c r="A3379" t="s">
        <v>260</v>
      </c>
      <c r="B3379">
        <v>1</v>
      </c>
      <c r="C3379">
        <v>3</v>
      </c>
      <c r="D3379">
        <v>3</v>
      </c>
      <c r="E3379">
        <v>3</v>
      </c>
      <c r="F3379">
        <v>3</v>
      </c>
      <c r="G3379">
        <v>3</v>
      </c>
      <c r="H3379">
        <v>3</v>
      </c>
      <c r="I3379">
        <v>3</v>
      </c>
      <c r="J3379">
        <v>3</v>
      </c>
    </row>
    <row r="3380" spans="1:10" x14ac:dyDescent="0.3">
      <c r="A3380" t="s">
        <v>261</v>
      </c>
      <c r="B3380">
        <v>1</v>
      </c>
      <c r="C3380">
        <v>4</v>
      </c>
      <c r="D3380">
        <v>5</v>
      </c>
      <c r="E3380">
        <v>4</v>
      </c>
      <c r="F3380">
        <v>5</v>
      </c>
      <c r="G3380">
        <v>4</v>
      </c>
      <c r="H3380">
        <v>5</v>
      </c>
      <c r="I3380">
        <v>4</v>
      </c>
      <c r="J3380">
        <v>5</v>
      </c>
    </row>
    <row r="3381" spans="1:10" x14ac:dyDescent="0.3">
      <c r="A3381" t="s">
        <v>262</v>
      </c>
      <c r="B3381">
        <v>1</v>
      </c>
      <c r="C3381">
        <v>2</v>
      </c>
      <c r="D3381">
        <v>2</v>
      </c>
      <c r="E3381">
        <v>2</v>
      </c>
      <c r="F3381">
        <v>2</v>
      </c>
      <c r="G3381">
        <v>2</v>
      </c>
      <c r="H3381">
        <v>2</v>
      </c>
      <c r="I3381">
        <v>2</v>
      </c>
      <c r="J3381">
        <v>2</v>
      </c>
    </row>
    <row r="3382" spans="1:10" x14ac:dyDescent="0.3">
      <c r="A3382" t="s">
        <v>263</v>
      </c>
      <c r="B3382">
        <v>1</v>
      </c>
      <c r="C3382">
        <v>0</v>
      </c>
      <c r="D3382">
        <v>3</v>
      </c>
      <c r="E3382">
        <v>0</v>
      </c>
      <c r="F3382">
        <v>0</v>
      </c>
      <c r="G3382">
        <v>0</v>
      </c>
      <c r="H3382">
        <v>3</v>
      </c>
      <c r="I3382">
        <v>0</v>
      </c>
      <c r="J3382">
        <v>0</v>
      </c>
    </row>
    <row r="3383" spans="1:10" x14ac:dyDescent="0.3">
      <c r="A3383" t="s">
        <v>264</v>
      </c>
      <c r="B3383">
        <v>1</v>
      </c>
    </row>
    <row r="3384" spans="1:10" x14ac:dyDescent="0.3">
      <c r="A3384" t="s">
        <v>265</v>
      </c>
      <c r="B3384">
        <v>1</v>
      </c>
    </row>
    <row r="3385" spans="1:10" x14ac:dyDescent="0.3">
      <c r="A3385" t="s">
        <v>266</v>
      </c>
      <c r="B3385">
        <v>1</v>
      </c>
    </row>
    <row r="3386" spans="1:10" x14ac:dyDescent="0.3">
      <c r="A3386" t="s">
        <v>267</v>
      </c>
      <c r="B3386">
        <v>1</v>
      </c>
      <c r="C3386">
        <v>15</v>
      </c>
      <c r="D3386">
        <v>22</v>
      </c>
      <c r="E3386">
        <v>15</v>
      </c>
      <c r="F3386">
        <v>15</v>
      </c>
      <c r="G3386">
        <v>15</v>
      </c>
      <c r="H3386">
        <v>22</v>
      </c>
      <c r="I3386">
        <v>15</v>
      </c>
      <c r="J3386">
        <v>15</v>
      </c>
    </row>
    <row r="3387" spans="1:10" x14ac:dyDescent="0.3">
      <c r="A3387" t="s">
        <v>268</v>
      </c>
      <c r="B3387">
        <v>1</v>
      </c>
      <c r="C3387">
        <v>0</v>
      </c>
      <c r="D3387">
        <v>1</v>
      </c>
      <c r="E3387">
        <v>0</v>
      </c>
      <c r="F3387">
        <v>1</v>
      </c>
      <c r="G3387">
        <v>0</v>
      </c>
      <c r="H3387">
        <v>1</v>
      </c>
      <c r="I3387">
        <v>0</v>
      </c>
      <c r="J3387">
        <v>1</v>
      </c>
    </row>
    <row r="3388" spans="1:10" x14ac:dyDescent="0.3">
      <c r="A3388" t="s">
        <v>269</v>
      </c>
      <c r="B3388">
        <v>1</v>
      </c>
      <c r="C3388">
        <v>1</v>
      </c>
      <c r="D3388">
        <v>1</v>
      </c>
      <c r="E3388">
        <v>1</v>
      </c>
      <c r="F3388">
        <v>1</v>
      </c>
      <c r="G3388">
        <v>1</v>
      </c>
      <c r="H3388">
        <v>1</v>
      </c>
      <c r="I3388">
        <v>1</v>
      </c>
      <c r="J3388">
        <v>1</v>
      </c>
    </row>
    <row r="3389" spans="1:10" x14ac:dyDescent="0.3">
      <c r="A3389" t="s">
        <v>270</v>
      </c>
      <c r="B3389">
        <v>1</v>
      </c>
      <c r="C3389">
        <v>25</v>
      </c>
      <c r="D3389">
        <v>40</v>
      </c>
      <c r="E3389">
        <v>98</v>
      </c>
      <c r="F3389">
        <v>9</v>
      </c>
      <c r="G3389">
        <v>25</v>
      </c>
      <c r="H3389">
        <v>45</v>
      </c>
      <c r="I3389">
        <v>98</v>
      </c>
      <c r="J3389">
        <v>118</v>
      </c>
    </row>
    <row r="3390" spans="1:10" x14ac:dyDescent="0.3">
      <c r="A3390" t="s">
        <v>271</v>
      </c>
      <c r="B3390">
        <v>1</v>
      </c>
      <c r="C3390">
        <v>40</v>
      </c>
      <c r="D3390">
        <v>98</v>
      </c>
      <c r="E3390">
        <v>9</v>
      </c>
      <c r="F3390">
        <v>25</v>
      </c>
      <c r="G3390">
        <v>45</v>
      </c>
      <c r="H3390">
        <v>98</v>
      </c>
      <c r="I3390">
        <v>118</v>
      </c>
      <c r="J3390">
        <v>25</v>
      </c>
    </row>
    <row r="3391" spans="1:10" x14ac:dyDescent="0.3">
      <c r="A3391" t="s">
        <v>272</v>
      </c>
      <c r="B3391">
        <v>1</v>
      </c>
      <c r="C3391">
        <v>34</v>
      </c>
      <c r="D3391">
        <v>91</v>
      </c>
      <c r="E3391">
        <v>3</v>
      </c>
      <c r="F3391">
        <v>18</v>
      </c>
      <c r="G3391">
        <v>39</v>
      </c>
      <c r="H3391">
        <v>91</v>
      </c>
      <c r="I3391">
        <v>112</v>
      </c>
      <c r="J3391">
        <v>18</v>
      </c>
    </row>
    <row r="3392" spans="1:10" x14ac:dyDescent="0.3">
      <c r="A3392" t="s">
        <v>273</v>
      </c>
      <c r="B3392">
        <v>1</v>
      </c>
      <c r="C3392">
        <v>34</v>
      </c>
      <c r="D3392">
        <v>91</v>
      </c>
      <c r="E3392">
        <v>3</v>
      </c>
      <c r="F3392">
        <v>18</v>
      </c>
      <c r="G3392">
        <v>39</v>
      </c>
      <c r="H3392">
        <v>91</v>
      </c>
      <c r="I3392">
        <v>112</v>
      </c>
      <c r="J3392">
        <v>18</v>
      </c>
    </row>
    <row r="3393" spans="1:18" x14ac:dyDescent="0.3">
      <c r="A3393" t="s">
        <v>274</v>
      </c>
      <c r="B3393">
        <v>1</v>
      </c>
      <c r="C3393">
        <v>105</v>
      </c>
      <c r="D3393">
        <v>0</v>
      </c>
      <c r="E3393">
        <v>58</v>
      </c>
      <c r="F3393">
        <v>89</v>
      </c>
      <c r="G3393">
        <v>105</v>
      </c>
      <c r="H3393">
        <v>5</v>
      </c>
      <c r="I3393">
        <v>58</v>
      </c>
      <c r="J3393">
        <v>78</v>
      </c>
    </row>
    <row r="3394" spans="1:18" x14ac:dyDescent="0.3">
      <c r="A3394" t="s">
        <v>275</v>
      </c>
      <c r="B3394">
        <v>1</v>
      </c>
      <c r="C3394">
        <v>114</v>
      </c>
      <c r="D3394">
        <v>51</v>
      </c>
      <c r="E3394">
        <v>83</v>
      </c>
      <c r="F3394">
        <v>98</v>
      </c>
      <c r="G3394">
        <v>119</v>
      </c>
      <c r="H3394">
        <v>51</v>
      </c>
      <c r="I3394">
        <v>72</v>
      </c>
      <c r="J3394">
        <v>98</v>
      </c>
    </row>
    <row r="3395" spans="1:18" x14ac:dyDescent="0.3">
      <c r="A3395" t="s">
        <v>276</v>
      </c>
      <c r="B3395">
        <v>1</v>
      </c>
      <c r="C3395">
        <v>114</v>
      </c>
      <c r="D3395">
        <v>51</v>
      </c>
      <c r="E3395">
        <v>83</v>
      </c>
      <c r="F3395">
        <v>98</v>
      </c>
      <c r="G3395">
        <v>119</v>
      </c>
      <c r="H3395">
        <v>51</v>
      </c>
      <c r="I3395">
        <v>72</v>
      </c>
      <c r="J3395">
        <v>98</v>
      </c>
    </row>
    <row r="3396" spans="1:18" x14ac:dyDescent="0.3">
      <c r="A3396" t="s">
        <v>681</v>
      </c>
      <c r="B3396">
        <v>1</v>
      </c>
      <c r="C3396">
        <v>9.4</v>
      </c>
      <c r="D3396">
        <v>50.5</v>
      </c>
      <c r="E3396">
        <v>8.5</v>
      </c>
      <c r="F3396">
        <v>25.6</v>
      </c>
      <c r="G3396">
        <v>9.6999999999999993</v>
      </c>
      <c r="H3396">
        <v>50.2</v>
      </c>
      <c r="I3396">
        <v>12.7</v>
      </c>
      <c r="J3396">
        <v>21.4</v>
      </c>
    </row>
    <row r="3397" spans="1:18" x14ac:dyDescent="0.3">
      <c r="A3397" t="s">
        <v>254</v>
      </c>
      <c r="B3397">
        <v>2</v>
      </c>
      <c r="C3397">
        <v>111</v>
      </c>
      <c r="D3397">
        <v>112</v>
      </c>
      <c r="E3397">
        <v>211</v>
      </c>
      <c r="F3397">
        <v>212</v>
      </c>
      <c r="G3397">
        <v>121</v>
      </c>
      <c r="H3397">
        <v>122</v>
      </c>
      <c r="I3397">
        <v>221</v>
      </c>
      <c r="J3397">
        <v>222</v>
      </c>
      <c r="K3397">
        <v>311</v>
      </c>
      <c r="L3397">
        <v>312</v>
      </c>
      <c r="M3397">
        <v>411</v>
      </c>
      <c r="N3397">
        <v>412</v>
      </c>
      <c r="O3397">
        <v>321</v>
      </c>
      <c r="P3397">
        <v>322</v>
      </c>
      <c r="Q3397">
        <v>421</v>
      </c>
      <c r="R3397">
        <v>422</v>
      </c>
    </row>
    <row r="3398" spans="1:18" x14ac:dyDescent="0.3">
      <c r="A3398" t="s">
        <v>255</v>
      </c>
      <c r="B3398">
        <v>2</v>
      </c>
      <c r="C3398">
        <v>8</v>
      </c>
      <c r="D3398">
        <v>15</v>
      </c>
      <c r="F3398">
        <v>10</v>
      </c>
      <c r="G3398">
        <v>8</v>
      </c>
      <c r="H3398">
        <v>15</v>
      </c>
      <c r="J3398">
        <v>10</v>
      </c>
    </row>
    <row r="3399" spans="1:18" x14ac:dyDescent="0.3">
      <c r="A3399" t="s">
        <v>256</v>
      </c>
      <c r="B3399">
        <v>2</v>
      </c>
      <c r="C3399">
        <v>9</v>
      </c>
      <c r="D3399">
        <v>68</v>
      </c>
      <c r="F3399">
        <v>24</v>
      </c>
      <c r="G3399">
        <v>9</v>
      </c>
      <c r="H3399">
        <v>68</v>
      </c>
      <c r="J3399">
        <v>24</v>
      </c>
    </row>
    <row r="3400" spans="1:18" x14ac:dyDescent="0.3">
      <c r="A3400" t="s">
        <v>257</v>
      </c>
      <c r="B3400">
        <v>2</v>
      </c>
      <c r="C3400">
        <v>3</v>
      </c>
      <c r="D3400">
        <v>6</v>
      </c>
      <c r="F3400">
        <v>3</v>
      </c>
      <c r="G3400">
        <v>3</v>
      </c>
      <c r="H3400">
        <v>6</v>
      </c>
      <c r="J3400">
        <v>3</v>
      </c>
    </row>
    <row r="3401" spans="1:18" x14ac:dyDescent="0.3">
      <c r="A3401" t="s">
        <v>258</v>
      </c>
      <c r="B3401">
        <v>2</v>
      </c>
      <c r="C3401">
        <v>0</v>
      </c>
      <c r="D3401">
        <v>0</v>
      </c>
      <c r="F3401">
        <v>0</v>
      </c>
      <c r="G3401">
        <v>0</v>
      </c>
      <c r="H3401">
        <v>0</v>
      </c>
      <c r="J3401">
        <v>0</v>
      </c>
    </row>
    <row r="3402" spans="1:18" x14ac:dyDescent="0.3">
      <c r="A3402" t="s">
        <v>259</v>
      </c>
      <c r="B3402">
        <v>2</v>
      </c>
      <c r="C3402">
        <v>0</v>
      </c>
      <c r="D3402">
        <v>0</v>
      </c>
      <c r="F3402">
        <v>0</v>
      </c>
      <c r="G3402">
        <v>0</v>
      </c>
      <c r="H3402">
        <v>0</v>
      </c>
      <c r="J3402">
        <v>0</v>
      </c>
    </row>
    <row r="3403" spans="1:18" x14ac:dyDescent="0.3">
      <c r="A3403" t="s">
        <v>260</v>
      </c>
      <c r="B3403">
        <v>2</v>
      </c>
      <c r="C3403">
        <v>3</v>
      </c>
      <c r="D3403">
        <v>3</v>
      </c>
      <c r="F3403">
        <v>3</v>
      </c>
      <c r="G3403">
        <v>3</v>
      </c>
      <c r="H3403">
        <v>3</v>
      </c>
      <c r="J3403">
        <v>3</v>
      </c>
    </row>
    <row r="3404" spans="1:18" x14ac:dyDescent="0.3">
      <c r="A3404" t="s">
        <v>261</v>
      </c>
      <c r="B3404">
        <v>2</v>
      </c>
      <c r="C3404">
        <v>4</v>
      </c>
      <c r="D3404">
        <v>5</v>
      </c>
      <c r="F3404">
        <v>4</v>
      </c>
      <c r="G3404">
        <v>4</v>
      </c>
      <c r="H3404">
        <v>5</v>
      </c>
      <c r="J3404">
        <v>4</v>
      </c>
    </row>
    <row r="3405" spans="1:18" x14ac:dyDescent="0.3">
      <c r="A3405" t="s">
        <v>262</v>
      </c>
      <c r="B3405">
        <v>2</v>
      </c>
      <c r="C3405">
        <v>2</v>
      </c>
      <c r="D3405">
        <v>2</v>
      </c>
      <c r="F3405">
        <v>2</v>
      </c>
      <c r="G3405">
        <v>2</v>
      </c>
      <c r="H3405">
        <v>2</v>
      </c>
      <c r="J3405">
        <v>2</v>
      </c>
    </row>
    <row r="3406" spans="1:18" x14ac:dyDescent="0.3">
      <c r="A3406" t="s">
        <v>263</v>
      </c>
      <c r="B3406">
        <v>2</v>
      </c>
      <c r="C3406">
        <v>0</v>
      </c>
      <c r="D3406">
        <v>3</v>
      </c>
      <c r="F3406">
        <v>0</v>
      </c>
      <c r="G3406">
        <v>0</v>
      </c>
      <c r="H3406">
        <v>3</v>
      </c>
      <c r="J3406">
        <v>0</v>
      </c>
    </row>
    <row r="3407" spans="1:18" x14ac:dyDescent="0.3">
      <c r="A3407" t="s">
        <v>264</v>
      </c>
      <c r="B3407">
        <v>2</v>
      </c>
    </row>
    <row r="3408" spans="1:18" x14ac:dyDescent="0.3">
      <c r="A3408" t="s">
        <v>265</v>
      </c>
      <c r="B3408">
        <v>2</v>
      </c>
    </row>
    <row r="3409" spans="1:18" x14ac:dyDescent="0.3">
      <c r="A3409" t="s">
        <v>266</v>
      </c>
      <c r="B3409">
        <v>2</v>
      </c>
    </row>
    <row r="3410" spans="1:18" x14ac:dyDescent="0.3">
      <c r="A3410" t="s">
        <v>267</v>
      </c>
      <c r="B3410">
        <v>2</v>
      </c>
      <c r="C3410">
        <v>15</v>
      </c>
      <c r="D3410">
        <v>22</v>
      </c>
      <c r="F3410">
        <v>16</v>
      </c>
      <c r="G3410">
        <v>15</v>
      </c>
      <c r="H3410">
        <v>22</v>
      </c>
      <c r="J3410">
        <v>16</v>
      </c>
    </row>
    <row r="3411" spans="1:18" x14ac:dyDescent="0.3">
      <c r="A3411" t="s">
        <v>268</v>
      </c>
      <c r="B3411">
        <v>2</v>
      </c>
      <c r="C3411">
        <v>0</v>
      </c>
      <c r="D3411">
        <v>1</v>
      </c>
      <c r="F3411">
        <v>1</v>
      </c>
      <c r="G3411">
        <v>0</v>
      </c>
      <c r="H3411">
        <v>1</v>
      </c>
      <c r="J3411">
        <v>1</v>
      </c>
    </row>
    <row r="3412" spans="1:18" x14ac:dyDescent="0.3">
      <c r="A3412" t="s">
        <v>269</v>
      </c>
      <c r="B3412">
        <v>2</v>
      </c>
      <c r="C3412">
        <v>1</v>
      </c>
      <c r="D3412">
        <v>1</v>
      </c>
      <c r="F3412">
        <v>1</v>
      </c>
      <c r="G3412">
        <v>1</v>
      </c>
      <c r="H3412">
        <v>1</v>
      </c>
      <c r="J3412">
        <v>1</v>
      </c>
    </row>
    <row r="3413" spans="1:18" x14ac:dyDescent="0.3">
      <c r="A3413" t="s">
        <v>270</v>
      </c>
      <c r="B3413">
        <v>2</v>
      </c>
      <c r="C3413">
        <v>40</v>
      </c>
      <c r="D3413">
        <v>55</v>
      </c>
      <c r="F3413">
        <v>10</v>
      </c>
      <c r="G3413">
        <v>40</v>
      </c>
      <c r="H3413">
        <v>55</v>
      </c>
      <c r="J3413">
        <v>10</v>
      </c>
    </row>
    <row r="3414" spans="1:18" x14ac:dyDescent="0.3">
      <c r="A3414" t="s">
        <v>271</v>
      </c>
      <c r="B3414">
        <v>2</v>
      </c>
      <c r="C3414">
        <v>55</v>
      </c>
      <c r="D3414">
        <v>10</v>
      </c>
      <c r="F3414">
        <v>40</v>
      </c>
      <c r="G3414">
        <v>55</v>
      </c>
      <c r="H3414">
        <v>10</v>
      </c>
      <c r="J3414">
        <v>40</v>
      </c>
    </row>
    <row r="3415" spans="1:18" x14ac:dyDescent="0.3">
      <c r="A3415" t="s">
        <v>272</v>
      </c>
      <c r="B3415">
        <v>2</v>
      </c>
      <c r="C3415">
        <v>49</v>
      </c>
      <c r="D3415">
        <v>3</v>
      </c>
      <c r="F3415">
        <v>34</v>
      </c>
      <c r="G3415">
        <v>49</v>
      </c>
      <c r="H3415">
        <v>3</v>
      </c>
      <c r="J3415">
        <v>34</v>
      </c>
    </row>
    <row r="3416" spans="1:18" x14ac:dyDescent="0.3">
      <c r="A3416" t="s">
        <v>273</v>
      </c>
      <c r="B3416">
        <v>2</v>
      </c>
      <c r="C3416">
        <v>49</v>
      </c>
      <c r="D3416">
        <v>3</v>
      </c>
      <c r="F3416">
        <v>34</v>
      </c>
      <c r="G3416">
        <v>49</v>
      </c>
      <c r="H3416">
        <v>3</v>
      </c>
      <c r="J3416">
        <v>34</v>
      </c>
    </row>
    <row r="3417" spans="1:18" x14ac:dyDescent="0.3">
      <c r="A3417" t="s">
        <v>274</v>
      </c>
      <c r="B3417">
        <v>2</v>
      </c>
      <c r="C3417">
        <v>105</v>
      </c>
      <c r="D3417">
        <v>0</v>
      </c>
      <c r="F3417">
        <v>75</v>
      </c>
      <c r="G3417">
        <v>105</v>
      </c>
      <c r="H3417">
        <v>0</v>
      </c>
      <c r="J3417">
        <v>75</v>
      </c>
    </row>
    <row r="3418" spans="1:18" x14ac:dyDescent="0.3">
      <c r="A3418" t="s">
        <v>275</v>
      </c>
      <c r="B3418">
        <v>2</v>
      </c>
      <c r="C3418">
        <v>114</v>
      </c>
      <c r="D3418">
        <v>68</v>
      </c>
      <c r="F3418">
        <v>99</v>
      </c>
      <c r="G3418">
        <v>114</v>
      </c>
      <c r="H3418">
        <v>68</v>
      </c>
      <c r="J3418">
        <v>99</v>
      </c>
    </row>
    <row r="3419" spans="1:18" x14ac:dyDescent="0.3">
      <c r="A3419" t="s">
        <v>276</v>
      </c>
      <c r="B3419">
        <v>2</v>
      </c>
      <c r="C3419">
        <v>114</v>
      </c>
      <c r="D3419">
        <v>68</v>
      </c>
      <c r="F3419">
        <v>99</v>
      </c>
      <c r="G3419">
        <v>114</v>
      </c>
      <c r="H3419">
        <v>68</v>
      </c>
      <c r="J3419">
        <v>99</v>
      </c>
    </row>
    <row r="3420" spans="1:18" x14ac:dyDescent="0.3">
      <c r="A3420" t="s">
        <v>681</v>
      </c>
      <c r="B3420">
        <v>2</v>
      </c>
      <c r="C3420">
        <v>3.2</v>
      </c>
      <c r="D3420">
        <v>82.9</v>
      </c>
      <c r="F3420">
        <v>14.9</v>
      </c>
      <c r="G3420">
        <v>6.4</v>
      </c>
      <c r="H3420">
        <v>79.7</v>
      </c>
      <c r="J3420">
        <v>14.9</v>
      </c>
    </row>
    <row r="3421" spans="1:18" x14ac:dyDescent="0.3">
      <c r="A3421" t="s">
        <v>254</v>
      </c>
      <c r="B3421">
        <v>3</v>
      </c>
      <c r="C3421">
        <v>111</v>
      </c>
      <c r="D3421">
        <v>112</v>
      </c>
      <c r="E3421">
        <v>211</v>
      </c>
      <c r="F3421">
        <v>212</v>
      </c>
      <c r="G3421">
        <v>121</v>
      </c>
      <c r="H3421">
        <v>122</v>
      </c>
      <c r="I3421">
        <v>221</v>
      </c>
      <c r="J3421">
        <v>222</v>
      </c>
      <c r="K3421">
        <v>311</v>
      </c>
      <c r="L3421">
        <v>312</v>
      </c>
      <c r="M3421">
        <v>411</v>
      </c>
      <c r="N3421">
        <v>412</v>
      </c>
      <c r="O3421">
        <v>321</v>
      </c>
      <c r="P3421">
        <v>322</v>
      </c>
      <c r="Q3421">
        <v>421</v>
      </c>
      <c r="R3421">
        <v>422</v>
      </c>
    </row>
    <row r="3422" spans="1:18" x14ac:dyDescent="0.3">
      <c r="A3422" t="s">
        <v>255</v>
      </c>
      <c r="B3422">
        <v>3</v>
      </c>
      <c r="C3422">
        <v>6</v>
      </c>
      <c r="D3422">
        <v>12</v>
      </c>
      <c r="F3422">
        <v>8</v>
      </c>
      <c r="G3422">
        <v>6</v>
      </c>
      <c r="H3422">
        <v>12</v>
      </c>
      <c r="J3422">
        <v>8</v>
      </c>
    </row>
    <row r="3423" spans="1:18" x14ac:dyDescent="0.3">
      <c r="A3423" t="s">
        <v>256</v>
      </c>
      <c r="B3423">
        <v>3</v>
      </c>
      <c r="C3423">
        <v>13.6</v>
      </c>
      <c r="D3423">
        <v>53.6</v>
      </c>
      <c r="F3423">
        <v>34</v>
      </c>
      <c r="G3423">
        <v>13.6</v>
      </c>
      <c r="H3423">
        <v>53.6</v>
      </c>
      <c r="J3423">
        <v>34</v>
      </c>
    </row>
    <row r="3424" spans="1:18" x14ac:dyDescent="0.3">
      <c r="A3424" t="s">
        <v>257</v>
      </c>
      <c r="B3424">
        <v>3</v>
      </c>
      <c r="C3424">
        <v>3</v>
      </c>
      <c r="D3424">
        <v>6</v>
      </c>
      <c r="F3424">
        <v>3</v>
      </c>
      <c r="G3424">
        <v>3</v>
      </c>
      <c r="H3424">
        <v>6</v>
      </c>
      <c r="J3424">
        <v>3</v>
      </c>
    </row>
    <row r="3425" spans="1:10" x14ac:dyDescent="0.3">
      <c r="A3425" t="s">
        <v>258</v>
      </c>
      <c r="B3425">
        <v>3</v>
      </c>
      <c r="C3425">
        <v>0</v>
      </c>
      <c r="D3425">
        <v>0</v>
      </c>
      <c r="F3425">
        <v>0</v>
      </c>
      <c r="G3425">
        <v>0</v>
      </c>
      <c r="H3425">
        <v>0</v>
      </c>
      <c r="J3425">
        <v>0</v>
      </c>
    </row>
    <row r="3426" spans="1:10" x14ac:dyDescent="0.3">
      <c r="A3426" t="s">
        <v>259</v>
      </c>
      <c r="B3426">
        <v>3</v>
      </c>
      <c r="C3426">
        <v>0</v>
      </c>
      <c r="D3426">
        <v>0</v>
      </c>
      <c r="F3426">
        <v>0</v>
      </c>
      <c r="G3426">
        <v>0</v>
      </c>
      <c r="H3426">
        <v>0</v>
      </c>
      <c r="J3426">
        <v>0</v>
      </c>
    </row>
    <row r="3427" spans="1:10" x14ac:dyDescent="0.3">
      <c r="A3427" t="s">
        <v>260</v>
      </c>
      <c r="B3427">
        <v>3</v>
      </c>
      <c r="C3427">
        <v>3</v>
      </c>
      <c r="D3427">
        <v>3</v>
      </c>
      <c r="F3427">
        <v>3</v>
      </c>
      <c r="G3427">
        <v>3</v>
      </c>
      <c r="H3427">
        <v>3</v>
      </c>
      <c r="J3427">
        <v>3</v>
      </c>
    </row>
    <row r="3428" spans="1:10" x14ac:dyDescent="0.3">
      <c r="A3428" t="s">
        <v>261</v>
      </c>
      <c r="B3428">
        <v>3</v>
      </c>
      <c r="C3428">
        <v>4.4000000000000004</v>
      </c>
      <c r="D3428">
        <v>4.4000000000000004</v>
      </c>
      <c r="F3428">
        <v>4</v>
      </c>
      <c r="G3428">
        <v>4.4000000000000004</v>
      </c>
      <c r="H3428">
        <v>4.4000000000000004</v>
      </c>
      <c r="J3428">
        <v>4</v>
      </c>
    </row>
    <row r="3429" spans="1:10" x14ac:dyDescent="0.3">
      <c r="A3429" t="s">
        <v>262</v>
      </c>
      <c r="B3429">
        <v>3</v>
      </c>
      <c r="C3429">
        <v>2</v>
      </c>
      <c r="D3429">
        <v>2</v>
      </c>
      <c r="F3429">
        <v>2</v>
      </c>
      <c r="G3429">
        <v>2</v>
      </c>
      <c r="H3429">
        <v>2</v>
      </c>
      <c r="J3429">
        <v>2</v>
      </c>
    </row>
    <row r="3430" spans="1:10" x14ac:dyDescent="0.3">
      <c r="A3430" t="s">
        <v>263</v>
      </c>
      <c r="B3430">
        <v>3</v>
      </c>
      <c r="C3430">
        <v>0</v>
      </c>
      <c r="D3430">
        <v>3</v>
      </c>
      <c r="F3430">
        <v>0</v>
      </c>
      <c r="G3430">
        <v>0</v>
      </c>
      <c r="H3430">
        <v>3</v>
      </c>
      <c r="J3430">
        <v>0</v>
      </c>
    </row>
    <row r="3431" spans="1:10" x14ac:dyDescent="0.3">
      <c r="A3431" t="s">
        <v>264</v>
      </c>
      <c r="B3431">
        <v>3</v>
      </c>
    </row>
    <row r="3432" spans="1:10" x14ac:dyDescent="0.3">
      <c r="A3432" t="s">
        <v>265</v>
      </c>
      <c r="B3432">
        <v>3</v>
      </c>
    </row>
    <row r="3433" spans="1:10" x14ac:dyDescent="0.3">
      <c r="A3433" t="s">
        <v>266</v>
      </c>
      <c r="B3433">
        <v>3</v>
      </c>
    </row>
    <row r="3434" spans="1:10" x14ac:dyDescent="0.3">
      <c r="A3434" t="s">
        <v>267</v>
      </c>
      <c r="B3434">
        <v>3</v>
      </c>
      <c r="C3434">
        <v>13</v>
      </c>
      <c r="D3434">
        <v>20</v>
      </c>
      <c r="F3434">
        <v>14</v>
      </c>
      <c r="G3434">
        <v>13</v>
      </c>
      <c r="H3434">
        <v>20</v>
      </c>
      <c r="J3434">
        <v>14</v>
      </c>
    </row>
    <row r="3435" spans="1:10" x14ac:dyDescent="0.3">
      <c r="A3435" t="s">
        <v>268</v>
      </c>
      <c r="B3435">
        <v>3</v>
      </c>
      <c r="C3435">
        <v>0</v>
      </c>
      <c r="D3435">
        <v>1</v>
      </c>
      <c r="F3435">
        <v>1</v>
      </c>
      <c r="G3435">
        <v>0</v>
      </c>
      <c r="H3435">
        <v>1</v>
      </c>
      <c r="J3435">
        <v>1</v>
      </c>
    </row>
    <row r="3436" spans="1:10" x14ac:dyDescent="0.3">
      <c r="A3436" t="s">
        <v>269</v>
      </c>
      <c r="B3436">
        <v>3</v>
      </c>
      <c r="C3436">
        <v>1</v>
      </c>
      <c r="D3436">
        <v>1</v>
      </c>
      <c r="F3436">
        <v>1</v>
      </c>
      <c r="G3436">
        <v>1</v>
      </c>
      <c r="H3436">
        <v>1</v>
      </c>
      <c r="J3436">
        <v>1</v>
      </c>
    </row>
    <row r="3437" spans="1:10" x14ac:dyDescent="0.3">
      <c r="A3437" t="s">
        <v>270</v>
      </c>
      <c r="B3437">
        <v>3</v>
      </c>
      <c r="C3437">
        <v>80</v>
      </c>
      <c r="D3437">
        <v>100</v>
      </c>
      <c r="F3437">
        <v>40</v>
      </c>
      <c r="G3437">
        <v>80</v>
      </c>
      <c r="H3437">
        <v>100</v>
      </c>
      <c r="J3437">
        <v>40</v>
      </c>
    </row>
    <row r="3438" spans="1:10" x14ac:dyDescent="0.3">
      <c r="A3438" t="s">
        <v>271</v>
      </c>
      <c r="B3438">
        <v>3</v>
      </c>
      <c r="C3438">
        <v>100</v>
      </c>
      <c r="D3438">
        <v>40</v>
      </c>
      <c r="F3438">
        <v>80</v>
      </c>
      <c r="G3438">
        <v>100</v>
      </c>
      <c r="H3438">
        <v>40</v>
      </c>
      <c r="J3438">
        <v>80</v>
      </c>
    </row>
    <row r="3439" spans="1:10" x14ac:dyDescent="0.3">
      <c r="A3439" t="s">
        <v>272</v>
      </c>
      <c r="B3439">
        <v>3</v>
      </c>
      <c r="C3439">
        <v>93.6</v>
      </c>
      <c r="D3439">
        <v>33.6</v>
      </c>
      <c r="F3439">
        <v>74</v>
      </c>
      <c r="G3439">
        <v>93.6</v>
      </c>
      <c r="H3439">
        <v>33.6</v>
      </c>
      <c r="J3439">
        <v>74</v>
      </c>
    </row>
    <row r="3440" spans="1:10" x14ac:dyDescent="0.3">
      <c r="A3440" t="s">
        <v>273</v>
      </c>
      <c r="B3440">
        <v>3</v>
      </c>
      <c r="C3440">
        <v>93.6</v>
      </c>
      <c r="D3440">
        <v>33.6</v>
      </c>
      <c r="F3440">
        <v>74</v>
      </c>
      <c r="G3440">
        <v>93.6</v>
      </c>
      <c r="H3440">
        <v>33.6</v>
      </c>
      <c r="J3440">
        <v>74</v>
      </c>
    </row>
    <row r="3441" spans="1:18" x14ac:dyDescent="0.3">
      <c r="A3441" t="s">
        <v>274</v>
      </c>
      <c r="B3441">
        <v>3</v>
      </c>
      <c r="C3441">
        <v>100</v>
      </c>
      <c r="D3441">
        <v>0</v>
      </c>
      <c r="F3441">
        <v>60</v>
      </c>
      <c r="G3441">
        <v>100</v>
      </c>
      <c r="H3441">
        <v>0</v>
      </c>
      <c r="J3441">
        <v>60</v>
      </c>
    </row>
    <row r="3442" spans="1:18" x14ac:dyDescent="0.3">
      <c r="A3442" t="s">
        <v>275</v>
      </c>
      <c r="B3442">
        <v>3</v>
      </c>
      <c r="C3442">
        <v>113.6</v>
      </c>
      <c r="D3442">
        <v>53.6</v>
      </c>
      <c r="F3442">
        <v>94</v>
      </c>
      <c r="G3442">
        <v>113.6</v>
      </c>
      <c r="H3442">
        <v>53.6</v>
      </c>
      <c r="J3442">
        <v>94</v>
      </c>
    </row>
    <row r="3443" spans="1:18" x14ac:dyDescent="0.3">
      <c r="A3443" t="s">
        <v>276</v>
      </c>
      <c r="B3443">
        <v>3</v>
      </c>
      <c r="C3443">
        <v>113.6</v>
      </c>
      <c r="D3443">
        <v>53.6</v>
      </c>
      <c r="F3443">
        <v>94</v>
      </c>
      <c r="G3443">
        <v>113.6</v>
      </c>
      <c r="H3443">
        <v>53.6</v>
      </c>
      <c r="J3443">
        <v>94</v>
      </c>
    </row>
    <row r="3444" spans="1:18" x14ac:dyDescent="0.3">
      <c r="A3444" t="s">
        <v>681</v>
      </c>
      <c r="B3444">
        <v>3</v>
      </c>
      <c r="C3444">
        <v>4</v>
      </c>
      <c r="D3444">
        <v>77.7</v>
      </c>
      <c r="F3444">
        <v>19.5</v>
      </c>
      <c r="G3444">
        <v>8.3000000000000007</v>
      </c>
      <c r="H3444">
        <v>73.400000000000006</v>
      </c>
      <c r="J3444">
        <v>19.5</v>
      </c>
    </row>
    <row r="3445" spans="1:18" x14ac:dyDescent="0.3">
      <c r="A3445" t="s">
        <v>254</v>
      </c>
      <c r="B3445">
        <v>4</v>
      </c>
      <c r="C3445">
        <v>111</v>
      </c>
      <c r="D3445">
        <v>112</v>
      </c>
      <c r="E3445">
        <v>211</v>
      </c>
      <c r="F3445">
        <v>212</v>
      </c>
      <c r="G3445">
        <v>122</v>
      </c>
      <c r="H3445">
        <v>121</v>
      </c>
      <c r="I3445">
        <v>213</v>
      </c>
      <c r="J3445">
        <v>214</v>
      </c>
      <c r="K3445">
        <v>311</v>
      </c>
      <c r="L3445">
        <v>312</v>
      </c>
      <c r="M3445">
        <v>411</v>
      </c>
      <c r="N3445">
        <v>412</v>
      </c>
      <c r="O3445">
        <v>321</v>
      </c>
      <c r="P3445">
        <v>322</v>
      </c>
      <c r="Q3445">
        <v>421</v>
      </c>
      <c r="R3445">
        <v>422</v>
      </c>
    </row>
    <row r="3446" spans="1:18" x14ac:dyDescent="0.3">
      <c r="A3446" t="s">
        <v>255</v>
      </c>
      <c r="B3446">
        <v>4</v>
      </c>
      <c r="D3446">
        <v>10</v>
      </c>
      <c r="F3446">
        <v>8</v>
      </c>
      <c r="G3446">
        <v>6</v>
      </c>
      <c r="H3446">
        <v>10</v>
      </c>
    </row>
    <row r="3447" spans="1:18" x14ac:dyDescent="0.3">
      <c r="A3447" t="s">
        <v>256</v>
      </c>
      <c r="B3447">
        <v>4</v>
      </c>
      <c r="D3447">
        <v>74.400000000000006</v>
      </c>
      <c r="F3447">
        <v>33.9</v>
      </c>
      <c r="G3447">
        <v>10.4</v>
      </c>
      <c r="H3447">
        <v>58.4</v>
      </c>
    </row>
    <row r="3448" spans="1:18" x14ac:dyDescent="0.3">
      <c r="A3448" t="s">
        <v>257</v>
      </c>
      <c r="B3448">
        <v>4</v>
      </c>
      <c r="D3448">
        <v>6</v>
      </c>
      <c r="F3448">
        <v>3</v>
      </c>
      <c r="G3448">
        <v>3</v>
      </c>
      <c r="H3448">
        <v>6</v>
      </c>
    </row>
    <row r="3449" spans="1:18" x14ac:dyDescent="0.3">
      <c r="A3449" t="s">
        <v>258</v>
      </c>
      <c r="B3449">
        <v>4</v>
      </c>
      <c r="D3449">
        <v>0</v>
      </c>
      <c r="F3449">
        <v>0</v>
      </c>
      <c r="G3449">
        <v>0</v>
      </c>
      <c r="H3449">
        <v>0</v>
      </c>
    </row>
    <row r="3450" spans="1:18" x14ac:dyDescent="0.3">
      <c r="A3450" t="s">
        <v>259</v>
      </c>
      <c r="B3450">
        <v>4</v>
      </c>
      <c r="D3450">
        <v>0</v>
      </c>
      <c r="F3450">
        <v>0</v>
      </c>
      <c r="G3450">
        <v>0</v>
      </c>
      <c r="H3450">
        <v>0</v>
      </c>
    </row>
    <row r="3451" spans="1:18" x14ac:dyDescent="0.3">
      <c r="A3451" t="s">
        <v>260</v>
      </c>
      <c r="B3451">
        <v>4</v>
      </c>
      <c r="D3451">
        <v>3</v>
      </c>
      <c r="F3451">
        <v>3</v>
      </c>
      <c r="G3451">
        <v>3</v>
      </c>
      <c r="H3451">
        <v>3</v>
      </c>
    </row>
    <row r="3452" spans="1:18" x14ac:dyDescent="0.3">
      <c r="A3452" t="s">
        <v>261</v>
      </c>
      <c r="B3452">
        <v>4</v>
      </c>
      <c r="D3452">
        <v>3.6</v>
      </c>
      <c r="F3452">
        <v>3.6</v>
      </c>
      <c r="G3452">
        <v>3.6</v>
      </c>
      <c r="H3452">
        <v>3.6</v>
      </c>
    </row>
    <row r="3453" spans="1:18" x14ac:dyDescent="0.3">
      <c r="A3453" t="s">
        <v>262</v>
      </c>
      <c r="B3453">
        <v>4</v>
      </c>
      <c r="D3453">
        <v>2</v>
      </c>
      <c r="F3453">
        <v>2.5</v>
      </c>
      <c r="G3453">
        <v>2</v>
      </c>
      <c r="H3453">
        <v>2</v>
      </c>
    </row>
    <row r="3454" spans="1:18" x14ac:dyDescent="0.3">
      <c r="A3454" t="s">
        <v>263</v>
      </c>
      <c r="B3454">
        <v>4</v>
      </c>
      <c r="D3454">
        <v>3</v>
      </c>
      <c r="F3454">
        <v>0</v>
      </c>
      <c r="G3454">
        <v>0</v>
      </c>
      <c r="H3454">
        <v>3</v>
      </c>
    </row>
    <row r="3455" spans="1:18" x14ac:dyDescent="0.3">
      <c r="A3455" t="s">
        <v>264</v>
      </c>
      <c r="B3455">
        <v>4</v>
      </c>
      <c r="D3455">
        <v>5</v>
      </c>
      <c r="F3455">
        <v>5</v>
      </c>
      <c r="H3455">
        <v>5</v>
      </c>
    </row>
    <row r="3456" spans="1:18" x14ac:dyDescent="0.3">
      <c r="A3456" t="s">
        <v>265</v>
      </c>
      <c r="B3456">
        <v>4</v>
      </c>
      <c r="D3456">
        <v>14</v>
      </c>
      <c r="F3456">
        <v>23</v>
      </c>
      <c r="H3456">
        <v>12</v>
      </c>
    </row>
    <row r="3457" spans="1:18" x14ac:dyDescent="0.3">
      <c r="A3457" t="s">
        <v>266</v>
      </c>
      <c r="B3457">
        <v>4</v>
      </c>
      <c r="D3457">
        <v>0</v>
      </c>
      <c r="F3457">
        <v>0</v>
      </c>
      <c r="H3457">
        <v>0</v>
      </c>
    </row>
    <row r="3458" spans="1:18" x14ac:dyDescent="0.3">
      <c r="A3458" t="s">
        <v>267</v>
      </c>
      <c r="B3458">
        <v>4</v>
      </c>
      <c r="D3458">
        <v>24.6</v>
      </c>
      <c r="F3458">
        <v>34.1</v>
      </c>
      <c r="G3458">
        <v>16</v>
      </c>
      <c r="H3458">
        <v>22.6</v>
      </c>
    </row>
    <row r="3459" spans="1:18" x14ac:dyDescent="0.3">
      <c r="A3459" t="s">
        <v>268</v>
      </c>
      <c r="B3459">
        <v>4</v>
      </c>
      <c r="D3459">
        <v>1</v>
      </c>
      <c r="F3459">
        <v>0</v>
      </c>
      <c r="G3459">
        <v>0</v>
      </c>
      <c r="H3459">
        <v>1</v>
      </c>
    </row>
    <row r="3460" spans="1:18" x14ac:dyDescent="0.3">
      <c r="A3460" t="s">
        <v>269</v>
      </c>
      <c r="B3460">
        <v>4</v>
      </c>
      <c r="D3460">
        <v>1</v>
      </c>
      <c r="F3460">
        <v>1</v>
      </c>
      <c r="G3460">
        <v>1</v>
      </c>
      <c r="H3460">
        <v>1</v>
      </c>
    </row>
    <row r="3461" spans="1:18" x14ac:dyDescent="0.3">
      <c r="A3461" t="s">
        <v>270</v>
      </c>
      <c r="B3461">
        <v>4</v>
      </c>
      <c r="D3461">
        <v>25</v>
      </c>
      <c r="F3461">
        <v>105</v>
      </c>
      <c r="G3461">
        <v>89</v>
      </c>
      <c r="H3461">
        <v>25</v>
      </c>
    </row>
    <row r="3462" spans="1:18" x14ac:dyDescent="0.3">
      <c r="A3462" t="s">
        <v>271</v>
      </c>
      <c r="B3462">
        <v>4</v>
      </c>
      <c r="D3462">
        <v>105</v>
      </c>
      <c r="F3462">
        <v>25</v>
      </c>
      <c r="G3462">
        <v>105</v>
      </c>
      <c r="H3462">
        <v>89</v>
      </c>
    </row>
    <row r="3463" spans="1:18" x14ac:dyDescent="0.3">
      <c r="A3463" t="s">
        <v>272</v>
      </c>
      <c r="B3463">
        <v>4</v>
      </c>
      <c r="D3463">
        <v>99.4</v>
      </c>
      <c r="F3463">
        <v>18.899999999999999</v>
      </c>
      <c r="G3463">
        <v>99.4</v>
      </c>
      <c r="H3463">
        <v>83.4</v>
      </c>
    </row>
    <row r="3464" spans="1:18" x14ac:dyDescent="0.3">
      <c r="A3464" t="s">
        <v>273</v>
      </c>
      <c r="B3464">
        <v>4</v>
      </c>
      <c r="D3464">
        <v>85.4</v>
      </c>
      <c r="F3464">
        <v>18.899999999999999</v>
      </c>
      <c r="G3464">
        <v>99.4</v>
      </c>
      <c r="H3464">
        <v>71.400000000000006</v>
      </c>
    </row>
    <row r="3465" spans="1:18" x14ac:dyDescent="0.3">
      <c r="A3465" t="s">
        <v>274</v>
      </c>
      <c r="B3465">
        <v>4</v>
      </c>
      <c r="D3465">
        <v>0</v>
      </c>
      <c r="F3465">
        <v>80</v>
      </c>
      <c r="G3465">
        <v>64</v>
      </c>
      <c r="H3465">
        <v>0</v>
      </c>
    </row>
    <row r="3466" spans="1:18" x14ac:dyDescent="0.3">
      <c r="A3466" t="s">
        <v>275</v>
      </c>
      <c r="B3466">
        <v>4</v>
      </c>
      <c r="D3466">
        <v>74.400000000000006</v>
      </c>
      <c r="F3466">
        <v>113.9</v>
      </c>
      <c r="G3466">
        <v>74.400000000000006</v>
      </c>
      <c r="H3466">
        <v>58.4</v>
      </c>
    </row>
    <row r="3467" spans="1:18" x14ac:dyDescent="0.3">
      <c r="A3467" t="s">
        <v>276</v>
      </c>
      <c r="B3467">
        <v>4</v>
      </c>
      <c r="D3467">
        <v>60.4</v>
      </c>
      <c r="F3467">
        <v>113.9</v>
      </c>
      <c r="G3467">
        <v>74.400000000000006</v>
      </c>
      <c r="H3467">
        <v>46.4</v>
      </c>
    </row>
    <row r="3468" spans="1:18" x14ac:dyDescent="0.3">
      <c r="A3468" t="s">
        <v>681</v>
      </c>
      <c r="B3468">
        <v>4</v>
      </c>
      <c r="D3468">
        <v>78.099999999999994</v>
      </c>
      <c r="F3468">
        <v>30.2</v>
      </c>
      <c r="G3468">
        <v>10.4</v>
      </c>
      <c r="H3468">
        <v>62.1</v>
      </c>
    </row>
    <row r="3469" spans="1:18" x14ac:dyDescent="0.3">
      <c r="A3469" t="s">
        <v>254</v>
      </c>
      <c r="B3469">
        <v>5</v>
      </c>
      <c r="C3469">
        <v>112</v>
      </c>
      <c r="D3469">
        <v>111</v>
      </c>
      <c r="E3469">
        <v>211</v>
      </c>
      <c r="F3469">
        <v>212</v>
      </c>
      <c r="G3469">
        <v>121</v>
      </c>
      <c r="H3469">
        <v>122</v>
      </c>
      <c r="I3469">
        <v>221</v>
      </c>
      <c r="J3469">
        <v>222</v>
      </c>
      <c r="K3469">
        <v>311</v>
      </c>
      <c r="L3469">
        <v>312</v>
      </c>
      <c r="M3469">
        <v>411</v>
      </c>
      <c r="N3469">
        <v>412</v>
      </c>
      <c r="O3469">
        <v>321</v>
      </c>
      <c r="P3469">
        <v>322</v>
      </c>
      <c r="Q3469">
        <v>421</v>
      </c>
      <c r="R3469">
        <v>422</v>
      </c>
    </row>
    <row r="3470" spans="1:18" x14ac:dyDescent="0.3">
      <c r="A3470" t="s">
        <v>255</v>
      </c>
      <c r="B3470">
        <v>5</v>
      </c>
      <c r="C3470">
        <v>6</v>
      </c>
      <c r="D3470">
        <v>10</v>
      </c>
      <c r="F3470">
        <v>8</v>
      </c>
      <c r="H3470">
        <v>10</v>
      </c>
    </row>
    <row r="3471" spans="1:18" x14ac:dyDescent="0.3">
      <c r="A3471" t="s">
        <v>256</v>
      </c>
      <c r="B3471">
        <v>5</v>
      </c>
      <c r="C3471">
        <v>14</v>
      </c>
      <c r="D3471">
        <v>52</v>
      </c>
      <c r="F3471">
        <v>36</v>
      </c>
      <c r="H3471">
        <v>72</v>
      </c>
    </row>
    <row r="3472" spans="1:18" x14ac:dyDescent="0.3">
      <c r="A3472" t="s">
        <v>257</v>
      </c>
      <c r="B3472">
        <v>5</v>
      </c>
      <c r="C3472">
        <v>3</v>
      </c>
      <c r="D3472">
        <v>6</v>
      </c>
      <c r="F3472">
        <v>3</v>
      </c>
      <c r="H3472">
        <v>6</v>
      </c>
    </row>
    <row r="3473" spans="1:8" x14ac:dyDescent="0.3">
      <c r="A3473" t="s">
        <v>258</v>
      </c>
      <c r="B3473">
        <v>5</v>
      </c>
      <c r="C3473">
        <v>0</v>
      </c>
      <c r="D3473">
        <v>0</v>
      </c>
      <c r="F3473">
        <v>0</v>
      </c>
      <c r="H3473">
        <v>0</v>
      </c>
    </row>
    <row r="3474" spans="1:8" x14ac:dyDescent="0.3">
      <c r="A3474" t="s">
        <v>259</v>
      </c>
      <c r="B3474">
        <v>5</v>
      </c>
      <c r="C3474">
        <v>0</v>
      </c>
      <c r="D3474">
        <v>0</v>
      </c>
      <c r="F3474">
        <v>0</v>
      </c>
      <c r="H3474">
        <v>0</v>
      </c>
    </row>
    <row r="3475" spans="1:8" x14ac:dyDescent="0.3">
      <c r="A3475" t="s">
        <v>260</v>
      </c>
      <c r="B3475">
        <v>5</v>
      </c>
      <c r="C3475">
        <v>3</v>
      </c>
      <c r="D3475">
        <v>3</v>
      </c>
      <c r="F3475">
        <v>3</v>
      </c>
      <c r="H3475">
        <v>3</v>
      </c>
    </row>
    <row r="3476" spans="1:8" x14ac:dyDescent="0.3">
      <c r="A3476" t="s">
        <v>261</v>
      </c>
      <c r="B3476">
        <v>5</v>
      </c>
      <c r="C3476">
        <v>4</v>
      </c>
      <c r="D3476">
        <v>4</v>
      </c>
      <c r="F3476">
        <v>4</v>
      </c>
      <c r="H3476">
        <v>4</v>
      </c>
    </row>
    <row r="3477" spans="1:8" x14ac:dyDescent="0.3">
      <c r="A3477" t="s">
        <v>262</v>
      </c>
      <c r="B3477">
        <v>5</v>
      </c>
      <c r="C3477">
        <v>2</v>
      </c>
      <c r="D3477">
        <v>2</v>
      </c>
      <c r="F3477">
        <v>2</v>
      </c>
      <c r="H3477">
        <v>2</v>
      </c>
    </row>
    <row r="3478" spans="1:8" x14ac:dyDescent="0.3">
      <c r="A3478" t="s">
        <v>263</v>
      </c>
      <c r="B3478">
        <v>5</v>
      </c>
      <c r="C3478">
        <v>0</v>
      </c>
      <c r="D3478">
        <v>3</v>
      </c>
      <c r="F3478">
        <v>0</v>
      </c>
      <c r="H3478">
        <v>3</v>
      </c>
    </row>
    <row r="3479" spans="1:8" x14ac:dyDescent="0.3">
      <c r="A3479" t="s">
        <v>264</v>
      </c>
      <c r="B3479">
        <v>5</v>
      </c>
      <c r="D3479">
        <v>5</v>
      </c>
      <c r="F3479">
        <v>5</v>
      </c>
      <c r="H3479">
        <v>5</v>
      </c>
    </row>
    <row r="3480" spans="1:8" x14ac:dyDescent="0.3">
      <c r="A3480" t="s">
        <v>265</v>
      </c>
      <c r="B3480">
        <v>5</v>
      </c>
      <c r="D3480">
        <v>14</v>
      </c>
      <c r="F3480">
        <v>25</v>
      </c>
      <c r="H3480">
        <v>17</v>
      </c>
    </row>
    <row r="3481" spans="1:8" x14ac:dyDescent="0.3">
      <c r="A3481" t="s">
        <v>266</v>
      </c>
      <c r="B3481">
        <v>5</v>
      </c>
      <c r="D3481">
        <v>0</v>
      </c>
      <c r="F3481">
        <v>0</v>
      </c>
      <c r="H3481">
        <v>0</v>
      </c>
    </row>
    <row r="3482" spans="1:8" x14ac:dyDescent="0.3">
      <c r="A3482" t="s">
        <v>267</v>
      </c>
      <c r="B3482">
        <v>5</v>
      </c>
      <c r="C3482">
        <v>16</v>
      </c>
      <c r="D3482">
        <v>25</v>
      </c>
      <c r="F3482">
        <v>36</v>
      </c>
      <c r="H3482">
        <v>28</v>
      </c>
    </row>
    <row r="3483" spans="1:8" x14ac:dyDescent="0.3">
      <c r="A3483" t="s">
        <v>268</v>
      </c>
      <c r="B3483">
        <v>5</v>
      </c>
      <c r="C3483">
        <v>0</v>
      </c>
      <c r="D3483">
        <v>1</v>
      </c>
      <c r="F3483">
        <v>0</v>
      </c>
      <c r="H3483">
        <v>1</v>
      </c>
    </row>
    <row r="3484" spans="1:8" x14ac:dyDescent="0.3">
      <c r="A3484" t="s">
        <v>269</v>
      </c>
      <c r="B3484">
        <v>5</v>
      </c>
      <c r="C3484">
        <v>1</v>
      </c>
      <c r="D3484">
        <v>1</v>
      </c>
      <c r="F3484">
        <v>1</v>
      </c>
      <c r="H3484">
        <v>1</v>
      </c>
    </row>
    <row r="3485" spans="1:8" x14ac:dyDescent="0.3">
      <c r="A3485" t="s">
        <v>270</v>
      </c>
      <c r="B3485">
        <v>5</v>
      </c>
      <c r="C3485">
        <v>59</v>
      </c>
      <c r="D3485">
        <v>1</v>
      </c>
      <c r="F3485">
        <v>79</v>
      </c>
      <c r="H3485">
        <v>1</v>
      </c>
    </row>
    <row r="3486" spans="1:8" x14ac:dyDescent="0.3">
      <c r="A3486" t="s">
        <v>271</v>
      </c>
      <c r="B3486">
        <v>5</v>
      </c>
      <c r="C3486">
        <v>79</v>
      </c>
      <c r="D3486">
        <v>59</v>
      </c>
      <c r="F3486">
        <v>1</v>
      </c>
      <c r="H3486">
        <v>79</v>
      </c>
    </row>
    <row r="3487" spans="1:8" x14ac:dyDescent="0.3">
      <c r="A3487" t="s">
        <v>272</v>
      </c>
      <c r="B3487">
        <v>5</v>
      </c>
      <c r="C3487">
        <v>73</v>
      </c>
      <c r="D3487">
        <v>53</v>
      </c>
      <c r="F3487">
        <v>115</v>
      </c>
      <c r="H3487">
        <v>73</v>
      </c>
    </row>
    <row r="3488" spans="1:8" x14ac:dyDescent="0.3">
      <c r="A3488" t="s">
        <v>273</v>
      </c>
      <c r="B3488">
        <v>5</v>
      </c>
      <c r="C3488">
        <v>73</v>
      </c>
      <c r="D3488">
        <v>39</v>
      </c>
      <c r="F3488">
        <v>115</v>
      </c>
      <c r="H3488">
        <v>56</v>
      </c>
    </row>
    <row r="3489" spans="1:18" x14ac:dyDescent="0.3">
      <c r="A3489" t="s">
        <v>274</v>
      </c>
      <c r="B3489">
        <v>5</v>
      </c>
      <c r="C3489">
        <v>58</v>
      </c>
      <c r="D3489">
        <v>0</v>
      </c>
      <c r="F3489">
        <v>78</v>
      </c>
      <c r="H3489">
        <v>0</v>
      </c>
    </row>
    <row r="3490" spans="1:18" x14ac:dyDescent="0.3">
      <c r="A3490" t="s">
        <v>275</v>
      </c>
      <c r="B3490">
        <v>5</v>
      </c>
      <c r="C3490">
        <v>72</v>
      </c>
      <c r="D3490">
        <v>52</v>
      </c>
      <c r="F3490">
        <v>114</v>
      </c>
      <c r="H3490">
        <v>72</v>
      </c>
    </row>
    <row r="3491" spans="1:18" x14ac:dyDescent="0.3">
      <c r="A3491" t="s">
        <v>276</v>
      </c>
      <c r="B3491">
        <v>5</v>
      </c>
      <c r="C3491">
        <v>72</v>
      </c>
      <c r="D3491">
        <v>38</v>
      </c>
      <c r="F3491">
        <v>114</v>
      </c>
      <c r="H3491">
        <v>55</v>
      </c>
    </row>
    <row r="3492" spans="1:18" x14ac:dyDescent="0.3">
      <c r="A3492" t="s">
        <v>681</v>
      </c>
      <c r="B3492">
        <v>5</v>
      </c>
      <c r="C3492">
        <v>14</v>
      </c>
      <c r="D3492">
        <v>52</v>
      </c>
      <c r="F3492">
        <v>36</v>
      </c>
      <c r="H3492">
        <v>72</v>
      </c>
    </row>
    <row r="3493" spans="1:18" x14ac:dyDescent="0.3">
      <c r="A3493" t="s">
        <v>254</v>
      </c>
      <c r="B3493">
        <v>6</v>
      </c>
      <c r="C3493">
        <v>111</v>
      </c>
      <c r="D3493">
        <v>112</v>
      </c>
      <c r="E3493">
        <v>211</v>
      </c>
      <c r="F3493">
        <v>212</v>
      </c>
      <c r="G3493">
        <v>121</v>
      </c>
      <c r="H3493">
        <v>122</v>
      </c>
      <c r="I3493">
        <v>221</v>
      </c>
      <c r="J3493">
        <v>222</v>
      </c>
      <c r="K3493">
        <v>311</v>
      </c>
      <c r="L3493">
        <v>312</v>
      </c>
      <c r="M3493">
        <v>411</v>
      </c>
      <c r="N3493">
        <v>412</v>
      </c>
      <c r="O3493">
        <v>321</v>
      </c>
      <c r="P3493">
        <v>322</v>
      </c>
      <c r="Q3493">
        <v>421</v>
      </c>
      <c r="R3493">
        <v>422</v>
      </c>
    </row>
    <row r="3494" spans="1:18" x14ac:dyDescent="0.3">
      <c r="A3494" t="s">
        <v>255</v>
      </c>
      <c r="B3494">
        <v>6</v>
      </c>
      <c r="C3494">
        <v>6</v>
      </c>
      <c r="D3494">
        <v>10</v>
      </c>
      <c r="F3494">
        <v>8</v>
      </c>
      <c r="H3494">
        <v>10</v>
      </c>
    </row>
    <row r="3495" spans="1:18" x14ac:dyDescent="0.3">
      <c r="A3495" t="s">
        <v>256</v>
      </c>
      <c r="B3495">
        <v>6</v>
      </c>
      <c r="C3495">
        <v>13</v>
      </c>
      <c r="D3495">
        <v>51</v>
      </c>
      <c r="F3495">
        <v>39</v>
      </c>
      <c r="H3495">
        <v>69</v>
      </c>
    </row>
    <row r="3496" spans="1:18" x14ac:dyDescent="0.3">
      <c r="A3496" t="s">
        <v>257</v>
      </c>
      <c r="B3496">
        <v>6</v>
      </c>
      <c r="C3496">
        <v>3</v>
      </c>
      <c r="D3496">
        <v>6</v>
      </c>
      <c r="F3496">
        <v>3</v>
      </c>
      <c r="H3496">
        <v>6</v>
      </c>
    </row>
    <row r="3497" spans="1:18" x14ac:dyDescent="0.3">
      <c r="A3497" t="s">
        <v>258</v>
      </c>
      <c r="B3497">
        <v>6</v>
      </c>
      <c r="C3497">
        <v>0</v>
      </c>
      <c r="D3497">
        <v>0</v>
      </c>
      <c r="F3497">
        <v>0</v>
      </c>
      <c r="H3497">
        <v>0</v>
      </c>
    </row>
    <row r="3498" spans="1:18" x14ac:dyDescent="0.3">
      <c r="A3498" t="s">
        <v>259</v>
      </c>
      <c r="B3498">
        <v>6</v>
      </c>
      <c r="C3498">
        <v>0</v>
      </c>
      <c r="D3498">
        <v>0</v>
      </c>
      <c r="F3498">
        <v>0</v>
      </c>
      <c r="H3498">
        <v>0</v>
      </c>
    </row>
    <row r="3499" spans="1:18" x14ac:dyDescent="0.3">
      <c r="A3499" t="s">
        <v>260</v>
      </c>
      <c r="B3499">
        <v>6</v>
      </c>
      <c r="C3499">
        <v>3</v>
      </c>
      <c r="D3499">
        <v>3</v>
      </c>
      <c r="F3499">
        <v>3</v>
      </c>
      <c r="H3499">
        <v>3</v>
      </c>
    </row>
    <row r="3500" spans="1:18" x14ac:dyDescent="0.3">
      <c r="A3500" t="s">
        <v>261</v>
      </c>
      <c r="B3500">
        <v>6</v>
      </c>
      <c r="C3500">
        <v>3</v>
      </c>
      <c r="D3500">
        <v>5</v>
      </c>
      <c r="F3500">
        <v>3</v>
      </c>
      <c r="H3500">
        <v>5</v>
      </c>
    </row>
    <row r="3501" spans="1:18" x14ac:dyDescent="0.3">
      <c r="A3501" t="s">
        <v>262</v>
      </c>
      <c r="B3501">
        <v>6</v>
      </c>
      <c r="C3501">
        <v>2</v>
      </c>
      <c r="D3501">
        <v>2</v>
      </c>
      <c r="F3501">
        <v>2</v>
      </c>
      <c r="H3501">
        <v>2</v>
      </c>
    </row>
    <row r="3502" spans="1:18" x14ac:dyDescent="0.3">
      <c r="A3502" t="s">
        <v>263</v>
      </c>
      <c r="B3502">
        <v>6</v>
      </c>
      <c r="C3502">
        <v>0</v>
      </c>
      <c r="D3502">
        <v>3</v>
      </c>
      <c r="F3502">
        <v>0</v>
      </c>
      <c r="H3502">
        <v>3</v>
      </c>
    </row>
    <row r="3503" spans="1:18" x14ac:dyDescent="0.3">
      <c r="A3503" t="s">
        <v>264</v>
      </c>
      <c r="B3503">
        <v>6</v>
      </c>
      <c r="D3503">
        <v>5</v>
      </c>
      <c r="F3503">
        <v>5</v>
      </c>
      <c r="H3503">
        <v>5</v>
      </c>
    </row>
    <row r="3504" spans="1:18" x14ac:dyDescent="0.3">
      <c r="A3504" t="s">
        <v>265</v>
      </c>
      <c r="B3504">
        <v>6</v>
      </c>
      <c r="D3504">
        <v>13</v>
      </c>
      <c r="F3504">
        <v>18</v>
      </c>
      <c r="H3504">
        <v>13</v>
      </c>
    </row>
    <row r="3505" spans="1:18" x14ac:dyDescent="0.3">
      <c r="A3505" t="s">
        <v>266</v>
      </c>
      <c r="B3505">
        <v>6</v>
      </c>
      <c r="D3505">
        <v>0</v>
      </c>
      <c r="F3505">
        <v>0</v>
      </c>
      <c r="H3505">
        <v>0</v>
      </c>
    </row>
    <row r="3506" spans="1:18" x14ac:dyDescent="0.3">
      <c r="A3506" t="s">
        <v>267</v>
      </c>
      <c r="B3506">
        <v>6</v>
      </c>
      <c r="C3506">
        <v>16</v>
      </c>
      <c r="D3506">
        <v>25</v>
      </c>
      <c r="F3506">
        <v>28</v>
      </c>
      <c r="H3506">
        <v>25</v>
      </c>
    </row>
    <row r="3507" spans="1:18" x14ac:dyDescent="0.3">
      <c r="A3507" t="s">
        <v>268</v>
      </c>
      <c r="B3507">
        <v>6</v>
      </c>
      <c r="C3507">
        <v>0</v>
      </c>
      <c r="D3507">
        <v>1</v>
      </c>
      <c r="F3507">
        <v>1</v>
      </c>
      <c r="H3507">
        <v>1</v>
      </c>
    </row>
    <row r="3508" spans="1:18" x14ac:dyDescent="0.3">
      <c r="A3508" t="s">
        <v>269</v>
      </c>
      <c r="B3508">
        <v>6</v>
      </c>
      <c r="C3508">
        <v>1</v>
      </c>
      <c r="D3508">
        <v>1</v>
      </c>
      <c r="F3508">
        <v>1</v>
      </c>
      <c r="H3508">
        <v>1</v>
      </c>
    </row>
    <row r="3509" spans="1:18" x14ac:dyDescent="0.3">
      <c r="A3509" t="s">
        <v>270</v>
      </c>
      <c r="B3509">
        <v>6</v>
      </c>
      <c r="C3509">
        <v>15</v>
      </c>
      <c r="D3509">
        <v>33</v>
      </c>
      <c r="F3509">
        <v>91</v>
      </c>
      <c r="H3509">
        <v>15</v>
      </c>
    </row>
    <row r="3510" spans="1:18" x14ac:dyDescent="0.3">
      <c r="A3510" t="s">
        <v>271</v>
      </c>
      <c r="B3510">
        <v>6</v>
      </c>
      <c r="C3510">
        <v>33</v>
      </c>
      <c r="D3510">
        <v>91</v>
      </c>
      <c r="F3510">
        <v>15</v>
      </c>
      <c r="H3510">
        <v>91</v>
      </c>
    </row>
    <row r="3511" spans="1:18" x14ac:dyDescent="0.3">
      <c r="A3511" t="s">
        <v>272</v>
      </c>
      <c r="B3511">
        <v>6</v>
      </c>
      <c r="C3511">
        <v>28</v>
      </c>
      <c r="D3511">
        <v>84</v>
      </c>
      <c r="F3511">
        <v>10</v>
      </c>
      <c r="H3511">
        <v>84</v>
      </c>
    </row>
    <row r="3512" spans="1:18" x14ac:dyDescent="0.3">
      <c r="A3512" t="s">
        <v>273</v>
      </c>
      <c r="B3512">
        <v>6</v>
      </c>
      <c r="C3512">
        <v>28</v>
      </c>
      <c r="D3512">
        <v>71</v>
      </c>
      <c r="F3512">
        <v>10</v>
      </c>
      <c r="H3512">
        <v>71</v>
      </c>
    </row>
    <row r="3513" spans="1:18" x14ac:dyDescent="0.3">
      <c r="A3513" t="s">
        <v>274</v>
      </c>
      <c r="B3513">
        <v>6</v>
      </c>
      <c r="C3513">
        <v>0</v>
      </c>
      <c r="D3513">
        <v>18</v>
      </c>
      <c r="F3513">
        <v>76</v>
      </c>
      <c r="H3513">
        <v>0</v>
      </c>
    </row>
    <row r="3514" spans="1:18" x14ac:dyDescent="0.3">
      <c r="A3514" t="s">
        <v>275</v>
      </c>
      <c r="B3514">
        <v>6</v>
      </c>
      <c r="C3514">
        <v>13</v>
      </c>
      <c r="D3514">
        <v>69</v>
      </c>
      <c r="F3514">
        <v>115</v>
      </c>
      <c r="H3514">
        <v>69</v>
      </c>
    </row>
    <row r="3515" spans="1:18" x14ac:dyDescent="0.3">
      <c r="A3515" t="s">
        <v>276</v>
      </c>
      <c r="B3515">
        <v>6</v>
      </c>
      <c r="C3515">
        <v>13</v>
      </c>
      <c r="D3515">
        <v>56</v>
      </c>
      <c r="F3515">
        <v>115</v>
      </c>
      <c r="H3515">
        <v>56</v>
      </c>
    </row>
    <row r="3516" spans="1:18" x14ac:dyDescent="0.3">
      <c r="A3516" t="s">
        <v>681</v>
      </c>
      <c r="B3516">
        <v>6</v>
      </c>
      <c r="C3516">
        <v>9.1999999999999993</v>
      </c>
      <c r="D3516">
        <v>69.099999999999994</v>
      </c>
      <c r="F3516">
        <v>24.7</v>
      </c>
      <c r="H3516">
        <v>83.3</v>
      </c>
    </row>
    <row r="3517" spans="1:18" x14ac:dyDescent="0.3">
      <c r="A3517" t="s">
        <v>254</v>
      </c>
      <c r="B3517">
        <v>7</v>
      </c>
      <c r="C3517">
        <v>111</v>
      </c>
      <c r="D3517">
        <v>112</v>
      </c>
      <c r="E3517">
        <v>211</v>
      </c>
      <c r="F3517">
        <v>212</v>
      </c>
      <c r="G3517">
        <v>121</v>
      </c>
      <c r="H3517">
        <v>122</v>
      </c>
      <c r="I3517">
        <v>221</v>
      </c>
      <c r="J3517">
        <v>222</v>
      </c>
      <c r="K3517">
        <v>311</v>
      </c>
      <c r="L3517">
        <v>312</v>
      </c>
      <c r="M3517">
        <v>411</v>
      </c>
      <c r="N3517">
        <v>412</v>
      </c>
      <c r="O3517">
        <v>321</v>
      </c>
      <c r="P3517">
        <v>322</v>
      </c>
      <c r="Q3517">
        <v>421</v>
      </c>
      <c r="R3517">
        <v>422</v>
      </c>
    </row>
    <row r="3518" spans="1:18" x14ac:dyDescent="0.3">
      <c r="A3518" t="s">
        <v>255</v>
      </c>
      <c r="B3518">
        <v>7</v>
      </c>
      <c r="D3518">
        <v>10</v>
      </c>
      <c r="G3518">
        <v>6</v>
      </c>
      <c r="H3518">
        <v>10</v>
      </c>
      <c r="J3518">
        <v>8</v>
      </c>
    </row>
    <row r="3519" spans="1:18" x14ac:dyDescent="0.3">
      <c r="A3519" t="s">
        <v>256</v>
      </c>
      <c r="B3519">
        <v>7</v>
      </c>
      <c r="D3519">
        <v>75.5</v>
      </c>
      <c r="G3519">
        <v>14</v>
      </c>
      <c r="H3519">
        <v>56.5</v>
      </c>
      <c r="J3519">
        <v>33</v>
      </c>
    </row>
    <row r="3520" spans="1:18" x14ac:dyDescent="0.3">
      <c r="A3520" t="s">
        <v>257</v>
      </c>
      <c r="B3520">
        <v>7</v>
      </c>
      <c r="D3520">
        <v>6</v>
      </c>
      <c r="G3520">
        <v>3</v>
      </c>
      <c r="H3520">
        <v>6</v>
      </c>
      <c r="J3520">
        <v>3</v>
      </c>
    </row>
    <row r="3521" spans="1:10" x14ac:dyDescent="0.3">
      <c r="A3521" t="s">
        <v>258</v>
      </c>
      <c r="B3521">
        <v>7</v>
      </c>
      <c r="D3521">
        <v>0</v>
      </c>
      <c r="G3521">
        <v>0</v>
      </c>
      <c r="H3521">
        <v>0</v>
      </c>
      <c r="J3521">
        <v>0</v>
      </c>
    </row>
    <row r="3522" spans="1:10" x14ac:dyDescent="0.3">
      <c r="A3522" t="s">
        <v>259</v>
      </c>
      <c r="B3522">
        <v>7</v>
      </c>
      <c r="D3522">
        <v>0</v>
      </c>
      <c r="G3522">
        <v>0</v>
      </c>
      <c r="H3522">
        <v>0</v>
      </c>
      <c r="J3522">
        <v>0</v>
      </c>
    </row>
    <row r="3523" spans="1:10" x14ac:dyDescent="0.3">
      <c r="A3523" t="s">
        <v>260</v>
      </c>
      <c r="B3523">
        <v>7</v>
      </c>
      <c r="D3523">
        <v>3</v>
      </c>
      <c r="G3523">
        <v>3</v>
      </c>
      <c r="H3523">
        <v>3</v>
      </c>
      <c r="J3523">
        <v>3</v>
      </c>
    </row>
    <row r="3524" spans="1:10" x14ac:dyDescent="0.3">
      <c r="A3524" t="s">
        <v>261</v>
      </c>
      <c r="B3524">
        <v>7</v>
      </c>
      <c r="D3524">
        <v>3.5</v>
      </c>
      <c r="G3524">
        <v>3</v>
      </c>
      <c r="H3524">
        <v>3.5</v>
      </c>
      <c r="J3524">
        <v>4</v>
      </c>
    </row>
    <row r="3525" spans="1:10" x14ac:dyDescent="0.3">
      <c r="A3525" t="s">
        <v>262</v>
      </c>
      <c r="B3525">
        <v>7</v>
      </c>
      <c r="D3525">
        <v>2</v>
      </c>
      <c r="G3525">
        <v>2</v>
      </c>
      <c r="H3525">
        <v>2</v>
      </c>
      <c r="J3525">
        <v>2</v>
      </c>
    </row>
    <row r="3526" spans="1:10" x14ac:dyDescent="0.3">
      <c r="A3526" t="s">
        <v>263</v>
      </c>
      <c r="B3526">
        <v>7</v>
      </c>
      <c r="D3526">
        <v>3</v>
      </c>
      <c r="G3526">
        <v>0</v>
      </c>
      <c r="H3526">
        <v>3</v>
      </c>
      <c r="J3526">
        <v>0</v>
      </c>
    </row>
    <row r="3527" spans="1:10" x14ac:dyDescent="0.3">
      <c r="A3527" t="s">
        <v>264</v>
      </c>
      <c r="B3527">
        <v>7</v>
      </c>
      <c r="D3527">
        <v>5</v>
      </c>
      <c r="H3527">
        <v>5</v>
      </c>
      <c r="J3527">
        <v>5</v>
      </c>
    </row>
    <row r="3528" spans="1:10" x14ac:dyDescent="0.3">
      <c r="A3528" t="s">
        <v>265</v>
      </c>
      <c r="B3528">
        <v>7</v>
      </c>
      <c r="D3528">
        <v>15</v>
      </c>
      <c r="H3528">
        <v>15</v>
      </c>
      <c r="J3528">
        <v>24</v>
      </c>
    </row>
    <row r="3529" spans="1:10" x14ac:dyDescent="0.3">
      <c r="A3529" t="s">
        <v>266</v>
      </c>
      <c r="B3529">
        <v>7</v>
      </c>
      <c r="D3529">
        <v>0</v>
      </c>
      <c r="H3529">
        <v>0</v>
      </c>
      <c r="J3529">
        <v>0</v>
      </c>
    </row>
    <row r="3530" spans="1:10" x14ac:dyDescent="0.3">
      <c r="A3530" t="s">
        <v>267</v>
      </c>
      <c r="B3530">
        <v>7</v>
      </c>
      <c r="D3530">
        <v>25.5</v>
      </c>
      <c r="G3530">
        <v>16</v>
      </c>
      <c r="H3530">
        <v>25.5</v>
      </c>
      <c r="J3530">
        <v>35</v>
      </c>
    </row>
    <row r="3531" spans="1:10" x14ac:dyDescent="0.3">
      <c r="A3531" t="s">
        <v>268</v>
      </c>
      <c r="B3531">
        <v>7</v>
      </c>
      <c r="D3531">
        <v>1</v>
      </c>
      <c r="G3531">
        <v>0</v>
      </c>
      <c r="H3531">
        <v>1</v>
      </c>
      <c r="J3531">
        <v>1</v>
      </c>
    </row>
    <row r="3532" spans="1:10" x14ac:dyDescent="0.3">
      <c r="A3532" t="s">
        <v>269</v>
      </c>
      <c r="B3532">
        <v>7</v>
      </c>
      <c r="D3532">
        <v>1</v>
      </c>
      <c r="G3532">
        <v>1</v>
      </c>
      <c r="H3532">
        <v>1</v>
      </c>
      <c r="J3532">
        <v>1</v>
      </c>
    </row>
    <row r="3533" spans="1:10" x14ac:dyDescent="0.3">
      <c r="A3533" t="s">
        <v>270</v>
      </c>
      <c r="B3533">
        <v>7</v>
      </c>
      <c r="D3533">
        <v>1</v>
      </c>
      <c r="G3533">
        <v>1</v>
      </c>
      <c r="H3533">
        <v>20</v>
      </c>
      <c r="J3533">
        <v>82</v>
      </c>
    </row>
    <row r="3534" spans="1:10" x14ac:dyDescent="0.3">
      <c r="A3534" t="s">
        <v>271</v>
      </c>
      <c r="B3534">
        <v>7</v>
      </c>
      <c r="D3534">
        <v>82</v>
      </c>
      <c r="G3534">
        <v>20</v>
      </c>
      <c r="H3534">
        <v>82</v>
      </c>
      <c r="J3534">
        <v>1</v>
      </c>
    </row>
    <row r="3535" spans="1:10" x14ac:dyDescent="0.3">
      <c r="A3535" t="s">
        <v>272</v>
      </c>
      <c r="B3535">
        <v>7</v>
      </c>
      <c r="D3535">
        <v>76.5</v>
      </c>
      <c r="G3535">
        <v>15</v>
      </c>
      <c r="H3535">
        <v>76.5</v>
      </c>
      <c r="J3535">
        <v>115</v>
      </c>
    </row>
    <row r="3536" spans="1:10" x14ac:dyDescent="0.3">
      <c r="A3536" t="s">
        <v>273</v>
      </c>
      <c r="B3536">
        <v>7</v>
      </c>
      <c r="D3536">
        <v>61.5</v>
      </c>
      <c r="G3536">
        <v>15</v>
      </c>
      <c r="H3536">
        <v>61.5</v>
      </c>
      <c r="J3536">
        <v>115</v>
      </c>
    </row>
    <row r="3537" spans="1:18" x14ac:dyDescent="0.3">
      <c r="A3537" t="s">
        <v>274</v>
      </c>
      <c r="B3537">
        <v>7</v>
      </c>
      <c r="D3537">
        <v>0</v>
      </c>
      <c r="G3537">
        <v>0</v>
      </c>
      <c r="H3537">
        <v>19</v>
      </c>
      <c r="J3537">
        <v>81</v>
      </c>
    </row>
    <row r="3538" spans="1:18" x14ac:dyDescent="0.3">
      <c r="A3538" t="s">
        <v>275</v>
      </c>
      <c r="B3538">
        <v>7</v>
      </c>
      <c r="D3538">
        <v>75.5</v>
      </c>
      <c r="G3538">
        <v>14</v>
      </c>
      <c r="H3538">
        <v>75.5</v>
      </c>
      <c r="J3538">
        <v>114</v>
      </c>
    </row>
    <row r="3539" spans="1:18" x14ac:dyDescent="0.3">
      <c r="A3539" t="s">
        <v>276</v>
      </c>
      <c r="B3539">
        <v>7</v>
      </c>
      <c r="D3539">
        <v>60.5</v>
      </c>
      <c r="G3539">
        <v>14</v>
      </c>
      <c r="H3539">
        <v>60.5</v>
      </c>
      <c r="J3539">
        <v>114</v>
      </c>
    </row>
    <row r="3540" spans="1:18" x14ac:dyDescent="0.3">
      <c r="A3540" t="s">
        <v>681</v>
      </c>
      <c r="B3540">
        <v>7</v>
      </c>
      <c r="D3540">
        <v>75.5</v>
      </c>
      <c r="G3540">
        <v>8.4</v>
      </c>
      <c r="H3540">
        <v>62.1</v>
      </c>
      <c r="J3540">
        <v>33</v>
      </c>
    </row>
    <row r="3541" spans="1:18" x14ac:dyDescent="0.3">
      <c r="A3541" t="s">
        <v>254</v>
      </c>
      <c r="B3541">
        <v>9</v>
      </c>
      <c r="C3541">
        <v>112</v>
      </c>
      <c r="D3541">
        <v>111</v>
      </c>
      <c r="E3541">
        <v>211</v>
      </c>
      <c r="F3541">
        <v>212</v>
      </c>
      <c r="G3541">
        <v>121</v>
      </c>
      <c r="H3541">
        <v>122</v>
      </c>
      <c r="I3541">
        <v>221</v>
      </c>
      <c r="J3541">
        <v>222</v>
      </c>
      <c r="K3541">
        <v>311</v>
      </c>
      <c r="L3541">
        <v>312</v>
      </c>
      <c r="M3541">
        <v>411</v>
      </c>
      <c r="N3541">
        <v>412</v>
      </c>
      <c r="O3541">
        <v>321</v>
      </c>
      <c r="P3541">
        <v>322</v>
      </c>
      <c r="Q3541">
        <v>421</v>
      </c>
      <c r="R3541">
        <v>422</v>
      </c>
    </row>
    <row r="3542" spans="1:18" x14ac:dyDescent="0.3">
      <c r="A3542" t="s">
        <v>255</v>
      </c>
      <c r="B3542">
        <v>9</v>
      </c>
      <c r="C3542">
        <v>6</v>
      </c>
      <c r="D3542">
        <v>12</v>
      </c>
      <c r="F3542">
        <v>8</v>
      </c>
      <c r="G3542">
        <v>6</v>
      </c>
      <c r="H3542">
        <v>12</v>
      </c>
      <c r="J3542">
        <v>8</v>
      </c>
    </row>
    <row r="3543" spans="1:18" x14ac:dyDescent="0.3">
      <c r="A3543" t="s">
        <v>256</v>
      </c>
      <c r="B3543">
        <v>9</v>
      </c>
      <c r="C3543">
        <v>6.8</v>
      </c>
      <c r="D3543">
        <v>64.8</v>
      </c>
      <c r="F3543">
        <v>29.3</v>
      </c>
      <c r="G3543">
        <v>28.8</v>
      </c>
      <c r="H3543">
        <v>42.8</v>
      </c>
      <c r="J3543">
        <v>29.3</v>
      </c>
    </row>
    <row r="3544" spans="1:18" x14ac:dyDescent="0.3">
      <c r="A3544" t="s">
        <v>257</v>
      </c>
      <c r="B3544">
        <v>9</v>
      </c>
      <c r="C3544">
        <v>3</v>
      </c>
      <c r="D3544">
        <v>6</v>
      </c>
      <c r="F3544">
        <v>3</v>
      </c>
      <c r="G3544">
        <v>3</v>
      </c>
      <c r="H3544">
        <v>6</v>
      </c>
      <c r="J3544">
        <v>3</v>
      </c>
    </row>
    <row r="3545" spans="1:18" x14ac:dyDescent="0.3">
      <c r="A3545" t="s">
        <v>258</v>
      </c>
      <c r="B3545">
        <v>9</v>
      </c>
      <c r="C3545">
        <v>0</v>
      </c>
      <c r="D3545">
        <v>0</v>
      </c>
      <c r="F3545">
        <v>0</v>
      </c>
      <c r="G3545">
        <v>0</v>
      </c>
      <c r="H3545">
        <v>0</v>
      </c>
      <c r="J3545">
        <v>0</v>
      </c>
    </row>
    <row r="3546" spans="1:18" x14ac:dyDescent="0.3">
      <c r="A3546" t="s">
        <v>259</v>
      </c>
      <c r="B3546">
        <v>9</v>
      </c>
      <c r="C3546">
        <v>0</v>
      </c>
      <c r="D3546">
        <v>0</v>
      </c>
      <c r="F3546">
        <v>0</v>
      </c>
      <c r="G3546">
        <v>0</v>
      </c>
      <c r="H3546">
        <v>0</v>
      </c>
      <c r="J3546">
        <v>0</v>
      </c>
    </row>
    <row r="3547" spans="1:18" x14ac:dyDescent="0.3">
      <c r="A3547" t="s">
        <v>260</v>
      </c>
      <c r="B3547">
        <v>9</v>
      </c>
      <c r="C3547">
        <v>3</v>
      </c>
      <c r="D3547">
        <v>3</v>
      </c>
      <c r="F3547">
        <v>3</v>
      </c>
      <c r="G3547">
        <v>3</v>
      </c>
      <c r="H3547">
        <v>3</v>
      </c>
      <c r="J3547">
        <v>3</v>
      </c>
    </row>
    <row r="3548" spans="1:18" x14ac:dyDescent="0.3">
      <c r="A3548" t="s">
        <v>261</v>
      </c>
      <c r="B3548">
        <v>9</v>
      </c>
      <c r="C3548">
        <v>4.2</v>
      </c>
      <c r="D3548">
        <v>4.2</v>
      </c>
      <c r="F3548">
        <v>4.7</v>
      </c>
      <c r="G3548">
        <v>4.2</v>
      </c>
      <c r="H3548">
        <v>4.2</v>
      </c>
      <c r="J3548">
        <v>4.7</v>
      </c>
    </row>
    <row r="3549" spans="1:18" x14ac:dyDescent="0.3">
      <c r="A3549" t="s">
        <v>262</v>
      </c>
      <c r="B3549">
        <v>9</v>
      </c>
      <c r="C3549">
        <v>2</v>
      </c>
      <c r="D3549">
        <v>2</v>
      </c>
      <c r="F3549">
        <v>2</v>
      </c>
      <c r="G3549">
        <v>2</v>
      </c>
      <c r="H3549">
        <v>2</v>
      </c>
      <c r="J3549">
        <v>2</v>
      </c>
    </row>
    <row r="3550" spans="1:18" x14ac:dyDescent="0.3">
      <c r="A3550" t="s">
        <v>263</v>
      </c>
      <c r="B3550">
        <v>9</v>
      </c>
      <c r="C3550">
        <v>0</v>
      </c>
      <c r="D3550">
        <v>3</v>
      </c>
      <c r="F3550">
        <v>0</v>
      </c>
      <c r="G3550">
        <v>0</v>
      </c>
      <c r="H3550">
        <v>3</v>
      </c>
      <c r="J3550">
        <v>0</v>
      </c>
    </row>
    <row r="3551" spans="1:18" x14ac:dyDescent="0.3">
      <c r="A3551" t="s">
        <v>264</v>
      </c>
      <c r="B3551">
        <v>9</v>
      </c>
    </row>
    <row r="3552" spans="1:18" x14ac:dyDescent="0.3">
      <c r="A3552" t="s">
        <v>265</v>
      </c>
      <c r="B3552">
        <v>9</v>
      </c>
    </row>
    <row r="3553" spans="1:18" x14ac:dyDescent="0.3">
      <c r="A3553" t="s">
        <v>266</v>
      </c>
      <c r="B3553">
        <v>9</v>
      </c>
    </row>
    <row r="3554" spans="1:18" x14ac:dyDescent="0.3">
      <c r="A3554" t="s">
        <v>267</v>
      </c>
      <c r="B3554">
        <v>9</v>
      </c>
      <c r="C3554">
        <v>13</v>
      </c>
      <c r="D3554">
        <v>20</v>
      </c>
      <c r="F3554">
        <v>15</v>
      </c>
      <c r="G3554">
        <v>13</v>
      </c>
      <c r="H3554">
        <v>20</v>
      </c>
      <c r="J3554">
        <v>15</v>
      </c>
    </row>
    <row r="3555" spans="1:18" x14ac:dyDescent="0.3">
      <c r="A3555" t="s">
        <v>268</v>
      </c>
      <c r="B3555">
        <v>9</v>
      </c>
      <c r="C3555">
        <v>0</v>
      </c>
      <c r="D3555">
        <v>1</v>
      </c>
      <c r="F3555">
        <v>1</v>
      </c>
      <c r="G3555">
        <v>0</v>
      </c>
      <c r="H3555">
        <v>1</v>
      </c>
      <c r="J3555">
        <v>1</v>
      </c>
    </row>
    <row r="3556" spans="1:18" x14ac:dyDescent="0.3">
      <c r="A3556" t="s">
        <v>269</v>
      </c>
      <c r="B3556">
        <v>9</v>
      </c>
      <c r="C3556">
        <v>1</v>
      </c>
      <c r="D3556">
        <v>1</v>
      </c>
      <c r="F3556">
        <v>1</v>
      </c>
      <c r="G3556">
        <v>1</v>
      </c>
      <c r="H3556">
        <v>1</v>
      </c>
      <c r="J3556">
        <v>1</v>
      </c>
    </row>
    <row r="3557" spans="1:18" x14ac:dyDescent="0.3">
      <c r="A3557" t="s">
        <v>270</v>
      </c>
      <c r="B3557">
        <v>9</v>
      </c>
      <c r="C3557">
        <v>71</v>
      </c>
      <c r="D3557">
        <v>0</v>
      </c>
      <c r="F3557">
        <v>84</v>
      </c>
      <c r="G3557">
        <v>0</v>
      </c>
      <c r="H3557">
        <v>35</v>
      </c>
      <c r="J3557">
        <v>84</v>
      </c>
    </row>
    <row r="3558" spans="1:18" x14ac:dyDescent="0.3">
      <c r="A3558" t="s">
        <v>271</v>
      </c>
      <c r="B3558">
        <v>9</v>
      </c>
      <c r="C3558">
        <v>84</v>
      </c>
      <c r="D3558">
        <v>71</v>
      </c>
      <c r="F3558">
        <v>0</v>
      </c>
      <c r="G3558">
        <v>35</v>
      </c>
      <c r="H3558">
        <v>84</v>
      </c>
      <c r="J3558">
        <v>0</v>
      </c>
    </row>
    <row r="3559" spans="1:18" x14ac:dyDescent="0.3">
      <c r="A3559" t="s">
        <v>272</v>
      </c>
      <c r="B3559">
        <v>9</v>
      </c>
      <c r="C3559">
        <v>77.8</v>
      </c>
      <c r="D3559">
        <v>64.8</v>
      </c>
      <c r="F3559">
        <v>113.3</v>
      </c>
      <c r="G3559">
        <v>28.8</v>
      </c>
      <c r="H3559">
        <v>77.8</v>
      </c>
      <c r="J3559">
        <v>113.3</v>
      </c>
    </row>
    <row r="3560" spans="1:18" x14ac:dyDescent="0.3">
      <c r="A3560" t="s">
        <v>273</v>
      </c>
      <c r="B3560">
        <v>9</v>
      </c>
      <c r="C3560">
        <v>77.8</v>
      </c>
      <c r="D3560">
        <v>64.8</v>
      </c>
      <c r="F3560">
        <v>113.3</v>
      </c>
      <c r="G3560">
        <v>28.8</v>
      </c>
      <c r="H3560">
        <v>77.8</v>
      </c>
      <c r="J3560">
        <v>113.3</v>
      </c>
    </row>
    <row r="3561" spans="1:18" x14ac:dyDescent="0.3">
      <c r="A3561" t="s">
        <v>274</v>
      </c>
      <c r="B3561">
        <v>9</v>
      </c>
      <c r="C3561">
        <v>71</v>
      </c>
      <c r="D3561">
        <v>0</v>
      </c>
      <c r="F3561">
        <v>84</v>
      </c>
      <c r="G3561">
        <v>0</v>
      </c>
      <c r="H3561">
        <v>35</v>
      </c>
      <c r="J3561">
        <v>84</v>
      </c>
    </row>
    <row r="3562" spans="1:18" x14ac:dyDescent="0.3">
      <c r="A3562" t="s">
        <v>275</v>
      </c>
      <c r="B3562">
        <v>9</v>
      </c>
      <c r="C3562">
        <v>77.8</v>
      </c>
      <c r="D3562">
        <v>64.8</v>
      </c>
      <c r="F3562">
        <v>113.3</v>
      </c>
      <c r="G3562">
        <v>28.8</v>
      </c>
      <c r="H3562">
        <v>77.8</v>
      </c>
      <c r="J3562">
        <v>113.3</v>
      </c>
    </row>
    <row r="3563" spans="1:18" x14ac:dyDescent="0.3">
      <c r="A3563" t="s">
        <v>276</v>
      </c>
      <c r="B3563">
        <v>9</v>
      </c>
      <c r="C3563">
        <v>77.8</v>
      </c>
      <c r="D3563">
        <v>64.8</v>
      </c>
      <c r="F3563">
        <v>113.3</v>
      </c>
      <c r="G3563">
        <v>28.8</v>
      </c>
      <c r="H3563">
        <v>77.8</v>
      </c>
      <c r="J3563">
        <v>113.3</v>
      </c>
    </row>
    <row r="3564" spans="1:18" x14ac:dyDescent="0.3">
      <c r="A3564" t="s">
        <v>681</v>
      </c>
      <c r="B3564">
        <v>9</v>
      </c>
      <c r="C3564">
        <v>1.4</v>
      </c>
      <c r="D3564">
        <v>79.900000000000006</v>
      </c>
      <c r="F3564">
        <v>19.600000000000001</v>
      </c>
      <c r="G3564">
        <v>14.7</v>
      </c>
      <c r="H3564">
        <v>66.599999999999994</v>
      </c>
      <c r="J3564">
        <v>19.600000000000001</v>
      </c>
    </row>
    <row r="3565" spans="1:18" x14ac:dyDescent="0.3">
      <c r="A3565" t="s">
        <v>254</v>
      </c>
      <c r="B3565">
        <v>10</v>
      </c>
      <c r="C3565">
        <v>111</v>
      </c>
      <c r="D3565">
        <v>112</v>
      </c>
      <c r="E3565">
        <v>211</v>
      </c>
      <c r="F3565">
        <v>212</v>
      </c>
      <c r="G3565">
        <v>121</v>
      </c>
      <c r="H3565">
        <v>122</v>
      </c>
      <c r="I3565">
        <v>221</v>
      </c>
      <c r="J3565">
        <v>222</v>
      </c>
      <c r="K3565">
        <v>311</v>
      </c>
      <c r="L3565">
        <v>312</v>
      </c>
      <c r="M3565">
        <v>411</v>
      </c>
      <c r="N3565">
        <v>412</v>
      </c>
      <c r="O3565">
        <v>321</v>
      </c>
      <c r="P3565">
        <v>322</v>
      </c>
      <c r="Q3565">
        <v>421</v>
      </c>
      <c r="R3565">
        <v>422</v>
      </c>
    </row>
    <row r="3566" spans="1:18" x14ac:dyDescent="0.3">
      <c r="A3566" t="s">
        <v>255</v>
      </c>
      <c r="B3566">
        <v>10</v>
      </c>
      <c r="C3566">
        <v>5</v>
      </c>
      <c r="D3566">
        <v>10</v>
      </c>
      <c r="F3566">
        <v>8</v>
      </c>
      <c r="G3566">
        <v>5</v>
      </c>
      <c r="H3566">
        <v>12</v>
      </c>
      <c r="J3566">
        <v>8</v>
      </c>
    </row>
    <row r="3567" spans="1:18" x14ac:dyDescent="0.3">
      <c r="A3567" t="s">
        <v>256</v>
      </c>
      <c r="B3567">
        <v>10</v>
      </c>
      <c r="C3567">
        <v>21</v>
      </c>
      <c r="D3567">
        <v>46.9</v>
      </c>
      <c r="F3567">
        <v>34</v>
      </c>
      <c r="G3567">
        <v>14</v>
      </c>
      <c r="H3567">
        <v>53.9</v>
      </c>
      <c r="J3567">
        <v>34</v>
      </c>
    </row>
    <row r="3568" spans="1:18" x14ac:dyDescent="0.3">
      <c r="A3568" t="s">
        <v>257</v>
      </c>
      <c r="B3568">
        <v>10</v>
      </c>
      <c r="C3568">
        <v>3</v>
      </c>
      <c r="D3568">
        <v>6</v>
      </c>
      <c r="F3568">
        <v>3</v>
      </c>
      <c r="G3568">
        <v>3</v>
      </c>
      <c r="H3568">
        <v>6</v>
      </c>
      <c r="J3568">
        <v>3</v>
      </c>
    </row>
    <row r="3569" spans="1:10" x14ac:dyDescent="0.3">
      <c r="A3569" t="s">
        <v>258</v>
      </c>
      <c r="B3569">
        <v>10</v>
      </c>
      <c r="C3569">
        <v>0</v>
      </c>
      <c r="D3569">
        <v>0</v>
      </c>
      <c r="F3569">
        <v>0</v>
      </c>
      <c r="G3569">
        <v>0</v>
      </c>
      <c r="H3569">
        <v>0</v>
      </c>
      <c r="J3569">
        <v>0</v>
      </c>
    </row>
    <row r="3570" spans="1:10" x14ac:dyDescent="0.3">
      <c r="A3570" t="s">
        <v>259</v>
      </c>
      <c r="B3570">
        <v>10</v>
      </c>
      <c r="C3570">
        <v>0</v>
      </c>
      <c r="D3570">
        <v>0</v>
      </c>
      <c r="F3570">
        <v>0</v>
      </c>
      <c r="G3570">
        <v>0</v>
      </c>
      <c r="H3570">
        <v>0</v>
      </c>
      <c r="J3570">
        <v>0</v>
      </c>
    </row>
    <row r="3571" spans="1:10" x14ac:dyDescent="0.3">
      <c r="A3571" t="s">
        <v>260</v>
      </c>
      <c r="B3571">
        <v>10</v>
      </c>
      <c r="C3571">
        <v>3</v>
      </c>
      <c r="D3571">
        <v>3</v>
      </c>
      <c r="F3571">
        <v>3</v>
      </c>
      <c r="G3571">
        <v>3</v>
      </c>
      <c r="H3571">
        <v>3</v>
      </c>
      <c r="J3571">
        <v>3</v>
      </c>
    </row>
    <row r="3572" spans="1:10" x14ac:dyDescent="0.3">
      <c r="A3572" t="s">
        <v>261</v>
      </c>
      <c r="B3572">
        <v>10</v>
      </c>
      <c r="C3572">
        <v>4</v>
      </c>
      <c r="D3572">
        <v>4.0999999999999996</v>
      </c>
      <c r="F3572">
        <v>4</v>
      </c>
      <c r="G3572">
        <v>4</v>
      </c>
      <c r="H3572">
        <v>4.0999999999999996</v>
      </c>
      <c r="J3572">
        <v>4</v>
      </c>
    </row>
    <row r="3573" spans="1:10" x14ac:dyDescent="0.3">
      <c r="A3573" t="s">
        <v>262</v>
      </c>
      <c r="B3573">
        <v>10</v>
      </c>
      <c r="C3573">
        <v>2</v>
      </c>
      <c r="D3573">
        <v>2</v>
      </c>
      <c r="F3573">
        <v>2</v>
      </c>
      <c r="G3573">
        <v>2</v>
      </c>
      <c r="H3573">
        <v>2</v>
      </c>
      <c r="J3573">
        <v>2</v>
      </c>
    </row>
    <row r="3574" spans="1:10" x14ac:dyDescent="0.3">
      <c r="A3574" t="s">
        <v>263</v>
      </c>
      <c r="B3574">
        <v>10</v>
      </c>
      <c r="C3574">
        <v>0</v>
      </c>
      <c r="D3574">
        <v>3</v>
      </c>
      <c r="F3574">
        <v>0</v>
      </c>
      <c r="G3574">
        <v>0</v>
      </c>
      <c r="H3574">
        <v>3</v>
      </c>
      <c r="J3574">
        <v>0</v>
      </c>
    </row>
    <row r="3575" spans="1:10" x14ac:dyDescent="0.3">
      <c r="A3575" t="s">
        <v>264</v>
      </c>
      <c r="B3575">
        <v>10</v>
      </c>
    </row>
    <row r="3576" spans="1:10" x14ac:dyDescent="0.3">
      <c r="A3576" t="s">
        <v>265</v>
      </c>
      <c r="B3576">
        <v>10</v>
      </c>
    </row>
    <row r="3577" spans="1:10" x14ac:dyDescent="0.3">
      <c r="A3577" t="s">
        <v>266</v>
      </c>
      <c r="B3577">
        <v>10</v>
      </c>
    </row>
    <row r="3578" spans="1:10" x14ac:dyDescent="0.3">
      <c r="A3578" t="s">
        <v>267</v>
      </c>
      <c r="B3578">
        <v>10</v>
      </c>
      <c r="C3578">
        <v>12</v>
      </c>
      <c r="D3578">
        <v>20</v>
      </c>
      <c r="F3578">
        <v>14</v>
      </c>
      <c r="G3578">
        <v>12</v>
      </c>
      <c r="H3578">
        <v>20</v>
      </c>
      <c r="J3578">
        <v>14</v>
      </c>
    </row>
    <row r="3579" spans="1:10" x14ac:dyDescent="0.3">
      <c r="A3579" t="s">
        <v>268</v>
      </c>
      <c r="B3579">
        <v>10</v>
      </c>
      <c r="C3579">
        <v>0</v>
      </c>
      <c r="D3579">
        <v>1</v>
      </c>
      <c r="F3579">
        <v>1</v>
      </c>
      <c r="G3579">
        <v>0</v>
      </c>
      <c r="H3579">
        <v>1</v>
      </c>
      <c r="J3579">
        <v>1</v>
      </c>
    </row>
    <row r="3580" spans="1:10" x14ac:dyDescent="0.3">
      <c r="A3580" t="s">
        <v>269</v>
      </c>
      <c r="B3580">
        <v>10</v>
      </c>
      <c r="C3580">
        <v>1</v>
      </c>
      <c r="D3580">
        <v>1</v>
      </c>
      <c r="F3580">
        <v>1</v>
      </c>
      <c r="G3580">
        <v>1</v>
      </c>
      <c r="H3580">
        <v>1</v>
      </c>
      <c r="J3580">
        <v>1</v>
      </c>
    </row>
    <row r="3581" spans="1:10" x14ac:dyDescent="0.3">
      <c r="A3581" t="s">
        <v>270</v>
      </c>
      <c r="B3581">
        <v>10</v>
      </c>
      <c r="C3581">
        <v>101</v>
      </c>
      <c r="D3581">
        <v>8</v>
      </c>
      <c r="F3581">
        <v>61</v>
      </c>
      <c r="G3581">
        <v>101</v>
      </c>
      <c r="H3581">
        <v>1</v>
      </c>
      <c r="J3581">
        <v>61</v>
      </c>
    </row>
    <row r="3582" spans="1:10" x14ac:dyDescent="0.3">
      <c r="A3582" t="s">
        <v>271</v>
      </c>
      <c r="B3582">
        <v>10</v>
      </c>
      <c r="C3582">
        <v>8</v>
      </c>
      <c r="D3582">
        <v>61</v>
      </c>
      <c r="F3582">
        <v>101</v>
      </c>
      <c r="G3582">
        <v>1</v>
      </c>
      <c r="H3582">
        <v>61</v>
      </c>
      <c r="J3582">
        <v>101</v>
      </c>
    </row>
    <row r="3583" spans="1:10" x14ac:dyDescent="0.3">
      <c r="A3583" t="s">
        <v>272</v>
      </c>
      <c r="B3583">
        <v>10</v>
      </c>
      <c r="C3583">
        <v>2</v>
      </c>
      <c r="D3583">
        <v>54.9</v>
      </c>
      <c r="F3583">
        <v>95</v>
      </c>
      <c r="G3583">
        <v>115</v>
      </c>
      <c r="H3583">
        <v>54.9</v>
      </c>
      <c r="J3583">
        <v>95</v>
      </c>
    </row>
    <row r="3584" spans="1:10" x14ac:dyDescent="0.3">
      <c r="A3584" t="s">
        <v>273</v>
      </c>
      <c r="B3584">
        <v>10</v>
      </c>
      <c r="C3584">
        <v>2</v>
      </c>
      <c r="D3584">
        <v>54.9</v>
      </c>
      <c r="F3584">
        <v>95</v>
      </c>
      <c r="G3584">
        <v>115</v>
      </c>
      <c r="H3584">
        <v>54.9</v>
      </c>
      <c r="J3584">
        <v>95</v>
      </c>
    </row>
    <row r="3585" spans="1:18" x14ac:dyDescent="0.3">
      <c r="A3585" t="s">
        <v>274</v>
      </c>
      <c r="B3585">
        <v>10</v>
      </c>
      <c r="C3585">
        <v>100</v>
      </c>
      <c r="D3585">
        <v>7</v>
      </c>
      <c r="F3585">
        <v>60</v>
      </c>
      <c r="G3585">
        <v>100</v>
      </c>
      <c r="H3585">
        <v>0</v>
      </c>
      <c r="J3585">
        <v>60</v>
      </c>
    </row>
    <row r="3586" spans="1:18" x14ac:dyDescent="0.3">
      <c r="A3586" t="s">
        <v>275</v>
      </c>
      <c r="B3586">
        <v>10</v>
      </c>
      <c r="C3586">
        <v>1</v>
      </c>
      <c r="D3586">
        <v>53.9</v>
      </c>
      <c r="F3586">
        <v>94</v>
      </c>
      <c r="G3586">
        <v>114</v>
      </c>
      <c r="H3586">
        <v>53.9</v>
      </c>
      <c r="J3586">
        <v>94</v>
      </c>
    </row>
    <row r="3587" spans="1:18" x14ac:dyDescent="0.3">
      <c r="A3587" t="s">
        <v>276</v>
      </c>
      <c r="B3587">
        <v>10</v>
      </c>
      <c r="C3587">
        <v>1</v>
      </c>
      <c r="D3587">
        <v>53.9</v>
      </c>
      <c r="F3587">
        <v>94</v>
      </c>
      <c r="G3587">
        <v>114</v>
      </c>
      <c r="H3587">
        <v>53.9</v>
      </c>
      <c r="J3587">
        <v>94</v>
      </c>
    </row>
    <row r="3588" spans="1:18" x14ac:dyDescent="0.3">
      <c r="A3588" t="s">
        <v>681</v>
      </c>
      <c r="B3588">
        <v>10</v>
      </c>
      <c r="C3588">
        <v>18.600000000000001</v>
      </c>
      <c r="D3588">
        <v>56</v>
      </c>
      <c r="F3588">
        <v>27.3</v>
      </c>
      <c r="G3588">
        <v>8</v>
      </c>
      <c r="H3588">
        <v>66.599999999999994</v>
      </c>
      <c r="J3588">
        <v>27.3</v>
      </c>
    </row>
    <row r="3589" spans="1:18" x14ac:dyDescent="0.3">
      <c r="A3589" t="s">
        <v>254</v>
      </c>
      <c r="B3589">
        <v>11</v>
      </c>
      <c r="C3589">
        <v>111</v>
      </c>
      <c r="D3589">
        <v>112</v>
      </c>
      <c r="E3589">
        <v>211</v>
      </c>
      <c r="F3589">
        <v>212</v>
      </c>
      <c r="G3589">
        <v>121</v>
      </c>
      <c r="H3589">
        <v>122</v>
      </c>
      <c r="I3589">
        <v>221</v>
      </c>
      <c r="J3589">
        <v>222</v>
      </c>
      <c r="K3589">
        <v>311</v>
      </c>
      <c r="L3589">
        <v>312</v>
      </c>
      <c r="M3589">
        <v>411</v>
      </c>
      <c r="N3589">
        <v>412</v>
      </c>
      <c r="O3589">
        <v>321</v>
      </c>
      <c r="P3589">
        <v>322</v>
      </c>
      <c r="Q3589">
        <v>421</v>
      </c>
      <c r="R3589">
        <v>422</v>
      </c>
    </row>
    <row r="3590" spans="1:18" x14ac:dyDescent="0.3">
      <c r="A3590" t="s">
        <v>255</v>
      </c>
      <c r="B3590">
        <v>11</v>
      </c>
      <c r="C3590">
        <v>5</v>
      </c>
      <c r="D3590">
        <v>12</v>
      </c>
      <c r="F3590">
        <v>8</v>
      </c>
      <c r="G3590">
        <v>5</v>
      </c>
      <c r="H3590">
        <v>12</v>
      </c>
      <c r="J3590">
        <v>8</v>
      </c>
    </row>
    <row r="3591" spans="1:18" x14ac:dyDescent="0.3">
      <c r="A3591" t="s">
        <v>256</v>
      </c>
      <c r="B3591">
        <v>11</v>
      </c>
      <c r="C3591">
        <v>14</v>
      </c>
      <c r="D3591">
        <v>63.5</v>
      </c>
      <c r="F3591">
        <v>23.3</v>
      </c>
      <c r="G3591">
        <v>14</v>
      </c>
      <c r="H3591">
        <v>63.5</v>
      </c>
      <c r="J3591">
        <v>23.3</v>
      </c>
    </row>
    <row r="3592" spans="1:18" x14ac:dyDescent="0.3">
      <c r="A3592" t="s">
        <v>257</v>
      </c>
      <c r="B3592">
        <v>11</v>
      </c>
      <c r="C3592">
        <v>2</v>
      </c>
      <c r="D3592">
        <v>6</v>
      </c>
      <c r="F3592">
        <v>3</v>
      </c>
      <c r="G3592">
        <v>2</v>
      </c>
      <c r="H3592">
        <v>6</v>
      </c>
      <c r="J3592">
        <v>3</v>
      </c>
    </row>
    <row r="3593" spans="1:18" x14ac:dyDescent="0.3">
      <c r="A3593" t="s">
        <v>258</v>
      </c>
      <c r="B3593">
        <v>11</v>
      </c>
      <c r="C3593">
        <v>0</v>
      </c>
      <c r="D3593">
        <v>0</v>
      </c>
      <c r="F3593">
        <v>0</v>
      </c>
      <c r="G3593">
        <v>0</v>
      </c>
      <c r="H3593">
        <v>0</v>
      </c>
      <c r="J3593">
        <v>0</v>
      </c>
    </row>
    <row r="3594" spans="1:18" x14ac:dyDescent="0.3">
      <c r="A3594" t="s">
        <v>259</v>
      </c>
      <c r="B3594">
        <v>11</v>
      </c>
      <c r="C3594">
        <v>0</v>
      </c>
      <c r="D3594">
        <v>0</v>
      </c>
      <c r="F3594">
        <v>0</v>
      </c>
      <c r="G3594">
        <v>0</v>
      </c>
      <c r="H3594">
        <v>0</v>
      </c>
      <c r="J3594">
        <v>0</v>
      </c>
    </row>
    <row r="3595" spans="1:18" x14ac:dyDescent="0.3">
      <c r="A3595" t="s">
        <v>260</v>
      </c>
      <c r="B3595">
        <v>11</v>
      </c>
      <c r="C3595">
        <v>2</v>
      </c>
      <c r="D3595">
        <v>3</v>
      </c>
      <c r="F3595">
        <v>3</v>
      </c>
      <c r="G3595">
        <v>2</v>
      </c>
      <c r="H3595">
        <v>3</v>
      </c>
      <c r="J3595">
        <v>3</v>
      </c>
    </row>
    <row r="3596" spans="1:18" x14ac:dyDescent="0.3">
      <c r="A3596" t="s">
        <v>261</v>
      </c>
      <c r="B3596">
        <v>11</v>
      </c>
      <c r="C3596">
        <v>4</v>
      </c>
      <c r="D3596">
        <v>4.5</v>
      </c>
      <c r="F3596">
        <v>4.5</v>
      </c>
      <c r="G3596">
        <v>4</v>
      </c>
      <c r="H3596">
        <v>4.5</v>
      </c>
      <c r="J3596">
        <v>4.5</v>
      </c>
    </row>
    <row r="3597" spans="1:18" x14ac:dyDescent="0.3">
      <c r="A3597" t="s">
        <v>262</v>
      </c>
      <c r="B3597">
        <v>11</v>
      </c>
      <c r="C3597">
        <v>2</v>
      </c>
      <c r="D3597">
        <v>2</v>
      </c>
      <c r="F3597">
        <v>2.2000000000000002</v>
      </c>
      <c r="G3597">
        <v>2</v>
      </c>
      <c r="H3597">
        <v>2</v>
      </c>
      <c r="J3597">
        <v>2.2000000000000002</v>
      </c>
    </row>
    <row r="3598" spans="1:18" x14ac:dyDescent="0.3">
      <c r="A3598" t="s">
        <v>263</v>
      </c>
      <c r="B3598">
        <v>11</v>
      </c>
      <c r="C3598">
        <v>0</v>
      </c>
      <c r="D3598">
        <v>3</v>
      </c>
      <c r="F3598">
        <v>0</v>
      </c>
      <c r="G3598">
        <v>0</v>
      </c>
      <c r="H3598">
        <v>3</v>
      </c>
      <c r="J3598">
        <v>0</v>
      </c>
    </row>
    <row r="3599" spans="1:18" x14ac:dyDescent="0.3">
      <c r="A3599" t="s">
        <v>264</v>
      </c>
      <c r="B3599">
        <v>11</v>
      </c>
    </row>
    <row r="3600" spans="1:18" x14ac:dyDescent="0.3">
      <c r="A3600" t="s">
        <v>265</v>
      </c>
      <c r="B3600">
        <v>11</v>
      </c>
    </row>
    <row r="3601" spans="1:18" x14ac:dyDescent="0.3">
      <c r="A3601" t="s">
        <v>266</v>
      </c>
      <c r="B3601">
        <v>11</v>
      </c>
    </row>
    <row r="3602" spans="1:18" x14ac:dyDescent="0.3">
      <c r="A3602" t="s">
        <v>267</v>
      </c>
      <c r="B3602">
        <v>11</v>
      </c>
      <c r="C3602">
        <v>12</v>
      </c>
      <c r="D3602">
        <v>20</v>
      </c>
      <c r="F3602">
        <v>15</v>
      </c>
      <c r="G3602">
        <v>12</v>
      </c>
      <c r="H3602">
        <v>20</v>
      </c>
      <c r="J3602">
        <v>15</v>
      </c>
    </row>
    <row r="3603" spans="1:18" x14ac:dyDescent="0.3">
      <c r="A3603" t="s">
        <v>268</v>
      </c>
      <c r="B3603">
        <v>11</v>
      </c>
      <c r="C3603">
        <v>0</v>
      </c>
      <c r="D3603">
        <v>1</v>
      </c>
      <c r="F3603">
        <v>1</v>
      </c>
      <c r="G3603">
        <v>0</v>
      </c>
      <c r="H3603">
        <v>1</v>
      </c>
      <c r="J3603">
        <v>1</v>
      </c>
    </row>
    <row r="3604" spans="1:18" x14ac:dyDescent="0.3">
      <c r="A3604" t="s">
        <v>269</v>
      </c>
      <c r="B3604">
        <v>11</v>
      </c>
      <c r="C3604">
        <v>1</v>
      </c>
      <c r="D3604">
        <v>1</v>
      </c>
      <c r="F3604">
        <v>1</v>
      </c>
      <c r="G3604">
        <v>1</v>
      </c>
      <c r="H3604">
        <v>1</v>
      </c>
      <c r="J3604">
        <v>1</v>
      </c>
    </row>
    <row r="3605" spans="1:18" x14ac:dyDescent="0.3">
      <c r="A3605" t="s">
        <v>270</v>
      </c>
      <c r="B3605">
        <v>11</v>
      </c>
      <c r="C3605">
        <v>110</v>
      </c>
      <c r="D3605">
        <v>10</v>
      </c>
      <c r="F3605">
        <v>80</v>
      </c>
      <c r="G3605">
        <v>110</v>
      </c>
      <c r="H3605">
        <v>10</v>
      </c>
      <c r="J3605">
        <v>80</v>
      </c>
    </row>
    <row r="3606" spans="1:18" x14ac:dyDescent="0.3">
      <c r="A3606" t="s">
        <v>271</v>
      </c>
      <c r="B3606">
        <v>11</v>
      </c>
      <c r="C3606">
        <v>10</v>
      </c>
      <c r="D3606">
        <v>80</v>
      </c>
      <c r="F3606">
        <v>110</v>
      </c>
      <c r="G3606">
        <v>10</v>
      </c>
      <c r="H3606">
        <v>80</v>
      </c>
      <c r="J3606">
        <v>110</v>
      </c>
    </row>
    <row r="3607" spans="1:18" x14ac:dyDescent="0.3">
      <c r="A3607" t="s">
        <v>272</v>
      </c>
      <c r="B3607">
        <v>11</v>
      </c>
      <c r="C3607">
        <v>4</v>
      </c>
      <c r="D3607">
        <v>73.5</v>
      </c>
      <c r="F3607">
        <v>103.3</v>
      </c>
      <c r="G3607">
        <v>4</v>
      </c>
      <c r="H3607">
        <v>73.5</v>
      </c>
      <c r="J3607">
        <v>103.3</v>
      </c>
    </row>
    <row r="3608" spans="1:18" x14ac:dyDescent="0.3">
      <c r="A3608" t="s">
        <v>273</v>
      </c>
      <c r="B3608">
        <v>11</v>
      </c>
      <c r="C3608">
        <v>4</v>
      </c>
      <c r="D3608">
        <v>73.5</v>
      </c>
      <c r="F3608">
        <v>103.3</v>
      </c>
      <c r="G3608">
        <v>4</v>
      </c>
      <c r="H3608">
        <v>73.5</v>
      </c>
      <c r="J3608">
        <v>103.3</v>
      </c>
    </row>
    <row r="3609" spans="1:18" x14ac:dyDescent="0.3">
      <c r="A3609" t="s">
        <v>274</v>
      </c>
      <c r="B3609">
        <v>11</v>
      </c>
      <c r="C3609">
        <v>100</v>
      </c>
      <c r="D3609">
        <v>0</v>
      </c>
      <c r="F3609">
        <v>70</v>
      </c>
      <c r="G3609">
        <v>100</v>
      </c>
      <c r="H3609">
        <v>0</v>
      </c>
      <c r="J3609">
        <v>70</v>
      </c>
    </row>
    <row r="3610" spans="1:18" x14ac:dyDescent="0.3">
      <c r="A3610" t="s">
        <v>275</v>
      </c>
      <c r="B3610">
        <v>11</v>
      </c>
      <c r="C3610">
        <v>114</v>
      </c>
      <c r="D3610">
        <v>63.5</v>
      </c>
      <c r="F3610">
        <v>93.3</v>
      </c>
      <c r="G3610">
        <v>114</v>
      </c>
      <c r="H3610">
        <v>63.5</v>
      </c>
      <c r="J3610">
        <v>93.3</v>
      </c>
    </row>
    <row r="3611" spans="1:18" x14ac:dyDescent="0.3">
      <c r="A3611" t="s">
        <v>276</v>
      </c>
      <c r="B3611">
        <v>11</v>
      </c>
      <c r="C3611">
        <v>114</v>
      </c>
      <c r="D3611">
        <v>63.5</v>
      </c>
      <c r="F3611">
        <v>93.3</v>
      </c>
      <c r="G3611">
        <v>114</v>
      </c>
      <c r="H3611">
        <v>63.5</v>
      </c>
      <c r="J3611">
        <v>93.3</v>
      </c>
    </row>
    <row r="3612" spans="1:18" x14ac:dyDescent="0.3">
      <c r="A3612" t="s">
        <v>681</v>
      </c>
      <c r="B3612">
        <v>11</v>
      </c>
      <c r="C3612">
        <v>4.2</v>
      </c>
      <c r="D3612">
        <v>88.4</v>
      </c>
      <c r="F3612">
        <v>8.1999999999999993</v>
      </c>
      <c r="G3612">
        <v>4.7</v>
      </c>
      <c r="H3612">
        <v>87.9</v>
      </c>
      <c r="J3612">
        <v>8.1999999999999993</v>
      </c>
    </row>
    <row r="3613" spans="1:18" x14ac:dyDescent="0.3">
      <c r="A3613" t="s">
        <v>254</v>
      </c>
      <c r="B3613">
        <v>12</v>
      </c>
      <c r="C3613">
        <v>112</v>
      </c>
      <c r="D3613">
        <v>111</v>
      </c>
      <c r="E3613">
        <v>211</v>
      </c>
      <c r="F3613">
        <v>212</v>
      </c>
      <c r="G3613">
        <v>121</v>
      </c>
      <c r="H3613">
        <v>122</v>
      </c>
      <c r="I3613">
        <v>221</v>
      </c>
      <c r="J3613">
        <v>222</v>
      </c>
      <c r="K3613">
        <v>311</v>
      </c>
      <c r="L3613">
        <v>312</v>
      </c>
      <c r="M3613">
        <v>411</v>
      </c>
      <c r="N3613">
        <v>412</v>
      </c>
      <c r="O3613">
        <v>321</v>
      </c>
      <c r="P3613">
        <v>322</v>
      </c>
      <c r="Q3613">
        <v>421</v>
      </c>
      <c r="R3613">
        <v>422</v>
      </c>
    </row>
    <row r="3614" spans="1:18" x14ac:dyDescent="0.3">
      <c r="A3614" t="s">
        <v>255</v>
      </c>
      <c r="B3614">
        <v>12</v>
      </c>
      <c r="C3614">
        <v>5</v>
      </c>
      <c r="D3614">
        <v>12</v>
      </c>
      <c r="E3614">
        <v>5</v>
      </c>
      <c r="F3614">
        <v>10</v>
      </c>
      <c r="G3614">
        <v>1</v>
      </c>
      <c r="H3614">
        <v>12</v>
      </c>
      <c r="I3614">
        <v>1</v>
      </c>
      <c r="J3614">
        <v>10</v>
      </c>
    </row>
    <row r="3615" spans="1:18" x14ac:dyDescent="0.3">
      <c r="A3615" t="s">
        <v>256</v>
      </c>
      <c r="B3615">
        <v>12</v>
      </c>
      <c r="C3615">
        <v>14.4</v>
      </c>
      <c r="D3615">
        <v>48.2</v>
      </c>
      <c r="E3615">
        <v>10.3</v>
      </c>
      <c r="F3615">
        <v>21.4</v>
      </c>
      <c r="G3615">
        <v>14.4</v>
      </c>
      <c r="H3615">
        <v>46.3</v>
      </c>
      <c r="I3615">
        <v>10.3</v>
      </c>
      <c r="J3615">
        <v>21.4</v>
      </c>
    </row>
    <row r="3616" spans="1:18" x14ac:dyDescent="0.3">
      <c r="A3616" t="s">
        <v>257</v>
      </c>
      <c r="B3616">
        <v>12</v>
      </c>
      <c r="C3616">
        <v>2</v>
      </c>
      <c r="D3616">
        <v>6</v>
      </c>
      <c r="E3616">
        <v>2</v>
      </c>
      <c r="F3616">
        <v>3</v>
      </c>
      <c r="G3616">
        <v>2</v>
      </c>
      <c r="H3616">
        <v>6</v>
      </c>
      <c r="I3616">
        <v>2</v>
      </c>
      <c r="J3616">
        <v>3</v>
      </c>
    </row>
    <row r="3617" spans="1:10" x14ac:dyDescent="0.3">
      <c r="A3617" t="s">
        <v>258</v>
      </c>
      <c r="B3617">
        <v>12</v>
      </c>
      <c r="C3617">
        <v>0</v>
      </c>
      <c r="D3617">
        <v>0</v>
      </c>
      <c r="E3617">
        <v>0</v>
      </c>
      <c r="F3617">
        <v>0</v>
      </c>
      <c r="G3617">
        <v>0</v>
      </c>
      <c r="H3617">
        <v>0</v>
      </c>
      <c r="I3617">
        <v>0</v>
      </c>
      <c r="J3617">
        <v>0</v>
      </c>
    </row>
    <row r="3618" spans="1:10" x14ac:dyDescent="0.3">
      <c r="A3618" t="s">
        <v>259</v>
      </c>
      <c r="B3618">
        <v>12</v>
      </c>
      <c r="C3618">
        <v>0</v>
      </c>
      <c r="D3618">
        <v>0</v>
      </c>
      <c r="E3618">
        <v>0</v>
      </c>
      <c r="F3618">
        <v>0</v>
      </c>
      <c r="G3618">
        <v>0</v>
      </c>
      <c r="H3618">
        <v>0</v>
      </c>
      <c r="I3618">
        <v>0</v>
      </c>
      <c r="J3618">
        <v>0</v>
      </c>
    </row>
    <row r="3619" spans="1:10" x14ac:dyDescent="0.3">
      <c r="A3619" t="s">
        <v>260</v>
      </c>
      <c r="B3619">
        <v>12</v>
      </c>
      <c r="C3619">
        <v>2</v>
      </c>
      <c r="D3619">
        <v>3</v>
      </c>
      <c r="E3619">
        <v>2</v>
      </c>
      <c r="F3619">
        <v>3</v>
      </c>
      <c r="G3619">
        <v>2</v>
      </c>
      <c r="H3619">
        <v>3</v>
      </c>
      <c r="I3619">
        <v>2</v>
      </c>
      <c r="J3619">
        <v>3</v>
      </c>
    </row>
    <row r="3620" spans="1:10" x14ac:dyDescent="0.3">
      <c r="A3620" t="s">
        <v>261</v>
      </c>
      <c r="B3620">
        <v>12</v>
      </c>
      <c r="C3620">
        <v>4</v>
      </c>
      <c r="D3620">
        <v>4</v>
      </c>
      <c r="E3620">
        <v>5</v>
      </c>
      <c r="F3620">
        <v>4.3</v>
      </c>
      <c r="G3620">
        <v>4</v>
      </c>
      <c r="H3620">
        <v>5</v>
      </c>
      <c r="I3620">
        <v>5</v>
      </c>
      <c r="J3620">
        <v>4.3</v>
      </c>
    </row>
    <row r="3621" spans="1:10" x14ac:dyDescent="0.3">
      <c r="A3621" t="s">
        <v>262</v>
      </c>
      <c r="B3621">
        <v>12</v>
      </c>
      <c r="C3621">
        <v>1.6</v>
      </c>
      <c r="D3621">
        <v>1.8</v>
      </c>
      <c r="E3621">
        <v>2.7</v>
      </c>
      <c r="F3621">
        <v>2.2999999999999998</v>
      </c>
      <c r="G3621">
        <v>1.6</v>
      </c>
      <c r="H3621">
        <v>2.7</v>
      </c>
      <c r="I3621">
        <v>2.7</v>
      </c>
      <c r="J3621">
        <v>2.2999999999999998</v>
      </c>
    </row>
    <row r="3622" spans="1:10" x14ac:dyDescent="0.3">
      <c r="A3622" t="s">
        <v>263</v>
      </c>
      <c r="B3622">
        <v>12</v>
      </c>
      <c r="C3622">
        <v>0</v>
      </c>
      <c r="D3622">
        <v>1</v>
      </c>
      <c r="E3622">
        <v>3</v>
      </c>
      <c r="F3622">
        <v>0</v>
      </c>
      <c r="G3622">
        <v>0</v>
      </c>
      <c r="H3622">
        <v>1</v>
      </c>
      <c r="I3622">
        <v>0</v>
      </c>
      <c r="J3622">
        <v>0</v>
      </c>
    </row>
    <row r="3623" spans="1:10" x14ac:dyDescent="0.3">
      <c r="A3623" t="s">
        <v>264</v>
      </c>
      <c r="B3623">
        <v>12</v>
      </c>
    </row>
    <row r="3624" spans="1:10" x14ac:dyDescent="0.3">
      <c r="A3624" t="s">
        <v>265</v>
      </c>
      <c r="B3624">
        <v>12</v>
      </c>
    </row>
    <row r="3625" spans="1:10" x14ac:dyDescent="0.3">
      <c r="A3625" t="s">
        <v>266</v>
      </c>
      <c r="B3625">
        <v>12</v>
      </c>
    </row>
    <row r="3626" spans="1:10" x14ac:dyDescent="0.3">
      <c r="A3626" t="s">
        <v>267</v>
      </c>
      <c r="B3626">
        <v>12</v>
      </c>
      <c r="C3626">
        <v>12</v>
      </c>
      <c r="D3626">
        <v>20</v>
      </c>
      <c r="E3626">
        <v>13</v>
      </c>
      <c r="F3626">
        <v>17</v>
      </c>
      <c r="G3626">
        <v>12</v>
      </c>
      <c r="H3626">
        <v>20</v>
      </c>
      <c r="I3626">
        <v>13</v>
      </c>
      <c r="J3626">
        <v>17</v>
      </c>
    </row>
    <row r="3627" spans="1:10" x14ac:dyDescent="0.3">
      <c r="A3627" t="s">
        <v>268</v>
      </c>
      <c r="B3627">
        <v>12</v>
      </c>
      <c r="C3627">
        <v>0</v>
      </c>
      <c r="D3627">
        <v>1</v>
      </c>
      <c r="E3627">
        <v>0</v>
      </c>
      <c r="F3627">
        <v>1</v>
      </c>
      <c r="G3627">
        <v>0</v>
      </c>
      <c r="H3627">
        <v>1</v>
      </c>
      <c r="I3627">
        <v>0</v>
      </c>
      <c r="J3627">
        <v>1</v>
      </c>
    </row>
    <row r="3628" spans="1:10" x14ac:dyDescent="0.3">
      <c r="A3628" t="s">
        <v>269</v>
      </c>
      <c r="B3628">
        <v>12</v>
      </c>
      <c r="C3628">
        <v>1</v>
      </c>
      <c r="D3628">
        <v>1</v>
      </c>
      <c r="E3628">
        <v>1</v>
      </c>
      <c r="F3628">
        <v>1</v>
      </c>
      <c r="G3628">
        <v>1</v>
      </c>
      <c r="H3628">
        <v>1</v>
      </c>
      <c r="I3628">
        <v>1</v>
      </c>
      <c r="J3628">
        <v>1</v>
      </c>
    </row>
    <row r="3629" spans="1:10" x14ac:dyDescent="0.3">
      <c r="A3629" t="s">
        <v>270</v>
      </c>
      <c r="B3629">
        <v>12</v>
      </c>
      <c r="C3629">
        <v>69</v>
      </c>
      <c r="D3629">
        <v>15</v>
      </c>
      <c r="E3629">
        <v>89</v>
      </c>
      <c r="F3629">
        <v>107</v>
      </c>
      <c r="G3629">
        <v>15</v>
      </c>
      <c r="H3629">
        <v>35</v>
      </c>
      <c r="I3629">
        <v>89</v>
      </c>
      <c r="J3629">
        <v>107</v>
      </c>
    </row>
    <row r="3630" spans="1:10" x14ac:dyDescent="0.3">
      <c r="A3630" t="s">
        <v>271</v>
      </c>
      <c r="B3630">
        <v>12</v>
      </c>
      <c r="C3630">
        <v>89</v>
      </c>
      <c r="D3630">
        <v>69</v>
      </c>
      <c r="E3630">
        <v>107</v>
      </c>
      <c r="F3630">
        <v>15</v>
      </c>
      <c r="G3630">
        <v>35</v>
      </c>
      <c r="H3630">
        <v>89</v>
      </c>
      <c r="I3630">
        <v>107</v>
      </c>
      <c r="J3630">
        <v>15</v>
      </c>
    </row>
    <row r="3631" spans="1:10" x14ac:dyDescent="0.3">
      <c r="A3631" t="s">
        <v>272</v>
      </c>
      <c r="B3631">
        <v>12</v>
      </c>
      <c r="C3631">
        <v>83.4</v>
      </c>
      <c r="D3631">
        <v>63.2</v>
      </c>
      <c r="E3631">
        <v>99.3</v>
      </c>
      <c r="F3631">
        <v>8.4</v>
      </c>
      <c r="G3631">
        <v>29.4</v>
      </c>
      <c r="H3631">
        <v>81.3</v>
      </c>
      <c r="I3631">
        <v>99.3</v>
      </c>
      <c r="J3631">
        <v>8.4</v>
      </c>
    </row>
    <row r="3632" spans="1:10" x14ac:dyDescent="0.3">
      <c r="A3632" t="s">
        <v>273</v>
      </c>
      <c r="B3632">
        <v>12</v>
      </c>
      <c r="C3632">
        <v>83.4</v>
      </c>
      <c r="D3632">
        <v>63.2</v>
      </c>
      <c r="E3632">
        <v>99.3</v>
      </c>
      <c r="F3632">
        <v>8.4</v>
      </c>
      <c r="G3632">
        <v>29.4</v>
      </c>
      <c r="H3632">
        <v>81.3</v>
      </c>
      <c r="I3632">
        <v>99.3</v>
      </c>
      <c r="J3632">
        <v>8.4</v>
      </c>
    </row>
    <row r="3633" spans="1:18" x14ac:dyDescent="0.3">
      <c r="A3633" t="s">
        <v>274</v>
      </c>
      <c r="B3633">
        <v>12</v>
      </c>
      <c r="C3633">
        <v>54</v>
      </c>
      <c r="D3633">
        <v>0</v>
      </c>
      <c r="E3633">
        <v>74</v>
      </c>
      <c r="F3633">
        <v>92</v>
      </c>
      <c r="G3633">
        <v>0</v>
      </c>
      <c r="H3633">
        <v>20</v>
      </c>
      <c r="I3633">
        <v>74</v>
      </c>
      <c r="J3633">
        <v>92</v>
      </c>
    </row>
    <row r="3634" spans="1:18" x14ac:dyDescent="0.3">
      <c r="A3634" t="s">
        <v>275</v>
      </c>
      <c r="B3634">
        <v>12</v>
      </c>
      <c r="C3634">
        <v>68.400000000000006</v>
      </c>
      <c r="D3634">
        <v>48.2</v>
      </c>
      <c r="E3634">
        <v>84.3</v>
      </c>
      <c r="F3634">
        <v>113.4</v>
      </c>
      <c r="G3634">
        <v>14.4</v>
      </c>
      <c r="H3634">
        <v>66.3</v>
      </c>
      <c r="I3634">
        <v>84.3</v>
      </c>
      <c r="J3634">
        <v>113.4</v>
      </c>
    </row>
    <row r="3635" spans="1:18" x14ac:dyDescent="0.3">
      <c r="A3635" t="s">
        <v>276</v>
      </c>
      <c r="B3635">
        <v>12</v>
      </c>
      <c r="C3635">
        <v>68.400000000000006</v>
      </c>
      <c r="D3635">
        <v>48.2</v>
      </c>
      <c r="E3635">
        <v>84.3</v>
      </c>
      <c r="F3635">
        <v>113.4</v>
      </c>
      <c r="G3635">
        <v>14.4</v>
      </c>
      <c r="H3635">
        <v>66.3</v>
      </c>
      <c r="I3635">
        <v>84.3</v>
      </c>
      <c r="J3635">
        <v>113.4</v>
      </c>
    </row>
    <row r="3636" spans="1:18" x14ac:dyDescent="0.3">
      <c r="A3636" t="s">
        <v>681</v>
      </c>
      <c r="B3636">
        <v>12</v>
      </c>
      <c r="C3636">
        <v>26.1</v>
      </c>
      <c r="D3636">
        <v>40.9</v>
      </c>
      <c r="E3636">
        <v>13</v>
      </c>
      <c r="F3636">
        <v>14.3</v>
      </c>
      <c r="G3636">
        <v>11.7</v>
      </c>
      <c r="H3636">
        <v>53.4</v>
      </c>
      <c r="I3636">
        <v>7.4</v>
      </c>
      <c r="J3636">
        <v>19.899999999999999</v>
      </c>
    </row>
    <row r="3637" spans="1:18" x14ac:dyDescent="0.3">
      <c r="A3637" t="s">
        <v>254</v>
      </c>
      <c r="B3637">
        <v>13</v>
      </c>
      <c r="C3637">
        <v>111</v>
      </c>
      <c r="D3637">
        <v>112</v>
      </c>
      <c r="E3637">
        <v>211</v>
      </c>
      <c r="F3637">
        <v>212</v>
      </c>
      <c r="G3637">
        <v>121</v>
      </c>
      <c r="H3637">
        <v>122</v>
      </c>
      <c r="I3637">
        <v>213</v>
      </c>
      <c r="J3637">
        <v>214</v>
      </c>
      <c r="K3637">
        <v>311</v>
      </c>
      <c r="L3637">
        <v>312</v>
      </c>
      <c r="M3637">
        <v>411</v>
      </c>
      <c r="N3637">
        <v>412</v>
      </c>
      <c r="O3637">
        <v>321</v>
      </c>
      <c r="P3637">
        <v>322</v>
      </c>
      <c r="Q3637">
        <v>421</v>
      </c>
      <c r="R3637">
        <v>422</v>
      </c>
    </row>
    <row r="3638" spans="1:18" x14ac:dyDescent="0.3">
      <c r="A3638" t="s">
        <v>255</v>
      </c>
      <c r="B3638">
        <v>13</v>
      </c>
      <c r="D3638">
        <v>12</v>
      </c>
      <c r="E3638">
        <v>8</v>
      </c>
      <c r="F3638">
        <v>8</v>
      </c>
      <c r="G3638">
        <v>5</v>
      </c>
      <c r="H3638">
        <v>12</v>
      </c>
    </row>
    <row r="3639" spans="1:18" x14ac:dyDescent="0.3">
      <c r="A3639" t="s">
        <v>256</v>
      </c>
      <c r="B3639">
        <v>13</v>
      </c>
      <c r="D3639">
        <v>65.7</v>
      </c>
      <c r="E3639">
        <v>10.9</v>
      </c>
      <c r="F3639">
        <v>24.3</v>
      </c>
      <c r="G3639">
        <v>9.9</v>
      </c>
      <c r="H3639">
        <v>49.7</v>
      </c>
    </row>
    <row r="3640" spans="1:18" x14ac:dyDescent="0.3">
      <c r="A3640" t="s">
        <v>257</v>
      </c>
      <c r="B3640">
        <v>13</v>
      </c>
      <c r="D3640">
        <v>6</v>
      </c>
      <c r="E3640">
        <v>3</v>
      </c>
      <c r="F3640">
        <v>3</v>
      </c>
      <c r="G3640">
        <v>3</v>
      </c>
      <c r="H3640">
        <v>6</v>
      </c>
    </row>
    <row r="3641" spans="1:18" x14ac:dyDescent="0.3">
      <c r="A3641" t="s">
        <v>258</v>
      </c>
      <c r="B3641">
        <v>13</v>
      </c>
      <c r="D3641">
        <v>0</v>
      </c>
      <c r="E3641">
        <v>0</v>
      </c>
      <c r="F3641">
        <v>0</v>
      </c>
      <c r="G3641">
        <v>0</v>
      </c>
      <c r="H3641">
        <v>0</v>
      </c>
    </row>
    <row r="3642" spans="1:18" x14ac:dyDescent="0.3">
      <c r="A3642" t="s">
        <v>259</v>
      </c>
      <c r="B3642">
        <v>13</v>
      </c>
      <c r="D3642">
        <v>0</v>
      </c>
      <c r="E3642">
        <v>0</v>
      </c>
      <c r="F3642">
        <v>0</v>
      </c>
      <c r="G3642">
        <v>0</v>
      </c>
      <c r="H3642">
        <v>0</v>
      </c>
    </row>
    <row r="3643" spans="1:18" x14ac:dyDescent="0.3">
      <c r="A3643" t="s">
        <v>260</v>
      </c>
      <c r="B3643">
        <v>13</v>
      </c>
      <c r="D3643">
        <v>3</v>
      </c>
      <c r="E3643">
        <v>3</v>
      </c>
      <c r="F3643">
        <v>3</v>
      </c>
      <c r="G3643">
        <v>3</v>
      </c>
      <c r="H3643">
        <v>3</v>
      </c>
    </row>
    <row r="3644" spans="1:18" x14ac:dyDescent="0.3">
      <c r="A3644" t="s">
        <v>261</v>
      </c>
      <c r="B3644">
        <v>13</v>
      </c>
      <c r="D3644">
        <v>4.3</v>
      </c>
      <c r="E3644">
        <v>4</v>
      </c>
      <c r="F3644">
        <v>4.3</v>
      </c>
      <c r="G3644">
        <v>4.0999999999999996</v>
      </c>
      <c r="H3644">
        <v>4.3</v>
      </c>
    </row>
    <row r="3645" spans="1:18" x14ac:dyDescent="0.3">
      <c r="A3645" t="s">
        <v>262</v>
      </c>
      <c r="B3645">
        <v>13</v>
      </c>
      <c r="D3645">
        <v>2</v>
      </c>
      <c r="E3645">
        <v>2.1</v>
      </c>
      <c r="F3645">
        <v>2.4</v>
      </c>
      <c r="G3645">
        <v>2</v>
      </c>
      <c r="H3645">
        <v>2</v>
      </c>
    </row>
    <row r="3646" spans="1:18" x14ac:dyDescent="0.3">
      <c r="A3646" t="s">
        <v>263</v>
      </c>
      <c r="B3646">
        <v>13</v>
      </c>
      <c r="D3646">
        <v>3</v>
      </c>
      <c r="E3646">
        <v>0</v>
      </c>
      <c r="F3646">
        <v>0</v>
      </c>
      <c r="G3646">
        <v>0</v>
      </c>
      <c r="H3646">
        <v>3</v>
      </c>
    </row>
    <row r="3647" spans="1:18" x14ac:dyDescent="0.3">
      <c r="A3647" t="s">
        <v>264</v>
      </c>
      <c r="B3647">
        <v>13</v>
      </c>
    </row>
    <row r="3648" spans="1:18" x14ac:dyDescent="0.3">
      <c r="A3648" t="s">
        <v>265</v>
      </c>
      <c r="B3648">
        <v>13</v>
      </c>
    </row>
    <row r="3649" spans="1:18" x14ac:dyDescent="0.3">
      <c r="A3649" t="s">
        <v>266</v>
      </c>
      <c r="B3649">
        <v>13</v>
      </c>
    </row>
    <row r="3650" spans="1:18" x14ac:dyDescent="0.3">
      <c r="A3650" t="s">
        <v>267</v>
      </c>
      <c r="B3650">
        <v>13</v>
      </c>
      <c r="D3650">
        <v>20</v>
      </c>
      <c r="E3650">
        <v>15</v>
      </c>
      <c r="F3650">
        <v>15</v>
      </c>
      <c r="G3650">
        <v>12</v>
      </c>
      <c r="H3650">
        <v>20</v>
      </c>
    </row>
    <row r="3651" spans="1:18" x14ac:dyDescent="0.3">
      <c r="A3651" t="s">
        <v>268</v>
      </c>
      <c r="B3651">
        <v>13</v>
      </c>
      <c r="D3651">
        <v>1</v>
      </c>
      <c r="E3651">
        <v>0</v>
      </c>
      <c r="F3651">
        <v>0</v>
      </c>
      <c r="G3651">
        <v>0</v>
      </c>
      <c r="H3651">
        <v>1</v>
      </c>
    </row>
    <row r="3652" spans="1:18" x14ac:dyDescent="0.3">
      <c r="A3652" t="s">
        <v>269</v>
      </c>
      <c r="B3652">
        <v>13</v>
      </c>
      <c r="D3652">
        <v>1</v>
      </c>
      <c r="E3652">
        <v>1</v>
      </c>
      <c r="F3652">
        <v>1</v>
      </c>
      <c r="G3652">
        <v>1</v>
      </c>
      <c r="H3652">
        <v>1</v>
      </c>
    </row>
    <row r="3653" spans="1:18" x14ac:dyDescent="0.3">
      <c r="A3653" t="s">
        <v>270</v>
      </c>
      <c r="B3653">
        <v>13</v>
      </c>
      <c r="D3653">
        <v>20</v>
      </c>
      <c r="E3653">
        <v>92</v>
      </c>
      <c r="F3653">
        <v>109</v>
      </c>
      <c r="G3653">
        <v>20</v>
      </c>
      <c r="H3653">
        <v>36</v>
      </c>
    </row>
    <row r="3654" spans="1:18" x14ac:dyDescent="0.3">
      <c r="A3654" t="s">
        <v>271</v>
      </c>
      <c r="B3654">
        <v>13</v>
      </c>
      <c r="D3654">
        <v>92</v>
      </c>
      <c r="E3654">
        <v>109</v>
      </c>
      <c r="F3654">
        <v>20</v>
      </c>
      <c r="G3654">
        <v>36</v>
      </c>
      <c r="H3654">
        <v>92</v>
      </c>
    </row>
    <row r="3655" spans="1:18" x14ac:dyDescent="0.3">
      <c r="A3655" t="s">
        <v>272</v>
      </c>
      <c r="B3655">
        <v>13</v>
      </c>
      <c r="D3655">
        <v>85.7</v>
      </c>
      <c r="E3655">
        <v>102.9</v>
      </c>
      <c r="F3655">
        <v>13.3</v>
      </c>
      <c r="G3655">
        <v>29.9</v>
      </c>
      <c r="H3655">
        <v>85.7</v>
      </c>
    </row>
    <row r="3656" spans="1:18" x14ac:dyDescent="0.3">
      <c r="A3656" t="s">
        <v>273</v>
      </c>
      <c r="B3656">
        <v>13</v>
      </c>
      <c r="D3656">
        <v>85.7</v>
      </c>
      <c r="E3656">
        <v>102.9</v>
      </c>
      <c r="F3656">
        <v>13.3</v>
      </c>
      <c r="G3656">
        <v>29.9</v>
      </c>
      <c r="H3656">
        <v>85.7</v>
      </c>
    </row>
    <row r="3657" spans="1:18" x14ac:dyDescent="0.3">
      <c r="A3657" t="s">
        <v>274</v>
      </c>
      <c r="B3657">
        <v>13</v>
      </c>
      <c r="D3657">
        <v>0</v>
      </c>
      <c r="E3657">
        <v>72</v>
      </c>
      <c r="F3657">
        <v>89</v>
      </c>
      <c r="G3657">
        <v>0</v>
      </c>
      <c r="H3657">
        <v>16</v>
      </c>
    </row>
    <row r="3658" spans="1:18" x14ac:dyDescent="0.3">
      <c r="A3658" t="s">
        <v>275</v>
      </c>
      <c r="B3658">
        <v>13</v>
      </c>
      <c r="D3658">
        <v>65.7</v>
      </c>
      <c r="E3658">
        <v>82.9</v>
      </c>
      <c r="F3658">
        <v>113.3</v>
      </c>
      <c r="G3658">
        <v>9.9</v>
      </c>
      <c r="H3658">
        <v>65.7</v>
      </c>
    </row>
    <row r="3659" spans="1:18" x14ac:dyDescent="0.3">
      <c r="A3659" t="s">
        <v>276</v>
      </c>
      <c r="B3659">
        <v>13</v>
      </c>
      <c r="D3659">
        <v>65.7</v>
      </c>
      <c r="E3659">
        <v>82.9</v>
      </c>
      <c r="F3659">
        <v>113.3</v>
      </c>
      <c r="G3659">
        <v>9.9</v>
      </c>
      <c r="H3659">
        <v>65.7</v>
      </c>
    </row>
    <row r="3660" spans="1:18" x14ac:dyDescent="0.3">
      <c r="A3660" t="s">
        <v>681</v>
      </c>
      <c r="B3660">
        <v>13</v>
      </c>
      <c r="D3660">
        <v>91.3</v>
      </c>
      <c r="E3660">
        <v>1.6</v>
      </c>
      <c r="F3660">
        <v>8</v>
      </c>
      <c r="G3660">
        <v>7.2</v>
      </c>
      <c r="H3660">
        <v>78</v>
      </c>
    </row>
    <row r="3661" spans="1:18" x14ac:dyDescent="0.3">
      <c r="A3661" t="s">
        <v>254</v>
      </c>
      <c r="B3661">
        <v>14</v>
      </c>
      <c r="C3661">
        <v>111</v>
      </c>
      <c r="D3661">
        <v>112</v>
      </c>
      <c r="E3661">
        <v>211</v>
      </c>
      <c r="F3661">
        <v>212</v>
      </c>
      <c r="G3661">
        <v>121</v>
      </c>
      <c r="H3661">
        <v>122</v>
      </c>
      <c r="I3661">
        <v>221</v>
      </c>
      <c r="J3661">
        <v>222</v>
      </c>
      <c r="K3661">
        <v>311</v>
      </c>
      <c r="L3661">
        <v>312</v>
      </c>
      <c r="M3661">
        <v>411</v>
      </c>
      <c r="N3661">
        <v>412</v>
      </c>
      <c r="O3661">
        <v>321</v>
      </c>
      <c r="P3661">
        <v>322</v>
      </c>
      <c r="Q3661">
        <v>421</v>
      </c>
      <c r="R3661">
        <v>422</v>
      </c>
    </row>
    <row r="3662" spans="1:18" x14ac:dyDescent="0.3">
      <c r="A3662" t="s">
        <v>255</v>
      </c>
      <c r="B3662">
        <v>14</v>
      </c>
      <c r="C3662">
        <v>5</v>
      </c>
      <c r="D3662">
        <v>12</v>
      </c>
      <c r="F3662">
        <v>8</v>
      </c>
      <c r="G3662">
        <v>5</v>
      </c>
      <c r="H3662">
        <v>12</v>
      </c>
      <c r="J3662">
        <v>8</v>
      </c>
    </row>
    <row r="3663" spans="1:18" x14ac:dyDescent="0.3">
      <c r="A3663" t="s">
        <v>256</v>
      </c>
      <c r="B3663">
        <v>14</v>
      </c>
      <c r="C3663">
        <v>9</v>
      </c>
      <c r="D3663">
        <v>57.6</v>
      </c>
      <c r="F3663">
        <v>33.200000000000003</v>
      </c>
      <c r="G3663">
        <v>9</v>
      </c>
      <c r="H3663">
        <v>57.6</v>
      </c>
      <c r="J3663">
        <v>33.200000000000003</v>
      </c>
    </row>
    <row r="3664" spans="1:18" x14ac:dyDescent="0.3">
      <c r="A3664" t="s">
        <v>257</v>
      </c>
      <c r="B3664">
        <v>14</v>
      </c>
      <c r="C3664">
        <v>3</v>
      </c>
      <c r="D3664">
        <v>6</v>
      </c>
      <c r="F3664">
        <v>3</v>
      </c>
      <c r="G3664">
        <v>3</v>
      </c>
      <c r="H3664">
        <v>6</v>
      </c>
      <c r="J3664">
        <v>3</v>
      </c>
    </row>
    <row r="3665" spans="1:10" x14ac:dyDescent="0.3">
      <c r="A3665" t="s">
        <v>258</v>
      </c>
      <c r="B3665">
        <v>14</v>
      </c>
      <c r="C3665">
        <v>0</v>
      </c>
      <c r="D3665">
        <v>0</v>
      </c>
      <c r="F3665">
        <v>0</v>
      </c>
      <c r="G3665">
        <v>0</v>
      </c>
      <c r="H3665">
        <v>0</v>
      </c>
      <c r="J3665">
        <v>0</v>
      </c>
    </row>
    <row r="3666" spans="1:10" x14ac:dyDescent="0.3">
      <c r="A3666" t="s">
        <v>259</v>
      </c>
      <c r="B3666">
        <v>14</v>
      </c>
      <c r="C3666">
        <v>0</v>
      </c>
      <c r="D3666">
        <v>0</v>
      </c>
      <c r="F3666">
        <v>0</v>
      </c>
      <c r="G3666">
        <v>0</v>
      </c>
      <c r="H3666">
        <v>0</v>
      </c>
      <c r="J3666">
        <v>0</v>
      </c>
    </row>
    <row r="3667" spans="1:10" x14ac:dyDescent="0.3">
      <c r="A3667" t="s">
        <v>260</v>
      </c>
      <c r="B3667">
        <v>14</v>
      </c>
      <c r="C3667">
        <v>3</v>
      </c>
      <c r="D3667">
        <v>3</v>
      </c>
      <c r="F3667">
        <v>3</v>
      </c>
      <c r="G3667">
        <v>3</v>
      </c>
      <c r="H3667">
        <v>3</v>
      </c>
      <c r="J3667">
        <v>3</v>
      </c>
    </row>
    <row r="3668" spans="1:10" x14ac:dyDescent="0.3">
      <c r="A3668" t="s">
        <v>261</v>
      </c>
      <c r="B3668">
        <v>14</v>
      </c>
      <c r="C3668">
        <v>4</v>
      </c>
      <c r="D3668">
        <v>5.4</v>
      </c>
      <c r="F3668">
        <v>4.8</v>
      </c>
      <c r="G3668">
        <v>4</v>
      </c>
      <c r="H3668">
        <v>5.4</v>
      </c>
      <c r="J3668">
        <v>4.8</v>
      </c>
    </row>
    <row r="3669" spans="1:10" x14ac:dyDescent="0.3">
      <c r="A3669" t="s">
        <v>262</v>
      </c>
      <c r="B3669">
        <v>14</v>
      </c>
      <c r="C3669">
        <v>2</v>
      </c>
      <c r="D3669">
        <v>2</v>
      </c>
      <c r="F3669">
        <v>2</v>
      </c>
      <c r="G3669">
        <v>2</v>
      </c>
      <c r="H3669">
        <v>2</v>
      </c>
      <c r="J3669">
        <v>2</v>
      </c>
    </row>
    <row r="3670" spans="1:10" x14ac:dyDescent="0.3">
      <c r="A3670" t="s">
        <v>263</v>
      </c>
      <c r="B3670">
        <v>14</v>
      </c>
      <c r="C3670">
        <v>0</v>
      </c>
      <c r="D3670">
        <v>3</v>
      </c>
      <c r="F3670">
        <v>0</v>
      </c>
      <c r="G3670">
        <v>0</v>
      </c>
      <c r="H3670">
        <v>3</v>
      </c>
      <c r="J3670">
        <v>0</v>
      </c>
    </row>
    <row r="3671" spans="1:10" x14ac:dyDescent="0.3">
      <c r="A3671" t="s">
        <v>264</v>
      </c>
      <c r="B3671">
        <v>14</v>
      </c>
    </row>
    <row r="3672" spans="1:10" x14ac:dyDescent="0.3">
      <c r="A3672" t="s">
        <v>265</v>
      </c>
      <c r="B3672">
        <v>14</v>
      </c>
    </row>
    <row r="3673" spans="1:10" x14ac:dyDescent="0.3">
      <c r="A3673" t="s">
        <v>266</v>
      </c>
      <c r="B3673">
        <v>14</v>
      </c>
    </row>
    <row r="3674" spans="1:10" x14ac:dyDescent="0.3">
      <c r="A3674" t="s">
        <v>267</v>
      </c>
      <c r="B3674">
        <v>14</v>
      </c>
      <c r="C3674">
        <v>12</v>
      </c>
      <c r="D3674">
        <v>20</v>
      </c>
      <c r="F3674">
        <v>15</v>
      </c>
      <c r="G3674">
        <v>12</v>
      </c>
      <c r="H3674">
        <v>20</v>
      </c>
      <c r="J3674">
        <v>15</v>
      </c>
    </row>
    <row r="3675" spans="1:10" x14ac:dyDescent="0.3">
      <c r="A3675" t="s">
        <v>268</v>
      </c>
      <c r="B3675">
        <v>14</v>
      </c>
      <c r="C3675">
        <v>0</v>
      </c>
      <c r="D3675">
        <v>1</v>
      </c>
      <c r="F3675">
        <v>0</v>
      </c>
      <c r="G3675">
        <v>0</v>
      </c>
      <c r="H3675">
        <v>1</v>
      </c>
      <c r="J3675">
        <v>0</v>
      </c>
    </row>
    <row r="3676" spans="1:10" x14ac:dyDescent="0.3">
      <c r="A3676" t="s">
        <v>269</v>
      </c>
      <c r="B3676">
        <v>14</v>
      </c>
      <c r="C3676">
        <v>1</v>
      </c>
      <c r="D3676">
        <v>1</v>
      </c>
      <c r="F3676">
        <v>1</v>
      </c>
      <c r="G3676">
        <v>1</v>
      </c>
      <c r="H3676">
        <v>1</v>
      </c>
      <c r="J3676">
        <v>1</v>
      </c>
    </row>
    <row r="3677" spans="1:10" x14ac:dyDescent="0.3">
      <c r="A3677" t="s">
        <v>270</v>
      </c>
      <c r="B3677">
        <v>14</v>
      </c>
      <c r="C3677">
        <v>50</v>
      </c>
      <c r="D3677">
        <v>65</v>
      </c>
      <c r="F3677">
        <v>10</v>
      </c>
      <c r="G3677">
        <v>50</v>
      </c>
      <c r="H3677">
        <v>65</v>
      </c>
      <c r="J3677">
        <v>10</v>
      </c>
    </row>
    <row r="3678" spans="1:10" x14ac:dyDescent="0.3">
      <c r="A3678" t="s">
        <v>271</v>
      </c>
      <c r="B3678">
        <v>14</v>
      </c>
      <c r="C3678">
        <v>65</v>
      </c>
      <c r="D3678">
        <v>10</v>
      </c>
      <c r="F3678">
        <v>50</v>
      </c>
      <c r="G3678">
        <v>65</v>
      </c>
      <c r="H3678">
        <v>10</v>
      </c>
      <c r="J3678">
        <v>50</v>
      </c>
    </row>
    <row r="3679" spans="1:10" x14ac:dyDescent="0.3">
      <c r="A3679" t="s">
        <v>272</v>
      </c>
      <c r="B3679">
        <v>14</v>
      </c>
      <c r="C3679">
        <v>59</v>
      </c>
      <c r="D3679">
        <v>2.6</v>
      </c>
      <c r="F3679">
        <v>43.2</v>
      </c>
      <c r="G3679">
        <v>59</v>
      </c>
      <c r="H3679">
        <v>2.6</v>
      </c>
      <c r="J3679">
        <v>43.2</v>
      </c>
    </row>
    <row r="3680" spans="1:10" x14ac:dyDescent="0.3">
      <c r="A3680" t="s">
        <v>273</v>
      </c>
      <c r="B3680">
        <v>14</v>
      </c>
      <c r="C3680">
        <v>59</v>
      </c>
      <c r="D3680">
        <v>2.6</v>
      </c>
      <c r="F3680">
        <v>43.2</v>
      </c>
      <c r="G3680">
        <v>59</v>
      </c>
      <c r="H3680">
        <v>2.6</v>
      </c>
      <c r="J3680">
        <v>43.2</v>
      </c>
    </row>
    <row r="3681" spans="1:18" x14ac:dyDescent="0.3">
      <c r="A3681" t="s">
        <v>274</v>
      </c>
      <c r="B3681">
        <v>14</v>
      </c>
      <c r="C3681">
        <v>105</v>
      </c>
      <c r="D3681">
        <v>0</v>
      </c>
      <c r="F3681">
        <v>65</v>
      </c>
      <c r="G3681">
        <v>105</v>
      </c>
      <c r="H3681">
        <v>0</v>
      </c>
      <c r="J3681">
        <v>65</v>
      </c>
    </row>
    <row r="3682" spans="1:18" x14ac:dyDescent="0.3">
      <c r="A3682" t="s">
        <v>275</v>
      </c>
      <c r="B3682">
        <v>14</v>
      </c>
      <c r="C3682">
        <v>114</v>
      </c>
      <c r="D3682">
        <v>57.6</v>
      </c>
      <c r="F3682">
        <v>98.2</v>
      </c>
      <c r="G3682">
        <v>114</v>
      </c>
      <c r="H3682">
        <v>57.6</v>
      </c>
      <c r="J3682">
        <v>98.2</v>
      </c>
    </row>
    <row r="3683" spans="1:18" x14ac:dyDescent="0.3">
      <c r="A3683" t="s">
        <v>276</v>
      </c>
      <c r="B3683">
        <v>14</v>
      </c>
      <c r="C3683">
        <v>114</v>
      </c>
      <c r="D3683">
        <v>57.6</v>
      </c>
      <c r="F3683">
        <v>98.2</v>
      </c>
      <c r="G3683">
        <v>114</v>
      </c>
      <c r="H3683">
        <v>57.6</v>
      </c>
      <c r="J3683">
        <v>98.2</v>
      </c>
    </row>
    <row r="3684" spans="1:18" x14ac:dyDescent="0.3">
      <c r="A3684" t="s">
        <v>681</v>
      </c>
      <c r="B3684">
        <v>14</v>
      </c>
      <c r="C3684">
        <v>2.4</v>
      </c>
      <c r="D3684">
        <v>83.5</v>
      </c>
      <c r="F3684">
        <v>13.9</v>
      </c>
      <c r="G3684">
        <v>3.7</v>
      </c>
      <c r="H3684">
        <v>82.2</v>
      </c>
      <c r="J3684">
        <v>13.9</v>
      </c>
    </row>
    <row r="3685" spans="1:18" x14ac:dyDescent="0.3">
      <c r="A3685" t="s">
        <v>254</v>
      </c>
      <c r="B3685">
        <v>15</v>
      </c>
      <c r="C3685">
        <v>111</v>
      </c>
      <c r="D3685">
        <v>112</v>
      </c>
      <c r="E3685">
        <v>211</v>
      </c>
      <c r="F3685">
        <v>212</v>
      </c>
      <c r="G3685">
        <v>121</v>
      </c>
      <c r="H3685">
        <v>122</v>
      </c>
      <c r="I3685">
        <v>213</v>
      </c>
      <c r="J3685">
        <v>214</v>
      </c>
      <c r="K3685">
        <v>311</v>
      </c>
      <c r="L3685">
        <v>312</v>
      </c>
      <c r="M3685">
        <v>411</v>
      </c>
      <c r="N3685">
        <v>412</v>
      </c>
      <c r="O3685">
        <v>321</v>
      </c>
      <c r="P3685">
        <v>322</v>
      </c>
      <c r="Q3685">
        <v>421</v>
      </c>
      <c r="R3685">
        <v>422</v>
      </c>
    </row>
    <row r="3686" spans="1:18" x14ac:dyDescent="0.3">
      <c r="A3686" t="s">
        <v>255</v>
      </c>
      <c r="B3686">
        <v>15</v>
      </c>
      <c r="C3686">
        <v>5</v>
      </c>
      <c r="D3686">
        <v>12</v>
      </c>
      <c r="E3686">
        <v>8</v>
      </c>
      <c r="F3686">
        <v>8</v>
      </c>
      <c r="G3686">
        <v>5</v>
      </c>
      <c r="H3686">
        <v>12</v>
      </c>
    </row>
    <row r="3687" spans="1:18" x14ac:dyDescent="0.3">
      <c r="A3687" t="s">
        <v>256</v>
      </c>
      <c r="B3687">
        <v>15</v>
      </c>
      <c r="C3687">
        <v>9</v>
      </c>
      <c r="D3687">
        <v>54.6</v>
      </c>
      <c r="E3687">
        <v>14.2</v>
      </c>
      <c r="F3687">
        <v>15.2</v>
      </c>
      <c r="G3687">
        <v>9</v>
      </c>
      <c r="H3687">
        <v>54.6</v>
      </c>
    </row>
    <row r="3688" spans="1:18" x14ac:dyDescent="0.3">
      <c r="A3688" t="s">
        <v>257</v>
      </c>
      <c r="B3688">
        <v>15</v>
      </c>
      <c r="C3688">
        <v>3</v>
      </c>
      <c r="D3688">
        <v>6</v>
      </c>
      <c r="E3688">
        <v>3</v>
      </c>
      <c r="F3688">
        <v>3</v>
      </c>
      <c r="G3688">
        <v>3</v>
      </c>
      <c r="H3688">
        <v>6</v>
      </c>
    </row>
    <row r="3689" spans="1:18" x14ac:dyDescent="0.3">
      <c r="A3689" t="s">
        <v>258</v>
      </c>
      <c r="B3689">
        <v>15</v>
      </c>
      <c r="C3689">
        <v>0</v>
      </c>
      <c r="D3689">
        <v>0</v>
      </c>
      <c r="E3689">
        <v>0</v>
      </c>
      <c r="F3689">
        <v>0</v>
      </c>
      <c r="G3689">
        <v>0</v>
      </c>
      <c r="H3689">
        <v>0</v>
      </c>
    </row>
    <row r="3690" spans="1:18" x14ac:dyDescent="0.3">
      <c r="A3690" t="s">
        <v>259</v>
      </c>
      <c r="B3690">
        <v>15</v>
      </c>
      <c r="C3690">
        <v>0</v>
      </c>
      <c r="D3690">
        <v>0</v>
      </c>
      <c r="E3690">
        <v>0</v>
      </c>
      <c r="F3690">
        <v>0</v>
      </c>
      <c r="G3690">
        <v>0</v>
      </c>
      <c r="H3690">
        <v>0</v>
      </c>
    </row>
    <row r="3691" spans="1:18" x14ac:dyDescent="0.3">
      <c r="A3691" t="s">
        <v>260</v>
      </c>
      <c r="B3691">
        <v>15</v>
      </c>
      <c r="C3691">
        <v>3</v>
      </c>
      <c r="D3691">
        <v>3</v>
      </c>
      <c r="E3691">
        <v>3</v>
      </c>
      <c r="F3691">
        <v>3</v>
      </c>
      <c r="G3691">
        <v>3</v>
      </c>
      <c r="H3691">
        <v>3</v>
      </c>
    </row>
    <row r="3692" spans="1:18" x14ac:dyDescent="0.3">
      <c r="A3692" t="s">
        <v>261</v>
      </c>
      <c r="B3692">
        <v>15</v>
      </c>
      <c r="C3692">
        <v>4</v>
      </c>
      <c r="D3692">
        <v>5.4</v>
      </c>
      <c r="E3692">
        <v>4.8</v>
      </c>
      <c r="F3692">
        <v>4.8</v>
      </c>
      <c r="G3692">
        <v>4</v>
      </c>
      <c r="H3692">
        <v>5.4</v>
      </c>
    </row>
    <row r="3693" spans="1:18" x14ac:dyDescent="0.3">
      <c r="A3693" t="s">
        <v>262</v>
      </c>
      <c r="B3693">
        <v>15</v>
      </c>
      <c r="C3693">
        <v>2</v>
      </c>
      <c r="D3693">
        <v>2</v>
      </c>
      <c r="E3693">
        <v>2</v>
      </c>
      <c r="F3693">
        <v>2</v>
      </c>
      <c r="G3693">
        <v>2</v>
      </c>
      <c r="H3693">
        <v>2</v>
      </c>
    </row>
    <row r="3694" spans="1:18" x14ac:dyDescent="0.3">
      <c r="A3694" t="s">
        <v>263</v>
      </c>
      <c r="B3694">
        <v>15</v>
      </c>
      <c r="C3694">
        <v>0</v>
      </c>
      <c r="D3694">
        <v>3</v>
      </c>
      <c r="E3694">
        <v>0</v>
      </c>
      <c r="F3694">
        <v>0</v>
      </c>
      <c r="G3694">
        <v>0</v>
      </c>
      <c r="H3694">
        <v>3</v>
      </c>
    </row>
    <row r="3695" spans="1:18" x14ac:dyDescent="0.3">
      <c r="A3695" t="s">
        <v>264</v>
      </c>
      <c r="B3695">
        <v>15</v>
      </c>
    </row>
    <row r="3696" spans="1:18" x14ac:dyDescent="0.3">
      <c r="A3696" t="s">
        <v>265</v>
      </c>
      <c r="B3696">
        <v>15</v>
      </c>
    </row>
    <row r="3697" spans="1:18" x14ac:dyDescent="0.3">
      <c r="A3697" t="s">
        <v>266</v>
      </c>
      <c r="B3697">
        <v>15</v>
      </c>
    </row>
    <row r="3698" spans="1:18" x14ac:dyDescent="0.3">
      <c r="A3698" t="s">
        <v>267</v>
      </c>
      <c r="B3698">
        <v>15</v>
      </c>
      <c r="C3698">
        <v>12</v>
      </c>
      <c r="D3698">
        <v>20</v>
      </c>
      <c r="E3698">
        <v>15</v>
      </c>
      <c r="F3698">
        <v>15</v>
      </c>
      <c r="G3698">
        <v>12</v>
      </c>
      <c r="H3698">
        <v>20</v>
      </c>
    </row>
    <row r="3699" spans="1:18" x14ac:dyDescent="0.3">
      <c r="A3699" t="s">
        <v>268</v>
      </c>
      <c r="B3699">
        <v>15</v>
      </c>
      <c r="C3699">
        <v>0</v>
      </c>
      <c r="D3699">
        <v>1</v>
      </c>
      <c r="E3699">
        <v>0</v>
      </c>
      <c r="F3699">
        <v>0</v>
      </c>
      <c r="G3699">
        <v>0</v>
      </c>
      <c r="H3699">
        <v>1</v>
      </c>
    </row>
    <row r="3700" spans="1:18" x14ac:dyDescent="0.3">
      <c r="A3700" t="s">
        <v>269</v>
      </c>
      <c r="B3700">
        <v>15</v>
      </c>
      <c r="C3700">
        <v>1</v>
      </c>
      <c r="D3700">
        <v>1</v>
      </c>
      <c r="E3700">
        <v>1</v>
      </c>
      <c r="F3700">
        <v>1</v>
      </c>
      <c r="G3700">
        <v>1</v>
      </c>
      <c r="H3700">
        <v>1</v>
      </c>
    </row>
    <row r="3701" spans="1:18" x14ac:dyDescent="0.3">
      <c r="A3701" t="s">
        <v>270</v>
      </c>
      <c r="B3701">
        <v>15</v>
      </c>
      <c r="C3701">
        <v>85</v>
      </c>
      <c r="D3701">
        <v>100</v>
      </c>
      <c r="E3701">
        <v>42</v>
      </c>
      <c r="F3701">
        <v>63</v>
      </c>
      <c r="G3701">
        <v>85</v>
      </c>
      <c r="H3701">
        <v>100</v>
      </c>
    </row>
    <row r="3702" spans="1:18" x14ac:dyDescent="0.3">
      <c r="A3702" t="s">
        <v>271</v>
      </c>
      <c r="B3702">
        <v>15</v>
      </c>
      <c r="C3702">
        <v>100</v>
      </c>
      <c r="D3702">
        <v>42</v>
      </c>
      <c r="E3702">
        <v>63</v>
      </c>
      <c r="F3702">
        <v>85</v>
      </c>
      <c r="G3702">
        <v>100</v>
      </c>
      <c r="H3702">
        <v>42</v>
      </c>
    </row>
    <row r="3703" spans="1:18" x14ac:dyDescent="0.3">
      <c r="A3703" t="s">
        <v>272</v>
      </c>
      <c r="B3703">
        <v>15</v>
      </c>
      <c r="C3703">
        <v>94</v>
      </c>
      <c r="D3703">
        <v>34.6</v>
      </c>
      <c r="E3703">
        <v>56.2</v>
      </c>
      <c r="F3703">
        <v>78.2</v>
      </c>
      <c r="G3703">
        <v>94</v>
      </c>
      <c r="H3703">
        <v>34.6</v>
      </c>
    </row>
    <row r="3704" spans="1:18" x14ac:dyDescent="0.3">
      <c r="A3704" t="s">
        <v>273</v>
      </c>
      <c r="B3704">
        <v>15</v>
      </c>
      <c r="C3704">
        <v>94</v>
      </c>
      <c r="D3704">
        <v>34.6</v>
      </c>
      <c r="E3704">
        <v>56.2</v>
      </c>
      <c r="F3704">
        <v>78.2</v>
      </c>
      <c r="G3704">
        <v>94</v>
      </c>
      <c r="H3704">
        <v>34.6</v>
      </c>
    </row>
    <row r="3705" spans="1:18" x14ac:dyDescent="0.3">
      <c r="A3705" t="s">
        <v>274</v>
      </c>
      <c r="B3705">
        <v>15</v>
      </c>
      <c r="C3705">
        <v>105</v>
      </c>
      <c r="D3705">
        <v>0</v>
      </c>
      <c r="E3705">
        <v>62</v>
      </c>
      <c r="F3705">
        <v>83</v>
      </c>
      <c r="G3705">
        <v>105</v>
      </c>
      <c r="H3705">
        <v>0</v>
      </c>
    </row>
    <row r="3706" spans="1:18" x14ac:dyDescent="0.3">
      <c r="A3706" t="s">
        <v>275</v>
      </c>
      <c r="B3706">
        <v>15</v>
      </c>
      <c r="C3706">
        <v>114</v>
      </c>
      <c r="D3706">
        <v>54.6</v>
      </c>
      <c r="E3706">
        <v>76.2</v>
      </c>
      <c r="F3706">
        <v>98.2</v>
      </c>
      <c r="G3706">
        <v>114</v>
      </c>
      <c r="H3706">
        <v>54.6</v>
      </c>
    </row>
    <row r="3707" spans="1:18" x14ac:dyDescent="0.3">
      <c r="A3707" t="s">
        <v>276</v>
      </c>
      <c r="B3707">
        <v>15</v>
      </c>
      <c r="C3707">
        <v>114</v>
      </c>
      <c r="D3707">
        <v>54.6</v>
      </c>
      <c r="E3707">
        <v>76.2</v>
      </c>
      <c r="F3707">
        <v>98.2</v>
      </c>
      <c r="G3707">
        <v>114</v>
      </c>
      <c r="H3707">
        <v>54.6</v>
      </c>
    </row>
    <row r="3708" spans="1:18" x14ac:dyDescent="0.3">
      <c r="A3708" t="s">
        <v>681</v>
      </c>
      <c r="B3708">
        <v>15</v>
      </c>
      <c r="C3708">
        <v>1.4</v>
      </c>
      <c r="D3708">
        <v>81.3</v>
      </c>
      <c r="E3708">
        <v>5.2</v>
      </c>
      <c r="F3708">
        <v>5.0999999999999996</v>
      </c>
      <c r="G3708">
        <v>6.4</v>
      </c>
      <c r="H3708">
        <v>76.3</v>
      </c>
    </row>
    <row r="3709" spans="1:18" x14ac:dyDescent="0.3">
      <c r="A3709" t="s">
        <v>254</v>
      </c>
      <c r="B3709">
        <v>16</v>
      </c>
      <c r="C3709">
        <v>111</v>
      </c>
      <c r="D3709">
        <v>112</v>
      </c>
      <c r="E3709">
        <v>211</v>
      </c>
      <c r="F3709">
        <v>212</v>
      </c>
      <c r="G3709">
        <v>121</v>
      </c>
      <c r="H3709">
        <v>122</v>
      </c>
      <c r="I3709">
        <v>221</v>
      </c>
      <c r="J3709">
        <v>222</v>
      </c>
      <c r="K3709">
        <v>311</v>
      </c>
      <c r="L3709">
        <v>312</v>
      </c>
      <c r="M3709">
        <v>411</v>
      </c>
      <c r="N3709">
        <v>412</v>
      </c>
      <c r="O3709">
        <v>321</v>
      </c>
      <c r="P3709">
        <v>322</v>
      </c>
      <c r="Q3709">
        <v>421</v>
      </c>
      <c r="R3709">
        <v>422</v>
      </c>
    </row>
    <row r="3710" spans="1:18" x14ac:dyDescent="0.3">
      <c r="A3710" t="s">
        <v>255</v>
      </c>
      <c r="B3710">
        <v>16</v>
      </c>
      <c r="D3710">
        <v>12</v>
      </c>
      <c r="F3710">
        <v>8</v>
      </c>
      <c r="G3710">
        <v>4</v>
      </c>
      <c r="H3710">
        <v>12</v>
      </c>
      <c r="J3710">
        <v>8</v>
      </c>
    </row>
    <row r="3711" spans="1:18" x14ac:dyDescent="0.3">
      <c r="A3711" t="s">
        <v>256</v>
      </c>
      <c r="B3711">
        <v>16</v>
      </c>
      <c r="D3711">
        <v>78.5</v>
      </c>
      <c r="F3711">
        <v>28.4</v>
      </c>
      <c r="G3711">
        <v>10</v>
      </c>
      <c r="H3711">
        <v>64.5</v>
      </c>
      <c r="J3711">
        <v>28.4</v>
      </c>
    </row>
    <row r="3712" spans="1:18" x14ac:dyDescent="0.3">
      <c r="A3712" t="s">
        <v>257</v>
      </c>
      <c r="B3712">
        <v>16</v>
      </c>
      <c r="D3712">
        <v>6</v>
      </c>
      <c r="F3712">
        <v>3</v>
      </c>
      <c r="G3712">
        <v>3</v>
      </c>
      <c r="H3712">
        <v>6</v>
      </c>
      <c r="J3712">
        <v>3</v>
      </c>
    </row>
    <row r="3713" spans="1:10" x14ac:dyDescent="0.3">
      <c r="A3713" t="s">
        <v>258</v>
      </c>
      <c r="B3713">
        <v>16</v>
      </c>
      <c r="D3713">
        <v>0</v>
      </c>
      <c r="F3713">
        <v>0</v>
      </c>
      <c r="G3713">
        <v>0</v>
      </c>
      <c r="H3713">
        <v>0</v>
      </c>
      <c r="J3713">
        <v>0</v>
      </c>
    </row>
    <row r="3714" spans="1:10" x14ac:dyDescent="0.3">
      <c r="A3714" t="s">
        <v>259</v>
      </c>
      <c r="B3714">
        <v>16</v>
      </c>
      <c r="D3714">
        <v>0</v>
      </c>
      <c r="F3714">
        <v>0</v>
      </c>
      <c r="G3714">
        <v>0</v>
      </c>
      <c r="H3714">
        <v>0</v>
      </c>
      <c r="J3714">
        <v>0</v>
      </c>
    </row>
    <row r="3715" spans="1:10" x14ac:dyDescent="0.3">
      <c r="A3715" t="s">
        <v>260</v>
      </c>
      <c r="B3715">
        <v>16</v>
      </c>
      <c r="D3715">
        <v>3</v>
      </c>
      <c r="F3715">
        <v>3</v>
      </c>
      <c r="G3715">
        <v>3</v>
      </c>
      <c r="H3715">
        <v>3</v>
      </c>
      <c r="J3715">
        <v>3</v>
      </c>
    </row>
    <row r="3716" spans="1:10" x14ac:dyDescent="0.3">
      <c r="A3716" t="s">
        <v>261</v>
      </c>
      <c r="B3716">
        <v>16</v>
      </c>
      <c r="D3716">
        <v>4.5</v>
      </c>
      <c r="F3716">
        <v>4.5999999999999996</v>
      </c>
      <c r="G3716">
        <v>3.5</v>
      </c>
      <c r="H3716">
        <v>4.5</v>
      </c>
      <c r="J3716">
        <v>4.5999999999999996</v>
      </c>
    </row>
    <row r="3717" spans="1:10" x14ac:dyDescent="0.3">
      <c r="A3717" t="s">
        <v>262</v>
      </c>
      <c r="B3717">
        <v>16</v>
      </c>
      <c r="D3717">
        <v>2</v>
      </c>
      <c r="F3717">
        <v>2</v>
      </c>
      <c r="G3717">
        <v>0.5</v>
      </c>
      <c r="H3717">
        <v>2</v>
      </c>
      <c r="J3717">
        <v>2</v>
      </c>
    </row>
    <row r="3718" spans="1:10" x14ac:dyDescent="0.3">
      <c r="A3718" t="s">
        <v>263</v>
      </c>
      <c r="B3718">
        <v>16</v>
      </c>
      <c r="D3718">
        <v>3</v>
      </c>
      <c r="F3718">
        <v>0</v>
      </c>
      <c r="G3718">
        <v>0</v>
      </c>
      <c r="H3718">
        <v>3</v>
      </c>
      <c r="J3718">
        <v>0</v>
      </c>
    </row>
    <row r="3719" spans="1:10" x14ac:dyDescent="0.3">
      <c r="A3719" t="s">
        <v>264</v>
      </c>
      <c r="B3719">
        <v>16</v>
      </c>
    </row>
    <row r="3720" spans="1:10" x14ac:dyDescent="0.3">
      <c r="A3720" t="s">
        <v>265</v>
      </c>
      <c r="B3720">
        <v>16</v>
      </c>
    </row>
    <row r="3721" spans="1:10" x14ac:dyDescent="0.3">
      <c r="A3721" t="s">
        <v>266</v>
      </c>
      <c r="B3721">
        <v>16</v>
      </c>
    </row>
    <row r="3722" spans="1:10" x14ac:dyDescent="0.3">
      <c r="A3722" t="s">
        <v>267</v>
      </c>
      <c r="B3722">
        <v>16</v>
      </c>
      <c r="D3722">
        <v>20</v>
      </c>
      <c r="F3722">
        <v>15</v>
      </c>
      <c r="G3722">
        <v>12</v>
      </c>
      <c r="H3722">
        <v>20</v>
      </c>
      <c r="J3722">
        <v>15</v>
      </c>
    </row>
    <row r="3723" spans="1:10" x14ac:dyDescent="0.3">
      <c r="A3723" t="s">
        <v>268</v>
      </c>
      <c r="B3723">
        <v>16</v>
      </c>
      <c r="D3723">
        <v>1</v>
      </c>
      <c r="F3723">
        <v>1</v>
      </c>
      <c r="G3723">
        <v>0</v>
      </c>
      <c r="H3723">
        <v>1</v>
      </c>
      <c r="J3723">
        <v>1</v>
      </c>
    </row>
    <row r="3724" spans="1:10" x14ac:dyDescent="0.3">
      <c r="A3724" t="s">
        <v>269</v>
      </c>
      <c r="B3724">
        <v>16</v>
      </c>
      <c r="D3724">
        <v>1</v>
      </c>
      <c r="F3724">
        <v>1</v>
      </c>
      <c r="G3724">
        <v>1</v>
      </c>
      <c r="H3724">
        <v>1</v>
      </c>
      <c r="J3724">
        <v>1</v>
      </c>
    </row>
    <row r="3725" spans="1:10" x14ac:dyDescent="0.3">
      <c r="A3725" t="s">
        <v>270</v>
      </c>
      <c r="B3725">
        <v>16</v>
      </c>
      <c r="D3725">
        <v>100</v>
      </c>
      <c r="F3725">
        <v>65</v>
      </c>
      <c r="G3725">
        <v>100</v>
      </c>
      <c r="H3725">
        <v>114</v>
      </c>
      <c r="J3725">
        <v>65</v>
      </c>
    </row>
    <row r="3726" spans="1:10" x14ac:dyDescent="0.3">
      <c r="A3726" t="s">
        <v>271</v>
      </c>
      <c r="B3726">
        <v>16</v>
      </c>
      <c r="D3726">
        <v>65</v>
      </c>
      <c r="F3726">
        <v>100</v>
      </c>
      <c r="G3726">
        <v>114</v>
      </c>
      <c r="H3726">
        <v>65</v>
      </c>
      <c r="J3726">
        <v>100</v>
      </c>
    </row>
    <row r="3727" spans="1:10" x14ac:dyDescent="0.3">
      <c r="A3727" t="s">
        <v>272</v>
      </c>
      <c r="B3727">
        <v>16</v>
      </c>
      <c r="D3727">
        <v>58.5</v>
      </c>
      <c r="F3727">
        <v>93.4</v>
      </c>
      <c r="G3727">
        <v>110</v>
      </c>
      <c r="H3727">
        <v>58.5</v>
      </c>
      <c r="J3727">
        <v>93.4</v>
      </c>
    </row>
    <row r="3728" spans="1:10" x14ac:dyDescent="0.3">
      <c r="A3728" t="s">
        <v>273</v>
      </c>
      <c r="B3728">
        <v>16</v>
      </c>
      <c r="D3728">
        <v>58.5</v>
      </c>
      <c r="F3728">
        <v>93.4</v>
      </c>
      <c r="G3728">
        <v>110</v>
      </c>
      <c r="H3728">
        <v>58.5</v>
      </c>
      <c r="J3728">
        <v>93.4</v>
      </c>
    </row>
    <row r="3729" spans="1:18" x14ac:dyDescent="0.3">
      <c r="A3729" t="s">
        <v>274</v>
      </c>
      <c r="B3729">
        <v>16</v>
      </c>
      <c r="D3729">
        <v>0</v>
      </c>
      <c r="F3729">
        <v>85</v>
      </c>
      <c r="G3729">
        <v>0</v>
      </c>
      <c r="H3729">
        <v>14</v>
      </c>
      <c r="J3729">
        <v>85</v>
      </c>
    </row>
    <row r="3730" spans="1:18" x14ac:dyDescent="0.3">
      <c r="A3730" t="s">
        <v>275</v>
      </c>
      <c r="B3730">
        <v>16</v>
      </c>
      <c r="D3730">
        <v>78.5</v>
      </c>
      <c r="F3730">
        <v>113.4</v>
      </c>
      <c r="G3730">
        <v>10</v>
      </c>
      <c r="H3730">
        <v>78.5</v>
      </c>
      <c r="J3730">
        <v>113.4</v>
      </c>
    </row>
    <row r="3731" spans="1:18" x14ac:dyDescent="0.3">
      <c r="A3731" t="s">
        <v>276</v>
      </c>
      <c r="B3731">
        <v>16</v>
      </c>
      <c r="D3731">
        <v>78.5</v>
      </c>
      <c r="F3731">
        <v>113.4</v>
      </c>
      <c r="G3731">
        <v>10</v>
      </c>
      <c r="H3731">
        <v>78.5</v>
      </c>
      <c r="J3731">
        <v>113.4</v>
      </c>
    </row>
    <row r="3732" spans="1:18" x14ac:dyDescent="0.3">
      <c r="A3732" t="s">
        <v>681</v>
      </c>
      <c r="B3732">
        <v>16</v>
      </c>
      <c r="D3732">
        <v>101.6</v>
      </c>
      <c r="F3732">
        <v>5.3</v>
      </c>
      <c r="G3732">
        <v>1.2</v>
      </c>
      <c r="H3732">
        <v>96.4</v>
      </c>
      <c r="J3732">
        <v>5.3</v>
      </c>
    </row>
    <row r="3733" spans="1:18" x14ac:dyDescent="0.3">
      <c r="A3733" t="s">
        <v>254</v>
      </c>
      <c r="B3733">
        <v>19</v>
      </c>
      <c r="C3733">
        <v>111</v>
      </c>
      <c r="D3733">
        <v>112</v>
      </c>
      <c r="E3733">
        <v>211</v>
      </c>
      <c r="F3733">
        <v>212</v>
      </c>
      <c r="G3733">
        <v>121</v>
      </c>
      <c r="H3733">
        <v>122</v>
      </c>
      <c r="I3733">
        <v>221</v>
      </c>
      <c r="J3733">
        <v>222</v>
      </c>
      <c r="K3733">
        <v>311</v>
      </c>
      <c r="L3733">
        <v>312</v>
      </c>
      <c r="M3733">
        <v>411</v>
      </c>
      <c r="N3733">
        <v>412</v>
      </c>
      <c r="O3733">
        <v>321</v>
      </c>
      <c r="P3733">
        <v>322</v>
      </c>
      <c r="Q3733">
        <v>421</v>
      </c>
      <c r="R3733">
        <v>422</v>
      </c>
    </row>
    <row r="3734" spans="1:18" x14ac:dyDescent="0.3">
      <c r="A3734" t="s">
        <v>255</v>
      </c>
      <c r="B3734">
        <v>19</v>
      </c>
      <c r="C3734">
        <v>6</v>
      </c>
      <c r="D3734">
        <v>15</v>
      </c>
      <c r="G3734">
        <v>6</v>
      </c>
      <c r="H3734">
        <v>1</v>
      </c>
      <c r="J3734">
        <v>8</v>
      </c>
    </row>
    <row r="3735" spans="1:18" x14ac:dyDescent="0.3">
      <c r="A3735" t="s">
        <v>256</v>
      </c>
      <c r="B3735">
        <v>19</v>
      </c>
      <c r="C3735">
        <v>9</v>
      </c>
      <c r="D3735">
        <v>53</v>
      </c>
      <c r="G3735">
        <v>9</v>
      </c>
      <c r="H3735">
        <v>53</v>
      </c>
      <c r="J3735">
        <v>38.200000000000003</v>
      </c>
    </row>
    <row r="3736" spans="1:18" x14ac:dyDescent="0.3">
      <c r="A3736" t="s">
        <v>257</v>
      </c>
      <c r="B3736">
        <v>19</v>
      </c>
      <c r="C3736">
        <v>3</v>
      </c>
      <c r="D3736">
        <v>6</v>
      </c>
      <c r="G3736">
        <v>3</v>
      </c>
      <c r="H3736">
        <v>6</v>
      </c>
      <c r="J3736">
        <v>3</v>
      </c>
    </row>
    <row r="3737" spans="1:18" x14ac:dyDescent="0.3">
      <c r="A3737" t="s">
        <v>258</v>
      </c>
      <c r="B3737">
        <v>19</v>
      </c>
      <c r="C3737">
        <v>0</v>
      </c>
      <c r="D3737">
        <v>0</v>
      </c>
      <c r="G3737">
        <v>0</v>
      </c>
      <c r="H3737">
        <v>0</v>
      </c>
      <c r="J3737">
        <v>0</v>
      </c>
    </row>
    <row r="3738" spans="1:18" x14ac:dyDescent="0.3">
      <c r="A3738" t="s">
        <v>259</v>
      </c>
      <c r="B3738">
        <v>19</v>
      </c>
      <c r="C3738">
        <v>0</v>
      </c>
      <c r="D3738">
        <v>0</v>
      </c>
      <c r="G3738">
        <v>0</v>
      </c>
      <c r="H3738">
        <v>0</v>
      </c>
      <c r="J3738">
        <v>0</v>
      </c>
    </row>
    <row r="3739" spans="1:18" x14ac:dyDescent="0.3">
      <c r="A3739" t="s">
        <v>260</v>
      </c>
      <c r="B3739">
        <v>19</v>
      </c>
      <c r="C3739">
        <v>3</v>
      </c>
      <c r="D3739">
        <v>3</v>
      </c>
      <c r="G3739">
        <v>3</v>
      </c>
      <c r="H3739">
        <v>3</v>
      </c>
      <c r="J3739">
        <v>3</v>
      </c>
    </row>
    <row r="3740" spans="1:18" x14ac:dyDescent="0.3">
      <c r="A3740" t="s">
        <v>261</v>
      </c>
      <c r="B3740">
        <v>19</v>
      </c>
      <c r="C3740">
        <v>4</v>
      </c>
      <c r="D3740">
        <v>5</v>
      </c>
      <c r="G3740">
        <v>4</v>
      </c>
      <c r="H3740">
        <v>5</v>
      </c>
      <c r="J3740">
        <v>4.8</v>
      </c>
    </row>
    <row r="3741" spans="1:18" x14ac:dyDescent="0.3">
      <c r="A3741" t="s">
        <v>262</v>
      </c>
      <c r="B3741">
        <v>19</v>
      </c>
      <c r="C3741">
        <v>2</v>
      </c>
      <c r="D3741">
        <v>2</v>
      </c>
      <c r="G3741">
        <v>2</v>
      </c>
      <c r="H3741">
        <v>2</v>
      </c>
      <c r="J3741">
        <v>2</v>
      </c>
    </row>
    <row r="3742" spans="1:18" x14ac:dyDescent="0.3">
      <c r="A3742" t="s">
        <v>263</v>
      </c>
      <c r="B3742">
        <v>19</v>
      </c>
      <c r="C3742">
        <v>0</v>
      </c>
      <c r="D3742">
        <v>3</v>
      </c>
      <c r="G3742">
        <v>0</v>
      </c>
      <c r="H3742">
        <v>3</v>
      </c>
      <c r="J3742">
        <v>0</v>
      </c>
    </row>
    <row r="3743" spans="1:18" x14ac:dyDescent="0.3">
      <c r="A3743" t="s">
        <v>264</v>
      </c>
      <c r="B3743">
        <v>19</v>
      </c>
    </row>
    <row r="3744" spans="1:18" x14ac:dyDescent="0.3">
      <c r="A3744" t="s">
        <v>265</v>
      </c>
      <c r="B3744">
        <v>19</v>
      </c>
    </row>
    <row r="3745" spans="1:18" x14ac:dyDescent="0.3">
      <c r="A3745" t="s">
        <v>266</v>
      </c>
      <c r="B3745">
        <v>19</v>
      </c>
    </row>
    <row r="3746" spans="1:18" x14ac:dyDescent="0.3">
      <c r="A3746" t="s">
        <v>267</v>
      </c>
      <c r="B3746">
        <v>19</v>
      </c>
      <c r="C3746">
        <v>13</v>
      </c>
      <c r="D3746">
        <v>22</v>
      </c>
      <c r="G3746">
        <v>13</v>
      </c>
      <c r="H3746">
        <v>22</v>
      </c>
      <c r="J3746">
        <v>15</v>
      </c>
    </row>
    <row r="3747" spans="1:18" x14ac:dyDescent="0.3">
      <c r="A3747" t="s">
        <v>268</v>
      </c>
      <c r="B3747">
        <v>19</v>
      </c>
      <c r="C3747">
        <v>0</v>
      </c>
      <c r="D3747">
        <v>1</v>
      </c>
      <c r="G3747">
        <v>0</v>
      </c>
      <c r="H3747">
        <v>1</v>
      </c>
      <c r="J3747">
        <v>0</v>
      </c>
    </row>
    <row r="3748" spans="1:18" x14ac:dyDescent="0.3">
      <c r="A3748" t="s">
        <v>269</v>
      </c>
      <c r="B3748">
        <v>19</v>
      </c>
      <c r="C3748">
        <v>1</v>
      </c>
      <c r="D3748">
        <v>1</v>
      </c>
      <c r="G3748">
        <v>1</v>
      </c>
      <c r="H3748">
        <v>1</v>
      </c>
      <c r="J3748">
        <v>1</v>
      </c>
    </row>
    <row r="3749" spans="1:18" x14ac:dyDescent="0.3">
      <c r="A3749" t="s">
        <v>270</v>
      </c>
      <c r="B3749">
        <v>19</v>
      </c>
      <c r="C3749">
        <v>5</v>
      </c>
      <c r="D3749">
        <v>20</v>
      </c>
      <c r="G3749">
        <v>5</v>
      </c>
      <c r="H3749">
        <v>20</v>
      </c>
      <c r="J3749">
        <v>80</v>
      </c>
    </row>
    <row r="3750" spans="1:18" x14ac:dyDescent="0.3">
      <c r="A3750" t="s">
        <v>271</v>
      </c>
      <c r="B3750">
        <v>19</v>
      </c>
      <c r="C3750">
        <v>20</v>
      </c>
      <c r="D3750">
        <v>80</v>
      </c>
      <c r="G3750">
        <v>20</v>
      </c>
      <c r="H3750">
        <v>80</v>
      </c>
      <c r="J3750">
        <v>5</v>
      </c>
    </row>
    <row r="3751" spans="1:18" x14ac:dyDescent="0.3">
      <c r="A3751" t="s">
        <v>272</v>
      </c>
      <c r="B3751">
        <v>19</v>
      </c>
      <c r="C3751">
        <v>14</v>
      </c>
      <c r="D3751">
        <v>73</v>
      </c>
      <c r="G3751">
        <v>14</v>
      </c>
      <c r="H3751">
        <v>73</v>
      </c>
      <c r="J3751">
        <v>118.2</v>
      </c>
    </row>
    <row r="3752" spans="1:18" x14ac:dyDescent="0.3">
      <c r="A3752" t="s">
        <v>273</v>
      </c>
      <c r="B3752">
        <v>19</v>
      </c>
      <c r="C3752">
        <v>14</v>
      </c>
      <c r="D3752">
        <v>73</v>
      </c>
      <c r="G3752">
        <v>14</v>
      </c>
      <c r="H3752">
        <v>73</v>
      </c>
      <c r="J3752">
        <v>118.2</v>
      </c>
    </row>
    <row r="3753" spans="1:18" x14ac:dyDescent="0.3">
      <c r="A3753" t="s">
        <v>274</v>
      </c>
      <c r="B3753">
        <v>19</v>
      </c>
      <c r="C3753">
        <v>105</v>
      </c>
      <c r="D3753">
        <v>0</v>
      </c>
      <c r="G3753">
        <v>105</v>
      </c>
      <c r="H3753">
        <v>0</v>
      </c>
      <c r="J3753">
        <v>60</v>
      </c>
    </row>
    <row r="3754" spans="1:18" x14ac:dyDescent="0.3">
      <c r="A3754" t="s">
        <v>275</v>
      </c>
      <c r="B3754">
        <v>19</v>
      </c>
      <c r="C3754">
        <v>114</v>
      </c>
      <c r="D3754">
        <v>53</v>
      </c>
      <c r="G3754">
        <v>114</v>
      </c>
      <c r="H3754">
        <v>53</v>
      </c>
      <c r="J3754">
        <v>98.2</v>
      </c>
    </row>
    <row r="3755" spans="1:18" x14ac:dyDescent="0.3">
      <c r="A3755" t="s">
        <v>276</v>
      </c>
      <c r="B3755">
        <v>19</v>
      </c>
      <c r="C3755">
        <v>114</v>
      </c>
      <c r="D3755">
        <v>53</v>
      </c>
      <c r="G3755">
        <v>114</v>
      </c>
      <c r="H3755">
        <v>53</v>
      </c>
      <c r="J3755">
        <v>98.2</v>
      </c>
    </row>
    <row r="3756" spans="1:18" x14ac:dyDescent="0.3">
      <c r="A3756" t="s">
        <v>681</v>
      </c>
      <c r="B3756">
        <v>19</v>
      </c>
      <c r="C3756">
        <v>2.4</v>
      </c>
      <c r="D3756">
        <v>86.9</v>
      </c>
      <c r="G3756">
        <v>5.2</v>
      </c>
      <c r="H3756">
        <v>84.1</v>
      </c>
      <c r="J3756">
        <v>10.9</v>
      </c>
    </row>
    <row r="3757" spans="1:18" x14ac:dyDescent="0.3">
      <c r="A3757" t="s">
        <v>254</v>
      </c>
      <c r="B3757">
        <v>21</v>
      </c>
      <c r="C3757">
        <v>111</v>
      </c>
      <c r="D3757">
        <v>112</v>
      </c>
      <c r="E3757">
        <v>211</v>
      </c>
      <c r="F3757">
        <v>212</v>
      </c>
      <c r="G3757">
        <v>121</v>
      </c>
      <c r="H3757">
        <v>122</v>
      </c>
      <c r="I3757">
        <v>221</v>
      </c>
      <c r="J3757">
        <v>222</v>
      </c>
      <c r="K3757">
        <v>311</v>
      </c>
      <c r="L3757">
        <v>312</v>
      </c>
      <c r="M3757">
        <v>411</v>
      </c>
      <c r="N3757">
        <v>412</v>
      </c>
      <c r="O3757">
        <v>321</v>
      </c>
      <c r="P3757">
        <v>322</v>
      </c>
      <c r="Q3757">
        <v>421</v>
      </c>
      <c r="R3757">
        <v>422</v>
      </c>
    </row>
    <row r="3758" spans="1:18" x14ac:dyDescent="0.3">
      <c r="A3758" t="s">
        <v>255</v>
      </c>
      <c r="B3758">
        <v>21</v>
      </c>
      <c r="C3758">
        <v>6</v>
      </c>
      <c r="D3758">
        <v>12</v>
      </c>
      <c r="F3758">
        <v>8</v>
      </c>
      <c r="G3758">
        <v>1</v>
      </c>
      <c r="H3758">
        <v>12</v>
      </c>
      <c r="J3758">
        <v>8</v>
      </c>
    </row>
    <row r="3759" spans="1:18" x14ac:dyDescent="0.3">
      <c r="A3759" t="s">
        <v>256</v>
      </c>
      <c r="B3759">
        <v>21</v>
      </c>
      <c r="C3759">
        <v>33.5</v>
      </c>
      <c r="D3759">
        <v>35</v>
      </c>
      <c r="F3759">
        <v>31</v>
      </c>
      <c r="G3759">
        <v>13.5</v>
      </c>
      <c r="H3759">
        <v>55</v>
      </c>
      <c r="J3759">
        <v>31</v>
      </c>
    </row>
    <row r="3760" spans="1:18" x14ac:dyDescent="0.3">
      <c r="A3760" t="s">
        <v>257</v>
      </c>
      <c r="B3760">
        <v>21</v>
      </c>
      <c r="C3760">
        <v>3</v>
      </c>
      <c r="D3760">
        <v>6</v>
      </c>
      <c r="F3760">
        <v>3</v>
      </c>
      <c r="G3760">
        <v>3</v>
      </c>
      <c r="H3760">
        <v>6</v>
      </c>
      <c r="J3760">
        <v>3</v>
      </c>
    </row>
    <row r="3761" spans="1:10" x14ac:dyDescent="0.3">
      <c r="A3761" t="s">
        <v>258</v>
      </c>
      <c r="B3761">
        <v>21</v>
      </c>
      <c r="C3761">
        <v>0</v>
      </c>
      <c r="D3761">
        <v>0</v>
      </c>
      <c r="F3761">
        <v>0</v>
      </c>
      <c r="G3761">
        <v>0</v>
      </c>
      <c r="H3761">
        <v>0</v>
      </c>
      <c r="J3761">
        <v>0</v>
      </c>
    </row>
    <row r="3762" spans="1:10" x14ac:dyDescent="0.3">
      <c r="A3762" t="s">
        <v>259</v>
      </c>
      <c r="B3762">
        <v>21</v>
      </c>
      <c r="C3762">
        <v>0</v>
      </c>
      <c r="D3762">
        <v>0</v>
      </c>
      <c r="F3762">
        <v>0</v>
      </c>
      <c r="G3762">
        <v>0</v>
      </c>
      <c r="H3762">
        <v>0</v>
      </c>
      <c r="J3762">
        <v>0</v>
      </c>
    </row>
    <row r="3763" spans="1:10" x14ac:dyDescent="0.3">
      <c r="A3763" t="s">
        <v>260</v>
      </c>
      <c r="B3763">
        <v>21</v>
      </c>
      <c r="C3763">
        <v>3</v>
      </c>
      <c r="D3763">
        <v>3</v>
      </c>
      <c r="F3763">
        <v>3</v>
      </c>
      <c r="G3763">
        <v>3</v>
      </c>
      <c r="H3763">
        <v>3</v>
      </c>
      <c r="J3763">
        <v>3</v>
      </c>
    </row>
    <row r="3764" spans="1:10" x14ac:dyDescent="0.3">
      <c r="A3764" t="s">
        <v>261</v>
      </c>
      <c r="B3764">
        <v>21</v>
      </c>
      <c r="C3764">
        <v>4.5</v>
      </c>
      <c r="D3764">
        <v>5</v>
      </c>
      <c r="F3764">
        <v>5</v>
      </c>
      <c r="G3764">
        <v>4.5</v>
      </c>
      <c r="H3764">
        <v>5</v>
      </c>
      <c r="J3764">
        <v>5</v>
      </c>
    </row>
    <row r="3765" spans="1:10" x14ac:dyDescent="0.3">
      <c r="A3765" t="s">
        <v>262</v>
      </c>
      <c r="B3765">
        <v>21</v>
      </c>
      <c r="C3765">
        <v>2</v>
      </c>
      <c r="D3765">
        <v>2</v>
      </c>
      <c r="F3765">
        <v>2</v>
      </c>
      <c r="G3765">
        <v>2</v>
      </c>
      <c r="H3765">
        <v>2</v>
      </c>
      <c r="J3765">
        <v>2</v>
      </c>
    </row>
    <row r="3766" spans="1:10" x14ac:dyDescent="0.3">
      <c r="A3766" t="s">
        <v>263</v>
      </c>
      <c r="B3766">
        <v>21</v>
      </c>
      <c r="C3766">
        <v>0</v>
      </c>
      <c r="D3766">
        <v>3</v>
      </c>
      <c r="F3766">
        <v>0</v>
      </c>
      <c r="G3766">
        <v>0</v>
      </c>
      <c r="H3766">
        <v>3</v>
      </c>
      <c r="J3766">
        <v>0</v>
      </c>
    </row>
    <row r="3767" spans="1:10" x14ac:dyDescent="0.3">
      <c r="A3767" t="s">
        <v>264</v>
      </c>
      <c r="B3767">
        <v>21</v>
      </c>
    </row>
    <row r="3768" spans="1:10" x14ac:dyDescent="0.3">
      <c r="A3768" t="s">
        <v>265</v>
      </c>
      <c r="B3768">
        <v>21</v>
      </c>
    </row>
    <row r="3769" spans="1:10" x14ac:dyDescent="0.3">
      <c r="A3769" t="s">
        <v>266</v>
      </c>
      <c r="B3769">
        <v>21</v>
      </c>
    </row>
    <row r="3770" spans="1:10" x14ac:dyDescent="0.3">
      <c r="A3770" t="s">
        <v>267</v>
      </c>
      <c r="B3770">
        <v>21</v>
      </c>
      <c r="C3770">
        <v>13</v>
      </c>
      <c r="D3770">
        <v>20</v>
      </c>
      <c r="F3770">
        <v>16</v>
      </c>
      <c r="G3770">
        <v>13</v>
      </c>
      <c r="H3770">
        <v>20</v>
      </c>
      <c r="J3770">
        <v>16</v>
      </c>
    </row>
    <row r="3771" spans="1:10" x14ac:dyDescent="0.3">
      <c r="A3771" t="s">
        <v>268</v>
      </c>
      <c r="B3771">
        <v>21</v>
      </c>
      <c r="C3771">
        <v>0</v>
      </c>
      <c r="D3771">
        <v>1</v>
      </c>
      <c r="F3771">
        <v>1</v>
      </c>
      <c r="G3771">
        <v>0</v>
      </c>
      <c r="H3771">
        <v>1</v>
      </c>
      <c r="J3771">
        <v>1</v>
      </c>
    </row>
    <row r="3772" spans="1:10" x14ac:dyDescent="0.3">
      <c r="A3772" t="s">
        <v>269</v>
      </c>
      <c r="B3772">
        <v>21</v>
      </c>
      <c r="C3772">
        <v>1</v>
      </c>
      <c r="D3772">
        <v>1</v>
      </c>
      <c r="F3772">
        <v>1</v>
      </c>
      <c r="G3772">
        <v>1</v>
      </c>
      <c r="H3772">
        <v>1</v>
      </c>
      <c r="J3772">
        <v>1</v>
      </c>
    </row>
    <row r="3773" spans="1:10" x14ac:dyDescent="0.3">
      <c r="A3773" t="s">
        <v>270</v>
      </c>
      <c r="B3773">
        <v>21</v>
      </c>
      <c r="C3773">
        <v>10</v>
      </c>
      <c r="D3773">
        <v>50</v>
      </c>
      <c r="F3773">
        <v>92</v>
      </c>
      <c r="G3773">
        <v>10</v>
      </c>
      <c r="H3773">
        <v>30</v>
      </c>
      <c r="J3773">
        <v>92</v>
      </c>
    </row>
    <row r="3774" spans="1:10" x14ac:dyDescent="0.3">
      <c r="A3774" t="s">
        <v>271</v>
      </c>
      <c r="B3774">
        <v>21</v>
      </c>
      <c r="C3774">
        <v>50</v>
      </c>
      <c r="D3774">
        <v>92</v>
      </c>
      <c r="F3774">
        <v>10</v>
      </c>
      <c r="G3774">
        <v>30</v>
      </c>
      <c r="H3774">
        <v>92</v>
      </c>
      <c r="J3774">
        <v>10</v>
      </c>
    </row>
    <row r="3775" spans="1:10" x14ac:dyDescent="0.3">
      <c r="A3775" t="s">
        <v>272</v>
      </c>
      <c r="B3775">
        <v>21</v>
      </c>
      <c r="C3775">
        <v>43.5</v>
      </c>
      <c r="D3775">
        <v>85</v>
      </c>
      <c r="F3775">
        <v>3</v>
      </c>
      <c r="G3775">
        <v>23.5</v>
      </c>
      <c r="H3775">
        <v>85</v>
      </c>
      <c r="J3775">
        <v>3</v>
      </c>
    </row>
    <row r="3776" spans="1:10" x14ac:dyDescent="0.3">
      <c r="A3776" t="s">
        <v>273</v>
      </c>
      <c r="B3776">
        <v>21</v>
      </c>
      <c r="C3776">
        <v>43.5</v>
      </c>
      <c r="D3776">
        <v>85</v>
      </c>
      <c r="F3776">
        <v>3</v>
      </c>
      <c r="G3776">
        <v>23.5</v>
      </c>
      <c r="H3776">
        <v>85</v>
      </c>
      <c r="J3776">
        <v>3</v>
      </c>
    </row>
    <row r="3777" spans="1:18" x14ac:dyDescent="0.3">
      <c r="A3777" t="s">
        <v>274</v>
      </c>
      <c r="B3777">
        <v>21</v>
      </c>
      <c r="C3777">
        <v>100</v>
      </c>
      <c r="D3777">
        <v>20</v>
      </c>
      <c r="F3777">
        <v>62</v>
      </c>
      <c r="G3777">
        <v>100</v>
      </c>
      <c r="H3777">
        <v>0</v>
      </c>
      <c r="J3777">
        <v>62</v>
      </c>
    </row>
    <row r="3778" spans="1:18" x14ac:dyDescent="0.3">
      <c r="A3778" t="s">
        <v>275</v>
      </c>
      <c r="B3778">
        <v>21</v>
      </c>
      <c r="C3778">
        <v>13.5</v>
      </c>
      <c r="D3778">
        <v>55</v>
      </c>
      <c r="F3778">
        <v>93</v>
      </c>
      <c r="G3778">
        <v>113.5</v>
      </c>
      <c r="H3778">
        <v>55</v>
      </c>
      <c r="J3778">
        <v>93</v>
      </c>
    </row>
    <row r="3779" spans="1:18" x14ac:dyDescent="0.3">
      <c r="A3779" t="s">
        <v>276</v>
      </c>
      <c r="B3779">
        <v>21</v>
      </c>
      <c r="C3779">
        <v>13.5</v>
      </c>
      <c r="D3779">
        <v>55</v>
      </c>
      <c r="F3779">
        <v>93</v>
      </c>
      <c r="G3779">
        <v>113.5</v>
      </c>
      <c r="H3779">
        <v>55</v>
      </c>
      <c r="J3779">
        <v>93</v>
      </c>
    </row>
    <row r="3780" spans="1:18" x14ac:dyDescent="0.3">
      <c r="A3780" t="s">
        <v>681</v>
      </c>
      <c r="B3780">
        <v>21</v>
      </c>
      <c r="C3780">
        <v>23.3</v>
      </c>
      <c r="D3780">
        <v>59.7</v>
      </c>
      <c r="F3780">
        <v>16.5</v>
      </c>
      <c r="G3780">
        <v>5.0999999999999996</v>
      </c>
      <c r="H3780">
        <v>77.900000000000006</v>
      </c>
      <c r="J3780">
        <v>16.5</v>
      </c>
    </row>
    <row r="3781" spans="1:18" x14ac:dyDescent="0.3">
      <c r="A3781" t="s">
        <v>254</v>
      </c>
      <c r="B3781">
        <v>22</v>
      </c>
      <c r="C3781">
        <v>111</v>
      </c>
      <c r="D3781">
        <v>112</v>
      </c>
      <c r="E3781">
        <v>211</v>
      </c>
      <c r="F3781">
        <v>212</v>
      </c>
      <c r="G3781">
        <v>121</v>
      </c>
      <c r="H3781">
        <v>122</v>
      </c>
      <c r="I3781">
        <v>221</v>
      </c>
      <c r="J3781">
        <v>222</v>
      </c>
      <c r="K3781">
        <v>311</v>
      </c>
      <c r="L3781">
        <v>312</v>
      </c>
      <c r="M3781">
        <v>411</v>
      </c>
      <c r="N3781">
        <v>412</v>
      </c>
      <c r="O3781">
        <v>321</v>
      </c>
      <c r="P3781">
        <v>322</v>
      </c>
      <c r="Q3781">
        <v>421</v>
      </c>
      <c r="R3781">
        <v>422</v>
      </c>
    </row>
    <row r="3782" spans="1:18" x14ac:dyDescent="0.3">
      <c r="A3782" t="s">
        <v>255</v>
      </c>
      <c r="B3782">
        <v>22</v>
      </c>
      <c r="C3782">
        <v>5</v>
      </c>
      <c r="D3782">
        <v>12</v>
      </c>
      <c r="F3782">
        <v>8</v>
      </c>
      <c r="G3782">
        <v>1</v>
      </c>
      <c r="H3782">
        <v>12</v>
      </c>
      <c r="J3782">
        <v>8</v>
      </c>
    </row>
    <row r="3783" spans="1:18" x14ac:dyDescent="0.3">
      <c r="A3783" t="s">
        <v>256</v>
      </c>
      <c r="B3783">
        <v>22</v>
      </c>
      <c r="C3783">
        <v>8.4</v>
      </c>
      <c r="D3783">
        <v>64.8</v>
      </c>
      <c r="F3783">
        <v>28.5</v>
      </c>
      <c r="G3783">
        <v>8.4</v>
      </c>
      <c r="H3783">
        <v>64.8</v>
      </c>
      <c r="J3783">
        <v>28.5</v>
      </c>
    </row>
    <row r="3784" spans="1:18" x14ac:dyDescent="0.3">
      <c r="A3784" t="s">
        <v>257</v>
      </c>
      <c r="B3784">
        <v>22</v>
      </c>
      <c r="C3784">
        <v>2</v>
      </c>
      <c r="D3784">
        <v>6</v>
      </c>
      <c r="F3784">
        <v>3</v>
      </c>
      <c r="G3784">
        <v>2</v>
      </c>
      <c r="H3784">
        <v>6</v>
      </c>
      <c r="J3784">
        <v>3</v>
      </c>
    </row>
    <row r="3785" spans="1:18" x14ac:dyDescent="0.3">
      <c r="A3785" t="s">
        <v>258</v>
      </c>
      <c r="B3785">
        <v>22</v>
      </c>
      <c r="C3785">
        <v>0</v>
      </c>
      <c r="D3785">
        <v>0</v>
      </c>
      <c r="F3785">
        <v>0</v>
      </c>
      <c r="G3785">
        <v>0</v>
      </c>
      <c r="H3785">
        <v>0</v>
      </c>
      <c r="J3785">
        <v>0</v>
      </c>
    </row>
    <row r="3786" spans="1:18" x14ac:dyDescent="0.3">
      <c r="A3786" t="s">
        <v>259</v>
      </c>
      <c r="B3786">
        <v>22</v>
      </c>
      <c r="C3786">
        <v>0</v>
      </c>
      <c r="D3786">
        <v>0</v>
      </c>
      <c r="F3786">
        <v>0</v>
      </c>
      <c r="G3786">
        <v>0</v>
      </c>
      <c r="H3786">
        <v>0</v>
      </c>
      <c r="J3786">
        <v>0</v>
      </c>
    </row>
    <row r="3787" spans="1:18" x14ac:dyDescent="0.3">
      <c r="A3787" t="s">
        <v>260</v>
      </c>
      <c r="B3787">
        <v>22</v>
      </c>
      <c r="C3787">
        <v>2</v>
      </c>
      <c r="D3787">
        <v>3</v>
      </c>
      <c r="F3787">
        <v>3</v>
      </c>
      <c r="G3787">
        <v>2</v>
      </c>
      <c r="H3787">
        <v>3</v>
      </c>
      <c r="J3787">
        <v>3</v>
      </c>
    </row>
    <row r="3788" spans="1:18" x14ac:dyDescent="0.3">
      <c r="A3788" t="s">
        <v>261</v>
      </c>
      <c r="B3788">
        <v>22</v>
      </c>
      <c r="C3788">
        <v>4.3</v>
      </c>
      <c r="D3788">
        <v>4</v>
      </c>
      <c r="F3788">
        <v>4</v>
      </c>
      <c r="G3788">
        <v>4.3</v>
      </c>
      <c r="H3788">
        <v>4</v>
      </c>
      <c r="J3788">
        <v>4</v>
      </c>
    </row>
    <row r="3789" spans="1:18" x14ac:dyDescent="0.3">
      <c r="A3789" t="s">
        <v>262</v>
      </c>
      <c r="B3789">
        <v>22</v>
      </c>
      <c r="C3789">
        <v>2.2999999999999998</v>
      </c>
      <c r="D3789">
        <v>1.2</v>
      </c>
      <c r="F3789">
        <v>2.5</v>
      </c>
      <c r="G3789">
        <v>2.2999999999999998</v>
      </c>
      <c r="H3789">
        <v>1.2</v>
      </c>
      <c r="J3789">
        <v>2.5</v>
      </c>
    </row>
    <row r="3790" spans="1:18" x14ac:dyDescent="0.3">
      <c r="A3790" t="s">
        <v>263</v>
      </c>
      <c r="B3790">
        <v>22</v>
      </c>
      <c r="C3790">
        <v>0</v>
      </c>
      <c r="D3790">
        <v>3</v>
      </c>
      <c r="F3790">
        <v>0</v>
      </c>
      <c r="G3790">
        <v>0</v>
      </c>
      <c r="H3790">
        <v>3</v>
      </c>
      <c r="J3790">
        <v>0</v>
      </c>
    </row>
    <row r="3791" spans="1:18" x14ac:dyDescent="0.3">
      <c r="A3791" t="s">
        <v>264</v>
      </c>
      <c r="B3791">
        <v>22</v>
      </c>
    </row>
    <row r="3792" spans="1:18" x14ac:dyDescent="0.3">
      <c r="A3792" t="s">
        <v>265</v>
      </c>
      <c r="B3792">
        <v>22</v>
      </c>
    </row>
    <row r="3793" spans="1:18" x14ac:dyDescent="0.3">
      <c r="A3793" t="s">
        <v>266</v>
      </c>
      <c r="B3793">
        <v>22</v>
      </c>
    </row>
    <row r="3794" spans="1:18" x14ac:dyDescent="0.3">
      <c r="A3794" t="s">
        <v>267</v>
      </c>
      <c r="B3794">
        <v>22</v>
      </c>
      <c r="C3794">
        <v>12</v>
      </c>
      <c r="D3794">
        <v>20</v>
      </c>
      <c r="F3794">
        <v>15</v>
      </c>
      <c r="G3794">
        <v>12</v>
      </c>
      <c r="H3794">
        <v>20</v>
      </c>
      <c r="J3794">
        <v>15</v>
      </c>
    </row>
    <row r="3795" spans="1:18" x14ac:dyDescent="0.3">
      <c r="A3795" t="s">
        <v>268</v>
      </c>
      <c r="B3795">
        <v>22</v>
      </c>
      <c r="C3795">
        <v>0</v>
      </c>
      <c r="D3795">
        <v>1</v>
      </c>
      <c r="F3795">
        <v>1</v>
      </c>
      <c r="G3795">
        <v>0</v>
      </c>
      <c r="H3795">
        <v>1</v>
      </c>
      <c r="J3795">
        <v>1</v>
      </c>
    </row>
    <row r="3796" spans="1:18" x14ac:dyDescent="0.3">
      <c r="A3796" t="s">
        <v>269</v>
      </c>
      <c r="B3796">
        <v>22</v>
      </c>
      <c r="C3796">
        <v>1</v>
      </c>
      <c r="D3796">
        <v>1</v>
      </c>
      <c r="F3796">
        <v>1</v>
      </c>
      <c r="G3796">
        <v>1</v>
      </c>
      <c r="H3796">
        <v>1</v>
      </c>
      <c r="J3796">
        <v>1</v>
      </c>
    </row>
    <row r="3797" spans="1:18" x14ac:dyDescent="0.3">
      <c r="A3797" t="s">
        <v>270</v>
      </c>
      <c r="B3797">
        <v>22</v>
      </c>
      <c r="C3797">
        <v>65</v>
      </c>
      <c r="D3797">
        <v>80</v>
      </c>
      <c r="F3797">
        <v>30</v>
      </c>
      <c r="G3797">
        <v>65</v>
      </c>
      <c r="H3797">
        <v>80</v>
      </c>
      <c r="J3797">
        <v>30</v>
      </c>
    </row>
    <row r="3798" spans="1:18" x14ac:dyDescent="0.3">
      <c r="A3798" t="s">
        <v>271</v>
      </c>
      <c r="B3798">
        <v>22</v>
      </c>
      <c r="C3798">
        <v>80</v>
      </c>
      <c r="D3798">
        <v>30</v>
      </c>
      <c r="F3798">
        <v>65</v>
      </c>
      <c r="G3798">
        <v>80</v>
      </c>
      <c r="H3798">
        <v>30</v>
      </c>
      <c r="J3798">
        <v>65</v>
      </c>
    </row>
    <row r="3799" spans="1:18" x14ac:dyDescent="0.3">
      <c r="A3799" t="s">
        <v>272</v>
      </c>
      <c r="B3799">
        <v>22</v>
      </c>
      <c r="C3799">
        <v>73.400000000000006</v>
      </c>
      <c r="D3799">
        <v>24.8</v>
      </c>
      <c r="F3799">
        <v>58.5</v>
      </c>
      <c r="G3799">
        <v>73.400000000000006</v>
      </c>
      <c r="H3799">
        <v>24.8</v>
      </c>
      <c r="J3799">
        <v>58.5</v>
      </c>
    </row>
    <row r="3800" spans="1:18" x14ac:dyDescent="0.3">
      <c r="A3800" t="s">
        <v>273</v>
      </c>
      <c r="B3800">
        <v>22</v>
      </c>
      <c r="C3800">
        <v>73.400000000000006</v>
      </c>
      <c r="D3800">
        <v>24.8</v>
      </c>
      <c r="F3800">
        <v>58.5</v>
      </c>
      <c r="G3800">
        <v>73.400000000000006</v>
      </c>
      <c r="H3800">
        <v>24.8</v>
      </c>
      <c r="J3800">
        <v>58.5</v>
      </c>
    </row>
    <row r="3801" spans="1:18" x14ac:dyDescent="0.3">
      <c r="A3801" t="s">
        <v>274</v>
      </c>
      <c r="B3801">
        <v>22</v>
      </c>
      <c r="C3801">
        <v>105</v>
      </c>
      <c r="D3801">
        <v>0</v>
      </c>
      <c r="F3801">
        <v>70</v>
      </c>
      <c r="G3801">
        <v>105</v>
      </c>
      <c r="H3801">
        <v>0</v>
      </c>
      <c r="J3801">
        <v>70</v>
      </c>
    </row>
    <row r="3802" spans="1:18" x14ac:dyDescent="0.3">
      <c r="A3802" t="s">
        <v>275</v>
      </c>
      <c r="B3802">
        <v>22</v>
      </c>
      <c r="C3802">
        <v>113.4</v>
      </c>
      <c r="D3802">
        <v>64.8</v>
      </c>
      <c r="F3802">
        <v>98.5</v>
      </c>
      <c r="G3802">
        <v>113.4</v>
      </c>
      <c r="H3802">
        <v>64.8</v>
      </c>
      <c r="J3802">
        <v>98.5</v>
      </c>
    </row>
    <row r="3803" spans="1:18" x14ac:dyDescent="0.3">
      <c r="A3803" t="s">
        <v>276</v>
      </c>
      <c r="B3803">
        <v>22</v>
      </c>
      <c r="C3803">
        <v>113.4</v>
      </c>
      <c r="D3803">
        <v>64.8</v>
      </c>
      <c r="F3803">
        <v>98.5</v>
      </c>
      <c r="G3803">
        <v>113.4</v>
      </c>
      <c r="H3803">
        <v>64.8</v>
      </c>
      <c r="J3803">
        <v>98.5</v>
      </c>
    </row>
    <row r="3804" spans="1:18" x14ac:dyDescent="0.3">
      <c r="A3804" t="s">
        <v>681</v>
      </c>
      <c r="B3804">
        <v>22</v>
      </c>
      <c r="C3804">
        <v>4.5999999999999996</v>
      </c>
      <c r="D3804">
        <v>77</v>
      </c>
      <c r="F3804">
        <v>20.100000000000001</v>
      </c>
      <c r="G3804">
        <v>4.5</v>
      </c>
      <c r="H3804">
        <v>77.099999999999994</v>
      </c>
      <c r="J3804">
        <v>20.100000000000001</v>
      </c>
    </row>
    <row r="3805" spans="1:18" x14ac:dyDescent="0.3">
      <c r="A3805" t="s">
        <v>254</v>
      </c>
      <c r="B3805">
        <v>23</v>
      </c>
      <c r="C3805">
        <v>111</v>
      </c>
      <c r="D3805">
        <v>112</v>
      </c>
      <c r="E3805">
        <v>211</v>
      </c>
      <c r="F3805">
        <v>212</v>
      </c>
      <c r="G3805">
        <v>121</v>
      </c>
      <c r="H3805">
        <v>122</v>
      </c>
      <c r="I3805">
        <v>221</v>
      </c>
      <c r="J3805">
        <v>222</v>
      </c>
      <c r="K3805">
        <v>311</v>
      </c>
      <c r="L3805">
        <v>312</v>
      </c>
      <c r="M3805">
        <v>411</v>
      </c>
      <c r="N3805">
        <v>412</v>
      </c>
      <c r="O3805">
        <v>321</v>
      </c>
      <c r="P3805">
        <v>322</v>
      </c>
      <c r="Q3805">
        <v>421</v>
      </c>
      <c r="R3805">
        <v>422</v>
      </c>
    </row>
    <row r="3806" spans="1:18" x14ac:dyDescent="0.3">
      <c r="A3806" t="s">
        <v>255</v>
      </c>
      <c r="B3806">
        <v>23</v>
      </c>
      <c r="C3806">
        <v>5</v>
      </c>
      <c r="D3806">
        <v>12</v>
      </c>
      <c r="F3806">
        <v>8</v>
      </c>
      <c r="G3806">
        <v>5</v>
      </c>
      <c r="H3806">
        <v>12</v>
      </c>
      <c r="J3806">
        <v>8</v>
      </c>
    </row>
    <row r="3807" spans="1:18" x14ac:dyDescent="0.3">
      <c r="A3807" t="s">
        <v>256</v>
      </c>
      <c r="B3807">
        <v>23</v>
      </c>
      <c r="C3807">
        <v>24.3</v>
      </c>
      <c r="D3807">
        <v>54.5</v>
      </c>
      <c r="F3807">
        <v>24.1</v>
      </c>
      <c r="G3807">
        <v>24.3</v>
      </c>
      <c r="H3807">
        <v>54.5</v>
      </c>
      <c r="J3807">
        <v>24</v>
      </c>
    </row>
    <row r="3808" spans="1:18" x14ac:dyDescent="0.3">
      <c r="A3808" t="s">
        <v>257</v>
      </c>
      <c r="B3808">
        <v>23</v>
      </c>
      <c r="C3808">
        <v>2</v>
      </c>
      <c r="D3808">
        <v>6</v>
      </c>
      <c r="F3808">
        <v>2</v>
      </c>
      <c r="G3808">
        <v>2</v>
      </c>
      <c r="H3808">
        <v>6</v>
      </c>
      <c r="J3808">
        <v>2</v>
      </c>
    </row>
    <row r="3809" spans="1:10" x14ac:dyDescent="0.3">
      <c r="A3809" t="s">
        <v>258</v>
      </c>
      <c r="B3809">
        <v>23</v>
      </c>
      <c r="C3809">
        <v>0</v>
      </c>
      <c r="D3809">
        <v>0</v>
      </c>
      <c r="F3809">
        <v>0</v>
      </c>
      <c r="G3809">
        <v>0</v>
      </c>
      <c r="H3809">
        <v>0</v>
      </c>
      <c r="J3809">
        <v>0</v>
      </c>
    </row>
    <row r="3810" spans="1:10" x14ac:dyDescent="0.3">
      <c r="A3810" t="s">
        <v>259</v>
      </c>
      <c r="B3810">
        <v>23</v>
      </c>
      <c r="C3810">
        <v>0</v>
      </c>
      <c r="D3810">
        <v>0</v>
      </c>
      <c r="F3810">
        <v>0</v>
      </c>
      <c r="G3810">
        <v>0</v>
      </c>
      <c r="H3810">
        <v>0</v>
      </c>
      <c r="J3810">
        <v>0</v>
      </c>
    </row>
    <row r="3811" spans="1:10" x14ac:dyDescent="0.3">
      <c r="A3811" t="s">
        <v>260</v>
      </c>
      <c r="B3811">
        <v>23</v>
      </c>
      <c r="C3811">
        <v>2</v>
      </c>
      <c r="D3811">
        <v>3</v>
      </c>
      <c r="F3811">
        <v>2</v>
      </c>
      <c r="G3811">
        <v>2</v>
      </c>
      <c r="H3811">
        <v>3</v>
      </c>
      <c r="J3811">
        <v>2</v>
      </c>
    </row>
    <row r="3812" spans="1:10" x14ac:dyDescent="0.3">
      <c r="A3812" t="s">
        <v>261</v>
      </c>
      <c r="B3812">
        <v>23</v>
      </c>
      <c r="C3812">
        <v>3.5</v>
      </c>
      <c r="D3812">
        <v>4.3</v>
      </c>
      <c r="F3812">
        <v>3.9</v>
      </c>
      <c r="G3812">
        <v>3.5</v>
      </c>
      <c r="H3812">
        <v>4.3</v>
      </c>
      <c r="J3812">
        <v>4</v>
      </c>
    </row>
    <row r="3813" spans="1:10" x14ac:dyDescent="0.3">
      <c r="A3813" t="s">
        <v>262</v>
      </c>
      <c r="B3813">
        <v>23</v>
      </c>
      <c r="C3813">
        <v>2.2000000000000002</v>
      </c>
      <c r="D3813">
        <v>1.2</v>
      </c>
      <c r="F3813">
        <v>2</v>
      </c>
      <c r="G3813">
        <v>2.2000000000000002</v>
      </c>
      <c r="H3813">
        <v>1.2</v>
      </c>
      <c r="J3813">
        <v>2</v>
      </c>
    </row>
    <row r="3814" spans="1:10" x14ac:dyDescent="0.3">
      <c r="A3814" t="s">
        <v>263</v>
      </c>
      <c r="B3814">
        <v>23</v>
      </c>
      <c r="C3814">
        <v>0</v>
      </c>
      <c r="D3814">
        <v>3</v>
      </c>
      <c r="F3814">
        <v>0</v>
      </c>
      <c r="G3814">
        <v>0</v>
      </c>
      <c r="H3814">
        <v>3</v>
      </c>
      <c r="J3814">
        <v>0</v>
      </c>
    </row>
    <row r="3815" spans="1:10" x14ac:dyDescent="0.3">
      <c r="A3815" t="s">
        <v>264</v>
      </c>
      <c r="B3815">
        <v>23</v>
      </c>
    </row>
    <row r="3816" spans="1:10" x14ac:dyDescent="0.3">
      <c r="A3816" t="s">
        <v>265</v>
      </c>
      <c r="B3816">
        <v>23</v>
      </c>
    </row>
    <row r="3817" spans="1:10" x14ac:dyDescent="0.3">
      <c r="A3817" t="s">
        <v>266</v>
      </c>
      <c r="B3817">
        <v>23</v>
      </c>
    </row>
    <row r="3818" spans="1:10" x14ac:dyDescent="0.3">
      <c r="A3818" t="s">
        <v>267</v>
      </c>
      <c r="B3818">
        <v>23</v>
      </c>
      <c r="C3818">
        <v>12</v>
      </c>
      <c r="D3818">
        <v>20</v>
      </c>
      <c r="F3818">
        <v>15</v>
      </c>
      <c r="G3818">
        <v>12</v>
      </c>
      <c r="H3818">
        <v>20</v>
      </c>
      <c r="J3818">
        <v>15</v>
      </c>
    </row>
    <row r="3819" spans="1:10" x14ac:dyDescent="0.3">
      <c r="A3819" t="s">
        <v>268</v>
      </c>
      <c r="B3819">
        <v>23</v>
      </c>
      <c r="C3819">
        <v>0</v>
      </c>
      <c r="D3819">
        <v>1</v>
      </c>
      <c r="F3819">
        <v>1</v>
      </c>
      <c r="G3819">
        <v>0</v>
      </c>
      <c r="H3819">
        <v>1</v>
      </c>
      <c r="J3819">
        <v>1</v>
      </c>
    </row>
    <row r="3820" spans="1:10" x14ac:dyDescent="0.3">
      <c r="A3820" t="s">
        <v>269</v>
      </c>
      <c r="B3820">
        <v>23</v>
      </c>
      <c r="C3820">
        <v>1</v>
      </c>
      <c r="D3820">
        <v>1</v>
      </c>
      <c r="F3820">
        <v>1</v>
      </c>
      <c r="G3820">
        <v>1</v>
      </c>
      <c r="H3820">
        <v>1</v>
      </c>
      <c r="J3820">
        <v>1</v>
      </c>
    </row>
    <row r="3821" spans="1:10" x14ac:dyDescent="0.3">
      <c r="A3821" t="s">
        <v>270</v>
      </c>
      <c r="B3821">
        <v>23</v>
      </c>
      <c r="C3821">
        <v>55</v>
      </c>
      <c r="D3821">
        <v>85</v>
      </c>
      <c r="F3821">
        <v>25</v>
      </c>
      <c r="G3821">
        <v>55</v>
      </c>
      <c r="H3821">
        <v>85</v>
      </c>
      <c r="J3821">
        <v>25</v>
      </c>
    </row>
    <row r="3822" spans="1:10" x14ac:dyDescent="0.3">
      <c r="A3822" t="s">
        <v>271</v>
      </c>
      <c r="B3822">
        <v>23</v>
      </c>
      <c r="C3822">
        <v>85</v>
      </c>
      <c r="D3822">
        <v>25</v>
      </c>
      <c r="F3822">
        <v>55</v>
      </c>
      <c r="G3822">
        <v>85</v>
      </c>
      <c r="H3822">
        <v>25</v>
      </c>
      <c r="J3822">
        <v>55</v>
      </c>
    </row>
    <row r="3823" spans="1:10" x14ac:dyDescent="0.3">
      <c r="A3823" t="s">
        <v>272</v>
      </c>
      <c r="B3823">
        <v>23</v>
      </c>
      <c r="C3823">
        <v>79.3</v>
      </c>
      <c r="D3823">
        <v>19.5</v>
      </c>
      <c r="F3823">
        <v>49.1</v>
      </c>
      <c r="G3823">
        <v>79.3</v>
      </c>
      <c r="H3823">
        <v>19.5</v>
      </c>
      <c r="J3823">
        <v>49</v>
      </c>
    </row>
    <row r="3824" spans="1:10" x14ac:dyDescent="0.3">
      <c r="A3824" t="s">
        <v>273</v>
      </c>
      <c r="B3824">
        <v>23</v>
      </c>
      <c r="C3824">
        <v>79.3</v>
      </c>
      <c r="D3824">
        <v>19.5</v>
      </c>
      <c r="F3824">
        <v>49.1</v>
      </c>
      <c r="G3824">
        <v>79.3</v>
      </c>
      <c r="H3824">
        <v>19.5</v>
      </c>
      <c r="J3824">
        <v>49</v>
      </c>
    </row>
    <row r="3825" spans="1:18" x14ac:dyDescent="0.3">
      <c r="A3825" t="s">
        <v>274</v>
      </c>
      <c r="B3825">
        <v>23</v>
      </c>
      <c r="C3825">
        <v>90</v>
      </c>
      <c r="D3825">
        <v>0</v>
      </c>
      <c r="F3825">
        <v>60</v>
      </c>
      <c r="G3825">
        <v>90</v>
      </c>
      <c r="H3825">
        <v>0</v>
      </c>
      <c r="J3825">
        <v>60</v>
      </c>
    </row>
    <row r="3826" spans="1:18" x14ac:dyDescent="0.3">
      <c r="A3826" t="s">
        <v>275</v>
      </c>
      <c r="B3826">
        <v>23</v>
      </c>
      <c r="C3826">
        <v>114.3</v>
      </c>
      <c r="D3826">
        <v>54.5</v>
      </c>
      <c r="F3826">
        <v>84.1</v>
      </c>
      <c r="G3826">
        <v>114.3</v>
      </c>
      <c r="H3826">
        <v>54.5</v>
      </c>
      <c r="J3826">
        <v>84</v>
      </c>
    </row>
    <row r="3827" spans="1:18" x14ac:dyDescent="0.3">
      <c r="A3827" t="s">
        <v>276</v>
      </c>
      <c r="B3827">
        <v>23</v>
      </c>
      <c r="C3827">
        <v>114.3</v>
      </c>
      <c r="D3827">
        <v>54.5</v>
      </c>
      <c r="F3827">
        <v>84.1</v>
      </c>
      <c r="G3827">
        <v>114.3</v>
      </c>
      <c r="H3827">
        <v>54.5</v>
      </c>
      <c r="J3827">
        <v>84</v>
      </c>
    </row>
    <row r="3828" spans="1:18" x14ac:dyDescent="0.3">
      <c r="A3828" t="s">
        <v>681</v>
      </c>
      <c r="B3828">
        <v>23</v>
      </c>
      <c r="C3828">
        <v>7.2</v>
      </c>
      <c r="D3828">
        <v>77.099999999999994</v>
      </c>
      <c r="F3828">
        <v>18.600000000000001</v>
      </c>
      <c r="G3828">
        <v>5</v>
      </c>
      <c r="H3828">
        <v>79.3</v>
      </c>
      <c r="J3828">
        <v>18.5</v>
      </c>
    </row>
    <row r="3829" spans="1:18" x14ac:dyDescent="0.3">
      <c r="A3829" t="s">
        <v>254</v>
      </c>
      <c r="B3829">
        <v>24</v>
      </c>
      <c r="C3829">
        <v>111</v>
      </c>
      <c r="D3829">
        <v>112</v>
      </c>
      <c r="E3829">
        <v>211</v>
      </c>
      <c r="F3829">
        <v>212</v>
      </c>
      <c r="G3829">
        <v>121</v>
      </c>
      <c r="H3829">
        <v>122</v>
      </c>
      <c r="I3829">
        <v>221</v>
      </c>
      <c r="J3829">
        <v>222</v>
      </c>
      <c r="K3829">
        <v>311</v>
      </c>
      <c r="L3829">
        <v>312</v>
      </c>
      <c r="M3829">
        <v>411</v>
      </c>
      <c r="N3829">
        <v>412</v>
      </c>
      <c r="O3829">
        <v>321</v>
      </c>
      <c r="P3829">
        <v>322</v>
      </c>
      <c r="Q3829">
        <v>421</v>
      </c>
      <c r="R3829">
        <v>422</v>
      </c>
    </row>
    <row r="3830" spans="1:18" x14ac:dyDescent="0.3">
      <c r="A3830" t="s">
        <v>255</v>
      </c>
      <c r="B3830">
        <v>24</v>
      </c>
      <c r="C3830">
        <v>5</v>
      </c>
      <c r="D3830">
        <v>12</v>
      </c>
      <c r="F3830">
        <v>8</v>
      </c>
      <c r="G3830">
        <v>5</v>
      </c>
      <c r="H3830">
        <v>12</v>
      </c>
      <c r="J3830">
        <v>8</v>
      </c>
    </row>
    <row r="3831" spans="1:18" x14ac:dyDescent="0.3">
      <c r="A3831" t="s">
        <v>256</v>
      </c>
      <c r="B3831">
        <v>24</v>
      </c>
      <c r="C3831">
        <v>19</v>
      </c>
      <c r="D3831">
        <v>60.7</v>
      </c>
      <c r="F3831">
        <v>22</v>
      </c>
      <c r="G3831">
        <v>19</v>
      </c>
      <c r="H3831">
        <v>60.7</v>
      </c>
      <c r="J3831">
        <v>22</v>
      </c>
    </row>
    <row r="3832" spans="1:18" x14ac:dyDescent="0.3">
      <c r="A3832" t="s">
        <v>257</v>
      </c>
      <c r="B3832">
        <v>24</v>
      </c>
      <c r="C3832">
        <v>2</v>
      </c>
      <c r="D3832">
        <v>6</v>
      </c>
      <c r="F3832">
        <v>2</v>
      </c>
      <c r="G3832">
        <v>2</v>
      </c>
      <c r="H3832">
        <v>6</v>
      </c>
      <c r="J3832">
        <v>2</v>
      </c>
    </row>
    <row r="3833" spans="1:18" x14ac:dyDescent="0.3">
      <c r="A3833" t="s">
        <v>258</v>
      </c>
      <c r="B3833">
        <v>24</v>
      </c>
      <c r="C3833">
        <v>0</v>
      </c>
      <c r="D3833">
        <v>0</v>
      </c>
      <c r="F3833">
        <v>0</v>
      </c>
      <c r="G3833">
        <v>0</v>
      </c>
      <c r="H3833">
        <v>0</v>
      </c>
      <c r="J3833">
        <v>0</v>
      </c>
    </row>
    <row r="3834" spans="1:18" x14ac:dyDescent="0.3">
      <c r="A3834" t="s">
        <v>259</v>
      </c>
      <c r="B3834">
        <v>24</v>
      </c>
      <c r="C3834">
        <v>0</v>
      </c>
      <c r="D3834">
        <v>0</v>
      </c>
      <c r="F3834">
        <v>0</v>
      </c>
      <c r="G3834">
        <v>0</v>
      </c>
      <c r="H3834">
        <v>0</v>
      </c>
      <c r="J3834">
        <v>0</v>
      </c>
    </row>
    <row r="3835" spans="1:18" x14ac:dyDescent="0.3">
      <c r="A3835" t="s">
        <v>260</v>
      </c>
      <c r="B3835">
        <v>24</v>
      </c>
      <c r="C3835">
        <v>2</v>
      </c>
      <c r="D3835">
        <v>3</v>
      </c>
      <c r="F3835">
        <v>2</v>
      </c>
      <c r="G3835">
        <v>2</v>
      </c>
      <c r="H3835">
        <v>3</v>
      </c>
      <c r="J3835">
        <v>2</v>
      </c>
    </row>
    <row r="3836" spans="1:18" x14ac:dyDescent="0.3">
      <c r="A3836" t="s">
        <v>261</v>
      </c>
      <c r="B3836">
        <v>24</v>
      </c>
      <c r="C3836">
        <v>4</v>
      </c>
      <c r="D3836">
        <v>4.3</v>
      </c>
      <c r="F3836">
        <v>4</v>
      </c>
      <c r="G3836">
        <v>4</v>
      </c>
      <c r="H3836">
        <v>4.3</v>
      </c>
      <c r="J3836">
        <v>4</v>
      </c>
    </row>
    <row r="3837" spans="1:18" x14ac:dyDescent="0.3">
      <c r="A3837" t="s">
        <v>262</v>
      </c>
      <c r="B3837">
        <v>24</v>
      </c>
      <c r="C3837">
        <v>2</v>
      </c>
      <c r="D3837">
        <v>2</v>
      </c>
      <c r="F3837">
        <v>2</v>
      </c>
      <c r="G3837">
        <v>2</v>
      </c>
      <c r="H3837">
        <v>2</v>
      </c>
      <c r="J3837">
        <v>2</v>
      </c>
    </row>
    <row r="3838" spans="1:18" x14ac:dyDescent="0.3">
      <c r="A3838" t="s">
        <v>263</v>
      </c>
      <c r="B3838">
        <v>24</v>
      </c>
      <c r="C3838">
        <v>0</v>
      </c>
      <c r="D3838">
        <v>3</v>
      </c>
      <c r="F3838">
        <v>0</v>
      </c>
      <c r="G3838">
        <v>0</v>
      </c>
      <c r="H3838">
        <v>3</v>
      </c>
      <c r="J3838">
        <v>0</v>
      </c>
    </row>
    <row r="3839" spans="1:18" x14ac:dyDescent="0.3">
      <c r="A3839" t="s">
        <v>264</v>
      </c>
      <c r="B3839">
        <v>24</v>
      </c>
    </row>
    <row r="3840" spans="1:18" x14ac:dyDescent="0.3">
      <c r="A3840" t="s">
        <v>265</v>
      </c>
      <c r="B3840">
        <v>24</v>
      </c>
    </row>
    <row r="3841" spans="1:18" x14ac:dyDescent="0.3">
      <c r="A3841" t="s">
        <v>266</v>
      </c>
      <c r="B3841">
        <v>24</v>
      </c>
    </row>
    <row r="3842" spans="1:18" x14ac:dyDescent="0.3">
      <c r="A3842" t="s">
        <v>267</v>
      </c>
      <c r="B3842">
        <v>24</v>
      </c>
      <c r="C3842">
        <v>12</v>
      </c>
      <c r="D3842">
        <v>20</v>
      </c>
      <c r="F3842">
        <v>15</v>
      </c>
      <c r="G3842">
        <v>12</v>
      </c>
      <c r="H3842">
        <v>20</v>
      </c>
      <c r="J3842">
        <v>15</v>
      </c>
    </row>
    <row r="3843" spans="1:18" x14ac:dyDescent="0.3">
      <c r="A3843" t="s">
        <v>268</v>
      </c>
      <c r="B3843">
        <v>24</v>
      </c>
      <c r="C3843">
        <v>0</v>
      </c>
      <c r="D3843">
        <v>1</v>
      </c>
      <c r="F3843">
        <v>1</v>
      </c>
      <c r="G3843">
        <v>0</v>
      </c>
      <c r="H3843">
        <v>1</v>
      </c>
      <c r="J3843">
        <v>1</v>
      </c>
    </row>
    <row r="3844" spans="1:18" x14ac:dyDescent="0.3">
      <c r="A3844" t="s">
        <v>269</v>
      </c>
      <c r="B3844">
        <v>24</v>
      </c>
      <c r="C3844">
        <v>1</v>
      </c>
      <c r="D3844">
        <v>1</v>
      </c>
      <c r="F3844">
        <v>1</v>
      </c>
      <c r="G3844">
        <v>1</v>
      </c>
      <c r="H3844">
        <v>1</v>
      </c>
      <c r="J3844">
        <v>1</v>
      </c>
    </row>
    <row r="3845" spans="1:18" x14ac:dyDescent="0.3">
      <c r="A3845" t="s">
        <v>270</v>
      </c>
      <c r="B3845">
        <v>24</v>
      </c>
      <c r="C3845">
        <v>65</v>
      </c>
      <c r="D3845">
        <v>90</v>
      </c>
      <c r="F3845">
        <v>37</v>
      </c>
      <c r="G3845">
        <v>65</v>
      </c>
      <c r="H3845">
        <v>90</v>
      </c>
      <c r="J3845">
        <v>37</v>
      </c>
    </row>
    <row r="3846" spans="1:18" x14ac:dyDescent="0.3">
      <c r="A3846" t="s">
        <v>271</v>
      </c>
      <c r="B3846">
        <v>24</v>
      </c>
      <c r="C3846">
        <v>90</v>
      </c>
      <c r="D3846">
        <v>37</v>
      </c>
      <c r="F3846">
        <v>65</v>
      </c>
      <c r="G3846">
        <v>90</v>
      </c>
      <c r="H3846">
        <v>37</v>
      </c>
      <c r="J3846">
        <v>65</v>
      </c>
    </row>
    <row r="3847" spans="1:18" x14ac:dyDescent="0.3">
      <c r="A3847" t="s">
        <v>272</v>
      </c>
      <c r="B3847">
        <v>24</v>
      </c>
      <c r="C3847">
        <v>84</v>
      </c>
      <c r="D3847">
        <v>30.7</v>
      </c>
      <c r="F3847">
        <v>59</v>
      </c>
      <c r="G3847">
        <v>84</v>
      </c>
      <c r="H3847">
        <v>30.7</v>
      </c>
      <c r="J3847">
        <v>59</v>
      </c>
    </row>
    <row r="3848" spans="1:18" x14ac:dyDescent="0.3">
      <c r="A3848" t="s">
        <v>273</v>
      </c>
      <c r="B3848">
        <v>24</v>
      </c>
      <c r="C3848">
        <v>84</v>
      </c>
      <c r="D3848">
        <v>30.7</v>
      </c>
      <c r="F3848">
        <v>59</v>
      </c>
      <c r="G3848">
        <v>84</v>
      </c>
      <c r="H3848">
        <v>30.7</v>
      </c>
      <c r="J3848">
        <v>59</v>
      </c>
    </row>
    <row r="3849" spans="1:18" x14ac:dyDescent="0.3">
      <c r="A3849" t="s">
        <v>274</v>
      </c>
      <c r="B3849">
        <v>24</v>
      </c>
      <c r="C3849">
        <v>95</v>
      </c>
      <c r="D3849">
        <v>0</v>
      </c>
      <c r="F3849">
        <v>67</v>
      </c>
      <c r="G3849">
        <v>95</v>
      </c>
      <c r="H3849">
        <v>0</v>
      </c>
      <c r="J3849">
        <v>67</v>
      </c>
    </row>
    <row r="3850" spans="1:18" x14ac:dyDescent="0.3">
      <c r="A3850" t="s">
        <v>275</v>
      </c>
      <c r="B3850">
        <v>24</v>
      </c>
      <c r="C3850">
        <v>114</v>
      </c>
      <c r="D3850">
        <v>60.7</v>
      </c>
      <c r="F3850">
        <v>89</v>
      </c>
      <c r="G3850">
        <v>114</v>
      </c>
      <c r="H3850">
        <v>60.7</v>
      </c>
      <c r="J3850">
        <v>89</v>
      </c>
    </row>
    <row r="3851" spans="1:18" x14ac:dyDescent="0.3">
      <c r="A3851" t="s">
        <v>276</v>
      </c>
      <c r="B3851">
        <v>24</v>
      </c>
      <c r="C3851">
        <v>114</v>
      </c>
      <c r="D3851">
        <v>60.7</v>
      </c>
      <c r="F3851">
        <v>89</v>
      </c>
      <c r="G3851">
        <v>114</v>
      </c>
      <c r="H3851">
        <v>60.7</v>
      </c>
      <c r="J3851">
        <v>89</v>
      </c>
    </row>
    <row r="3852" spans="1:18" x14ac:dyDescent="0.3">
      <c r="A3852" t="s">
        <v>681</v>
      </c>
      <c r="B3852">
        <v>24</v>
      </c>
      <c r="C3852">
        <v>4.5999999999999996</v>
      </c>
      <c r="D3852">
        <v>76.2</v>
      </c>
      <c r="F3852">
        <v>20.9</v>
      </c>
      <c r="G3852">
        <v>3.4</v>
      </c>
      <c r="H3852">
        <v>77.400000000000006</v>
      </c>
      <c r="J3852">
        <v>20.9</v>
      </c>
    </row>
    <row r="3853" spans="1:18" x14ac:dyDescent="0.3">
      <c r="A3853" t="s">
        <v>254</v>
      </c>
      <c r="B3853">
        <v>25</v>
      </c>
      <c r="C3853">
        <v>111</v>
      </c>
      <c r="D3853">
        <v>112</v>
      </c>
      <c r="E3853">
        <v>211</v>
      </c>
      <c r="F3853">
        <v>212</v>
      </c>
      <c r="G3853">
        <v>121</v>
      </c>
      <c r="H3853">
        <v>122</v>
      </c>
      <c r="I3853">
        <v>221</v>
      </c>
      <c r="J3853">
        <v>222</v>
      </c>
      <c r="K3853">
        <v>311</v>
      </c>
      <c r="L3853">
        <v>312</v>
      </c>
      <c r="M3853">
        <v>411</v>
      </c>
      <c r="N3853">
        <v>412</v>
      </c>
      <c r="O3853">
        <v>321</v>
      </c>
      <c r="P3853">
        <v>322</v>
      </c>
      <c r="Q3853">
        <v>421</v>
      </c>
      <c r="R3853">
        <v>422</v>
      </c>
    </row>
    <row r="3854" spans="1:18" x14ac:dyDescent="0.3">
      <c r="A3854" t="s">
        <v>255</v>
      </c>
      <c r="B3854">
        <v>25</v>
      </c>
      <c r="D3854">
        <v>1</v>
      </c>
      <c r="F3854">
        <v>8</v>
      </c>
      <c r="G3854">
        <v>4</v>
      </c>
      <c r="H3854">
        <v>1</v>
      </c>
      <c r="J3854">
        <v>8</v>
      </c>
    </row>
    <row r="3855" spans="1:18" x14ac:dyDescent="0.3">
      <c r="A3855" t="s">
        <v>256</v>
      </c>
      <c r="B3855">
        <v>25</v>
      </c>
      <c r="D3855">
        <v>83.8</v>
      </c>
      <c r="F3855">
        <v>23.6</v>
      </c>
      <c r="G3855">
        <v>16</v>
      </c>
      <c r="H3855">
        <v>63.8</v>
      </c>
      <c r="J3855">
        <v>23.6</v>
      </c>
    </row>
    <row r="3856" spans="1:18" x14ac:dyDescent="0.3">
      <c r="A3856" t="s">
        <v>257</v>
      </c>
      <c r="B3856">
        <v>25</v>
      </c>
      <c r="D3856">
        <v>6</v>
      </c>
      <c r="F3856">
        <v>3</v>
      </c>
      <c r="G3856">
        <v>3</v>
      </c>
      <c r="H3856">
        <v>6</v>
      </c>
      <c r="J3856">
        <v>3</v>
      </c>
    </row>
    <row r="3857" spans="1:10" x14ac:dyDescent="0.3">
      <c r="A3857" t="s">
        <v>258</v>
      </c>
      <c r="B3857">
        <v>25</v>
      </c>
      <c r="D3857">
        <v>0</v>
      </c>
      <c r="F3857">
        <v>0</v>
      </c>
      <c r="G3857">
        <v>0</v>
      </c>
      <c r="H3857">
        <v>0</v>
      </c>
      <c r="J3857">
        <v>0</v>
      </c>
    </row>
    <row r="3858" spans="1:10" x14ac:dyDescent="0.3">
      <c r="A3858" t="s">
        <v>259</v>
      </c>
      <c r="B3858">
        <v>25</v>
      </c>
      <c r="D3858">
        <v>0</v>
      </c>
      <c r="F3858">
        <v>0</v>
      </c>
      <c r="G3858">
        <v>0</v>
      </c>
      <c r="H3858">
        <v>0</v>
      </c>
      <c r="J3858">
        <v>0</v>
      </c>
    </row>
    <row r="3859" spans="1:10" x14ac:dyDescent="0.3">
      <c r="A3859" t="s">
        <v>260</v>
      </c>
      <c r="B3859">
        <v>25</v>
      </c>
      <c r="D3859">
        <v>3</v>
      </c>
      <c r="F3859">
        <v>3</v>
      </c>
      <c r="G3859">
        <v>3</v>
      </c>
      <c r="H3859">
        <v>3</v>
      </c>
      <c r="J3859">
        <v>3</v>
      </c>
    </row>
    <row r="3860" spans="1:10" x14ac:dyDescent="0.3">
      <c r="A3860" t="s">
        <v>261</v>
      </c>
      <c r="B3860">
        <v>25</v>
      </c>
      <c r="D3860">
        <v>4.3</v>
      </c>
      <c r="F3860">
        <v>4.2</v>
      </c>
      <c r="G3860">
        <v>3.5</v>
      </c>
      <c r="H3860">
        <v>4.3</v>
      </c>
      <c r="J3860">
        <v>4.2</v>
      </c>
    </row>
    <row r="3861" spans="1:10" x14ac:dyDescent="0.3">
      <c r="A3861" t="s">
        <v>262</v>
      </c>
      <c r="B3861">
        <v>25</v>
      </c>
      <c r="D3861">
        <v>1.9</v>
      </c>
      <c r="F3861">
        <v>2.2000000000000002</v>
      </c>
      <c r="G3861">
        <v>0.5</v>
      </c>
      <c r="H3861">
        <v>1.9</v>
      </c>
      <c r="J3861">
        <v>2.2000000000000002</v>
      </c>
    </row>
    <row r="3862" spans="1:10" x14ac:dyDescent="0.3">
      <c r="A3862" t="s">
        <v>263</v>
      </c>
      <c r="B3862">
        <v>25</v>
      </c>
      <c r="D3862">
        <v>3</v>
      </c>
      <c r="F3862">
        <v>0</v>
      </c>
      <c r="G3862">
        <v>0</v>
      </c>
      <c r="H3862">
        <v>3</v>
      </c>
      <c r="J3862">
        <v>0</v>
      </c>
    </row>
    <row r="3863" spans="1:10" x14ac:dyDescent="0.3">
      <c r="A3863" t="s">
        <v>264</v>
      </c>
      <c r="B3863">
        <v>25</v>
      </c>
    </row>
    <row r="3864" spans="1:10" x14ac:dyDescent="0.3">
      <c r="A3864" t="s">
        <v>265</v>
      </c>
      <c r="B3864">
        <v>25</v>
      </c>
    </row>
    <row r="3865" spans="1:10" x14ac:dyDescent="0.3">
      <c r="A3865" t="s">
        <v>266</v>
      </c>
      <c r="B3865">
        <v>25</v>
      </c>
    </row>
    <row r="3866" spans="1:10" x14ac:dyDescent="0.3">
      <c r="A3866" t="s">
        <v>267</v>
      </c>
      <c r="B3866">
        <v>25</v>
      </c>
      <c r="D3866">
        <v>7.2</v>
      </c>
      <c r="F3866">
        <v>15</v>
      </c>
      <c r="G3866">
        <v>16</v>
      </c>
      <c r="H3866">
        <v>7.2</v>
      </c>
      <c r="J3866">
        <v>15</v>
      </c>
    </row>
    <row r="3867" spans="1:10" x14ac:dyDescent="0.3">
      <c r="A3867" t="s">
        <v>268</v>
      </c>
      <c r="B3867">
        <v>25</v>
      </c>
      <c r="D3867">
        <v>1</v>
      </c>
      <c r="F3867">
        <v>1</v>
      </c>
      <c r="G3867">
        <v>0</v>
      </c>
      <c r="H3867">
        <v>1</v>
      </c>
      <c r="J3867">
        <v>1</v>
      </c>
    </row>
    <row r="3868" spans="1:10" x14ac:dyDescent="0.3">
      <c r="A3868" t="s">
        <v>269</v>
      </c>
      <c r="B3868">
        <v>25</v>
      </c>
      <c r="D3868">
        <v>1</v>
      </c>
      <c r="F3868">
        <v>1</v>
      </c>
      <c r="G3868">
        <v>1</v>
      </c>
      <c r="H3868">
        <v>1</v>
      </c>
      <c r="J3868">
        <v>1</v>
      </c>
    </row>
    <row r="3869" spans="1:10" x14ac:dyDescent="0.3">
      <c r="A3869" t="s">
        <v>270</v>
      </c>
      <c r="B3869">
        <v>25</v>
      </c>
      <c r="D3869">
        <v>1</v>
      </c>
      <c r="F3869">
        <v>91</v>
      </c>
      <c r="G3869">
        <v>1</v>
      </c>
      <c r="H3869">
        <v>21</v>
      </c>
      <c r="J3869">
        <v>91</v>
      </c>
    </row>
    <row r="3870" spans="1:10" x14ac:dyDescent="0.3">
      <c r="A3870" t="s">
        <v>271</v>
      </c>
      <c r="B3870">
        <v>25</v>
      </c>
      <c r="D3870">
        <v>91</v>
      </c>
      <c r="F3870">
        <v>1</v>
      </c>
      <c r="G3870">
        <v>21</v>
      </c>
      <c r="H3870">
        <v>91</v>
      </c>
      <c r="J3870">
        <v>1</v>
      </c>
    </row>
    <row r="3871" spans="1:10" x14ac:dyDescent="0.3">
      <c r="A3871" t="s">
        <v>272</v>
      </c>
      <c r="B3871">
        <v>25</v>
      </c>
      <c r="D3871">
        <v>84.8</v>
      </c>
      <c r="F3871">
        <v>114.6</v>
      </c>
      <c r="G3871">
        <v>17</v>
      </c>
      <c r="H3871">
        <v>84.8</v>
      </c>
      <c r="J3871">
        <v>114.6</v>
      </c>
    </row>
    <row r="3872" spans="1:10" x14ac:dyDescent="0.3">
      <c r="A3872" t="s">
        <v>273</v>
      </c>
      <c r="B3872">
        <v>25</v>
      </c>
      <c r="D3872">
        <v>84.8</v>
      </c>
      <c r="F3872">
        <v>114.6</v>
      </c>
      <c r="G3872">
        <v>17</v>
      </c>
      <c r="H3872">
        <v>84.8</v>
      </c>
      <c r="J3872">
        <v>114.6</v>
      </c>
    </row>
    <row r="3873" spans="1:18" x14ac:dyDescent="0.3">
      <c r="A3873" t="s">
        <v>274</v>
      </c>
      <c r="B3873">
        <v>25</v>
      </c>
      <c r="D3873">
        <v>0</v>
      </c>
      <c r="F3873">
        <v>90</v>
      </c>
      <c r="G3873">
        <v>0</v>
      </c>
      <c r="H3873">
        <v>20</v>
      </c>
      <c r="J3873">
        <v>90</v>
      </c>
    </row>
    <row r="3874" spans="1:18" x14ac:dyDescent="0.3">
      <c r="A3874" t="s">
        <v>275</v>
      </c>
      <c r="B3874">
        <v>25</v>
      </c>
      <c r="D3874">
        <v>83.8</v>
      </c>
      <c r="F3874">
        <v>113.6</v>
      </c>
      <c r="G3874">
        <v>16</v>
      </c>
      <c r="H3874">
        <v>83.8</v>
      </c>
      <c r="J3874">
        <v>113.6</v>
      </c>
    </row>
    <row r="3875" spans="1:18" x14ac:dyDescent="0.3">
      <c r="A3875" t="s">
        <v>276</v>
      </c>
      <c r="B3875">
        <v>25</v>
      </c>
      <c r="D3875">
        <v>83.8</v>
      </c>
      <c r="F3875">
        <v>113.6</v>
      </c>
      <c r="G3875">
        <v>16</v>
      </c>
      <c r="H3875">
        <v>83.8</v>
      </c>
      <c r="J3875">
        <v>113.6</v>
      </c>
    </row>
    <row r="3876" spans="1:18" x14ac:dyDescent="0.3">
      <c r="A3876" t="s">
        <v>681</v>
      </c>
      <c r="B3876">
        <v>25</v>
      </c>
      <c r="D3876">
        <v>90</v>
      </c>
      <c r="F3876">
        <v>17.399999999999999</v>
      </c>
      <c r="G3876">
        <v>5.2</v>
      </c>
      <c r="H3876">
        <v>80.8</v>
      </c>
      <c r="J3876">
        <v>17.399999999999999</v>
      </c>
    </row>
    <row r="3877" spans="1:18" x14ac:dyDescent="0.3">
      <c r="A3877" t="s">
        <v>254</v>
      </c>
      <c r="B3877">
        <v>26</v>
      </c>
      <c r="C3877">
        <v>111</v>
      </c>
      <c r="D3877">
        <v>112</v>
      </c>
      <c r="E3877">
        <v>211</v>
      </c>
      <c r="F3877">
        <v>212</v>
      </c>
      <c r="G3877">
        <v>121</v>
      </c>
      <c r="H3877">
        <v>122</v>
      </c>
      <c r="I3877">
        <v>213</v>
      </c>
      <c r="J3877">
        <v>214</v>
      </c>
      <c r="K3877">
        <v>311</v>
      </c>
      <c r="L3877">
        <v>312</v>
      </c>
      <c r="M3877">
        <v>411</v>
      </c>
      <c r="N3877">
        <v>412</v>
      </c>
      <c r="O3877">
        <v>321</v>
      </c>
      <c r="P3877">
        <v>322</v>
      </c>
      <c r="Q3877">
        <v>421</v>
      </c>
      <c r="R3877">
        <v>422</v>
      </c>
    </row>
    <row r="3878" spans="1:18" x14ac:dyDescent="0.3">
      <c r="A3878" t="s">
        <v>255</v>
      </c>
      <c r="B3878">
        <v>26</v>
      </c>
      <c r="C3878">
        <v>5</v>
      </c>
      <c r="D3878">
        <v>12</v>
      </c>
      <c r="G3878">
        <v>5</v>
      </c>
      <c r="H3878">
        <v>12</v>
      </c>
      <c r="I3878">
        <v>8</v>
      </c>
      <c r="J3878">
        <v>8</v>
      </c>
    </row>
    <row r="3879" spans="1:18" x14ac:dyDescent="0.3">
      <c r="A3879" t="s">
        <v>256</v>
      </c>
      <c r="B3879">
        <v>26</v>
      </c>
      <c r="C3879">
        <v>8.9</v>
      </c>
      <c r="D3879">
        <v>54.1</v>
      </c>
      <c r="G3879">
        <v>8.9</v>
      </c>
      <c r="H3879">
        <v>54.1</v>
      </c>
      <c r="I3879">
        <v>18.100000000000001</v>
      </c>
      <c r="J3879">
        <v>13.1</v>
      </c>
    </row>
    <row r="3880" spans="1:18" x14ac:dyDescent="0.3">
      <c r="A3880" t="s">
        <v>257</v>
      </c>
      <c r="B3880">
        <v>26</v>
      </c>
      <c r="C3880">
        <v>2</v>
      </c>
      <c r="D3880">
        <v>6</v>
      </c>
      <c r="G3880">
        <v>2</v>
      </c>
      <c r="H3880">
        <v>6</v>
      </c>
      <c r="I3880">
        <v>2</v>
      </c>
      <c r="J3880">
        <v>2</v>
      </c>
    </row>
    <row r="3881" spans="1:18" x14ac:dyDescent="0.3">
      <c r="A3881" t="s">
        <v>258</v>
      </c>
      <c r="B3881">
        <v>26</v>
      </c>
      <c r="C3881">
        <v>0</v>
      </c>
      <c r="D3881">
        <v>0</v>
      </c>
      <c r="G3881">
        <v>0</v>
      </c>
      <c r="H3881">
        <v>0</v>
      </c>
      <c r="I3881">
        <v>0</v>
      </c>
      <c r="J3881">
        <v>0</v>
      </c>
    </row>
    <row r="3882" spans="1:18" x14ac:dyDescent="0.3">
      <c r="A3882" t="s">
        <v>259</v>
      </c>
      <c r="B3882">
        <v>26</v>
      </c>
      <c r="C3882">
        <v>0</v>
      </c>
      <c r="D3882">
        <v>0</v>
      </c>
      <c r="G3882">
        <v>0</v>
      </c>
      <c r="H3882">
        <v>0</v>
      </c>
      <c r="I3882">
        <v>0</v>
      </c>
      <c r="J3882">
        <v>0</v>
      </c>
    </row>
    <row r="3883" spans="1:18" x14ac:dyDescent="0.3">
      <c r="A3883" t="s">
        <v>260</v>
      </c>
      <c r="B3883">
        <v>26</v>
      </c>
      <c r="C3883">
        <v>2</v>
      </c>
      <c r="D3883">
        <v>3</v>
      </c>
      <c r="G3883">
        <v>2</v>
      </c>
      <c r="H3883">
        <v>3</v>
      </c>
      <c r="I3883">
        <v>2</v>
      </c>
      <c r="J3883">
        <v>2</v>
      </c>
    </row>
    <row r="3884" spans="1:18" x14ac:dyDescent="0.3">
      <c r="A3884" t="s">
        <v>261</v>
      </c>
      <c r="B3884">
        <v>26</v>
      </c>
      <c r="C3884">
        <v>4.0999999999999996</v>
      </c>
      <c r="D3884">
        <v>4.7</v>
      </c>
      <c r="G3884">
        <v>4.0999999999999996</v>
      </c>
      <c r="H3884">
        <v>4.7</v>
      </c>
      <c r="I3884">
        <v>4.4000000000000004</v>
      </c>
      <c r="J3884">
        <v>4.4000000000000004</v>
      </c>
    </row>
    <row r="3885" spans="1:18" x14ac:dyDescent="0.3">
      <c r="A3885" t="s">
        <v>262</v>
      </c>
      <c r="B3885">
        <v>26</v>
      </c>
      <c r="C3885">
        <v>2</v>
      </c>
      <c r="D3885">
        <v>1.2</v>
      </c>
      <c r="G3885">
        <v>2</v>
      </c>
      <c r="H3885">
        <v>1.2</v>
      </c>
      <c r="I3885">
        <v>2.5</v>
      </c>
      <c r="J3885">
        <v>2.5</v>
      </c>
    </row>
    <row r="3886" spans="1:18" x14ac:dyDescent="0.3">
      <c r="A3886" t="s">
        <v>263</v>
      </c>
      <c r="B3886">
        <v>26</v>
      </c>
      <c r="C3886">
        <v>0</v>
      </c>
      <c r="D3886">
        <v>3</v>
      </c>
      <c r="G3886">
        <v>0</v>
      </c>
      <c r="H3886">
        <v>3</v>
      </c>
      <c r="I3886">
        <v>0</v>
      </c>
      <c r="J3886">
        <v>0</v>
      </c>
    </row>
    <row r="3887" spans="1:18" x14ac:dyDescent="0.3">
      <c r="A3887" t="s">
        <v>264</v>
      </c>
      <c r="B3887">
        <v>26</v>
      </c>
    </row>
    <row r="3888" spans="1:18" x14ac:dyDescent="0.3">
      <c r="A3888" t="s">
        <v>265</v>
      </c>
      <c r="B3888">
        <v>26</v>
      </c>
    </row>
    <row r="3889" spans="1:18" x14ac:dyDescent="0.3">
      <c r="A3889" t="s">
        <v>266</v>
      </c>
      <c r="B3889">
        <v>26</v>
      </c>
    </row>
    <row r="3890" spans="1:18" x14ac:dyDescent="0.3">
      <c r="A3890" t="s">
        <v>267</v>
      </c>
      <c r="B3890">
        <v>26</v>
      </c>
      <c r="C3890">
        <v>12</v>
      </c>
      <c r="D3890">
        <v>20</v>
      </c>
      <c r="G3890">
        <v>12</v>
      </c>
      <c r="H3890">
        <v>20</v>
      </c>
      <c r="I3890">
        <v>15</v>
      </c>
      <c r="J3890">
        <v>15</v>
      </c>
    </row>
    <row r="3891" spans="1:18" x14ac:dyDescent="0.3">
      <c r="A3891" t="s">
        <v>268</v>
      </c>
      <c r="B3891">
        <v>26</v>
      </c>
      <c r="C3891">
        <v>0</v>
      </c>
      <c r="D3891">
        <v>1</v>
      </c>
      <c r="G3891">
        <v>0</v>
      </c>
      <c r="H3891">
        <v>1</v>
      </c>
      <c r="I3891">
        <v>1</v>
      </c>
      <c r="J3891">
        <v>1</v>
      </c>
    </row>
    <row r="3892" spans="1:18" x14ac:dyDescent="0.3">
      <c r="A3892" t="s">
        <v>269</v>
      </c>
      <c r="B3892">
        <v>26</v>
      </c>
      <c r="C3892">
        <v>1</v>
      </c>
      <c r="D3892">
        <v>1</v>
      </c>
      <c r="G3892">
        <v>1</v>
      </c>
      <c r="H3892">
        <v>1</v>
      </c>
      <c r="I3892">
        <v>1</v>
      </c>
      <c r="J3892">
        <v>1</v>
      </c>
    </row>
    <row r="3893" spans="1:18" x14ac:dyDescent="0.3">
      <c r="A3893" t="s">
        <v>270</v>
      </c>
      <c r="B3893">
        <v>26</v>
      </c>
      <c r="C3893">
        <v>0</v>
      </c>
      <c r="D3893">
        <v>15</v>
      </c>
      <c r="G3893">
        <v>0</v>
      </c>
      <c r="H3893">
        <v>15</v>
      </c>
      <c r="I3893">
        <v>75</v>
      </c>
      <c r="J3893">
        <v>100</v>
      </c>
    </row>
    <row r="3894" spans="1:18" x14ac:dyDescent="0.3">
      <c r="A3894" t="s">
        <v>271</v>
      </c>
      <c r="B3894">
        <v>26</v>
      </c>
      <c r="C3894">
        <v>15</v>
      </c>
      <c r="D3894">
        <v>75</v>
      </c>
      <c r="G3894">
        <v>15</v>
      </c>
      <c r="H3894">
        <v>75</v>
      </c>
      <c r="I3894">
        <v>100</v>
      </c>
      <c r="J3894">
        <v>0</v>
      </c>
    </row>
    <row r="3895" spans="1:18" x14ac:dyDescent="0.3">
      <c r="A3895" t="s">
        <v>272</v>
      </c>
      <c r="B3895">
        <v>26</v>
      </c>
      <c r="C3895">
        <v>8.9</v>
      </c>
      <c r="D3895">
        <v>69.099999999999994</v>
      </c>
      <c r="G3895">
        <v>8.9</v>
      </c>
      <c r="H3895">
        <v>69.099999999999994</v>
      </c>
      <c r="I3895">
        <v>93.1</v>
      </c>
      <c r="J3895">
        <v>113.1</v>
      </c>
    </row>
    <row r="3896" spans="1:18" x14ac:dyDescent="0.3">
      <c r="A3896" t="s">
        <v>273</v>
      </c>
      <c r="B3896">
        <v>26</v>
      </c>
      <c r="C3896">
        <v>8.9</v>
      </c>
      <c r="D3896">
        <v>69.099999999999994</v>
      </c>
      <c r="G3896">
        <v>8.9</v>
      </c>
      <c r="H3896">
        <v>69.099999999999994</v>
      </c>
      <c r="I3896">
        <v>93.1</v>
      </c>
      <c r="J3896">
        <v>113.1</v>
      </c>
    </row>
    <row r="3897" spans="1:18" x14ac:dyDescent="0.3">
      <c r="A3897" t="s">
        <v>274</v>
      </c>
      <c r="B3897">
        <v>26</v>
      </c>
      <c r="C3897">
        <v>105</v>
      </c>
      <c r="D3897">
        <v>0</v>
      </c>
      <c r="G3897">
        <v>105</v>
      </c>
      <c r="H3897">
        <v>0</v>
      </c>
      <c r="I3897">
        <v>60</v>
      </c>
      <c r="J3897">
        <v>85</v>
      </c>
    </row>
    <row r="3898" spans="1:18" x14ac:dyDescent="0.3">
      <c r="A3898" t="s">
        <v>275</v>
      </c>
      <c r="B3898">
        <v>26</v>
      </c>
      <c r="C3898">
        <v>113.9</v>
      </c>
      <c r="D3898">
        <v>54.1</v>
      </c>
      <c r="G3898">
        <v>113.9</v>
      </c>
      <c r="H3898">
        <v>54.1</v>
      </c>
      <c r="I3898">
        <v>78.099999999999994</v>
      </c>
      <c r="J3898">
        <v>98.1</v>
      </c>
    </row>
    <row r="3899" spans="1:18" x14ac:dyDescent="0.3">
      <c r="A3899" t="s">
        <v>276</v>
      </c>
      <c r="B3899">
        <v>26</v>
      </c>
      <c r="C3899">
        <v>113.9</v>
      </c>
      <c r="D3899">
        <v>54.1</v>
      </c>
      <c r="G3899">
        <v>113.9</v>
      </c>
      <c r="H3899">
        <v>54.1</v>
      </c>
      <c r="I3899">
        <v>78.099999999999994</v>
      </c>
      <c r="J3899">
        <v>98.1</v>
      </c>
    </row>
    <row r="3900" spans="1:18" x14ac:dyDescent="0.3">
      <c r="A3900" t="s">
        <v>681</v>
      </c>
      <c r="B3900">
        <v>26</v>
      </c>
      <c r="C3900">
        <v>7.4</v>
      </c>
      <c r="D3900">
        <v>65.8</v>
      </c>
      <c r="G3900">
        <v>1.1000000000000001</v>
      </c>
      <c r="H3900">
        <v>72.099999999999994</v>
      </c>
      <c r="I3900">
        <v>6.9</v>
      </c>
      <c r="J3900">
        <v>14.1</v>
      </c>
    </row>
    <row r="3901" spans="1:18" x14ac:dyDescent="0.3">
      <c r="A3901" t="s">
        <v>254</v>
      </c>
      <c r="B3901">
        <v>30</v>
      </c>
      <c r="C3901">
        <v>111</v>
      </c>
      <c r="D3901">
        <v>112</v>
      </c>
      <c r="E3901">
        <v>211</v>
      </c>
      <c r="F3901">
        <v>212</v>
      </c>
      <c r="G3901">
        <v>121</v>
      </c>
      <c r="H3901">
        <v>122</v>
      </c>
      <c r="I3901">
        <v>221</v>
      </c>
      <c r="J3901">
        <v>213</v>
      </c>
      <c r="K3901">
        <v>311</v>
      </c>
      <c r="L3901">
        <v>312</v>
      </c>
      <c r="M3901">
        <v>411</v>
      </c>
      <c r="N3901">
        <v>412</v>
      </c>
      <c r="O3901">
        <v>321</v>
      </c>
      <c r="P3901">
        <v>322</v>
      </c>
      <c r="Q3901">
        <v>421</v>
      </c>
      <c r="R3901">
        <v>422</v>
      </c>
    </row>
    <row r="3902" spans="1:18" x14ac:dyDescent="0.3">
      <c r="A3902" t="s">
        <v>255</v>
      </c>
      <c r="B3902">
        <v>30</v>
      </c>
      <c r="D3902">
        <v>15</v>
      </c>
      <c r="F3902">
        <v>6</v>
      </c>
      <c r="G3902">
        <v>6</v>
      </c>
      <c r="H3902">
        <v>15</v>
      </c>
      <c r="J3902">
        <v>1</v>
      </c>
    </row>
    <row r="3903" spans="1:18" x14ac:dyDescent="0.3">
      <c r="A3903" t="s">
        <v>256</v>
      </c>
      <c r="B3903">
        <v>30</v>
      </c>
      <c r="D3903">
        <v>61.6</v>
      </c>
      <c r="F3903">
        <v>14.2</v>
      </c>
      <c r="G3903">
        <v>9.3000000000000007</v>
      </c>
      <c r="H3903">
        <v>46.6</v>
      </c>
      <c r="J3903">
        <v>27</v>
      </c>
    </row>
    <row r="3904" spans="1:18" x14ac:dyDescent="0.3">
      <c r="A3904" t="s">
        <v>257</v>
      </c>
      <c r="B3904">
        <v>30</v>
      </c>
      <c r="D3904">
        <v>6</v>
      </c>
      <c r="F3904">
        <v>3</v>
      </c>
      <c r="G3904">
        <v>2</v>
      </c>
      <c r="H3904">
        <v>6</v>
      </c>
      <c r="J3904">
        <v>3</v>
      </c>
    </row>
    <row r="3905" spans="1:10" x14ac:dyDescent="0.3">
      <c r="A3905" t="s">
        <v>258</v>
      </c>
      <c r="B3905">
        <v>30</v>
      </c>
      <c r="D3905">
        <v>0</v>
      </c>
      <c r="F3905">
        <v>0</v>
      </c>
      <c r="G3905">
        <v>0</v>
      </c>
      <c r="H3905">
        <v>0</v>
      </c>
      <c r="J3905">
        <v>0</v>
      </c>
    </row>
    <row r="3906" spans="1:10" x14ac:dyDescent="0.3">
      <c r="A3906" t="s">
        <v>259</v>
      </c>
      <c r="B3906">
        <v>30</v>
      </c>
      <c r="D3906">
        <v>0</v>
      </c>
      <c r="F3906">
        <v>0</v>
      </c>
      <c r="G3906">
        <v>0</v>
      </c>
      <c r="H3906">
        <v>0</v>
      </c>
      <c r="J3906">
        <v>0</v>
      </c>
    </row>
    <row r="3907" spans="1:10" x14ac:dyDescent="0.3">
      <c r="A3907" t="s">
        <v>260</v>
      </c>
      <c r="B3907">
        <v>30</v>
      </c>
      <c r="D3907">
        <v>3</v>
      </c>
      <c r="F3907">
        <v>3</v>
      </c>
      <c r="G3907">
        <v>2</v>
      </c>
      <c r="H3907">
        <v>3</v>
      </c>
      <c r="J3907">
        <v>3</v>
      </c>
    </row>
    <row r="3908" spans="1:10" x14ac:dyDescent="0.3">
      <c r="A3908" t="s">
        <v>261</v>
      </c>
      <c r="B3908">
        <v>30</v>
      </c>
      <c r="D3908">
        <v>5</v>
      </c>
      <c r="F3908">
        <v>3.3</v>
      </c>
      <c r="G3908">
        <v>3.2</v>
      </c>
      <c r="H3908">
        <v>5</v>
      </c>
      <c r="J3908">
        <v>3</v>
      </c>
    </row>
    <row r="3909" spans="1:10" x14ac:dyDescent="0.3">
      <c r="A3909" t="s">
        <v>262</v>
      </c>
      <c r="B3909">
        <v>30</v>
      </c>
      <c r="D3909">
        <v>2.4</v>
      </c>
      <c r="F3909">
        <v>2.5</v>
      </c>
      <c r="G3909">
        <v>2.5</v>
      </c>
      <c r="H3909">
        <v>2.4</v>
      </c>
      <c r="J3909">
        <v>1</v>
      </c>
    </row>
    <row r="3910" spans="1:10" x14ac:dyDescent="0.3">
      <c r="A3910" t="s">
        <v>263</v>
      </c>
      <c r="B3910">
        <v>30</v>
      </c>
      <c r="D3910">
        <v>3</v>
      </c>
      <c r="F3910">
        <v>0</v>
      </c>
      <c r="G3910">
        <v>0</v>
      </c>
      <c r="H3910">
        <v>3</v>
      </c>
      <c r="J3910">
        <v>0</v>
      </c>
    </row>
    <row r="3911" spans="1:10" x14ac:dyDescent="0.3">
      <c r="A3911" t="s">
        <v>264</v>
      </c>
      <c r="B3911">
        <v>30</v>
      </c>
      <c r="J3911">
        <v>5</v>
      </c>
    </row>
    <row r="3912" spans="1:10" x14ac:dyDescent="0.3">
      <c r="A3912" t="s">
        <v>265</v>
      </c>
      <c r="B3912">
        <v>30</v>
      </c>
      <c r="J3912">
        <v>22</v>
      </c>
    </row>
    <row r="3913" spans="1:10" x14ac:dyDescent="0.3">
      <c r="A3913" t="s">
        <v>266</v>
      </c>
      <c r="B3913">
        <v>30</v>
      </c>
      <c r="J3913">
        <v>0</v>
      </c>
    </row>
    <row r="3914" spans="1:10" x14ac:dyDescent="0.3">
      <c r="A3914" t="s">
        <v>267</v>
      </c>
      <c r="B3914">
        <v>30</v>
      </c>
      <c r="D3914">
        <v>22.4</v>
      </c>
      <c r="F3914">
        <v>13</v>
      </c>
      <c r="G3914">
        <v>14</v>
      </c>
      <c r="H3914">
        <v>22.4</v>
      </c>
      <c r="J3914">
        <v>31</v>
      </c>
    </row>
    <row r="3915" spans="1:10" x14ac:dyDescent="0.3">
      <c r="A3915" t="s">
        <v>268</v>
      </c>
      <c r="B3915">
        <v>30</v>
      </c>
      <c r="D3915">
        <v>1</v>
      </c>
      <c r="F3915">
        <v>0</v>
      </c>
      <c r="G3915">
        <v>0</v>
      </c>
      <c r="H3915">
        <v>1</v>
      </c>
      <c r="J3915">
        <v>0</v>
      </c>
    </row>
    <row r="3916" spans="1:10" x14ac:dyDescent="0.3">
      <c r="A3916" t="s">
        <v>269</v>
      </c>
      <c r="B3916">
        <v>30</v>
      </c>
      <c r="D3916">
        <v>1</v>
      </c>
      <c r="F3916">
        <v>1</v>
      </c>
      <c r="G3916">
        <v>1</v>
      </c>
      <c r="H3916">
        <v>1</v>
      </c>
      <c r="J3916">
        <v>1</v>
      </c>
    </row>
    <row r="3917" spans="1:10" x14ac:dyDescent="0.3">
      <c r="A3917" t="s">
        <v>270</v>
      </c>
      <c r="B3917">
        <v>30</v>
      </c>
      <c r="D3917">
        <v>59.4</v>
      </c>
      <c r="F3917">
        <v>8.4</v>
      </c>
      <c r="G3917">
        <v>59.4</v>
      </c>
      <c r="H3917">
        <v>74.400000000000006</v>
      </c>
      <c r="J3917">
        <v>28.4</v>
      </c>
    </row>
    <row r="3918" spans="1:10" x14ac:dyDescent="0.3">
      <c r="A3918" t="s">
        <v>271</v>
      </c>
      <c r="B3918">
        <v>30</v>
      </c>
      <c r="D3918">
        <v>8.4</v>
      </c>
      <c r="F3918">
        <v>28.4</v>
      </c>
      <c r="G3918">
        <v>74.400000000000006</v>
      </c>
      <c r="H3918">
        <v>8.4</v>
      </c>
      <c r="J3918">
        <v>59.4</v>
      </c>
    </row>
    <row r="3919" spans="1:10" x14ac:dyDescent="0.3">
      <c r="A3919" t="s">
        <v>272</v>
      </c>
      <c r="B3919">
        <v>30</v>
      </c>
      <c r="D3919">
        <v>1</v>
      </c>
      <c r="F3919">
        <v>22.6</v>
      </c>
      <c r="G3919">
        <v>68.7</v>
      </c>
      <c r="H3919">
        <v>1</v>
      </c>
      <c r="J3919">
        <v>55.4</v>
      </c>
    </row>
    <row r="3920" spans="1:10" x14ac:dyDescent="0.3">
      <c r="A3920" t="s">
        <v>273</v>
      </c>
      <c r="B3920">
        <v>30</v>
      </c>
      <c r="D3920">
        <v>1</v>
      </c>
      <c r="F3920">
        <v>22.6</v>
      </c>
      <c r="G3920">
        <v>68.7</v>
      </c>
      <c r="H3920">
        <v>1</v>
      </c>
      <c r="J3920">
        <v>55.4</v>
      </c>
    </row>
    <row r="3921" spans="1:18" x14ac:dyDescent="0.3">
      <c r="A3921" t="s">
        <v>274</v>
      </c>
      <c r="B3921">
        <v>30</v>
      </c>
      <c r="D3921">
        <v>58.4</v>
      </c>
      <c r="F3921">
        <v>7.4</v>
      </c>
      <c r="G3921">
        <v>58.4</v>
      </c>
      <c r="H3921">
        <v>73.400000000000006</v>
      </c>
      <c r="J3921">
        <v>27.4</v>
      </c>
    </row>
    <row r="3922" spans="1:18" x14ac:dyDescent="0.3">
      <c r="A3922" t="s">
        <v>275</v>
      </c>
      <c r="B3922">
        <v>30</v>
      </c>
      <c r="D3922">
        <v>0</v>
      </c>
      <c r="F3922">
        <v>21.6</v>
      </c>
      <c r="G3922">
        <v>67.7</v>
      </c>
      <c r="H3922">
        <v>0</v>
      </c>
      <c r="J3922">
        <v>54.4</v>
      </c>
    </row>
    <row r="3923" spans="1:18" x14ac:dyDescent="0.3">
      <c r="A3923" t="s">
        <v>276</v>
      </c>
      <c r="B3923">
        <v>30</v>
      </c>
      <c r="D3923">
        <v>0</v>
      </c>
      <c r="F3923">
        <v>21.6</v>
      </c>
      <c r="G3923">
        <v>67.7</v>
      </c>
      <c r="H3923">
        <v>0</v>
      </c>
      <c r="J3923">
        <v>54.4</v>
      </c>
    </row>
    <row r="3924" spans="1:18" x14ac:dyDescent="0.3">
      <c r="A3924" t="s">
        <v>681</v>
      </c>
      <c r="B3924">
        <v>30</v>
      </c>
      <c r="D3924">
        <v>100.5</v>
      </c>
      <c r="F3924">
        <v>6.3</v>
      </c>
      <c r="G3924">
        <v>3.6</v>
      </c>
      <c r="H3924">
        <v>91.2</v>
      </c>
      <c r="J3924">
        <v>0</v>
      </c>
    </row>
    <row r="3925" spans="1:18" x14ac:dyDescent="0.3">
      <c r="A3925" t="s">
        <v>254</v>
      </c>
      <c r="B3925">
        <v>31</v>
      </c>
      <c r="C3925">
        <v>111</v>
      </c>
      <c r="D3925">
        <v>112</v>
      </c>
      <c r="E3925">
        <v>211</v>
      </c>
      <c r="F3925">
        <v>212</v>
      </c>
      <c r="G3925">
        <v>121</v>
      </c>
      <c r="H3925">
        <v>122</v>
      </c>
      <c r="I3925">
        <v>213</v>
      </c>
      <c r="J3925">
        <v>214</v>
      </c>
      <c r="K3925">
        <v>311</v>
      </c>
      <c r="L3925">
        <v>312</v>
      </c>
      <c r="M3925">
        <v>411</v>
      </c>
      <c r="N3925">
        <v>412</v>
      </c>
      <c r="O3925">
        <v>321</v>
      </c>
      <c r="P3925">
        <v>322</v>
      </c>
      <c r="Q3925">
        <v>421</v>
      </c>
      <c r="R3925">
        <v>422</v>
      </c>
    </row>
    <row r="3926" spans="1:18" x14ac:dyDescent="0.3">
      <c r="A3926" t="s">
        <v>255</v>
      </c>
      <c r="B3926">
        <v>31</v>
      </c>
      <c r="D3926">
        <v>15</v>
      </c>
      <c r="E3926">
        <v>8</v>
      </c>
      <c r="F3926">
        <v>10</v>
      </c>
      <c r="G3926">
        <v>10</v>
      </c>
      <c r="H3926">
        <v>15</v>
      </c>
    </row>
    <row r="3927" spans="1:18" x14ac:dyDescent="0.3">
      <c r="A3927" t="s">
        <v>256</v>
      </c>
      <c r="B3927">
        <v>31</v>
      </c>
      <c r="D3927">
        <v>62.1</v>
      </c>
      <c r="E3927">
        <v>24.7</v>
      </c>
      <c r="F3927">
        <v>11.6</v>
      </c>
      <c r="G3927">
        <v>11.5</v>
      </c>
      <c r="H3927">
        <v>44.1</v>
      </c>
    </row>
    <row r="3928" spans="1:18" x14ac:dyDescent="0.3">
      <c r="A3928" t="s">
        <v>257</v>
      </c>
      <c r="B3928">
        <v>31</v>
      </c>
      <c r="D3928">
        <v>6</v>
      </c>
      <c r="E3928">
        <v>3</v>
      </c>
      <c r="F3928">
        <v>3</v>
      </c>
      <c r="G3928">
        <v>3</v>
      </c>
      <c r="H3928">
        <v>6</v>
      </c>
    </row>
    <row r="3929" spans="1:18" x14ac:dyDescent="0.3">
      <c r="A3929" t="s">
        <v>258</v>
      </c>
      <c r="B3929">
        <v>31</v>
      </c>
      <c r="D3929">
        <v>0</v>
      </c>
      <c r="E3929">
        <v>0</v>
      </c>
      <c r="F3929">
        <v>0</v>
      </c>
      <c r="G3929">
        <v>0</v>
      </c>
      <c r="H3929">
        <v>0</v>
      </c>
    </row>
    <row r="3930" spans="1:18" x14ac:dyDescent="0.3">
      <c r="A3930" t="s">
        <v>259</v>
      </c>
      <c r="B3930">
        <v>31</v>
      </c>
      <c r="D3930">
        <v>0</v>
      </c>
      <c r="E3930">
        <v>0</v>
      </c>
      <c r="F3930">
        <v>0</v>
      </c>
      <c r="G3930">
        <v>0</v>
      </c>
      <c r="H3930">
        <v>0</v>
      </c>
    </row>
    <row r="3931" spans="1:18" x14ac:dyDescent="0.3">
      <c r="A3931" t="s">
        <v>260</v>
      </c>
      <c r="B3931">
        <v>31</v>
      </c>
      <c r="D3931">
        <v>3</v>
      </c>
      <c r="E3931">
        <v>3</v>
      </c>
      <c r="F3931">
        <v>3</v>
      </c>
      <c r="G3931">
        <v>3</v>
      </c>
      <c r="H3931">
        <v>3</v>
      </c>
    </row>
    <row r="3932" spans="1:18" x14ac:dyDescent="0.3">
      <c r="A3932" t="s">
        <v>261</v>
      </c>
      <c r="B3932">
        <v>31</v>
      </c>
      <c r="D3932">
        <v>5</v>
      </c>
      <c r="E3932">
        <v>3.8</v>
      </c>
      <c r="F3932">
        <v>4.9000000000000004</v>
      </c>
      <c r="G3932">
        <v>4</v>
      </c>
      <c r="H3932">
        <v>5</v>
      </c>
    </row>
    <row r="3933" spans="1:18" x14ac:dyDescent="0.3">
      <c r="A3933" t="s">
        <v>262</v>
      </c>
      <c r="B3933">
        <v>31</v>
      </c>
      <c r="D3933">
        <v>2.9</v>
      </c>
      <c r="E3933">
        <v>2.5</v>
      </c>
      <c r="F3933">
        <v>2.5</v>
      </c>
      <c r="G3933">
        <v>2.5</v>
      </c>
      <c r="H3933">
        <v>2.9</v>
      </c>
    </row>
    <row r="3934" spans="1:18" x14ac:dyDescent="0.3">
      <c r="A3934" t="s">
        <v>263</v>
      </c>
      <c r="B3934">
        <v>31</v>
      </c>
      <c r="D3934">
        <v>3</v>
      </c>
      <c r="E3934">
        <v>0</v>
      </c>
      <c r="F3934">
        <v>0</v>
      </c>
      <c r="G3934">
        <v>0</v>
      </c>
      <c r="H3934">
        <v>3</v>
      </c>
    </row>
    <row r="3935" spans="1:18" x14ac:dyDescent="0.3">
      <c r="A3935" t="s">
        <v>264</v>
      </c>
      <c r="B3935">
        <v>31</v>
      </c>
    </row>
    <row r="3936" spans="1:18" x14ac:dyDescent="0.3">
      <c r="A3936" t="s">
        <v>265</v>
      </c>
      <c r="B3936">
        <v>31</v>
      </c>
    </row>
    <row r="3937" spans="1:18" x14ac:dyDescent="0.3">
      <c r="A3937" t="s">
        <v>266</v>
      </c>
      <c r="B3937">
        <v>31</v>
      </c>
    </row>
    <row r="3938" spans="1:18" x14ac:dyDescent="0.3">
      <c r="A3938" t="s">
        <v>267</v>
      </c>
      <c r="B3938">
        <v>31</v>
      </c>
      <c r="D3938">
        <v>23</v>
      </c>
      <c r="E3938">
        <v>15</v>
      </c>
      <c r="F3938">
        <v>17.399999999999999</v>
      </c>
      <c r="G3938">
        <v>18</v>
      </c>
      <c r="H3938">
        <v>23</v>
      </c>
    </row>
    <row r="3939" spans="1:18" x14ac:dyDescent="0.3">
      <c r="A3939" t="s">
        <v>268</v>
      </c>
      <c r="B3939">
        <v>31</v>
      </c>
      <c r="D3939">
        <v>1</v>
      </c>
      <c r="E3939">
        <v>0</v>
      </c>
      <c r="F3939">
        <v>0</v>
      </c>
      <c r="G3939">
        <v>0</v>
      </c>
      <c r="H3939">
        <v>1</v>
      </c>
    </row>
    <row r="3940" spans="1:18" x14ac:dyDescent="0.3">
      <c r="A3940" t="s">
        <v>269</v>
      </c>
      <c r="B3940">
        <v>31</v>
      </c>
      <c r="D3940">
        <v>1</v>
      </c>
      <c r="E3940">
        <v>1</v>
      </c>
      <c r="F3940">
        <v>1</v>
      </c>
      <c r="G3940">
        <v>1</v>
      </c>
      <c r="H3940">
        <v>1</v>
      </c>
    </row>
    <row r="3941" spans="1:18" x14ac:dyDescent="0.3">
      <c r="A3941" t="s">
        <v>270</v>
      </c>
      <c r="B3941">
        <v>31</v>
      </c>
      <c r="D3941">
        <v>67.900000000000006</v>
      </c>
      <c r="E3941">
        <v>17.899999999999999</v>
      </c>
      <c r="F3941">
        <v>48.9</v>
      </c>
      <c r="G3941">
        <v>67.900000000000006</v>
      </c>
      <c r="H3941">
        <v>85.9</v>
      </c>
    </row>
    <row r="3942" spans="1:18" x14ac:dyDescent="0.3">
      <c r="A3942" t="s">
        <v>271</v>
      </c>
      <c r="B3942">
        <v>31</v>
      </c>
      <c r="D3942">
        <v>17.899999999999999</v>
      </c>
      <c r="E3942">
        <v>48.9</v>
      </c>
      <c r="F3942">
        <v>67.900000000000006</v>
      </c>
      <c r="G3942">
        <v>85.9</v>
      </c>
      <c r="H3942">
        <v>17.899999999999999</v>
      </c>
    </row>
    <row r="3943" spans="1:18" x14ac:dyDescent="0.3">
      <c r="A3943" t="s">
        <v>272</v>
      </c>
      <c r="B3943">
        <v>31</v>
      </c>
      <c r="D3943">
        <v>10</v>
      </c>
      <c r="E3943">
        <v>42.6</v>
      </c>
      <c r="F3943">
        <v>60.5</v>
      </c>
      <c r="G3943">
        <v>79.400000000000006</v>
      </c>
      <c r="H3943">
        <v>10</v>
      </c>
    </row>
    <row r="3944" spans="1:18" x14ac:dyDescent="0.3">
      <c r="A3944" t="s">
        <v>273</v>
      </c>
      <c r="B3944">
        <v>31</v>
      </c>
      <c r="D3944">
        <v>10</v>
      </c>
      <c r="E3944">
        <v>42.6</v>
      </c>
      <c r="F3944">
        <v>60.5</v>
      </c>
      <c r="G3944">
        <v>79.400000000000006</v>
      </c>
      <c r="H3944">
        <v>10</v>
      </c>
    </row>
    <row r="3945" spans="1:18" x14ac:dyDescent="0.3">
      <c r="A3945" t="s">
        <v>274</v>
      </c>
      <c r="B3945">
        <v>31</v>
      </c>
      <c r="D3945">
        <v>57.9</v>
      </c>
      <c r="E3945">
        <v>7.9</v>
      </c>
      <c r="F3945">
        <v>38.9</v>
      </c>
      <c r="G3945">
        <v>57.9</v>
      </c>
      <c r="H3945">
        <v>75.900000000000006</v>
      </c>
    </row>
    <row r="3946" spans="1:18" x14ac:dyDescent="0.3">
      <c r="A3946" t="s">
        <v>275</v>
      </c>
      <c r="B3946">
        <v>31</v>
      </c>
      <c r="D3946">
        <v>0</v>
      </c>
      <c r="E3946">
        <v>32.6</v>
      </c>
      <c r="F3946">
        <v>50.5</v>
      </c>
      <c r="G3946">
        <v>69.400000000000006</v>
      </c>
      <c r="H3946">
        <v>0</v>
      </c>
    </row>
    <row r="3947" spans="1:18" x14ac:dyDescent="0.3">
      <c r="A3947" t="s">
        <v>276</v>
      </c>
      <c r="B3947">
        <v>31</v>
      </c>
      <c r="D3947">
        <v>0</v>
      </c>
      <c r="E3947">
        <v>32.6</v>
      </c>
      <c r="F3947">
        <v>50.5</v>
      </c>
      <c r="G3947">
        <v>69.400000000000006</v>
      </c>
      <c r="H3947">
        <v>0</v>
      </c>
    </row>
    <row r="3948" spans="1:18" x14ac:dyDescent="0.3">
      <c r="A3948" t="s">
        <v>681</v>
      </c>
      <c r="B3948">
        <v>31</v>
      </c>
      <c r="D3948">
        <v>72.099999999999994</v>
      </c>
      <c r="E3948">
        <v>13.8</v>
      </c>
      <c r="F3948">
        <v>12.5</v>
      </c>
      <c r="G3948">
        <v>11.6</v>
      </c>
      <c r="H3948">
        <v>54</v>
      </c>
    </row>
    <row r="3949" spans="1:18" x14ac:dyDescent="0.3">
      <c r="A3949" t="s">
        <v>254</v>
      </c>
      <c r="B3949">
        <v>32</v>
      </c>
      <c r="C3949">
        <v>111</v>
      </c>
      <c r="D3949">
        <v>112</v>
      </c>
      <c r="E3949">
        <v>212</v>
      </c>
      <c r="F3949">
        <v>211</v>
      </c>
      <c r="G3949">
        <v>121</v>
      </c>
      <c r="H3949">
        <v>122</v>
      </c>
      <c r="I3949">
        <v>221</v>
      </c>
      <c r="J3949">
        <v>222</v>
      </c>
      <c r="K3949">
        <v>311</v>
      </c>
      <c r="L3949">
        <v>312</v>
      </c>
      <c r="M3949">
        <v>411</v>
      </c>
      <c r="N3949">
        <v>412</v>
      </c>
      <c r="O3949">
        <v>321</v>
      </c>
      <c r="P3949">
        <v>322</v>
      </c>
      <c r="Q3949">
        <v>421</v>
      </c>
      <c r="R3949">
        <v>422</v>
      </c>
    </row>
    <row r="3950" spans="1:18" x14ac:dyDescent="0.3">
      <c r="A3950" t="s">
        <v>255</v>
      </c>
      <c r="B3950">
        <v>32</v>
      </c>
      <c r="C3950">
        <v>4</v>
      </c>
      <c r="D3950">
        <v>15</v>
      </c>
      <c r="E3950">
        <v>1</v>
      </c>
      <c r="F3950">
        <v>6.5</v>
      </c>
      <c r="G3950">
        <v>4</v>
      </c>
      <c r="H3950">
        <v>15</v>
      </c>
      <c r="J3950">
        <v>6.5</v>
      </c>
    </row>
    <row r="3951" spans="1:18" x14ac:dyDescent="0.3">
      <c r="A3951" t="s">
        <v>256</v>
      </c>
      <c r="B3951">
        <v>32</v>
      </c>
      <c r="C3951">
        <v>17.2</v>
      </c>
      <c r="D3951">
        <v>48.2</v>
      </c>
      <c r="E3951">
        <v>9.9</v>
      </c>
      <c r="F3951">
        <v>17.600000000000001</v>
      </c>
      <c r="G3951">
        <v>8.1999999999999993</v>
      </c>
      <c r="H3951">
        <v>57.2</v>
      </c>
      <c r="J3951">
        <v>33.6</v>
      </c>
    </row>
    <row r="3952" spans="1:18" x14ac:dyDescent="0.3">
      <c r="A3952" t="s">
        <v>257</v>
      </c>
      <c r="B3952">
        <v>32</v>
      </c>
      <c r="C3952">
        <v>2</v>
      </c>
      <c r="D3952">
        <v>6</v>
      </c>
      <c r="E3952">
        <v>2</v>
      </c>
      <c r="F3952">
        <v>3</v>
      </c>
      <c r="G3952">
        <v>2</v>
      </c>
      <c r="H3952">
        <v>6</v>
      </c>
      <c r="J3952">
        <v>3</v>
      </c>
    </row>
    <row r="3953" spans="1:10" x14ac:dyDescent="0.3">
      <c r="A3953" t="s">
        <v>258</v>
      </c>
      <c r="B3953">
        <v>32</v>
      </c>
      <c r="C3953">
        <v>0</v>
      </c>
      <c r="D3953">
        <v>0</v>
      </c>
      <c r="E3953">
        <v>0</v>
      </c>
      <c r="F3953">
        <v>0</v>
      </c>
      <c r="G3953">
        <v>0</v>
      </c>
      <c r="H3953">
        <v>0</v>
      </c>
      <c r="J3953">
        <v>0</v>
      </c>
    </row>
    <row r="3954" spans="1:10" x14ac:dyDescent="0.3">
      <c r="A3954" t="s">
        <v>259</v>
      </c>
      <c r="B3954">
        <v>32</v>
      </c>
      <c r="C3954">
        <v>0</v>
      </c>
      <c r="D3954">
        <v>0</v>
      </c>
      <c r="E3954">
        <v>0</v>
      </c>
      <c r="F3954">
        <v>0</v>
      </c>
      <c r="G3954">
        <v>0</v>
      </c>
      <c r="H3954">
        <v>0</v>
      </c>
      <c r="J3954">
        <v>0</v>
      </c>
    </row>
    <row r="3955" spans="1:10" x14ac:dyDescent="0.3">
      <c r="A3955" t="s">
        <v>260</v>
      </c>
      <c r="B3955">
        <v>32</v>
      </c>
      <c r="C3955">
        <v>2</v>
      </c>
      <c r="D3955">
        <v>3</v>
      </c>
      <c r="E3955">
        <v>2</v>
      </c>
      <c r="F3955">
        <v>3</v>
      </c>
      <c r="G3955">
        <v>2</v>
      </c>
      <c r="H3955">
        <v>3</v>
      </c>
      <c r="J3955">
        <v>3</v>
      </c>
    </row>
    <row r="3956" spans="1:10" x14ac:dyDescent="0.3">
      <c r="A3956" t="s">
        <v>261</v>
      </c>
      <c r="B3956">
        <v>32</v>
      </c>
      <c r="C3956">
        <v>5.3</v>
      </c>
      <c r="D3956">
        <v>5.3</v>
      </c>
      <c r="E3956">
        <v>3.6</v>
      </c>
      <c r="F3956">
        <v>3.9</v>
      </c>
      <c r="G3956">
        <v>5.3</v>
      </c>
      <c r="H3956">
        <v>5.3</v>
      </c>
      <c r="J3956">
        <v>3.9</v>
      </c>
    </row>
    <row r="3957" spans="1:10" x14ac:dyDescent="0.3">
      <c r="A3957" t="s">
        <v>262</v>
      </c>
      <c r="B3957">
        <v>32</v>
      </c>
      <c r="C3957">
        <v>2.5</v>
      </c>
      <c r="D3957">
        <v>1.5</v>
      </c>
      <c r="E3957">
        <v>2.5</v>
      </c>
      <c r="F3957">
        <v>2.5</v>
      </c>
      <c r="G3957">
        <v>2.5</v>
      </c>
      <c r="H3957">
        <v>1.5</v>
      </c>
      <c r="J3957">
        <v>2.5</v>
      </c>
    </row>
    <row r="3958" spans="1:10" x14ac:dyDescent="0.3">
      <c r="A3958" t="s">
        <v>263</v>
      </c>
      <c r="B3958">
        <v>32</v>
      </c>
      <c r="C3958">
        <v>0</v>
      </c>
      <c r="D3958">
        <v>3</v>
      </c>
      <c r="E3958">
        <v>0</v>
      </c>
      <c r="F3958">
        <v>0</v>
      </c>
      <c r="G3958">
        <v>0</v>
      </c>
      <c r="H3958">
        <v>3</v>
      </c>
      <c r="J3958">
        <v>0</v>
      </c>
    </row>
    <row r="3959" spans="1:10" x14ac:dyDescent="0.3">
      <c r="A3959" t="s">
        <v>264</v>
      </c>
      <c r="B3959">
        <v>32</v>
      </c>
    </row>
    <row r="3960" spans="1:10" x14ac:dyDescent="0.3">
      <c r="A3960" t="s">
        <v>265</v>
      </c>
      <c r="B3960">
        <v>32</v>
      </c>
    </row>
    <row r="3961" spans="1:10" x14ac:dyDescent="0.3">
      <c r="A3961" t="s">
        <v>266</v>
      </c>
      <c r="B3961">
        <v>32</v>
      </c>
    </row>
    <row r="3962" spans="1:10" x14ac:dyDescent="0.3">
      <c r="A3962" t="s">
        <v>267</v>
      </c>
      <c r="B3962">
        <v>32</v>
      </c>
      <c r="C3962">
        <v>12</v>
      </c>
      <c r="D3962">
        <v>23</v>
      </c>
      <c r="E3962">
        <v>14</v>
      </c>
      <c r="F3962">
        <v>14</v>
      </c>
      <c r="G3962">
        <v>12</v>
      </c>
      <c r="H3962">
        <v>23</v>
      </c>
      <c r="J3962">
        <v>14</v>
      </c>
    </row>
    <row r="3963" spans="1:10" x14ac:dyDescent="0.3">
      <c r="A3963" t="s">
        <v>268</v>
      </c>
      <c r="B3963">
        <v>32</v>
      </c>
      <c r="C3963">
        <v>0</v>
      </c>
      <c r="D3963">
        <v>1</v>
      </c>
      <c r="E3963">
        <v>0</v>
      </c>
      <c r="F3963">
        <v>1</v>
      </c>
      <c r="G3963">
        <v>0</v>
      </c>
      <c r="H3963">
        <v>1</v>
      </c>
      <c r="J3963">
        <v>1</v>
      </c>
    </row>
    <row r="3964" spans="1:10" x14ac:dyDescent="0.3">
      <c r="A3964" t="s">
        <v>269</v>
      </c>
      <c r="B3964">
        <v>32</v>
      </c>
      <c r="C3964">
        <v>1</v>
      </c>
      <c r="D3964">
        <v>1</v>
      </c>
      <c r="E3964">
        <v>1</v>
      </c>
      <c r="F3964">
        <v>1</v>
      </c>
      <c r="G3964">
        <v>1</v>
      </c>
      <c r="H3964">
        <v>1</v>
      </c>
      <c r="J3964">
        <v>1</v>
      </c>
    </row>
    <row r="3965" spans="1:10" x14ac:dyDescent="0.3">
      <c r="A3965" t="s">
        <v>270</v>
      </c>
      <c r="B3965">
        <v>32</v>
      </c>
      <c r="C3965">
        <v>72.3</v>
      </c>
      <c r="D3965">
        <v>97.3</v>
      </c>
      <c r="E3965">
        <v>56.3</v>
      </c>
      <c r="F3965">
        <v>32.299999999999997</v>
      </c>
      <c r="G3965">
        <v>72.3</v>
      </c>
      <c r="H3965">
        <v>88.3</v>
      </c>
      <c r="J3965">
        <v>32.299999999999997</v>
      </c>
    </row>
    <row r="3966" spans="1:10" x14ac:dyDescent="0.3">
      <c r="A3966" t="s">
        <v>271</v>
      </c>
      <c r="B3966">
        <v>32</v>
      </c>
      <c r="C3966">
        <v>97.3</v>
      </c>
      <c r="D3966">
        <v>32.299999999999997</v>
      </c>
      <c r="E3966">
        <v>72.3</v>
      </c>
      <c r="F3966">
        <v>56.3</v>
      </c>
      <c r="G3966">
        <v>88.3</v>
      </c>
      <c r="H3966">
        <v>32.299999999999997</v>
      </c>
      <c r="J3966">
        <v>72.3</v>
      </c>
    </row>
    <row r="3967" spans="1:10" x14ac:dyDescent="0.3">
      <c r="A3967" t="s">
        <v>272</v>
      </c>
      <c r="B3967">
        <v>32</v>
      </c>
      <c r="C3967">
        <v>89.5</v>
      </c>
      <c r="D3967">
        <v>25.5</v>
      </c>
      <c r="E3967">
        <v>66.2</v>
      </c>
      <c r="F3967">
        <v>49.9</v>
      </c>
      <c r="G3967">
        <v>80.5</v>
      </c>
      <c r="H3967">
        <v>25.5</v>
      </c>
      <c r="J3967">
        <v>65.900000000000006</v>
      </c>
    </row>
    <row r="3968" spans="1:10" x14ac:dyDescent="0.3">
      <c r="A3968" t="s">
        <v>273</v>
      </c>
      <c r="B3968">
        <v>32</v>
      </c>
      <c r="C3968">
        <v>89.5</v>
      </c>
      <c r="D3968">
        <v>25.5</v>
      </c>
      <c r="E3968">
        <v>66.2</v>
      </c>
      <c r="F3968">
        <v>49.9</v>
      </c>
      <c r="G3968">
        <v>80.5</v>
      </c>
      <c r="H3968">
        <v>25.5</v>
      </c>
      <c r="J3968">
        <v>65.900000000000006</v>
      </c>
    </row>
    <row r="3969" spans="1:18" x14ac:dyDescent="0.3">
      <c r="A3969" t="s">
        <v>274</v>
      </c>
      <c r="B3969">
        <v>32</v>
      </c>
      <c r="C3969">
        <v>46.8</v>
      </c>
      <c r="D3969">
        <v>71.8</v>
      </c>
      <c r="E3969">
        <v>30.8</v>
      </c>
      <c r="F3969">
        <v>6.8</v>
      </c>
      <c r="G3969">
        <v>46.8</v>
      </c>
      <c r="H3969">
        <v>62.8</v>
      </c>
      <c r="J3969">
        <v>6.8</v>
      </c>
    </row>
    <row r="3970" spans="1:18" x14ac:dyDescent="0.3">
      <c r="A3970" t="s">
        <v>275</v>
      </c>
      <c r="B3970">
        <v>32</v>
      </c>
      <c r="C3970">
        <v>64</v>
      </c>
      <c r="D3970">
        <v>0</v>
      </c>
      <c r="E3970">
        <v>40.700000000000003</v>
      </c>
      <c r="F3970">
        <v>24.4</v>
      </c>
      <c r="G3970">
        <v>55</v>
      </c>
      <c r="H3970">
        <v>0</v>
      </c>
      <c r="J3970">
        <v>40.4</v>
      </c>
    </row>
    <row r="3971" spans="1:18" x14ac:dyDescent="0.3">
      <c r="A3971" t="s">
        <v>276</v>
      </c>
      <c r="B3971">
        <v>32</v>
      </c>
      <c r="C3971">
        <v>64</v>
      </c>
      <c r="D3971">
        <v>0</v>
      </c>
      <c r="E3971">
        <v>40.700000000000003</v>
      </c>
      <c r="F3971">
        <v>24.4</v>
      </c>
      <c r="G3971">
        <v>55</v>
      </c>
      <c r="H3971">
        <v>0</v>
      </c>
      <c r="J3971">
        <v>40.4</v>
      </c>
    </row>
    <row r="3972" spans="1:18" x14ac:dyDescent="0.3">
      <c r="A3972" t="s">
        <v>681</v>
      </c>
      <c r="B3972">
        <v>32</v>
      </c>
      <c r="C3972">
        <v>13.1</v>
      </c>
      <c r="D3972">
        <v>55.4</v>
      </c>
      <c r="E3972">
        <v>7</v>
      </c>
      <c r="F3972">
        <v>17.399999999999999</v>
      </c>
      <c r="G3972">
        <v>6.7</v>
      </c>
      <c r="H3972">
        <v>61.8</v>
      </c>
      <c r="J3972">
        <v>30.5</v>
      </c>
    </row>
    <row r="3973" spans="1:18" x14ac:dyDescent="0.3">
      <c r="A3973" t="s">
        <v>254</v>
      </c>
      <c r="B3973">
        <v>33</v>
      </c>
      <c r="C3973">
        <v>111</v>
      </c>
      <c r="D3973">
        <v>112</v>
      </c>
      <c r="E3973">
        <v>211</v>
      </c>
      <c r="F3973">
        <v>212</v>
      </c>
      <c r="G3973">
        <v>121</v>
      </c>
      <c r="H3973">
        <v>122</v>
      </c>
      <c r="I3973">
        <v>221</v>
      </c>
      <c r="J3973">
        <v>222</v>
      </c>
      <c r="K3973">
        <v>311</v>
      </c>
      <c r="L3973">
        <v>312</v>
      </c>
      <c r="M3973">
        <v>411</v>
      </c>
      <c r="N3973">
        <v>412</v>
      </c>
      <c r="O3973">
        <v>321</v>
      </c>
      <c r="P3973">
        <v>322</v>
      </c>
      <c r="Q3973">
        <v>421</v>
      </c>
      <c r="R3973">
        <v>422</v>
      </c>
    </row>
    <row r="3974" spans="1:18" x14ac:dyDescent="0.3">
      <c r="A3974" t="s">
        <v>255</v>
      </c>
      <c r="B3974">
        <v>33</v>
      </c>
      <c r="C3974">
        <v>6</v>
      </c>
      <c r="D3974">
        <v>15</v>
      </c>
      <c r="F3974">
        <v>10</v>
      </c>
      <c r="G3974">
        <v>6</v>
      </c>
      <c r="H3974">
        <v>15</v>
      </c>
      <c r="J3974">
        <v>10</v>
      </c>
    </row>
    <row r="3975" spans="1:18" x14ac:dyDescent="0.3">
      <c r="A3975" t="s">
        <v>256</v>
      </c>
      <c r="B3975">
        <v>33</v>
      </c>
      <c r="C3975">
        <v>14.1</v>
      </c>
      <c r="D3975">
        <v>63.5</v>
      </c>
      <c r="F3975">
        <v>23.3</v>
      </c>
      <c r="G3975">
        <v>14.5</v>
      </c>
      <c r="H3975">
        <v>63.5</v>
      </c>
      <c r="J3975">
        <v>23.3</v>
      </c>
    </row>
    <row r="3976" spans="1:18" x14ac:dyDescent="0.3">
      <c r="A3976" t="s">
        <v>257</v>
      </c>
      <c r="B3976">
        <v>33</v>
      </c>
      <c r="C3976">
        <v>3</v>
      </c>
      <c r="D3976">
        <v>3</v>
      </c>
      <c r="F3976">
        <v>3</v>
      </c>
      <c r="G3976">
        <v>3</v>
      </c>
      <c r="H3976">
        <v>3</v>
      </c>
      <c r="J3976">
        <v>3</v>
      </c>
    </row>
    <row r="3977" spans="1:18" x14ac:dyDescent="0.3">
      <c r="A3977" t="s">
        <v>258</v>
      </c>
      <c r="B3977">
        <v>33</v>
      </c>
      <c r="C3977">
        <v>0</v>
      </c>
      <c r="D3977">
        <v>0</v>
      </c>
      <c r="F3977">
        <v>0</v>
      </c>
      <c r="G3977">
        <v>0</v>
      </c>
      <c r="H3977">
        <v>0</v>
      </c>
      <c r="J3977">
        <v>0</v>
      </c>
    </row>
    <row r="3978" spans="1:18" x14ac:dyDescent="0.3">
      <c r="A3978" t="s">
        <v>259</v>
      </c>
      <c r="B3978">
        <v>33</v>
      </c>
      <c r="C3978">
        <v>0</v>
      </c>
      <c r="D3978">
        <v>0</v>
      </c>
      <c r="F3978">
        <v>0</v>
      </c>
      <c r="G3978">
        <v>0</v>
      </c>
      <c r="H3978">
        <v>0</v>
      </c>
      <c r="J3978">
        <v>0</v>
      </c>
    </row>
    <row r="3979" spans="1:18" x14ac:dyDescent="0.3">
      <c r="A3979" t="s">
        <v>260</v>
      </c>
      <c r="B3979">
        <v>33</v>
      </c>
      <c r="C3979">
        <v>3</v>
      </c>
      <c r="D3979">
        <v>3</v>
      </c>
      <c r="F3979">
        <v>3</v>
      </c>
      <c r="G3979">
        <v>3</v>
      </c>
      <c r="H3979">
        <v>3</v>
      </c>
      <c r="J3979">
        <v>3</v>
      </c>
    </row>
    <row r="3980" spans="1:18" x14ac:dyDescent="0.3">
      <c r="A3980" t="s">
        <v>261</v>
      </c>
      <c r="B3980">
        <v>33</v>
      </c>
      <c r="C3980">
        <v>3.4</v>
      </c>
      <c r="D3980">
        <v>5</v>
      </c>
      <c r="F3980">
        <v>4.2</v>
      </c>
      <c r="G3980">
        <v>3</v>
      </c>
      <c r="H3980">
        <v>5</v>
      </c>
      <c r="J3980">
        <v>4.2</v>
      </c>
    </row>
    <row r="3981" spans="1:18" x14ac:dyDescent="0.3">
      <c r="A3981" t="s">
        <v>262</v>
      </c>
      <c r="B3981">
        <v>33</v>
      </c>
      <c r="C3981">
        <v>2.5</v>
      </c>
      <c r="D3981">
        <v>1.5</v>
      </c>
      <c r="F3981">
        <v>2.5</v>
      </c>
      <c r="G3981">
        <v>2.5</v>
      </c>
      <c r="H3981">
        <v>1.5</v>
      </c>
      <c r="J3981">
        <v>2.5</v>
      </c>
    </row>
    <row r="3982" spans="1:18" x14ac:dyDescent="0.3">
      <c r="A3982" t="s">
        <v>263</v>
      </c>
      <c r="B3982">
        <v>33</v>
      </c>
      <c r="C3982">
        <v>0</v>
      </c>
      <c r="D3982">
        <v>3</v>
      </c>
      <c r="F3982">
        <v>0</v>
      </c>
      <c r="G3982">
        <v>0</v>
      </c>
      <c r="H3982">
        <v>3</v>
      </c>
      <c r="J3982">
        <v>0</v>
      </c>
    </row>
    <row r="3983" spans="1:18" x14ac:dyDescent="0.3">
      <c r="A3983" t="s">
        <v>264</v>
      </c>
      <c r="B3983">
        <v>33</v>
      </c>
    </row>
    <row r="3984" spans="1:18" x14ac:dyDescent="0.3">
      <c r="A3984" t="s">
        <v>265</v>
      </c>
      <c r="B3984">
        <v>33</v>
      </c>
    </row>
    <row r="3985" spans="1:18" x14ac:dyDescent="0.3">
      <c r="A3985" t="s">
        <v>266</v>
      </c>
      <c r="B3985">
        <v>33</v>
      </c>
    </row>
    <row r="3986" spans="1:18" x14ac:dyDescent="0.3">
      <c r="A3986" t="s">
        <v>267</v>
      </c>
      <c r="B3986">
        <v>33</v>
      </c>
      <c r="C3986">
        <v>11.9</v>
      </c>
      <c r="D3986">
        <v>21.5</v>
      </c>
      <c r="F3986">
        <v>16.7</v>
      </c>
      <c r="G3986">
        <v>11.5</v>
      </c>
      <c r="H3986">
        <v>21.5</v>
      </c>
      <c r="J3986">
        <v>16.7</v>
      </c>
    </row>
    <row r="3987" spans="1:18" x14ac:dyDescent="0.3">
      <c r="A3987" t="s">
        <v>268</v>
      </c>
      <c r="B3987">
        <v>33</v>
      </c>
      <c r="C3987">
        <v>0</v>
      </c>
      <c r="D3987">
        <v>1</v>
      </c>
      <c r="F3987">
        <v>1</v>
      </c>
      <c r="G3987">
        <v>0</v>
      </c>
      <c r="H3987">
        <v>1</v>
      </c>
      <c r="J3987">
        <v>1</v>
      </c>
    </row>
    <row r="3988" spans="1:18" x14ac:dyDescent="0.3">
      <c r="A3988" t="s">
        <v>269</v>
      </c>
      <c r="B3988">
        <v>33</v>
      </c>
      <c r="C3988">
        <v>1</v>
      </c>
      <c r="D3988">
        <v>1</v>
      </c>
      <c r="F3988">
        <v>1</v>
      </c>
      <c r="G3988">
        <v>1</v>
      </c>
      <c r="H3988">
        <v>1</v>
      </c>
      <c r="J3988">
        <v>1</v>
      </c>
    </row>
    <row r="3989" spans="1:18" x14ac:dyDescent="0.3">
      <c r="A3989" t="s">
        <v>270</v>
      </c>
      <c r="B3989">
        <v>33</v>
      </c>
      <c r="C3989">
        <v>101.5</v>
      </c>
      <c r="D3989">
        <v>1.5</v>
      </c>
      <c r="F3989">
        <v>71.5</v>
      </c>
      <c r="G3989">
        <v>101.5</v>
      </c>
      <c r="H3989">
        <v>1.5</v>
      </c>
      <c r="J3989">
        <v>71.5</v>
      </c>
    </row>
    <row r="3990" spans="1:18" x14ac:dyDescent="0.3">
      <c r="A3990" t="s">
        <v>271</v>
      </c>
      <c r="B3990">
        <v>33</v>
      </c>
      <c r="C3990">
        <v>1.5</v>
      </c>
      <c r="D3990">
        <v>71.5</v>
      </c>
      <c r="F3990">
        <v>101.5</v>
      </c>
      <c r="G3990">
        <v>1.5</v>
      </c>
      <c r="H3990">
        <v>71.5</v>
      </c>
      <c r="J3990">
        <v>101.5</v>
      </c>
    </row>
    <row r="3991" spans="1:18" x14ac:dyDescent="0.3">
      <c r="A3991" t="s">
        <v>272</v>
      </c>
      <c r="B3991">
        <v>33</v>
      </c>
      <c r="C3991">
        <v>115.6</v>
      </c>
      <c r="D3991">
        <v>65</v>
      </c>
      <c r="F3991">
        <v>94.8</v>
      </c>
      <c r="G3991">
        <v>116</v>
      </c>
      <c r="H3991">
        <v>65</v>
      </c>
      <c r="J3991">
        <v>94.8</v>
      </c>
    </row>
    <row r="3992" spans="1:18" x14ac:dyDescent="0.3">
      <c r="A3992" t="s">
        <v>273</v>
      </c>
      <c r="B3992">
        <v>33</v>
      </c>
      <c r="C3992">
        <v>115.6</v>
      </c>
      <c r="D3992">
        <v>65</v>
      </c>
      <c r="F3992">
        <v>94.8</v>
      </c>
      <c r="G3992">
        <v>116</v>
      </c>
      <c r="H3992">
        <v>65</v>
      </c>
      <c r="J3992">
        <v>94.8</v>
      </c>
    </row>
    <row r="3993" spans="1:18" x14ac:dyDescent="0.3">
      <c r="A3993" t="s">
        <v>274</v>
      </c>
      <c r="B3993">
        <v>33</v>
      </c>
      <c r="C3993">
        <v>36.5</v>
      </c>
      <c r="D3993">
        <v>56.5</v>
      </c>
      <c r="F3993">
        <v>6.5</v>
      </c>
      <c r="G3993">
        <v>36.5</v>
      </c>
      <c r="H3993">
        <v>56.5</v>
      </c>
      <c r="J3993">
        <v>6.5</v>
      </c>
    </row>
    <row r="3994" spans="1:18" x14ac:dyDescent="0.3">
      <c r="A3994" t="s">
        <v>275</v>
      </c>
      <c r="B3994">
        <v>33</v>
      </c>
      <c r="C3994">
        <v>50.6</v>
      </c>
      <c r="D3994">
        <v>0</v>
      </c>
      <c r="F3994">
        <v>29.8</v>
      </c>
      <c r="G3994">
        <v>51</v>
      </c>
      <c r="H3994">
        <v>0</v>
      </c>
      <c r="J3994">
        <v>29.8</v>
      </c>
    </row>
    <row r="3995" spans="1:18" x14ac:dyDescent="0.3">
      <c r="A3995" t="s">
        <v>276</v>
      </c>
      <c r="B3995">
        <v>33</v>
      </c>
      <c r="C3995">
        <v>50.6</v>
      </c>
      <c r="D3995">
        <v>0</v>
      </c>
      <c r="F3995">
        <v>29.8</v>
      </c>
      <c r="G3995">
        <v>51</v>
      </c>
      <c r="H3995">
        <v>0</v>
      </c>
      <c r="J3995">
        <v>29.8</v>
      </c>
    </row>
    <row r="3996" spans="1:18" x14ac:dyDescent="0.3">
      <c r="A3996" t="s">
        <v>681</v>
      </c>
      <c r="B3996">
        <v>33</v>
      </c>
      <c r="C3996">
        <v>5.3</v>
      </c>
      <c r="D3996">
        <v>81</v>
      </c>
      <c r="F3996">
        <v>14.6</v>
      </c>
      <c r="G3996">
        <v>5.3</v>
      </c>
      <c r="H3996">
        <v>81.400000000000006</v>
      </c>
      <c r="J3996">
        <v>14.6</v>
      </c>
    </row>
    <row r="3997" spans="1:18" x14ac:dyDescent="0.3">
      <c r="A3997" t="s">
        <v>254</v>
      </c>
      <c r="B3997">
        <v>34</v>
      </c>
      <c r="C3997">
        <v>111</v>
      </c>
      <c r="D3997">
        <v>112</v>
      </c>
      <c r="E3997">
        <v>211</v>
      </c>
      <c r="F3997">
        <v>212</v>
      </c>
      <c r="G3997">
        <v>121</v>
      </c>
      <c r="H3997">
        <v>122</v>
      </c>
      <c r="I3997">
        <v>221</v>
      </c>
      <c r="J3997">
        <v>222</v>
      </c>
      <c r="K3997">
        <v>311</v>
      </c>
      <c r="L3997">
        <v>312</v>
      </c>
      <c r="M3997">
        <v>411</v>
      </c>
      <c r="N3997">
        <v>412</v>
      </c>
      <c r="O3997">
        <v>321</v>
      </c>
      <c r="P3997">
        <v>322</v>
      </c>
      <c r="Q3997">
        <v>421</v>
      </c>
      <c r="R3997">
        <v>422</v>
      </c>
    </row>
    <row r="3998" spans="1:18" x14ac:dyDescent="0.3">
      <c r="A3998" t="s">
        <v>255</v>
      </c>
      <c r="B3998">
        <v>34</v>
      </c>
      <c r="C3998">
        <v>4</v>
      </c>
      <c r="D3998">
        <v>15</v>
      </c>
      <c r="F3998">
        <v>8</v>
      </c>
      <c r="G3998">
        <v>4</v>
      </c>
      <c r="H3998">
        <v>15</v>
      </c>
      <c r="J3998">
        <v>8</v>
      </c>
    </row>
    <row r="3999" spans="1:18" x14ac:dyDescent="0.3">
      <c r="A3999" t="s">
        <v>256</v>
      </c>
      <c r="B3999">
        <v>34</v>
      </c>
      <c r="C3999">
        <v>10.9</v>
      </c>
      <c r="D3999">
        <v>65.5</v>
      </c>
      <c r="F3999">
        <v>23.7</v>
      </c>
      <c r="G3999">
        <v>11.1</v>
      </c>
      <c r="H3999">
        <v>65.5</v>
      </c>
      <c r="J3999">
        <v>25.7</v>
      </c>
    </row>
    <row r="4000" spans="1:18" x14ac:dyDescent="0.3">
      <c r="A4000" t="s">
        <v>257</v>
      </c>
      <c r="B4000">
        <v>34</v>
      </c>
      <c r="C4000">
        <v>3</v>
      </c>
      <c r="D4000">
        <v>3</v>
      </c>
      <c r="F4000">
        <v>3</v>
      </c>
      <c r="G4000">
        <v>3</v>
      </c>
      <c r="H4000">
        <v>3</v>
      </c>
      <c r="J4000">
        <v>3</v>
      </c>
    </row>
    <row r="4001" spans="1:10" x14ac:dyDescent="0.3">
      <c r="A4001" t="s">
        <v>258</v>
      </c>
      <c r="B4001">
        <v>34</v>
      </c>
      <c r="C4001">
        <v>0</v>
      </c>
      <c r="D4001">
        <v>0</v>
      </c>
      <c r="F4001">
        <v>0</v>
      </c>
      <c r="G4001">
        <v>0</v>
      </c>
      <c r="H4001">
        <v>0</v>
      </c>
      <c r="J4001">
        <v>0</v>
      </c>
    </row>
    <row r="4002" spans="1:10" x14ac:dyDescent="0.3">
      <c r="A4002" t="s">
        <v>259</v>
      </c>
      <c r="B4002">
        <v>34</v>
      </c>
      <c r="C4002">
        <v>0</v>
      </c>
      <c r="D4002">
        <v>0</v>
      </c>
      <c r="F4002">
        <v>0</v>
      </c>
      <c r="G4002">
        <v>0</v>
      </c>
      <c r="H4002">
        <v>0</v>
      </c>
      <c r="J4002">
        <v>0</v>
      </c>
    </row>
    <row r="4003" spans="1:10" x14ac:dyDescent="0.3">
      <c r="A4003" t="s">
        <v>260</v>
      </c>
      <c r="B4003">
        <v>34</v>
      </c>
      <c r="C4003">
        <v>3</v>
      </c>
      <c r="D4003">
        <v>3</v>
      </c>
      <c r="F4003">
        <v>3</v>
      </c>
      <c r="G4003">
        <v>3</v>
      </c>
      <c r="H4003">
        <v>3</v>
      </c>
      <c r="J4003">
        <v>3</v>
      </c>
    </row>
    <row r="4004" spans="1:10" x14ac:dyDescent="0.3">
      <c r="A4004" t="s">
        <v>261</v>
      </c>
      <c r="B4004">
        <v>34</v>
      </c>
      <c r="C4004">
        <v>4.5999999999999996</v>
      </c>
      <c r="D4004">
        <v>4.5999999999999996</v>
      </c>
      <c r="F4004">
        <v>3.8</v>
      </c>
      <c r="G4004">
        <v>4.5999999999999996</v>
      </c>
      <c r="H4004">
        <v>4.5999999999999996</v>
      </c>
      <c r="J4004">
        <v>3.8</v>
      </c>
    </row>
    <row r="4005" spans="1:10" x14ac:dyDescent="0.3">
      <c r="A4005" t="s">
        <v>262</v>
      </c>
      <c r="B4005">
        <v>34</v>
      </c>
      <c r="C4005">
        <v>2.5</v>
      </c>
      <c r="D4005">
        <v>1.9</v>
      </c>
      <c r="F4005">
        <v>2.5</v>
      </c>
      <c r="G4005">
        <v>2.2999999999999998</v>
      </c>
      <c r="H4005">
        <v>1.9</v>
      </c>
      <c r="J4005">
        <v>0.5</v>
      </c>
    </row>
    <row r="4006" spans="1:10" x14ac:dyDescent="0.3">
      <c r="A4006" t="s">
        <v>263</v>
      </c>
      <c r="B4006">
        <v>34</v>
      </c>
      <c r="C4006">
        <v>0</v>
      </c>
      <c r="D4006">
        <v>3</v>
      </c>
      <c r="F4006">
        <v>0</v>
      </c>
      <c r="G4006">
        <v>0</v>
      </c>
      <c r="H4006">
        <v>3</v>
      </c>
      <c r="J4006">
        <v>0</v>
      </c>
    </row>
    <row r="4007" spans="1:10" x14ac:dyDescent="0.3">
      <c r="A4007" t="s">
        <v>264</v>
      </c>
      <c r="B4007">
        <v>34</v>
      </c>
    </row>
    <row r="4008" spans="1:10" x14ac:dyDescent="0.3">
      <c r="A4008" t="s">
        <v>265</v>
      </c>
      <c r="B4008">
        <v>34</v>
      </c>
    </row>
    <row r="4009" spans="1:10" x14ac:dyDescent="0.3">
      <c r="A4009" t="s">
        <v>266</v>
      </c>
      <c r="B4009">
        <v>34</v>
      </c>
    </row>
    <row r="4010" spans="1:10" x14ac:dyDescent="0.3">
      <c r="A4010" t="s">
        <v>267</v>
      </c>
      <c r="B4010">
        <v>34</v>
      </c>
      <c r="C4010">
        <v>12</v>
      </c>
      <c r="D4010">
        <v>22</v>
      </c>
      <c r="F4010">
        <v>15</v>
      </c>
      <c r="G4010">
        <v>12</v>
      </c>
      <c r="H4010">
        <v>22</v>
      </c>
      <c r="J4010">
        <v>15</v>
      </c>
    </row>
    <row r="4011" spans="1:10" x14ac:dyDescent="0.3">
      <c r="A4011" t="s">
        <v>268</v>
      </c>
      <c r="B4011">
        <v>34</v>
      </c>
      <c r="C4011">
        <v>0</v>
      </c>
      <c r="D4011">
        <v>1</v>
      </c>
      <c r="F4011">
        <v>1</v>
      </c>
      <c r="G4011">
        <v>0</v>
      </c>
      <c r="H4011">
        <v>1</v>
      </c>
      <c r="J4011">
        <v>1</v>
      </c>
    </row>
    <row r="4012" spans="1:10" x14ac:dyDescent="0.3">
      <c r="A4012" t="s">
        <v>269</v>
      </c>
      <c r="B4012">
        <v>34</v>
      </c>
      <c r="C4012">
        <v>1</v>
      </c>
      <c r="D4012">
        <v>1</v>
      </c>
      <c r="F4012">
        <v>1</v>
      </c>
      <c r="G4012">
        <v>1</v>
      </c>
      <c r="H4012">
        <v>1</v>
      </c>
      <c r="J4012">
        <v>1</v>
      </c>
    </row>
    <row r="4013" spans="1:10" x14ac:dyDescent="0.3">
      <c r="A4013" t="s">
        <v>270</v>
      </c>
      <c r="B4013">
        <v>34</v>
      </c>
      <c r="C4013">
        <v>21.5</v>
      </c>
      <c r="D4013">
        <v>39.5</v>
      </c>
      <c r="F4013">
        <v>111.5</v>
      </c>
      <c r="G4013">
        <v>21.5</v>
      </c>
      <c r="H4013">
        <v>39.5</v>
      </c>
      <c r="J4013">
        <v>111.5</v>
      </c>
    </row>
    <row r="4014" spans="1:10" x14ac:dyDescent="0.3">
      <c r="A4014" t="s">
        <v>271</v>
      </c>
      <c r="B4014">
        <v>34</v>
      </c>
      <c r="C4014">
        <v>39.5</v>
      </c>
      <c r="D4014">
        <v>111.5</v>
      </c>
      <c r="F4014">
        <v>21.5</v>
      </c>
      <c r="G4014">
        <v>39.5</v>
      </c>
      <c r="H4014">
        <v>111.5</v>
      </c>
      <c r="J4014">
        <v>21.5</v>
      </c>
    </row>
    <row r="4015" spans="1:10" x14ac:dyDescent="0.3">
      <c r="A4015" t="s">
        <v>272</v>
      </c>
      <c r="B4015">
        <v>34</v>
      </c>
      <c r="C4015">
        <v>32.4</v>
      </c>
      <c r="D4015">
        <v>105</v>
      </c>
      <c r="F4015">
        <v>15.2</v>
      </c>
      <c r="G4015">
        <v>32.6</v>
      </c>
      <c r="H4015">
        <v>105</v>
      </c>
      <c r="J4015">
        <v>17.2</v>
      </c>
    </row>
    <row r="4016" spans="1:10" x14ac:dyDescent="0.3">
      <c r="A4016" t="s">
        <v>273</v>
      </c>
      <c r="B4016">
        <v>34</v>
      </c>
      <c r="C4016">
        <v>32.4</v>
      </c>
      <c r="D4016">
        <v>105</v>
      </c>
      <c r="F4016">
        <v>15.2</v>
      </c>
      <c r="G4016">
        <v>32.6</v>
      </c>
      <c r="H4016">
        <v>105</v>
      </c>
      <c r="J4016">
        <v>17.2</v>
      </c>
    </row>
    <row r="4017" spans="1:10" x14ac:dyDescent="0.3">
      <c r="A4017" t="s">
        <v>274</v>
      </c>
      <c r="B4017">
        <v>34</v>
      </c>
      <c r="C4017">
        <v>36.5</v>
      </c>
      <c r="D4017">
        <v>54.5</v>
      </c>
      <c r="F4017">
        <v>6.5</v>
      </c>
      <c r="G4017">
        <v>36.5</v>
      </c>
      <c r="H4017">
        <v>54.5</v>
      </c>
      <c r="J4017">
        <v>6.5</v>
      </c>
    </row>
    <row r="4018" spans="1:10" x14ac:dyDescent="0.3">
      <c r="A4018" t="s">
        <v>275</v>
      </c>
      <c r="B4018">
        <v>34</v>
      </c>
      <c r="C4018">
        <v>47.4</v>
      </c>
      <c r="D4018">
        <v>0</v>
      </c>
      <c r="F4018">
        <v>30.2</v>
      </c>
      <c r="G4018">
        <v>47.6</v>
      </c>
      <c r="H4018">
        <v>0</v>
      </c>
      <c r="J4018">
        <v>32.200000000000003</v>
      </c>
    </row>
    <row r="4019" spans="1:10" x14ac:dyDescent="0.3">
      <c r="A4019" t="s">
        <v>276</v>
      </c>
      <c r="B4019">
        <v>34</v>
      </c>
      <c r="C4019">
        <v>47.4</v>
      </c>
      <c r="D4019">
        <v>0</v>
      </c>
      <c r="F4019">
        <v>30.2</v>
      </c>
      <c r="G4019">
        <v>47.6</v>
      </c>
      <c r="H4019">
        <v>0</v>
      </c>
      <c r="J4019">
        <v>32.200000000000003</v>
      </c>
    </row>
    <row r="4020" spans="1:10" x14ac:dyDescent="0.3">
      <c r="A4020" t="s">
        <v>681</v>
      </c>
      <c r="B4020">
        <v>34</v>
      </c>
      <c r="C4020">
        <v>5.0999999999999996</v>
      </c>
      <c r="D4020">
        <v>85.6</v>
      </c>
      <c r="F4020">
        <v>9.4</v>
      </c>
      <c r="G4020">
        <v>5.0999999999999996</v>
      </c>
      <c r="H4020">
        <v>85.8</v>
      </c>
      <c r="J4020">
        <v>11.4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30"/>
  <sheetViews>
    <sheetView workbookViewId="0">
      <selection activeCell="M3" sqref="M3"/>
    </sheetView>
  </sheetViews>
  <sheetFormatPr defaultRowHeight="14.4" x14ac:dyDescent="0.3"/>
  <cols>
    <col min="1" max="1" width="11.5546875" bestFit="1" customWidth="1"/>
  </cols>
  <sheetData>
    <row r="1" spans="1:12" x14ac:dyDescent="0.3">
      <c r="A1" t="s">
        <v>566</v>
      </c>
      <c r="B1">
        <f>IFERROR(MATCH(A1,UTDF8!A:A,0),0)</f>
        <v>1</v>
      </c>
      <c r="E1" t="s">
        <v>723</v>
      </c>
      <c r="F1" t="s">
        <v>724</v>
      </c>
      <c r="G1" t="s">
        <v>725</v>
      </c>
      <c r="H1" t="s">
        <v>341</v>
      </c>
      <c r="I1" t="s">
        <v>726</v>
      </c>
      <c r="J1" t="s">
        <v>727</v>
      </c>
      <c r="K1" t="s">
        <v>728</v>
      </c>
      <c r="L1" t="s">
        <v>729</v>
      </c>
    </row>
    <row r="2" spans="1:12" x14ac:dyDescent="0.3">
      <c r="A2" t="s">
        <v>625</v>
      </c>
      <c r="B2">
        <f>IFERROR(MATCH(A2,UTDF8!A:A,0),0)</f>
        <v>1565</v>
      </c>
      <c r="E2" t="s">
        <v>685</v>
      </c>
      <c r="F2" t="s">
        <v>686</v>
      </c>
      <c r="G2" t="s">
        <v>685</v>
      </c>
      <c r="H2" t="s">
        <v>686</v>
      </c>
      <c r="I2" t="s">
        <v>685</v>
      </c>
      <c r="J2" t="s">
        <v>686</v>
      </c>
      <c r="K2" t="s">
        <v>685</v>
      </c>
      <c r="L2" t="s">
        <v>686</v>
      </c>
    </row>
    <row r="3" spans="1:12" x14ac:dyDescent="0.3">
      <c r="A3" t="s">
        <v>660</v>
      </c>
      <c r="B3">
        <f>IFERROR(MATCH(A3,UTDF8!A:A,0),0)</f>
        <v>3096</v>
      </c>
      <c r="D3" t="s">
        <v>1</v>
      </c>
      <c r="E3" s="97" t="s">
        <v>684</v>
      </c>
      <c r="F3" s="97"/>
      <c r="G3" s="97" t="s">
        <v>36</v>
      </c>
      <c r="H3" s="97"/>
      <c r="I3" s="97" t="s">
        <v>687</v>
      </c>
      <c r="J3" s="97"/>
      <c r="K3" s="97" t="s">
        <v>688</v>
      </c>
      <c r="L3" s="97"/>
    </row>
    <row r="4" spans="1:12" x14ac:dyDescent="0.3">
      <c r="A4" t="s">
        <v>671</v>
      </c>
      <c r="B4">
        <f>IFERROR(MATCH(A4,UTDF8!A:A,0),0)</f>
        <v>3370</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3">
      <c r="D5">
        <v>2</v>
      </c>
      <c r="E5">
        <f>MATCH(D5,Links!B:B,0)</f>
        <v>24</v>
      </c>
      <c r="F5">
        <f>UTDF_control!E5+19</f>
        <v>43</v>
      </c>
      <c r="G5">
        <f>MATCH(D5,Lanes!B:B,0)</f>
        <v>61</v>
      </c>
      <c r="H5">
        <f>UTDF_control!G5+56</f>
        <v>117</v>
      </c>
      <c r="I5">
        <f>MATCH(D5,Timeplans!B:B,0)</f>
        <v>14</v>
      </c>
      <c r="J5">
        <f>UTDF_control!I5+9</f>
        <v>23</v>
      </c>
      <c r="K5">
        <f>MATCH(D5,Phases!B:B,0)</f>
        <v>28</v>
      </c>
      <c r="L5">
        <f t="shared" ref="L5:L30" si="0">K5+23</f>
        <v>51</v>
      </c>
    </row>
    <row r="6" spans="1:12" x14ac:dyDescent="0.3">
      <c r="A6" t="s">
        <v>682</v>
      </c>
      <c r="B6">
        <f>COUNTA(UTDF8!A:A)+3</f>
        <v>4020</v>
      </c>
      <c r="D6">
        <v>3</v>
      </c>
      <c r="E6">
        <f>MATCH(D6,Links!B:B,0)</f>
        <v>44</v>
      </c>
      <c r="F6">
        <f>UTDF_control!E6+19</f>
        <v>63</v>
      </c>
      <c r="G6">
        <f>MATCH(D6,Lanes!B:B,0)</f>
        <v>118</v>
      </c>
      <c r="H6">
        <f>UTDF_control!G6+56</f>
        <v>174</v>
      </c>
      <c r="I6">
        <f>MATCH(D6,Timeplans!B:B,0)</f>
        <v>24</v>
      </c>
      <c r="J6">
        <f>UTDF_control!I6+9</f>
        <v>33</v>
      </c>
      <c r="K6">
        <f>MATCH(D6,Phases!B:B,0)</f>
        <v>52</v>
      </c>
      <c r="L6">
        <f t="shared" si="0"/>
        <v>75</v>
      </c>
    </row>
    <row r="7" spans="1:12" x14ac:dyDescent="0.3">
      <c r="D7">
        <v>4</v>
      </c>
      <c r="E7">
        <f>MATCH(D7,Links!B:B,0)</f>
        <v>64</v>
      </c>
      <c r="F7">
        <f>UTDF_control!E7+19</f>
        <v>83</v>
      </c>
      <c r="G7">
        <f>MATCH(D7,Lanes!B:B,0)</f>
        <v>175</v>
      </c>
      <c r="H7">
        <f>UTDF_control!G7+56</f>
        <v>231</v>
      </c>
      <c r="I7">
        <f>MATCH(D7,Timeplans!B:B,0)</f>
        <v>34</v>
      </c>
      <c r="J7">
        <f>UTDF_control!I7+9</f>
        <v>43</v>
      </c>
      <c r="K7">
        <f>MATCH(D7,Phases!B:B,0)</f>
        <v>76</v>
      </c>
      <c r="L7">
        <f t="shared" si="0"/>
        <v>99</v>
      </c>
    </row>
    <row r="8" spans="1:12" x14ac:dyDescent="0.3">
      <c r="A8" t="s">
        <v>683</v>
      </c>
      <c r="B8">
        <f>COUNT(D:D)</f>
        <v>27</v>
      </c>
      <c r="D8">
        <v>5</v>
      </c>
      <c r="E8">
        <f>MATCH(D8,Links!B:B,0)</f>
        <v>84</v>
      </c>
      <c r="F8">
        <f>UTDF_control!E8+19</f>
        <v>103</v>
      </c>
      <c r="G8">
        <f>MATCH(D8,Lanes!B:B,0)</f>
        <v>231</v>
      </c>
      <c r="H8">
        <f>UTDF_control!G8+56</f>
        <v>287</v>
      </c>
      <c r="I8">
        <f>MATCH(D8,Timeplans!B:B,0)</f>
        <v>44</v>
      </c>
      <c r="J8">
        <f>UTDF_control!I8+9</f>
        <v>53</v>
      </c>
      <c r="K8">
        <f>MATCH(D8,Phases!B:B,0)</f>
        <v>100</v>
      </c>
      <c r="L8">
        <f t="shared" si="0"/>
        <v>123</v>
      </c>
    </row>
    <row r="9" spans="1:12" x14ac:dyDescent="0.3">
      <c r="D9">
        <v>6</v>
      </c>
      <c r="E9">
        <f>MATCH(D9,Links!B:B,0)</f>
        <v>104</v>
      </c>
      <c r="F9">
        <f>UTDF_control!E9+19</f>
        <v>123</v>
      </c>
      <c r="G9">
        <f>MATCH(D9,Lanes!B:B,0)</f>
        <v>287</v>
      </c>
      <c r="H9">
        <f>UTDF_control!G9+56</f>
        <v>343</v>
      </c>
      <c r="I9">
        <f>MATCH(D9,Timeplans!B:B,0)</f>
        <v>54</v>
      </c>
      <c r="J9">
        <f>UTDF_control!I9+9</f>
        <v>63</v>
      </c>
      <c r="K9">
        <f>MATCH(D9,Phases!B:B,0)</f>
        <v>124</v>
      </c>
      <c r="L9">
        <f t="shared" si="0"/>
        <v>147</v>
      </c>
    </row>
    <row r="10" spans="1:12" x14ac:dyDescent="0.3">
      <c r="D10">
        <v>7</v>
      </c>
      <c r="E10">
        <f>MATCH(D10,Links!B:B,0)</f>
        <v>124</v>
      </c>
      <c r="F10">
        <f>UTDF_control!E10+19</f>
        <v>143</v>
      </c>
      <c r="G10">
        <f>MATCH(D10,Lanes!B:B,0)</f>
        <v>342</v>
      </c>
      <c r="H10">
        <f>UTDF_control!G10+56</f>
        <v>398</v>
      </c>
      <c r="I10">
        <f>MATCH(D10,Timeplans!B:B,0)</f>
        <v>64</v>
      </c>
      <c r="J10">
        <f>UTDF_control!I10+9</f>
        <v>73</v>
      </c>
      <c r="K10">
        <f>MATCH(D10,Phases!B:B,0)</f>
        <v>148</v>
      </c>
      <c r="L10">
        <f t="shared" si="0"/>
        <v>171</v>
      </c>
    </row>
    <row r="11" spans="1:12" x14ac:dyDescent="0.3">
      <c r="D11">
        <v>9</v>
      </c>
      <c r="E11">
        <f>MATCH(D11,Links!B:B,0)</f>
        <v>164</v>
      </c>
      <c r="F11">
        <f>UTDF_control!E11+19</f>
        <v>183</v>
      </c>
      <c r="G11">
        <f>MATCH(D11,Lanes!B:B,0)</f>
        <v>400</v>
      </c>
      <c r="H11">
        <f>UTDF_control!G11+56</f>
        <v>456</v>
      </c>
      <c r="I11">
        <f>MATCH(D11,Timeplans!B:B,0)</f>
        <v>74</v>
      </c>
      <c r="J11">
        <f>UTDF_control!I11+9</f>
        <v>83</v>
      </c>
      <c r="K11">
        <f>MATCH(D11,Phases!B:B,0)</f>
        <v>172</v>
      </c>
      <c r="L11">
        <f t="shared" si="0"/>
        <v>195</v>
      </c>
    </row>
    <row r="12" spans="1:12" x14ac:dyDescent="0.3">
      <c r="D12">
        <v>10</v>
      </c>
      <c r="E12">
        <f>MATCH(D12,Links!B:B,0)</f>
        <v>184</v>
      </c>
      <c r="F12">
        <f>UTDF_control!E12+19</f>
        <v>203</v>
      </c>
      <c r="G12">
        <f>MATCH(D12,Lanes!B:B,0)</f>
        <v>455</v>
      </c>
      <c r="H12">
        <f>UTDF_control!G12+56</f>
        <v>511</v>
      </c>
      <c r="I12">
        <f>MATCH(D12,Timeplans!B:B,0)</f>
        <v>84</v>
      </c>
      <c r="J12">
        <f>UTDF_control!I12+9</f>
        <v>93</v>
      </c>
      <c r="K12">
        <f>MATCH(D12,Phases!B:B,0)</f>
        <v>196</v>
      </c>
      <c r="L12">
        <f t="shared" si="0"/>
        <v>219</v>
      </c>
    </row>
    <row r="13" spans="1:12" x14ac:dyDescent="0.3">
      <c r="D13">
        <v>11</v>
      </c>
      <c r="E13">
        <f>MATCH(D13,Links!B:B,0)</f>
        <v>204</v>
      </c>
      <c r="F13">
        <f>UTDF_control!E13+19</f>
        <v>223</v>
      </c>
      <c r="G13">
        <f>MATCH(D13,Lanes!B:B,0)</f>
        <v>512</v>
      </c>
      <c r="H13">
        <f>UTDF_control!G13+56</f>
        <v>568</v>
      </c>
      <c r="I13">
        <f>MATCH(D13,Timeplans!B:B,0)</f>
        <v>94</v>
      </c>
      <c r="J13">
        <f>UTDF_control!I13+9</f>
        <v>103</v>
      </c>
      <c r="K13">
        <f>MATCH(D13,Phases!B:B,0)</f>
        <v>220</v>
      </c>
      <c r="L13">
        <f t="shared" si="0"/>
        <v>243</v>
      </c>
    </row>
    <row r="14" spans="1:12" x14ac:dyDescent="0.3">
      <c r="D14">
        <v>12</v>
      </c>
      <c r="E14">
        <f>MATCH(D14,Links!B:B,0)</f>
        <v>224</v>
      </c>
      <c r="F14">
        <f>UTDF_control!E14+19</f>
        <v>243</v>
      </c>
      <c r="G14">
        <f>MATCH(D14,Lanes!B:B,0)</f>
        <v>567</v>
      </c>
      <c r="H14">
        <f>UTDF_control!G14+56</f>
        <v>623</v>
      </c>
      <c r="I14">
        <f>MATCH(D14,Timeplans!B:B,0)</f>
        <v>104</v>
      </c>
      <c r="J14">
        <f>UTDF_control!I14+9</f>
        <v>113</v>
      </c>
      <c r="K14">
        <f>MATCH(D14,Phases!B:B,0)</f>
        <v>244</v>
      </c>
      <c r="L14">
        <f t="shared" si="0"/>
        <v>267</v>
      </c>
    </row>
    <row r="15" spans="1:12" x14ac:dyDescent="0.3">
      <c r="D15">
        <v>13</v>
      </c>
      <c r="E15">
        <f>MATCH(D15,Links!B:B,0)</f>
        <v>244</v>
      </c>
      <c r="F15">
        <f>UTDF_control!E15+19</f>
        <v>263</v>
      </c>
      <c r="G15">
        <f>MATCH(D15,Lanes!B:B,0)</f>
        <v>624</v>
      </c>
      <c r="H15">
        <f>UTDF_control!G15+56</f>
        <v>680</v>
      </c>
      <c r="I15">
        <f>MATCH(D15,Timeplans!B:B,0)</f>
        <v>114</v>
      </c>
      <c r="J15">
        <f>UTDF_control!I15+9</f>
        <v>123</v>
      </c>
      <c r="K15">
        <f>MATCH(D15,Phases!B:B,0)</f>
        <v>268</v>
      </c>
      <c r="L15">
        <f t="shared" si="0"/>
        <v>291</v>
      </c>
    </row>
    <row r="16" spans="1:12" x14ac:dyDescent="0.3">
      <c r="D16">
        <v>14</v>
      </c>
      <c r="E16">
        <f>MATCH(D16,Links!B:B,0)</f>
        <v>264</v>
      </c>
      <c r="F16">
        <f>UTDF_control!E16+19</f>
        <v>283</v>
      </c>
      <c r="G16">
        <f>MATCH(D16,Lanes!B:B,0)</f>
        <v>681</v>
      </c>
      <c r="H16">
        <f>UTDF_control!G16+56</f>
        <v>737</v>
      </c>
      <c r="I16">
        <f>MATCH(D16,Timeplans!B:B,0)</f>
        <v>124</v>
      </c>
      <c r="J16">
        <f>UTDF_control!I16+9</f>
        <v>133</v>
      </c>
      <c r="K16">
        <f>MATCH(D16,Phases!B:B,0)</f>
        <v>292</v>
      </c>
      <c r="L16">
        <f t="shared" si="0"/>
        <v>315</v>
      </c>
    </row>
    <row r="17" spans="4:12" x14ac:dyDescent="0.3">
      <c r="D17">
        <v>15</v>
      </c>
      <c r="E17">
        <f>MATCH(D17,Links!B:B,0)</f>
        <v>284</v>
      </c>
      <c r="F17">
        <f>UTDF_control!E17+19</f>
        <v>303</v>
      </c>
      <c r="G17">
        <f>MATCH(D17,Lanes!B:B,0)</f>
        <v>738</v>
      </c>
      <c r="H17">
        <f>UTDF_control!G17+56</f>
        <v>794</v>
      </c>
      <c r="I17">
        <f>MATCH(D17,Timeplans!B:B,0)</f>
        <v>134</v>
      </c>
      <c r="J17">
        <f>UTDF_control!I17+9</f>
        <v>143</v>
      </c>
      <c r="K17">
        <f>MATCH(D17,Phases!B:B,0)</f>
        <v>316</v>
      </c>
      <c r="L17">
        <f t="shared" si="0"/>
        <v>339</v>
      </c>
    </row>
    <row r="18" spans="4:12" x14ac:dyDescent="0.3">
      <c r="D18">
        <v>16</v>
      </c>
      <c r="E18">
        <f>MATCH(D18,Links!B:B,0)</f>
        <v>304</v>
      </c>
      <c r="F18">
        <f>UTDF_control!E18+19</f>
        <v>323</v>
      </c>
      <c r="G18">
        <f>MATCH(D18,Lanes!B:B,0)</f>
        <v>796</v>
      </c>
      <c r="H18">
        <f>UTDF_control!G18+56</f>
        <v>852</v>
      </c>
      <c r="I18">
        <f>MATCH(D18,Timeplans!B:B,0)</f>
        <v>144</v>
      </c>
      <c r="J18">
        <f>UTDF_control!I18+9</f>
        <v>153</v>
      </c>
      <c r="K18">
        <f>MATCH(D18,Phases!B:B,0)</f>
        <v>340</v>
      </c>
      <c r="L18">
        <f t="shared" si="0"/>
        <v>363</v>
      </c>
    </row>
    <row r="19" spans="4:12" x14ac:dyDescent="0.3">
      <c r="D19">
        <v>19</v>
      </c>
      <c r="E19">
        <f>MATCH(D19,Links!B:B,0)</f>
        <v>364</v>
      </c>
      <c r="F19">
        <f>UTDF_control!E19+19</f>
        <v>383</v>
      </c>
      <c r="G19">
        <f>MATCH(D19,Lanes!B:B,0)</f>
        <v>853</v>
      </c>
      <c r="H19">
        <f>UTDF_control!G19+56</f>
        <v>909</v>
      </c>
      <c r="I19">
        <f>MATCH(D19,Timeplans!B:B,0)</f>
        <v>154</v>
      </c>
      <c r="J19">
        <f>UTDF_control!I19+9</f>
        <v>163</v>
      </c>
      <c r="K19">
        <f>MATCH(D19,Phases!B:B,0)</f>
        <v>364</v>
      </c>
      <c r="L19">
        <f t="shared" si="0"/>
        <v>387</v>
      </c>
    </row>
    <row r="20" spans="4:12" x14ac:dyDescent="0.3">
      <c r="D20">
        <v>21</v>
      </c>
      <c r="E20">
        <f>MATCH(D20,Links!B:B,0)</f>
        <v>384</v>
      </c>
      <c r="F20">
        <f>UTDF_control!E20+19</f>
        <v>403</v>
      </c>
      <c r="G20">
        <f>MATCH(D20,Lanes!B:B,0)</f>
        <v>908</v>
      </c>
      <c r="H20">
        <f>UTDF_control!G20+56</f>
        <v>964</v>
      </c>
      <c r="I20">
        <f>MATCH(D20,Timeplans!B:B,0)</f>
        <v>164</v>
      </c>
      <c r="J20">
        <f>UTDF_control!I20+9</f>
        <v>173</v>
      </c>
      <c r="K20">
        <f>MATCH(D20,Phases!B:B,0)</f>
        <v>388</v>
      </c>
      <c r="L20">
        <f t="shared" si="0"/>
        <v>411</v>
      </c>
    </row>
    <row r="21" spans="4:12" x14ac:dyDescent="0.3">
      <c r="D21">
        <v>22</v>
      </c>
      <c r="E21">
        <f>MATCH(D21,Links!B:B,0)</f>
        <v>404</v>
      </c>
      <c r="F21">
        <f>UTDF_control!E21+19</f>
        <v>423</v>
      </c>
      <c r="G21">
        <f>MATCH(D21,Lanes!B:B,0)</f>
        <v>963</v>
      </c>
      <c r="H21">
        <f>UTDF_control!G21+56</f>
        <v>1019</v>
      </c>
      <c r="I21">
        <f>MATCH(D21,Timeplans!B:B,0)</f>
        <v>174</v>
      </c>
      <c r="J21">
        <f>UTDF_control!I21+9</f>
        <v>183</v>
      </c>
      <c r="K21">
        <f>MATCH(D21,Phases!B:B,0)</f>
        <v>412</v>
      </c>
      <c r="L21">
        <f t="shared" si="0"/>
        <v>435</v>
      </c>
    </row>
    <row r="22" spans="4:12" x14ac:dyDescent="0.3">
      <c r="D22">
        <v>23</v>
      </c>
      <c r="E22">
        <f>MATCH(D22,Links!B:B,0)</f>
        <v>424</v>
      </c>
      <c r="F22">
        <f>UTDF_control!E22+19</f>
        <v>443</v>
      </c>
      <c r="G22">
        <f>MATCH(D22,Lanes!B:B,0)</f>
        <v>1020</v>
      </c>
      <c r="H22">
        <f>UTDF_control!G22+56</f>
        <v>1076</v>
      </c>
      <c r="I22">
        <f>MATCH(D22,Timeplans!B:B,0)</f>
        <v>184</v>
      </c>
      <c r="J22">
        <f>UTDF_control!I22+9</f>
        <v>193</v>
      </c>
      <c r="K22">
        <f>MATCH(D22,Phases!B:B,0)</f>
        <v>436</v>
      </c>
      <c r="L22">
        <f t="shared" si="0"/>
        <v>459</v>
      </c>
    </row>
    <row r="23" spans="4:12" x14ac:dyDescent="0.3">
      <c r="D23">
        <v>24</v>
      </c>
      <c r="E23">
        <f>MATCH(D23,Links!B:B,0)</f>
        <v>444</v>
      </c>
      <c r="F23">
        <f>UTDF_control!E23+19</f>
        <v>463</v>
      </c>
      <c r="G23">
        <f>MATCH(D23,Lanes!B:B,0)</f>
        <v>1077</v>
      </c>
      <c r="H23">
        <f>UTDF_control!G23+56</f>
        <v>1133</v>
      </c>
      <c r="I23">
        <f>MATCH(D23,Timeplans!B:B,0)</f>
        <v>194</v>
      </c>
      <c r="J23">
        <f>UTDF_control!I23+9</f>
        <v>203</v>
      </c>
      <c r="K23">
        <f>MATCH(D23,Phases!B:B,0)</f>
        <v>460</v>
      </c>
      <c r="L23">
        <f t="shared" si="0"/>
        <v>483</v>
      </c>
    </row>
    <row r="24" spans="4:12" x14ac:dyDescent="0.3">
      <c r="D24">
        <v>25</v>
      </c>
      <c r="E24">
        <f>MATCH(D24,Links!B:B,0)</f>
        <v>464</v>
      </c>
      <c r="F24">
        <f>UTDF_control!E24+19</f>
        <v>483</v>
      </c>
      <c r="G24">
        <f>MATCH(D24,Lanes!B:B,0)</f>
        <v>1134</v>
      </c>
      <c r="H24">
        <f>UTDF_control!G24+56</f>
        <v>1190</v>
      </c>
      <c r="I24">
        <f>MATCH(D24,Timeplans!B:B,0)</f>
        <v>204</v>
      </c>
      <c r="J24">
        <f>UTDF_control!I24+9</f>
        <v>213</v>
      </c>
      <c r="K24">
        <f>MATCH(D24,Phases!B:B,0)</f>
        <v>484</v>
      </c>
      <c r="L24">
        <f t="shared" si="0"/>
        <v>507</v>
      </c>
    </row>
    <row r="25" spans="4:12" x14ac:dyDescent="0.3">
      <c r="D25">
        <v>26</v>
      </c>
      <c r="E25">
        <f>MATCH(D25,Links!B:B,0)</f>
        <v>484</v>
      </c>
      <c r="F25">
        <f>UTDF_control!E25+19</f>
        <v>503</v>
      </c>
      <c r="G25">
        <f>MATCH(D25,Lanes!B:B,0)</f>
        <v>1189</v>
      </c>
      <c r="H25">
        <f>UTDF_control!G25+56</f>
        <v>1245</v>
      </c>
      <c r="I25">
        <f>MATCH(D25,Timeplans!B:B,0)</f>
        <v>214</v>
      </c>
      <c r="J25">
        <f>UTDF_control!I25+9</f>
        <v>223</v>
      </c>
      <c r="K25">
        <f>MATCH(D25,Phases!B:B,0)</f>
        <v>508</v>
      </c>
      <c r="L25">
        <f t="shared" si="0"/>
        <v>531</v>
      </c>
    </row>
    <row r="26" spans="4:12" x14ac:dyDescent="0.3">
      <c r="D26">
        <v>30</v>
      </c>
      <c r="E26">
        <f>MATCH(D26,Links!B:B,0)</f>
        <v>504</v>
      </c>
      <c r="F26">
        <f>UTDF_control!E26+19</f>
        <v>523</v>
      </c>
      <c r="G26">
        <f>MATCH(D26,Lanes!B:B,0)</f>
        <v>1247</v>
      </c>
      <c r="H26">
        <f>UTDF_control!G26+56</f>
        <v>1303</v>
      </c>
      <c r="I26">
        <f>MATCH(D26,Timeplans!B:B,0)</f>
        <v>224</v>
      </c>
      <c r="J26">
        <f>UTDF_control!I26+9</f>
        <v>233</v>
      </c>
      <c r="K26">
        <f>MATCH(D26,Phases!B:B,0)</f>
        <v>532</v>
      </c>
      <c r="L26">
        <f t="shared" si="0"/>
        <v>555</v>
      </c>
    </row>
    <row r="27" spans="4:12" x14ac:dyDescent="0.3">
      <c r="D27">
        <v>31</v>
      </c>
      <c r="E27">
        <f>MATCH(D27,Links!B:B,0)</f>
        <v>524</v>
      </c>
      <c r="F27">
        <f>UTDF_control!E27+19</f>
        <v>543</v>
      </c>
      <c r="G27">
        <f>MATCH(D27,Lanes!B:B,0)</f>
        <v>1304</v>
      </c>
      <c r="H27">
        <f>UTDF_control!G27+56</f>
        <v>1360</v>
      </c>
      <c r="I27">
        <f>MATCH(D27,Timeplans!B:B,0)</f>
        <v>234</v>
      </c>
      <c r="J27">
        <f>UTDF_control!I27+9</f>
        <v>243</v>
      </c>
      <c r="K27">
        <f>MATCH(D27,Phases!B:B,0)</f>
        <v>556</v>
      </c>
      <c r="L27">
        <f t="shared" si="0"/>
        <v>579</v>
      </c>
    </row>
    <row r="28" spans="4:12" x14ac:dyDescent="0.3">
      <c r="D28">
        <v>32</v>
      </c>
      <c r="E28">
        <f>MATCH(D28,Links!B:B,0)</f>
        <v>544</v>
      </c>
      <c r="F28">
        <f>UTDF_control!E28+19</f>
        <v>563</v>
      </c>
      <c r="G28">
        <f>MATCH(D28,Lanes!B:B,0)</f>
        <v>1362</v>
      </c>
      <c r="H28">
        <f>UTDF_control!G28+56</f>
        <v>1418</v>
      </c>
      <c r="I28">
        <f>MATCH(D28,Timeplans!B:B,0)</f>
        <v>244</v>
      </c>
      <c r="J28">
        <f>UTDF_control!I28+9</f>
        <v>253</v>
      </c>
      <c r="K28">
        <f>MATCH(D28,Phases!B:B,0)</f>
        <v>580</v>
      </c>
      <c r="L28">
        <f t="shared" si="0"/>
        <v>603</v>
      </c>
    </row>
    <row r="29" spans="4:12" x14ac:dyDescent="0.3">
      <c r="D29">
        <v>33</v>
      </c>
      <c r="E29">
        <f>MATCH(D29,Links!B:B,0)</f>
        <v>564</v>
      </c>
      <c r="F29">
        <f>UTDF_control!E29+19</f>
        <v>583</v>
      </c>
      <c r="G29">
        <f>MATCH(D29,Lanes!B:B,0)</f>
        <v>1419</v>
      </c>
      <c r="H29">
        <f>UTDF_control!G29+56</f>
        <v>1475</v>
      </c>
      <c r="I29">
        <f>MATCH(D29,Timeplans!B:B,0)</f>
        <v>254</v>
      </c>
      <c r="J29">
        <f>UTDF_control!I29+9</f>
        <v>263</v>
      </c>
      <c r="K29">
        <f>MATCH(D29,Phases!B:B,0)</f>
        <v>604</v>
      </c>
      <c r="L29">
        <f t="shared" si="0"/>
        <v>627</v>
      </c>
    </row>
    <row r="30" spans="4:12" x14ac:dyDescent="0.3">
      <c r="D30">
        <v>34</v>
      </c>
      <c r="E30">
        <f>MATCH(D30,Links!B:B,0)</f>
        <v>584</v>
      </c>
      <c r="F30">
        <f>UTDF_control!E30+19</f>
        <v>603</v>
      </c>
      <c r="G30">
        <f>MATCH(D30,Lanes!B:B,0)</f>
        <v>1476</v>
      </c>
      <c r="H30">
        <f>UTDF_control!G30+56</f>
        <v>1532</v>
      </c>
      <c r="I30">
        <f>MATCH(D30,Timeplans!B:B,0)</f>
        <v>264</v>
      </c>
      <c r="J30">
        <f>UTDF_control!I30+9</f>
        <v>273</v>
      </c>
      <c r="K30">
        <f>MATCH(D30,Phases!B:B,0)</f>
        <v>628</v>
      </c>
      <c r="L30">
        <f t="shared" si="0"/>
        <v>651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1563"/>
  <sheetViews>
    <sheetView workbookViewId="0">
      <selection activeCell="A4" sqref="A4:H23"/>
    </sheetView>
  </sheetViews>
  <sheetFormatPr defaultRowHeight="14.4" x14ac:dyDescent="0.3"/>
  <sheetData>
    <row r="1" spans="1:8" x14ac:dyDescent="0.3">
      <c r="A1" t="s">
        <v>566</v>
      </c>
    </row>
    <row r="2" spans="1:8" x14ac:dyDescent="0.3">
      <c r="A2" t="s">
        <v>567</v>
      </c>
    </row>
    <row r="3" spans="1:8" x14ac:dyDescent="0.3">
      <c r="A3" t="s">
        <v>0</v>
      </c>
      <c r="B3" t="s">
        <v>1</v>
      </c>
      <c r="C3" t="s">
        <v>402</v>
      </c>
      <c r="D3" t="s">
        <v>403</v>
      </c>
      <c r="E3" t="s">
        <v>400</v>
      </c>
      <c r="F3" t="s">
        <v>401</v>
      </c>
      <c r="G3" t="s">
        <v>568</v>
      </c>
      <c r="H3" t="s">
        <v>569</v>
      </c>
    </row>
    <row r="4" spans="1:8" x14ac:dyDescent="0.3">
      <c r="A4" t="s">
        <v>570</v>
      </c>
      <c r="B4">
        <v>1</v>
      </c>
      <c r="C4">
        <v>101</v>
      </c>
      <c r="D4">
        <v>2</v>
      </c>
      <c r="E4">
        <v>102</v>
      </c>
      <c r="F4">
        <v>103</v>
      </c>
    </row>
    <row r="5" spans="1:8" x14ac:dyDescent="0.3">
      <c r="A5" t="s">
        <v>36</v>
      </c>
      <c r="B5">
        <v>1</v>
      </c>
      <c r="C5">
        <v>3</v>
      </c>
      <c r="D5">
        <v>3</v>
      </c>
      <c r="E5">
        <v>2</v>
      </c>
      <c r="F5">
        <v>3</v>
      </c>
    </row>
    <row r="6" spans="1:8" x14ac:dyDescent="0.3">
      <c r="A6" t="s">
        <v>506</v>
      </c>
      <c r="B6">
        <v>1</v>
      </c>
      <c r="C6" t="s">
        <v>571</v>
      </c>
      <c r="D6" t="s">
        <v>571</v>
      </c>
      <c r="E6" t="s">
        <v>572</v>
      </c>
      <c r="F6" t="s">
        <v>573</v>
      </c>
    </row>
    <row r="7" spans="1:8" x14ac:dyDescent="0.3">
      <c r="A7" t="s">
        <v>574</v>
      </c>
      <c r="B7">
        <v>1</v>
      </c>
      <c r="C7">
        <v>620</v>
      </c>
      <c r="D7">
        <v>1609</v>
      </c>
      <c r="E7">
        <v>980</v>
      </c>
      <c r="F7">
        <v>1124</v>
      </c>
    </row>
    <row r="8" spans="1:8" x14ac:dyDescent="0.3">
      <c r="A8" t="s">
        <v>42</v>
      </c>
      <c r="B8">
        <v>1</v>
      </c>
      <c r="C8">
        <v>45</v>
      </c>
      <c r="D8">
        <v>45</v>
      </c>
      <c r="E8">
        <v>30</v>
      </c>
      <c r="F8">
        <v>30</v>
      </c>
    </row>
    <row r="9" spans="1:8" x14ac:dyDescent="0.3">
      <c r="A9" t="s">
        <v>575</v>
      </c>
      <c r="B9">
        <v>1</v>
      </c>
      <c r="C9">
        <v>9.4</v>
      </c>
      <c r="D9">
        <v>24.4</v>
      </c>
      <c r="E9">
        <v>22.3</v>
      </c>
      <c r="F9">
        <v>25.5</v>
      </c>
    </row>
    <row r="10" spans="1:8" x14ac:dyDescent="0.3">
      <c r="A10" t="s">
        <v>41</v>
      </c>
      <c r="B10">
        <v>1</v>
      </c>
      <c r="C10">
        <v>0</v>
      </c>
      <c r="D10">
        <v>0</v>
      </c>
      <c r="E10">
        <v>0</v>
      </c>
      <c r="F10">
        <v>0</v>
      </c>
    </row>
    <row r="11" spans="1:8" x14ac:dyDescent="0.3">
      <c r="A11" t="s">
        <v>576</v>
      </c>
      <c r="B11">
        <v>1</v>
      </c>
      <c r="C11">
        <v>12</v>
      </c>
      <c r="D11">
        <v>12</v>
      </c>
      <c r="E11">
        <v>12</v>
      </c>
      <c r="F11">
        <v>12</v>
      </c>
    </row>
    <row r="12" spans="1:8" x14ac:dyDescent="0.3">
      <c r="A12" t="s">
        <v>577</v>
      </c>
      <c r="B12">
        <v>1</v>
      </c>
      <c r="C12">
        <v>0</v>
      </c>
      <c r="D12">
        <v>0</v>
      </c>
      <c r="E12">
        <v>0</v>
      </c>
      <c r="F12">
        <v>0</v>
      </c>
    </row>
    <row r="13" spans="1:8" x14ac:dyDescent="0.3">
      <c r="A13" t="s">
        <v>578</v>
      </c>
      <c r="B13">
        <v>1</v>
      </c>
      <c r="C13">
        <v>0</v>
      </c>
      <c r="D13">
        <v>0</v>
      </c>
      <c r="E13">
        <v>0</v>
      </c>
      <c r="F13">
        <v>0</v>
      </c>
    </row>
    <row r="14" spans="1:8" x14ac:dyDescent="0.3">
      <c r="A14" t="s">
        <v>579</v>
      </c>
      <c r="B14">
        <v>1</v>
      </c>
      <c r="C14">
        <v>16</v>
      </c>
      <c r="D14">
        <v>16</v>
      </c>
      <c r="E14">
        <v>16</v>
      </c>
      <c r="F14">
        <v>16</v>
      </c>
    </row>
    <row r="15" spans="1:8" x14ac:dyDescent="0.3">
      <c r="A15" t="s">
        <v>580</v>
      </c>
      <c r="B15">
        <v>1</v>
      </c>
      <c r="C15">
        <v>500</v>
      </c>
      <c r="D15">
        <v>500</v>
      </c>
      <c r="E15">
        <v>500</v>
      </c>
      <c r="F15">
        <v>500</v>
      </c>
    </row>
    <row r="16" spans="1:8" x14ac:dyDescent="0.3">
      <c r="A16" t="s">
        <v>581</v>
      </c>
      <c r="B16">
        <v>1</v>
      </c>
      <c r="C16">
        <v>1980</v>
      </c>
      <c r="D16">
        <v>1980</v>
      </c>
      <c r="E16">
        <v>1320</v>
      </c>
      <c r="F16">
        <v>1320</v>
      </c>
    </row>
    <row r="17" spans="1:6" x14ac:dyDescent="0.3">
      <c r="A17" t="s">
        <v>582</v>
      </c>
      <c r="B17">
        <v>1</v>
      </c>
      <c r="C17">
        <v>1320</v>
      </c>
      <c r="D17">
        <v>1320</v>
      </c>
      <c r="E17">
        <v>880</v>
      </c>
      <c r="F17">
        <v>880</v>
      </c>
    </row>
    <row r="18" spans="1:6" x14ac:dyDescent="0.3">
      <c r="A18" t="s">
        <v>583</v>
      </c>
      <c r="B18">
        <v>1</v>
      </c>
      <c r="C18">
        <v>2640</v>
      </c>
      <c r="D18">
        <v>2640</v>
      </c>
      <c r="E18">
        <v>1760</v>
      </c>
      <c r="F18">
        <v>1760</v>
      </c>
    </row>
    <row r="19" spans="1:6" x14ac:dyDescent="0.3">
      <c r="A19" t="s">
        <v>584</v>
      </c>
      <c r="B19">
        <v>1</v>
      </c>
    </row>
    <row r="20" spans="1:6" x14ac:dyDescent="0.3">
      <c r="A20" t="s">
        <v>585</v>
      </c>
      <c r="B20">
        <v>1</v>
      </c>
    </row>
    <row r="21" spans="1:6" x14ac:dyDescent="0.3">
      <c r="A21" t="s">
        <v>586</v>
      </c>
      <c r="B21">
        <v>1</v>
      </c>
    </row>
    <row r="22" spans="1:6" x14ac:dyDescent="0.3">
      <c r="A22" t="s">
        <v>587</v>
      </c>
      <c r="B22">
        <v>1</v>
      </c>
      <c r="C22" t="b">
        <v>0</v>
      </c>
      <c r="D22" t="b">
        <v>0</v>
      </c>
      <c r="E22" t="b">
        <v>0</v>
      </c>
      <c r="F22" t="b">
        <v>0</v>
      </c>
    </row>
    <row r="23" spans="1:6" x14ac:dyDescent="0.3">
      <c r="A23" t="s">
        <v>588</v>
      </c>
      <c r="B23">
        <v>1</v>
      </c>
      <c r="C23" t="b">
        <v>0</v>
      </c>
      <c r="D23" t="b">
        <v>0</v>
      </c>
      <c r="E23" t="b">
        <v>0</v>
      </c>
      <c r="F23" t="b">
        <v>0</v>
      </c>
    </row>
    <row r="24" spans="1:6" x14ac:dyDescent="0.3">
      <c r="A24" t="s">
        <v>570</v>
      </c>
      <c r="B24">
        <v>2</v>
      </c>
      <c r="C24">
        <v>1</v>
      </c>
      <c r="D24">
        <v>18</v>
      </c>
      <c r="E24">
        <v>104</v>
      </c>
      <c r="F24">
        <v>105</v>
      </c>
    </row>
    <row r="25" spans="1:6" x14ac:dyDescent="0.3">
      <c r="A25" t="s">
        <v>36</v>
      </c>
      <c r="B25">
        <v>2</v>
      </c>
      <c r="C25">
        <v>3</v>
      </c>
      <c r="D25">
        <v>3</v>
      </c>
      <c r="E25">
        <v>2</v>
      </c>
      <c r="F25">
        <v>2</v>
      </c>
    </row>
    <row r="26" spans="1:6" x14ac:dyDescent="0.3">
      <c r="A26" t="s">
        <v>506</v>
      </c>
      <c r="B26">
        <v>2</v>
      </c>
      <c r="C26" t="s">
        <v>571</v>
      </c>
      <c r="D26" t="s">
        <v>571</v>
      </c>
      <c r="E26" t="s">
        <v>589</v>
      </c>
      <c r="F26" t="s">
        <v>589</v>
      </c>
    </row>
    <row r="27" spans="1:6" x14ac:dyDescent="0.3">
      <c r="A27" t="s">
        <v>574</v>
      </c>
      <c r="B27">
        <v>2</v>
      </c>
      <c r="C27">
        <v>1609</v>
      </c>
      <c r="D27">
        <v>1993</v>
      </c>
      <c r="E27">
        <v>776</v>
      </c>
      <c r="F27">
        <v>828</v>
      </c>
    </row>
    <row r="28" spans="1:6" x14ac:dyDescent="0.3">
      <c r="A28" t="s">
        <v>42</v>
      </c>
      <c r="B28">
        <v>2</v>
      </c>
      <c r="C28">
        <v>45</v>
      </c>
      <c r="D28">
        <v>45</v>
      </c>
      <c r="E28">
        <v>30</v>
      </c>
      <c r="F28">
        <v>30</v>
      </c>
    </row>
    <row r="29" spans="1:6" x14ac:dyDescent="0.3">
      <c r="A29" t="s">
        <v>575</v>
      </c>
      <c r="B29">
        <v>2</v>
      </c>
      <c r="C29">
        <v>24.4</v>
      </c>
      <c r="D29">
        <v>30.2</v>
      </c>
      <c r="E29">
        <v>17.600000000000001</v>
      </c>
      <c r="F29">
        <v>18.8</v>
      </c>
    </row>
    <row r="30" spans="1:6" x14ac:dyDescent="0.3">
      <c r="A30" t="s">
        <v>41</v>
      </c>
      <c r="B30">
        <v>2</v>
      </c>
      <c r="C30">
        <v>0</v>
      </c>
      <c r="D30">
        <v>0</v>
      </c>
      <c r="E30">
        <v>0</v>
      </c>
      <c r="F30">
        <v>0</v>
      </c>
    </row>
    <row r="31" spans="1:6" x14ac:dyDescent="0.3">
      <c r="A31" t="s">
        <v>576</v>
      </c>
      <c r="B31">
        <v>2</v>
      </c>
      <c r="C31">
        <v>12</v>
      </c>
      <c r="D31">
        <v>12</v>
      </c>
      <c r="E31">
        <v>12</v>
      </c>
      <c r="F31">
        <v>12</v>
      </c>
    </row>
    <row r="32" spans="1:6" x14ac:dyDescent="0.3">
      <c r="A32" t="s">
        <v>577</v>
      </c>
      <c r="B32">
        <v>2</v>
      </c>
      <c r="C32">
        <v>0</v>
      </c>
      <c r="D32">
        <v>0</v>
      </c>
      <c r="E32">
        <v>0</v>
      </c>
      <c r="F32">
        <v>0</v>
      </c>
    </row>
    <row r="33" spans="1:8" x14ac:dyDescent="0.3">
      <c r="A33" t="s">
        <v>578</v>
      </c>
      <c r="B33">
        <v>2</v>
      </c>
      <c r="C33">
        <v>0</v>
      </c>
      <c r="D33">
        <v>0</v>
      </c>
      <c r="E33">
        <v>0</v>
      </c>
      <c r="F33">
        <v>0</v>
      </c>
    </row>
    <row r="34" spans="1:8" x14ac:dyDescent="0.3">
      <c r="A34" t="s">
        <v>579</v>
      </c>
      <c r="B34">
        <v>2</v>
      </c>
      <c r="C34">
        <v>16</v>
      </c>
      <c r="D34">
        <v>16</v>
      </c>
      <c r="E34">
        <v>16</v>
      </c>
      <c r="F34">
        <v>16</v>
      </c>
    </row>
    <row r="35" spans="1:8" x14ac:dyDescent="0.3">
      <c r="A35" t="s">
        <v>580</v>
      </c>
      <c r="B35">
        <v>2</v>
      </c>
      <c r="C35">
        <v>500</v>
      </c>
      <c r="D35">
        <v>500</v>
      </c>
      <c r="E35">
        <v>500</v>
      </c>
      <c r="F35">
        <v>500</v>
      </c>
    </row>
    <row r="36" spans="1:8" x14ac:dyDescent="0.3">
      <c r="A36" t="s">
        <v>581</v>
      </c>
      <c r="B36">
        <v>2</v>
      </c>
      <c r="C36">
        <v>1980</v>
      </c>
      <c r="D36">
        <v>1980</v>
      </c>
      <c r="E36">
        <v>1320</v>
      </c>
      <c r="F36">
        <v>1320</v>
      </c>
    </row>
    <row r="37" spans="1:8" x14ac:dyDescent="0.3">
      <c r="A37" t="s">
        <v>582</v>
      </c>
      <c r="B37">
        <v>2</v>
      </c>
      <c r="C37">
        <v>1320</v>
      </c>
      <c r="D37">
        <v>1320</v>
      </c>
      <c r="E37">
        <v>880</v>
      </c>
      <c r="F37">
        <v>880</v>
      </c>
    </row>
    <row r="38" spans="1:8" x14ac:dyDescent="0.3">
      <c r="A38" t="s">
        <v>583</v>
      </c>
      <c r="B38">
        <v>2</v>
      </c>
      <c r="C38">
        <v>2640</v>
      </c>
      <c r="D38">
        <v>2640</v>
      </c>
      <c r="E38">
        <v>1760</v>
      </c>
      <c r="F38">
        <v>1760</v>
      </c>
    </row>
    <row r="39" spans="1:8" x14ac:dyDescent="0.3">
      <c r="A39" t="s">
        <v>584</v>
      </c>
      <c r="B39">
        <v>2</v>
      </c>
    </row>
    <row r="40" spans="1:8" x14ac:dyDescent="0.3">
      <c r="A40" t="s">
        <v>585</v>
      </c>
      <c r="B40">
        <v>2</v>
      </c>
    </row>
    <row r="41" spans="1:8" x14ac:dyDescent="0.3">
      <c r="A41" t="s">
        <v>586</v>
      </c>
      <c r="B41">
        <v>2</v>
      </c>
    </row>
    <row r="42" spans="1:8" x14ac:dyDescent="0.3">
      <c r="A42" t="s">
        <v>587</v>
      </c>
      <c r="B42">
        <v>2</v>
      </c>
      <c r="C42" t="b">
        <v>0</v>
      </c>
      <c r="D42" t="b">
        <v>0</v>
      </c>
      <c r="E42" t="b">
        <v>0</v>
      </c>
      <c r="F42" t="b">
        <v>0</v>
      </c>
    </row>
    <row r="43" spans="1:8" x14ac:dyDescent="0.3">
      <c r="A43" t="s">
        <v>588</v>
      </c>
      <c r="B43">
        <v>2</v>
      </c>
      <c r="C43" t="b">
        <v>0</v>
      </c>
      <c r="D43" t="b">
        <v>0</v>
      </c>
      <c r="E43" t="b">
        <v>0</v>
      </c>
      <c r="F43" t="b">
        <v>0</v>
      </c>
    </row>
    <row r="44" spans="1:8" x14ac:dyDescent="0.3">
      <c r="A44" t="s">
        <v>570</v>
      </c>
      <c r="B44">
        <v>3</v>
      </c>
      <c r="C44">
        <v>18</v>
      </c>
      <c r="D44">
        <v>4</v>
      </c>
      <c r="G44">
        <v>107</v>
      </c>
      <c r="H44">
        <v>106</v>
      </c>
    </row>
    <row r="45" spans="1:8" x14ac:dyDescent="0.3">
      <c r="A45" t="s">
        <v>36</v>
      </c>
      <c r="B45">
        <v>3</v>
      </c>
      <c r="C45">
        <v>3</v>
      </c>
      <c r="D45">
        <v>4</v>
      </c>
      <c r="G45">
        <v>3</v>
      </c>
      <c r="H45">
        <v>2</v>
      </c>
    </row>
    <row r="46" spans="1:8" x14ac:dyDescent="0.3">
      <c r="A46" t="s">
        <v>506</v>
      </c>
      <c r="B46">
        <v>3</v>
      </c>
      <c r="C46" t="s">
        <v>571</v>
      </c>
      <c r="D46" t="s">
        <v>571</v>
      </c>
      <c r="G46" t="s">
        <v>590</v>
      </c>
      <c r="H46" t="s">
        <v>591</v>
      </c>
    </row>
    <row r="47" spans="1:8" x14ac:dyDescent="0.3">
      <c r="A47" t="s">
        <v>574</v>
      </c>
      <c r="B47">
        <v>3</v>
      </c>
      <c r="C47">
        <v>434</v>
      </c>
      <c r="D47">
        <v>2890</v>
      </c>
      <c r="G47">
        <v>1381</v>
      </c>
      <c r="H47">
        <v>1438</v>
      </c>
    </row>
    <row r="48" spans="1:8" x14ac:dyDescent="0.3">
      <c r="A48" t="s">
        <v>42</v>
      </c>
      <c r="B48">
        <v>3</v>
      </c>
      <c r="C48">
        <v>45</v>
      </c>
      <c r="D48">
        <v>45</v>
      </c>
      <c r="G48">
        <v>30</v>
      </c>
      <c r="H48">
        <v>30</v>
      </c>
    </row>
    <row r="49" spans="1:8" x14ac:dyDescent="0.3">
      <c r="A49" t="s">
        <v>575</v>
      </c>
      <c r="B49">
        <v>3</v>
      </c>
      <c r="C49">
        <v>6.6</v>
      </c>
      <c r="D49">
        <v>43.8</v>
      </c>
      <c r="G49">
        <v>31.4</v>
      </c>
      <c r="H49">
        <v>32.700000000000003</v>
      </c>
    </row>
    <row r="50" spans="1:8" x14ac:dyDescent="0.3">
      <c r="A50" t="s">
        <v>41</v>
      </c>
      <c r="B50">
        <v>3</v>
      </c>
      <c r="C50">
        <v>0</v>
      </c>
      <c r="D50">
        <v>0</v>
      </c>
      <c r="G50">
        <v>0</v>
      </c>
      <c r="H50">
        <v>0</v>
      </c>
    </row>
    <row r="51" spans="1:8" x14ac:dyDescent="0.3">
      <c r="A51" t="s">
        <v>576</v>
      </c>
      <c r="B51">
        <v>3</v>
      </c>
      <c r="C51">
        <v>12</v>
      </c>
      <c r="D51">
        <v>12</v>
      </c>
      <c r="G51">
        <v>12</v>
      </c>
      <c r="H51">
        <v>12</v>
      </c>
    </row>
    <row r="52" spans="1:8" x14ac:dyDescent="0.3">
      <c r="A52" t="s">
        <v>577</v>
      </c>
      <c r="B52">
        <v>3</v>
      </c>
      <c r="C52">
        <v>0</v>
      </c>
      <c r="D52">
        <v>0</v>
      </c>
      <c r="G52">
        <v>0</v>
      </c>
      <c r="H52">
        <v>0</v>
      </c>
    </row>
    <row r="53" spans="1:8" x14ac:dyDescent="0.3">
      <c r="A53" t="s">
        <v>578</v>
      </c>
      <c r="B53">
        <v>3</v>
      </c>
      <c r="C53">
        <v>0</v>
      </c>
      <c r="D53">
        <v>0</v>
      </c>
      <c r="G53">
        <v>0</v>
      </c>
      <c r="H53">
        <v>0</v>
      </c>
    </row>
    <row r="54" spans="1:8" x14ac:dyDescent="0.3">
      <c r="A54" t="s">
        <v>579</v>
      </c>
      <c r="B54">
        <v>3</v>
      </c>
      <c r="C54">
        <v>16</v>
      </c>
      <c r="D54">
        <v>16</v>
      </c>
      <c r="G54">
        <v>16</v>
      </c>
      <c r="H54">
        <v>16</v>
      </c>
    </row>
    <row r="55" spans="1:8" x14ac:dyDescent="0.3">
      <c r="A55" t="s">
        <v>580</v>
      </c>
      <c r="B55">
        <v>3</v>
      </c>
      <c r="C55">
        <v>500</v>
      </c>
      <c r="D55">
        <v>500</v>
      </c>
      <c r="G55">
        <v>500</v>
      </c>
      <c r="H55">
        <v>500</v>
      </c>
    </row>
    <row r="56" spans="1:8" x14ac:dyDescent="0.3">
      <c r="A56" t="s">
        <v>581</v>
      </c>
      <c r="B56">
        <v>3</v>
      </c>
      <c r="C56">
        <v>1980</v>
      </c>
      <c r="D56">
        <v>1980</v>
      </c>
      <c r="G56">
        <v>1320</v>
      </c>
      <c r="H56">
        <v>1320</v>
      </c>
    </row>
    <row r="57" spans="1:8" x14ac:dyDescent="0.3">
      <c r="A57" t="s">
        <v>582</v>
      </c>
      <c r="B57">
        <v>3</v>
      </c>
      <c r="C57">
        <v>1320</v>
      </c>
      <c r="D57">
        <v>1320</v>
      </c>
      <c r="G57">
        <v>880</v>
      </c>
      <c r="H57">
        <v>880</v>
      </c>
    </row>
    <row r="58" spans="1:8" x14ac:dyDescent="0.3">
      <c r="A58" t="s">
        <v>583</v>
      </c>
      <c r="B58">
        <v>3</v>
      </c>
      <c r="C58">
        <v>2640</v>
      </c>
      <c r="D58">
        <v>2640</v>
      </c>
      <c r="G58">
        <v>1760</v>
      </c>
      <c r="H58">
        <v>1760</v>
      </c>
    </row>
    <row r="59" spans="1:8" x14ac:dyDescent="0.3">
      <c r="A59" t="s">
        <v>584</v>
      </c>
      <c r="B59">
        <v>3</v>
      </c>
    </row>
    <row r="60" spans="1:8" x14ac:dyDescent="0.3">
      <c r="A60" t="s">
        <v>585</v>
      </c>
      <c r="B60">
        <v>3</v>
      </c>
    </row>
    <row r="61" spans="1:8" x14ac:dyDescent="0.3">
      <c r="A61" t="s">
        <v>586</v>
      </c>
      <c r="B61">
        <v>3</v>
      </c>
    </row>
    <row r="62" spans="1:8" x14ac:dyDescent="0.3">
      <c r="A62" t="s">
        <v>587</v>
      </c>
      <c r="B62">
        <v>3</v>
      </c>
      <c r="C62" t="b">
        <v>0</v>
      </c>
      <c r="D62" t="b">
        <v>0</v>
      </c>
      <c r="G62" t="b">
        <v>0</v>
      </c>
      <c r="H62" t="b">
        <v>0</v>
      </c>
    </row>
    <row r="63" spans="1:8" x14ac:dyDescent="0.3">
      <c r="A63" t="s">
        <v>588</v>
      </c>
      <c r="B63">
        <v>3</v>
      </c>
      <c r="C63" t="b">
        <v>0</v>
      </c>
      <c r="D63" t="b">
        <v>0</v>
      </c>
      <c r="G63" t="b">
        <v>0</v>
      </c>
      <c r="H63" t="b">
        <v>0</v>
      </c>
    </row>
    <row r="64" spans="1:8" x14ac:dyDescent="0.3">
      <c r="A64" t="s">
        <v>570</v>
      </c>
      <c r="B64">
        <v>4</v>
      </c>
      <c r="C64">
        <v>3</v>
      </c>
      <c r="D64">
        <v>5</v>
      </c>
      <c r="E64">
        <v>108</v>
      </c>
      <c r="F64">
        <v>6</v>
      </c>
    </row>
    <row r="65" spans="1:6" x14ac:dyDescent="0.3">
      <c r="A65" t="s">
        <v>36</v>
      </c>
      <c r="B65">
        <v>4</v>
      </c>
      <c r="C65">
        <v>2</v>
      </c>
      <c r="D65">
        <v>3</v>
      </c>
      <c r="E65">
        <v>3</v>
      </c>
      <c r="F65">
        <v>0</v>
      </c>
    </row>
    <row r="66" spans="1:6" x14ac:dyDescent="0.3">
      <c r="A66" t="s">
        <v>506</v>
      </c>
      <c r="B66">
        <v>4</v>
      </c>
      <c r="C66" t="s">
        <v>571</v>
      </c>
      <c r="D66" t="s">
        <v>571</v>
      </c>
      <c r="E66" t="s">
        <v>592</v>
      </c>
      <c r="F66" t="s">
        <v>592</v>
      </c>
    </row>
    <row r="67" spans="1:6" x14ac:dyDescent="0.3">
      <c r="A67" t="s">
        <v>574</v>
      </c>
      <c r="B67">
        <v>4</v>
      </c>
      <c r="C67">
        <v>2890</v>
      </c>
      <c r="D67">
        <v>326</v>
      </c>
      <c r="E67">
        <v>955</v>
      </c>
      <c r="F67">
        <v>1509</v>
      </c>
    </row>
    <row r="68" spans="1:6" x14ac:dyDescent="0.3">
      <c r="A68" t="s">
        <v>42</v>
      </c>
      <c r="B68">
        <v>4</v>
      </c>
      <c r="C68">
        <v>45</v>
      </c>
      <c r="D68">
        <v>35</v>
      </c>
      <c r="E68">
        <v>30</v>
      </c>
      <c r="F68">
        <v>30</v>
      </c>
    </row>
    <row r="69" spans="1:6" x14ac:dyDescent="0.3">
      <c r="A69" t="s">
        <v>575</v>
      </c>
      <c r="B69">
        <v>4</v>
      </c>
      <c r="C69">
        <v>43.8</v>
      </c>
      <c r="D69">
        <v>6.4</v>
      </c>
      <c r="E69">
        <v>21.7</v>
      </c>
      <c r="F69">
        <v>34.299999999999997</v>
      </c>
    </row>
    <row r="70" spans="1:6" x14ac:dyDescent="0.3">
      <c r="A70" t="s">
        <v>41</v>
      </c>
      <c r="B70">
        <v>4</v>
      </c>
      <c r="C70">
        <v>0</v>
      </c>
      <c r="D70">
        <v>0</v>
      </c>
      <c r="E70">
        <v>0</v>
      </c>
      <c r="F70">
        <v>0</v>
      </c>
    </row>
    <row r="71" spans="1:6" x14ac:dyDescent="0.3">
      <c r="A71" t="s">
        <v>576</v>
      </c>
      <c r="B71">
        <v>4</v>
      </c>
      <c r="C71">
        <v>12</v>
      </c>
      <c r="D71">
        <v>12</v>
      </c>
      <c r="E71">
        <v>12</v>
      </c>
      <c r="F71">
        <v>12</v>
      </c>
    </row>
    <row r="72" spans="1:6" x14ac:dyDescent="0.3">
      <c r="A72" t="s">
        <v>577</v>
      </c>
      <c r="B72">
        <v>4</v>
      </c>
      <c r="C72">
        <v>0</v>
      </c>
      <c r="D72">
        <v>0</v>
      </c>
      <c r="E72">
        <v>0</v>
      </c>
      <c r="F72">
        <v>0</v>
      </c>
    </row>
    <row r="73" spans="1:6" x14ac:dyDescent="0.3">
      <c r="A73" t="s">
        <v>578</v>
      </c>
      <c r="B73">
        <v>4</v>
      </c>
      <c r="C73">
        <v>0</v>
      </c>
      <c r="D73">
        <v>0</v>
      </c>
      <c r="E73">
        <v>0</v>
      </c>
      <c r="F73">
        <v>0</v>
      </c>
    </row>
    <row r="74" spans="1:6" x14ac:dyDescent="0.3">
      <c r="A74" t="s">
        <v>579</v>
      </c>
      <c r="B74">
        <v>4</v>
      </c>
      <c r="C74">
        <v>16</v>
      </c>
      <c r="D74">
        <v>16</v>
      </c>
      <c r="E74">
        <v>16</v>
      </c>
      <c r="F74">
        <v>16</v>
      </c>
    </row>
    <row r="75" spans="1:6" x14ac:dyDescent="0.3">
      <c r="A75" t="s">
        <v>580</v>
      </c>
      <c r="B75">
        <v>4</v>
      </c>
      <c r="C75">
        <v>500</v>
      </c>
      <c r="D75">
        <v>500</v>
      </c>
      <c r="E75">
        <v>500</v>
      </c>
      <c r="F75">
        <v>500</v>
      </c>
    </row>
    <row r="76" spans="1:6" x14ac:dyDescent="0.3">
      <c r="A76" t="s">
        <v>581</v>
      </c>
      <c r="B76">
        <v>4</v>
      </c>
      <c r="C76">
        <v>1980</v>
      </c>
      <c r="D76">
        <v>1539</v>
      </c>
      <c r="E76">
        <v>1320</v>
      </c>
      <c r="F76">
        <v>1320</v>
      </c>
    </row>
    <row r="77" spans="1:6" x14ac:dyDescent="0.3">
      <c r="A77" t="s">
        <v>582</v>
      </c>
      <c r="B77">
        <v>4</v>
      </c>
      <c r="C77">
        <v>1320</v>
      </c>
      <c r="D77">
        <v>1026</v>
      </c>
      <c r="E77">
        <v>880</v>
      </c>
      <c r="F77">
        <v>880</v>
      </c>
    </row>
    <row r="78" spans="1:6" x14ac:dyDescent="0.3">
      <c r="A78" t="s">
        <v>583</v>
      </c>
      <c r="B78">
        <v>4</v>
      </c>
      <c r="C78">
        <v>2640</v>
      </c>
      <c r="D78">
        <v>2052</v>
      </c>
      <c r="E78">
        <v>1760</v>
      </c>
      <c r="F78">
        <v>1760</v>
      </c>
    </row>
    <row r="79" spans="1:6" x14ac:dyDescent="0.3">
      <c r="A79" t="s">
        <v>584</v>
      </c>
      <c r="B79">
        <v>4</v>
      </c>
    </row>
    <row r="80" spans="1:6" x14ac:dyDescent="0.3">
      <c r="A80" t="s">
        <v>585</v>
      </c>
      <c r="B80">
        <v>4</v>
      </c>
    </row>
    <row r="81" spans="1:6" x14ac:dyDescent="0.3">
      <c r="A81" t="s">
        <v>586</v>
      </c>
      <c r="B81">
        <v>4</v>
      </c>
    </row>
    <row r="82" spans="1:6" x14ac:dyDescent="0.3">
      <c r="A82" t="s">
        <v>587</v>
      </c>
      <c r="B82">
        <v>4</v>
      </c>
      <c r="C82" t="b">
        <v>0</v>
      </c>
      <c r="D82" t="b">
        <v>0</v>
      </c>
      <c r="E82" t="b">
        <v>0</v>
      </c>
      <c r="F82" t="b">
        <v>0</v>
      </c>
    </row>
    <row r="83" spans="1:6" x14ac:dyDescent="0.3">
      <c r="A83" t="s">
        <v>588</v>
      </c>
      <c r="B83">
        <v>4</v>
      </c>
      <c r="C83" t="b">
        <v>0</v>
      </c>
      <c r="D83" t="b">
        <v>0</v>
      </c>
      <c r="E83" t="b">
        <v>0</v>
      </c>
      <c r="F83" t="b">
        <v>0</v>
      </c>
    </row>
    <row r="84" spans="1:6" x14ac:dyDescent="0.3">
      <c r="A84" t="s">
        <v>570</v>
      </c>
      <c r="B84">
        <v>5</v>
      </c>
      <c r="C84">
        <v>4</v>
      </c>
      <c r="D84">
        <v>9</v>
      </c>
      <c r="E84">
        <v>109</v>
      </c>
      <c r="F84">
        <v>7</v>
      </c>
    </row>
    <row r="85" spans="1:6" x14ac:dyDescent="0.3">
      <c r="A85" t="s">
        <v>36</v>
      </c>
      <c r="B85">
        <v>5</v>
      </c>
      <c r="C85">
        <v>3</v>
      </c>
      <c r="D85">
        <v>3</v>
      </c>
      <c r="E85">
        <v>0</v>
      </c>
      <c r="F85">
        <v>3</v>
      </c>
    </row>
    <row r="86" spans="1:6" x14ac:dyDescent="0.3">
      <c r="A86" t="s">
        <v>506</v>
      </c>
      <c r="B86">
        <v>5</v>
      </c>
      <c r="C86" t="s">
        <v>571</v>
      </c>
      <c r="D86" t="s">
        <v>571</v>
      </c>
      <c r="E86" t="s">
        <v>593</v>
      </c>
      <c r="F86" t="s">
        <v>593</v>
      </c>
    </row>
    <row r="87" spans="1:6" x14ac:dyDescent="0.3">
      <c r="A87" t="s">
        <v>574</v>
      </c>
      <c r="B87">
        <v>5</v>
      </c>
      <c r="C87">
        <v>326</v>
      </c>
      <c r="D87">
        <v>2995</v>
      </c>
      <c r="E87">
        <v>693</v>
      </c>
      <c r="F87">
        <v>1424</v>
      </c>
    </row>
    <row r="88" spans="1:6" x14ac:dyDescent="0.3">
      <c r="A88" t="s">
        <v>42</v>
      </c>
      <c r="B88">
        <v>5</v>
      </c>
      <c r="C88">
        <v>35</v>
      </c>
      <c r="D88">
        <v>35</v>
      </c>
      <c r="E88">
        <v>30</v>
      </c>
      <c r="F88">
        <v>30</v>
      </c>
    </row>
    <row r="89" spans="1:6" x14ac:dyDescent="0.3">
      <c r="A89" t="s">
        <v>575</v>
      </c>
      <c r="B89">
        <v>5</v>
      </c>
      <c r="C89">
        <v>6.4</v>
      </c>
      <c r="D89">
        <v>58.3</v>
      </c>
      <c r="E89">
        <v>15.8</v>
      </c>
      <c r="F89">
        <v>32.4</v>
      </c>
    </row>
    <row r="90" spans="1:6" x14ac:dyDescent="0.3">
      <c r="A90" t="s">
        <v>41</v>
      </c>
      <c r="B90">
        <v>5</v>
      </c>
      <c r="C90">
        <v>0</v>
      </c>
      <c r="D90">
        <v>0</v>
      </c>
      <c r="E90">
        <v>0</v>
      </c>
      <c r="F90">
        <v>0</v>
      </c>
    </row>
    <row r="91" spans="1:6" x14ac:dyDescent="0.3">
      <c r="A91" t="s">
        <v>576</v>
      </c>
      <c r="B91">
        <v>5</v>
      </c>
      <c r="C91">
        <v>12</v>
      </c>
      <c r="D91">
        <v>12</v>
      </c>
      <c r="E91">
        <v>12</v>
      </c>
      <c r="F91">
        <v>12</v>
      </c>
    </row>
    <row r="92" spans="1:6" x14ac:dyDescent="0.3">
      <c r="A92" t="s">
        <v>577</v>
      </c>
      <c r="B92">
        <v>5</v>
      </c>
      <c r="C92">
        <v>0</v>
      </c>
      <c r="D92">
        <v>0</v>
      </c>
      <c r="E92">
        <v>0</v>
      </c>
      <c r="F92">
        <v>0</v>
      </c>
    </row>
    <row r="93" spans="1:6" x14ac:dyDescent="0.3">
      <c r="A93" t="s">
        <v>578</v>
      </c>
      <c r="B93">
        <v>5</v>
      </c>
      <c r="C93">
        <v>0</v>
      </c>
      <c r="D93">
        <v>0</v>
      </c>
      <c r="E93">
        <v>0</v>
      </c>
      <c r="F93">
        <v>0</v>
      </c>
    </row>
    <row r="94" spans="1:6" x14ac:dyDescent="0.3">
      <c r="A94" t="s">
        <v>579</v>
      </c>
      <c r="B94">
        <v>5</v>
      </c>
      <c r="C94">
        <v>16</v>
      </c>
      <c r="D94">
        <v>16</v>
      </c>
      <c r="E94">
        <v>16</v>
      </c>
      <c r="F94">
        <v>16</v>
      </c>
    </row>
    <row r="95" spans="1:6" x14ac:dyDescent="0.3">
      <c r="A95" t="s">
        <v>580</v>
      </c>
      <c r="B95">
        <v>5</v>
      </c>
      <c r="C95">
        <v>500</v>
      </c>
      <c r="D95">
        <v>500</v>
      </c>
      <c r="E95">
        <v>500</v>
      </c>
      <c r="F95">
        <v>500</v>
      </c>
    </row>
    <row r="96" spans="1:6" x14ac:dyDescent="0.3">
      <c r="A96" t="s">
        <v>581</v>
      </c>
      <c r="B96">
        <v>5</v>
      </c>
      <c r="C96">
        <v>1539</v>
      </c>
      <c r="D96">
        <v>1539</v>
      </c>
      <c r="E96">
        <v>1320</v>
      </c>
      <c r="F96">
        <v>1320</v>
      </c>
    </row>
    <row r="97" spans="1:6" x14ac:dyDescent="0.3">
      <c r="A97" t="s">
        <v>582</v>
      </c>
      <c r="B97">
        <v>5</v>
      </c>
      <c r="C97">
        <v>1026</v>
      </c>
      <c r="D97">
        <v>1026</v>
      </c>
      <c r="E97">
        <v>880</v>
      </c>
      <c r="F97">
        <v>880</v>
      </c>
    </row>
    <row r="98" spans="1:6" x14ac:dyDescent="0.3">
      <c r="A98" t="s">
        <v>583</v>
      </c>
      <c r="B98">
        <v>5</v>
      </c>
      <c r="C98">
        <v>2052</v>
      </c>
      <c r="D98">
        <v>2052</v>
      </c>
      <c r="E98">
        <v>1760</v>
      </c>
      <c r="F98">
        <v>1760</v>
      </c>
    </row>
    <row r="99" spans="1:6" x14ac:dyDescent="0.3">
      <c r="A99" t="s">
        <v>584</v>
      </c>
      <c r="B99">
        <v>5</v>
      </c>
    </row>
    <row r="100" spans="1:6" x14ac:dyDescent="0.3">
      <c r="A100" t="s">
        <v>585</v>
      </c>
      <c r="B100">
        <v>5</v>
      </c>
    </row>
    <row r="101" spans="1:6" x14ac:dyDescent="0.3">
      <c r="A101" t="s">
        <v>586</v>
      </c>
      <c r="B101">
        <v>5</v>
      </c>
    </row>
    <row r="102" spans="1:6" x14ac:dyDescent="0.3">
      <c r="A102" t="s">
        <v>587</v>
      </c>
      <c r="B102">
        <v>5</v>
      </c>
      <c r="C102" t="b">
        <v>0</v>
      </c>
      <c r="D102" t="b">
        <v>0</v>
      </c>
      <c r="E102" t="b">
        <v>0</v>
      </c>
      <c r="F102" t="b">
        <v>0</v>
      </c>
    </row>
    <row r="103" spans="1:6" x14ac:dyDescent="0.3">
      <c r="A103" t="s">
        <v>588</v>
      </c>
      <c r="B103">
        <v>5</v>
      </c>
      <c r="C103" t="b">
        <v>0</v>
      </c>
      <c r="D103" t="b">
        <v>0</v>
      </c>
      <c r="E103" t="b">
        <v>0</v>
      </c>
      <c r="F103" t="b">
        <v>0</v>
      </c>
    </row>
    <row r="104" spans="1:6" x14ac:dyDescent="0.3">
      <c r="A104" t="s">
        <v>570</v>
      </c>
      <c r="B104">
        <v>6</v>
      </c>
      <c r="C104">
        <v>110</v>
      </c>
      <c r="D104">
        <v>7</v>
      </c>
      <c r="E104">
        <v>4</v>
      </c>
      <c r="F104">
        <v>111</v>
      </c>
    </row>
    <row r="105" spans="1:6" x14ac:dyDescent="0.3">
      <c r="A105" t="s">
        <v>36</v>
      </c>
      <c r="B105">
        <v>6</v>
      </c>
      <c r="C105">
        <v>2</v>
      </c>
      <c r="D105">
        <v>3</v>
      </c>
      <c r="E105">
        <v>3</v>
      </c>
      <c r="F105">
        <v>0</v>
      </c>
    </row>
    <row r="106" spans="1:6" x14ac:dyDescent="0.3">
      <c r="A106" t="s">
        <v>506</v>
      </c>
      <c r="B106">
        <v>6</v>
      </c>
      <c r="C106" t="s">
        <v>594</v>
      </c>
      <c r="D106" t="s">
        <v>594</v>
      </c>
      <c r="E106" t="s">
        <v>592</v>
      </c>
      <c r="F106" t="s">
        <v>592</v>
      </c>
    </row>
    <row r="107" spans="1:6" x14ac:dyDescent="0.3">
      <c r="A107" t="s">
        <v>574</v>
      </c>
      <c r="B107">
        <v>6</v>
      </c>
      <c r="C107">
        <v>738</v>
      </c>
      <c r="D107">
        <v>335</v>
      </c>
      <c r="E107">
        <v>1509</v>
      </c>
      <c r="F107">
        <v>708</v>
      </c>
    </row>
    <row r="108" spans="1:6" x14ac:dyDescent="0.3">
      <c r="A108" t="s">
        <v>42</v>
      </c>
      <c r="B108">
        <v>6</v>
      </c>
      <c r="C108">
        <v>30</v>
      </c>
      <c r="D108">
        <v>30</v>
      </c>
      <c r="E108">
        <v>30</v>
      </c>
      <c r="F108">
        <v>30</v>
      </c>
    </row>
    <row r="109" spans="1:6" x14ac:dyDescent="0.3">
      <c r="A109" t="s">
        <v>575</v>
      </c>
      <c r="B109">
        <v>6</v>
      </c>
      <c r="C109">
        <v>16.8</v>
      </c>
      <c r="D109">
        <v>7.6</v>
      </c>
      <c r="E109">
        <v>34.299999999999997</v>
      </c>
      <c r="F109">
        <v>16.100000000000001</v>
      </c>
    </row>
    <row r="110" spans="1:6" x14ac:dyDescent="0.3">
      <c r="A110" t="s">
        <v>41</v>
      </c>
      <c r="B110">
        <v>6</v>
      </c>
      <c r="C110">
        <v>0</v>
      </c>
      <c r="D110">
        <v>0</v>
      </c>
      <c r="E110">
        <v>0</v>
      </c>
      <c r="F110">
        <v>0</v>
      </c>
    </row>
    <row r="111" spans="1:6" x14ac:dyDescent="0.3">
      <c r="A111" t="s">
        <v>576</v>
      </c>
      <c r="B111">
        <v>6</v>
      </c>
      <c r="C111">
        <v>12</v>
      </c>
      <c r="D111">
        <v>12</v>
      </c>
      <c r="E111">
        <v>12</v>
      </c>
      <c r="F111">
        <v>12</v>
      </c>
    </row>
    <row r="112" spans="1:6" x14ac:dyDescent="0.3">
      <c r="A112" t="s">
        <v>577</v>
      </c>
      <c r="B112">
        <v>6</v>
      </c>
      <c r="C112">
        <v>0</v>
      </c>
      <c r="D112">
        <v>0</v>
      </c>
      <c r="E112">
        <v>0</v>
      </c>
      <c r="F112">
        <v>0</v>
      </c>
    </row>
    <row r="113" spans="1:6" x14ac:dyDescent="0.3">
      <c r="A113" t="s">
        <v>578</v>
      </c>
      <c r="B113">
        <v>6</v>
      </c>
      <c r="C113">
        <v>0</v>
      </c>
      <c r="D113">
        <v>0</v>
      </c>
      <c r="E113">
        <v>0</v>
      </c>
      <c r="F113">
        <v>0</v>
      </c>
    </row>
    <row r="114" spans="1:6" x14ac:dyDescent="0.3">
      <c r="A114" t="s">
        <v>579</v>
      </c>
      <c r="B114">
        <v>6</v>
      </c>
      <c r="C114">
        <v>16</v>
      </c>
      <c r="D114">
        <v>16</v>
      </c>
      <c r="E114">
        <v>16</v>
      </c>
      <c r="F114">
        <v>16</v>
      </c>
    </row>
    <row r="115" spans="1:6" x14ac:dyDescent="0.3">
      <c r="A115" t="s">
        <v>580</v>
      </c>
      <c r="B115">
        <v>6</v>
      </c>
      <c r="C115">
        <v>500</v>
      </c>
      <c r="D115">
        <v>500</v>
      </c>
      <c r="E115">
        <v>500</v>
      </c>
      <c r="F115">
        <v>500</v>
      </c>
    </row>
    <row r="116" spans="1:6" x14ac:dyDescent="0.3">
      <c r="A116" t="s">
        <v>581</v>
      </c>
      <c r="B116">
        <v>6</v>
      </c>
      <c r="C116">
        <v>1320</v>
      </c>
      <c r="D116">
        <v>1320</v>
      </c>
      <c r="E116">
        <v>1320</v>
      </c>
      <c r="F116">
        <v>1320</v>
      </c>
    </row>
    <row r="117" spans="1:6" x14ac:dyDescent="0.3">
      <c r="A117" t="s">
        <v>582</v>
      </c>
      <c r="B117">
        <v>6</v>
      </c>
      <c r="C117">
        <v>880</v>
      </c>
      <c r="D117">
        <v>880</v>
      </c>
      <c r="E117">
        <v>880</v>
      </c>
      <c r="F117">
        <v>880</v>
      </c>
    </row>
    <row r="118" spans="1:6" x14ac:dyDescent="0.3">
      <c r="A118" t="s">
        <v>583</v>
      </c>
      <c r="B118">
        <v>6</v>
      </c>
      <c r="C118">
        <v>1760</v>
      </c>
      <c r="D118">
        <v>1760</v>
      </c>
      <c r="E118">
        <v>1760</v>
      </c>
      <c r="F118">
        <v>1760</v>
      </c>
    </row>
    <row r="119" spans="1:6" x14ac:dyDescent="0.3">
      <c r="A119" t="s">
        <v>584</v>
      </c>
      <c r="B119">
        <v>6</v>
      </c>
    </row>
    <row r="120" spans="1:6" x14ac:dyDescent="0.3">
      <c r="A120" t="s">
        <v>585</v>
      </c>
      <c r="B120">
        <v>6</v>
      </c>
    </row>
    <row r="121" spans="1:6" x14ac:dyDescent="0.3">
      <c r="A121" t="s">
        <v>586</v>
      </c>
      <c r="B121">
        <v>6</v>
      </c>
    </row>
    <row r="122" spans="1:6" x14ac:dyDescent="0.3">
      <c r="A122" t="s">
        <v>587</v>
      </c>
      <c r="B122">
        <v>6</v>
      </c>
      <c r="C122" t="b">
        <v>0</v>
      </c>
      <c r="D122" t="b">
        <v>0</v>
      </c>
      <c r="E122" t="b">
        <v>0</v>
      </c>
      <c r="F122" t="b">
        <v>0</v>
      </c>
    </row>
    <row r="123" spans="1:6" x14ac:dyDescent="0.3">
      <c r="A123" t="s">
        <v>588</v>
      </c>
      <c r="B123">
        <v>6</v>
      </c>
      <c r="C123" t="b">
        <v>0</v>
      </c>
      <c r="D123" t="b">
        <v>0</v>
      </c>
      <c r="E123" t="b">
        <v>0</v>
      </c>
      <c r="F123" t="b">
        <v>0</v>
      </c>
    </row>
    <row r="124" spans="1:6" x14ac:dyDescent="0.3">
      <c r="A124" t="s">
        <v>570</v>
      </c>
      <c r="B124">
        <v>7</v>
      </c>
      <c r="C124">
        <v>6</v>
      </c>
      <c r="D124">
        <v>60</v>
      </c>
      <c r="E124">
        <v>5</v>
      </c>
      <c r="F124">
        <v>112</v>
      </c>
    </row>
    <row r="125" spans="1:6" x14ac:dyDescent="0.3">
      <c r="A125" t="s">
        <v>36</v>
      </c>
      <c r="B125">
        <v>7</v>
      </c>
      <c r="C125">
        <v>3</v>
      </c>
      <c r="D125">
        <v>2</v>
      </c>
      <c r="E125">
        <v>0</v>
      </c>
      <c r="F125">
        <v>3</v>
      </c>
    </row>
    <row r="126" spans="1:6" x14ac:dyDescent="0.3">
      <c r="A126" t="s">
        <v>506</v>
      </c>
      <c r="B126">
        <v>7</v>
      </c>
      <c r="C126" t="s">
        <v>594</v>
      </c>
      <c r="E126" t="s">
        <v>593</v>
      </c>
      <c r="F126" t="s">
        <v>593</v>
      </c>
    </row>
    <row r="127" spans="1:6" x14ac:dyDescent="0.3">
      <c r="A127" t="s">
        <v>574</v>
      </c>
      <c r="B127">
        <v>7</v>
      </c>
      <c r="C127">
        <v>335</v>
      </c>
      <c r="D127">
        <v>5914</v>
      </c>
      <c r="E127">
        <v>1424</v>
      </c>
      <c r="F127">
        <v>794</v>
      </c>
    </row>
    <row r="128" spans="1:6" x14ac:dyDescent="0.3">
      <c r="A128" t="s">
        <v>42</v>
      </c>
      <c r="B128">
        <v>7</v>
      </c>
      <c r="C128">
        <v>30</v>
      </c>
      <c r="D128">
        <v>30</v>
      </c>
      <c r="E128">
        <v>30</v>
      </c>
      <c r="F128">
        <v>30</v>
      </c>
    </row>
    <row r="129" spans="1:6" x14ac:dyDescent="0.3">
      <c r="A129" t="s">
        <v>575</v>
      </c>
      <c r="B129">
        <v>7</v>
      </c>
      <c r="C129">
        <v>7.6</v>
      </c>
      <c r="D129">
        <v>134.4</v>
      </c>
      <c r="E129">
        <v>32.4</v>
      </c>
      <c r="F129">
        <v>18</v>
      </c>
    </row>
    <row r="130" spans="1:6" x14ac:dyDescent="0.3">
      <c r="A130" t="s">
        <v>41</v>
      </c>
      <c r="B130">
        <v>7</v>
      </c>
      <c r="C130">
        <v>0</v>
      </c>
      <c r="D130">
        <v>0</v>
      </c>
      <c r="E130">
        <v>0</v>
      </c>
      <c r="F130">
        <v>0</v>
      </c>
    </row>
    <row r="131" spans="1:6" x14ac:dyDescent="0.3">
      <c r="A131" t="s">
        <v>576</v>
      </c>
      <c r="B131">
        <v>7</v>
      </c>
      <c r="C131">
        <v>12</v>
      </c>
      <c r="D131">
        <v>12</v>
      </c>
      <c r="E131">
        <v>12</v>
      </c>
      <c r="F131">
        <v>12</v>
      </c>
    </row>
    <row r="132" spans="1:6" x14ac:dyDescent="0.3">
      <c r="A132" t="s">
        <v>577</v>
      </c>
      <c r="B132">
        <v>7</v>
      </c>
      <c r="C132">
        <v>0</v>
      </c>
      <c r="D132">
        <v>0</v>
      </c>
      <c r="E132">
        <v>0</v>
      </c>
      <c r="F132">
        <v>0</v>
      </c>
    </row>
    <row r="133" spans="1:6" x14ac:dyDescent="0.3">
      <c r="A133" t="s">
        <v>578</v>
      </c>
      <c r="B133">
        <v>7</v>
      </c>
      <c r="C133">
        <v>0</v>
      </c>
      <c r="D133">
        <v>0</v>
      </c>
      <c r="E133">
        <v>0</v>
      </c>
      <c r="F133">
        <v>0</v>
      </c>
    </row>
    <row r="134" spans="1:6" x14ac:dyDescent="0.3">
      <c r="A134" t="s">
        <v>579</v>
      </c>
      <c r="B134">
        <v>7</v>
      </c>
      <c r="C134">
        <v>16</v>
      </c>
      <c r="D134">
        <v>16</v>
      </c>
      <c r="E134">
        <v>16</v>
      </c>
      <c r="F134">
        <v>16</v>
      </c>
    </row>
    <row r="135" spans="1:6" x14ac:dyDescent="0.3">
      <c r="A135" t="s">
        <v>580</v>
      </c>
      <c r="B135">
        <v>7</v>
      </c>
      <c r="C135">
        <v>500</v>
      </c>
      <c r="D135">
        <v>500</v>
      </c>
      <c r="E135">
        <v>500</v>
      </c>
      <c r="F135">
        <v>500</v>
      </c>
    </row>
    <row r="136" spans="1:6" x14ac:dyDescent="0.3">
      <c r="A136" t="s">
        <v>581</v>
      </c>
      <c r="B136">
        <v>7</v>
      </c>
      <c r="C136">
        <v>1320</v>
      </c>
      <c r="D136">
        <v>1320</v>
      </c>
      <c r="E136">
        <v>1320</v>
      </c>
      <c r="F136">
        <v>1320</v>
      </c>
    </row>
    <row r="137" spans="1:6" x14ac:dyDescent="0.3">
      <c r="A137" t="s">
        <v>582</v>
      </c>
      <c r="B137">
        <v>7</v>
      </c>
      <c r="C137">
        <v>880</v>
      </c>
      <c r="D137">
        <v>880</v>
      </c>
      <c r="E137">
        <v>880</v>
      </c>
      <c r="F137">
        <v>880</v>
      </c>
    </row>
    <row r="138" spans="1:6" x14ac:dyDescent="0.3">
      <c r="A138" t="s">
        <v>583</v>
      </c>
      <c r="B138">
        <v>7</v>
      </c>
      <c r="C138">
        <v>1760</v>
      </c>
      <c r="D138">
        <v>1760</v>
      </c>
      <c r="E138">
        <v>1760</v>
      </c>
      <c r="F138">
        <v>1760</v>
      </c>
    </row>
    <row r="139" spans="1:6" x14ac:dyDescent="0.3">
      <c r="A139" t="s">
        <v>584</v>
      </c>
      <c r="B139">
        <v>7</v>
      </c>
    </row>
    <row r="140" spans="1:6" x14ac:dyDescent="0.3">
      <c r="A140" t="s">
        <v>585</v>
      </c>
      <c r="B140">
        <v>7</v>
      </c>
    </row>
    <row r="141" spans="1:6" x14ac:dyDescent="0.3">
      <c r="A141" t="s">
        <v>586</v>
      </c>
      <c r="B141">
        <v>7</v>
      </c>
    </row>
    <row r="142" spans="1:6" x14ac:dyDescent="0.3">
      <c r="A142" t="s">
        <v>587</v>
      </c>
      <c r="B142">
        <v>7</v>
      </c>
      <c r="C142" t="b">
        <v>0</v>
      </c>
      <c r="D142" t="b">
        <v>0</v>
      </c>
      <c r="E142" t="b">
        <v>0</v>
      </c>
      <c r="F142" t="b">
        <v>0</v>
      </c>
    </row>
    <row r="143" spans="1:6" x14ac:dyDescent="0.3">
      <c r="A143" t="s">
        <v>588</v>
      </c>
      <c r="B143">
        <v>7</v>
      </c>
      <c r="C143" t="b">
        <v>0</v>
      </c>
      <c r="D143" t="b">
        <v>0</v>
      </c>
      <c r="E143" t="b">
        <v>0</v>
      </c>
      <c r="F143" t="b">
        <v>0</v>
      </c>
    </row>
    <row r="144" spans="1:6" x14ac:dyDescent="0.3">
      <c r="A144" t="s">
        <v>570</v>
      </c>
      <c r="B144">
        <v>8</v>
      </c>
      <c r="C144">
        <v>31</v>
      </c>
      <c r="D144">
        <v>32</v>
      </c>
    </row>
    <row r="145" spans="1:4" x14ac:dyDescent="0.3">
      <c r="A145" t="s">
        <v>36</v>
      </c>
      <c r="B145">
        <v>8</v>
      </c>
      <c r="C145" t="s">
        <v>595</v>
      </c>
      <c r="D145">
        <v>2</v>
      </c>
    </row>
    <row r="146" spans="1:4" x14ac:dyDescent="0.3">
      <c r="A146" t="s">
        <v>506</v>
      </c>
      <c r="B146">
        <v>8</v>
      </c>
      <c r="C146" t="s">
        <v>571</v>
      </c>
      <c r="D146" t="s">
        <v>571</v>
      </c>
    </row>
    <row r="147" spans="1:4" x14ac:dyDescent="0.3">
      <c r="A147" t="s">
        <v>574</v>
      </c>
      <c r="B147">
        <v>8</v>
      </c>
      <c r="C147">
        <v>410</v>
      </c>
      <c r="D147">
        <v>809</v>
      </c>
    </row>
    <row r="148" spans="1:4" x14ac:dyDescent="0.3">
      <c r="A148" t="s">
        <v>42</v>
      </c>
      <c r="B148">
        <v>8</v>
      </c>
      <c r="C148">
        <v>55</v>
      </c>
      <c r="D148">
        <v>55</v>
      </c>
    </row>
    <row r="149" spans="1:4" x14ac:dyDescent="0.3">
      <c r="A149" t="s">
        <v>575</v>
      </c>
      <c r="B149">
        <v>8</v>
      </c>
      <c r="C149">
        <v>5.0999999999999996</v>
      </c>
      <c r="D149">
        <v>10</v>
      </c>
    </row>
    <row r="150" spans="1:4" x14ac:dyDescent="0.3">
      <c r="A150" t="s">
        <v>41</v>
      </c>
      <c r="B150">
        <v>8</v>
      </c>
      <c r="C150">
        <v>2</v>
      </c>
      <c r="D150">
        <v>-3</v>
      </c>
    </row>
    <row r="151" spans="1:4" x14ac:dyDescent="0.3">
      <c r="A151" t="s">
        <v>576</v>
      </c>
      <c r="B151">
        <v>8</v>
      </c>
      <c r="C151">
        <v>24</v>
      </c>
      <c r="D151">
        <v>24</v>
      </c>
    </row>
    <row r="152" spans="1:4" x14ac:dyDescent="0.3">
      <c r="A152" t="s">
        <v>577</v>
      </c>
      <c r="B152">
        <v>8</v>
      </c>
      <c r="C152">
        <v>0</v>
      </c>
      <c r="D152">
        <v>0</v>
      </c>
    </row>
    <row r="153" spans="1:4" x14ac:dyDescent="0.3">
      <c r="A153" t="s">
        <v>578</v>
      </c>
      <c r="B153">
        <v>8</v>
      </c>
      <c r="C153">
        <v>0</v>
      </c>
      <c r="D153">
        <v>0</v>
      </c>
    </row>
    <row r="154" spans="1:4" x14ac:dyDescent="0.3">
      <c r="A154" t="s">
        <v>579</v>
      </c>
      <c r="B154">
        <v>8</v>
      </c>
      <c r="C154">
        <v>16</v>
      </c>
      <c r="D154">
        <v>16</v>
      </c>
    </row>
    <row r="155" spans="1:4" x14ac:dyDescent="0.3">
      <c r="A155" t="s">
        <v>580</v>
      </c>
      <c r="B155">
        <v>8</v>
      </c>
      <c r="C155">
        <v>100</v>
      </c>
      <c r="D155">
        <v>100</v>
      </c>
    </row>
    <row r="156" spans="1:4" x14ac:dyDescent="0.3">
      <c r="A156" t="s">
        <v>581</v>
      </c>
      <c r="B156">
        <v>8</v>
      </c>
      <c r="C156">
        <v>2421</v>
      </c>
      <c r="D156">
        <v>2421</v>
      </c>
    </row>
    <row r="157" spans="1:4" x14ac:dyDescent="0.3">
      <c r="A157" t="s">
        <v>582</v>
      </c>
      <c r="B157">
        <v>8</v>
      </c>
      <c r="C157">
        <v>1614</v>
      </c>
      <c r="D157">
        <v>1614</v>
      </c>
    </row>
    <row r="158" spans="1:4" x14ac:dyDescent="0.3">
      <c r="A158" t="s">
        <v>583</v>
      </c>
      <c r="B158">
        <v>8</v>
      </c>
      <c r="C158">
        <v>3228</v>
      </c>
      <c r="D158">
        <v>3228</v>
      </c>
    </row>
    <row r="159" spans="1:4" x14ac:dyDescent="0.3">
      <c r="A159" t="s">
        <v>584</v>
      </c>
      <c r="B159">
        <v>8</v>
      </c>
    </row>
    <row r="160" spans="1:4" x14ac:dyDescent="0.3">
      <c r="A160" t="s">
        <v>585</v>
      </c>
      <c r="B160">
        <v>8</v>
      </c>
    </row>
    <row r="161" spans="1:6" x14ac:dyDescent="0.3">
      <c r="A161" t="s">
        <v>586</v>
      </c>
      <c r="B161">
        <v>8</v>
      </c>
    </row>
    <row r="162" spans="1:6" x14ac:dyDescent="0.3">
      <c r="A162" t="s">
        <v>587</v>
      </c>
      <c r="B162">
        <v>8</v>
      </c>
      <c r="C162" t="b">
        <v>0</v>
      </c>
      <c r="D162" t="b">
        <v>0</v>
      </c>
    </row>
    <row r="163" spans="1:6" x14ac:dyDescent="0.3">
      <c r="A163" t="s">
        <v>588</v>
      </c>
      <c r="B163">
        <v>8</v>
      </c>
      <c r="C163" t="b">
        <v>0</v>
      </c>
      <c r="D163" t="b">
        <v>0</v>
      </c>
    </row>
    <row r="164" spans="1:6" x14ac:dyDescent="0.3">
      <c r="A164" t="s">
        <v>570</v>
      </c>
      <c r="B164">
        <v>9</v>
      </c>
      <c r="C164">
        <v>5</v>
      </c>
      <c r="D164">
        <v>10</v>
      </c>
      <c r="E164">
        <v>113</v>
      </c>
      <c r="F164">
        <v>114</v>
      </c>
    </row>
    <row r="165" spans="1:6" x14ac:dyDescent="0.3">
      <c r="A165" t="s">
        <v>36</v>
      </c>
      <c r="B165">
        <v>9</v>
      </c>
      <c r="C165">
        <v>4</v>
      </c>
      <c r="D165">
        <v>4</v>
      </c>
      <c r="E165">
        <v>2</v>
      </c>
      <c r="F165">
        <v>1</v>
      </c>
    </row>
    <row r="166" spans="1:6" x14ac:dyDescent="0.3">
      <c r="A166" t="s">
        <v>506</v>
      </c>
      <c r="B166">
        <v>9</v>
      </c>
      <c r="C166" t="s">
        <v>571</v>
      </c>
      <c r="D166" t="s">
        <v>571</v>
      </c>
      <c r="E166" t="s">
        <v>596</v>
      </c>
      <c r="F166" t="s">
        <v>731</v>
      </c>
    </row>
    <row r="167" spans="1:6" x14ac:dyDescent="0.3">
      <c r="A167" t="s">
        <v>574</v>
      </c>
      <c r="B167">
        <v>9</v>
      </c>
      <c r="C167">
        <v>2995</v>
      </c>
      <c r="D167">
        <v>2827</v>
      </c>
      <c r="E167">
        <v>714</v>
      </c>
      <c r="F167">
        <v>597</v>
      </c>
    </row>
    <row r="168" spans="1:6" x14ac:dyDescent="0.3">
      <c r="A168" t="s">
        <v>42</v>
      </c>
      <c r="B168">
        <v>9</v>
      </c>
      <c r="C168">
        <v>35</v>
      </c>
      <c r="D168">
        <v>40</v>
      </c>
      <c r="E168">
        <v>30</v>
      </c>
      <c r="F168">
        <v>30</v>
      </c>
    </row>
    <row r="169" spans="1:6" x14ac:dyDescent="0.3">
      <c r="A169" t="s">
        <v>575</v>
      </c>
      <c r="B169">
        <v>9</v>
      </c>
      <c r="C169">
        <v>58.3</v>
      </c>
      <c r="D169">
        <v>48.2</v>
      </c>
      <c r="E169">
        <v>16.2</v>
      </c>
      <c r="F169">
        <v>13.6</v>
      </c>
    </row>
    <row r="170" spans="1:6" x14ac:dyDescent="0.3">
      <c r="A170" t="s">
        <v>41</v>
      </c>
      <c r="B170">
        <v>9</v>
      </c>
      <c r="C170">
        <v>0</v>
      </c>
      <c r="D170">
        <v>0</v>
      </c>
      <c r="E170">
        <v>0</v>
      </c>
      <c r="F170">
        <v>0</v>
      </c>
    </row>
    <row r="171" spans="1:6" x14ac:dyDescent="0.3">
      <c r="A171" t="s">
        <v>576</v>
      </c>
      <c r="B171">
        <v>9</v>
      </c>
      <c r="C171">
        <v>12</v>
      </c>
      <c r="D171">
        <v>12</v>
      </c>
      <c r="E171">
        <v>12</v>
      </c>
      <c r="F171">
        <v>12</v>
      </c>
    </row>
    <row r="172" spans="1:6" x14ac:dyDescent="0.3">
      <c r="A172" t="s">
        <v>577</v>
      </c>
      <c r="B172">
        <v>9</v>
      </c>
      <c r="C172">
        <v>0</v>
      </c>
      <c r="D172">
        <v>0</v>
      </c>
      <c r="E172">
        <v>0</v>
      </c>
      <c r="F172">
        <v>0</v>
      </c>
    </row>
    <row r="173" spans="1:6" x14ac:dyDescent="0.3">
      <c r="A173" t="s">
        <v>578</v>
      </c>
      <c r="B173">
        <v>9</v>
      </c>
      <c r="C173">
        <v>0</v>
      </c>
      <c r="D173">
        <v>0</v>
      </c>
      <c r="E173">
        <v>0</v>
      </c>
      <c r="F173">
        <v>0</v>
      </c>
    </row>
    <row r="174" spans="1:6" x14ac:dyDescent="0.3">
      <c r="A174" t="s">
        <v>579</v>
      </c>
      <c r="B174">
        <v>9</v>
      </c>
      <c r="C174">
        <v>16</v>
      </c>
      <c r="D174">
        <v>16</v>
      </c>
      <c r="E174">
        <v>16</v>
      </c>
      <c r="F174">
        <v>16</v>
      </c>
    </row>
    <row r="175" spans="1:6" x14ac:dyDescent="0.3">
      <c r="A175" t="s">
        <v>580</v>
      </c>
      <c r="B175">
        <v>9</v>
      </c>
      <c r="C175">
        <v>500</v>
      </c>
      <c r="D175">
        <v>500</v>
      </c>
      <c r="E175">
        <v>500</v>
      </c>
      <c r="F175">
        <v>500</v>
      </c>
    </row>
    <row r="176" spans="1:6" x14ac:dyDescent="0.3">
      <c r="A176" t="s">
        <v>581</v>
      </c>
      <c r="B176">
        <v>9</v>
      </c>
      <c r="C176">
        <v>1539</v>
      </c>
      <c r="D176">
        <v>1761</v>
      </c>
      <c r="E176">
        <v>1320</v>
      </c>
      <c r="F176">
        <v>1320</v>
      </c>
    </row>
    <row r="177" spans="1:6" x14ac:dyDescent="0.3">
      <c r="A177" t="s">
        <v>582</v>
      </c>
      <c r="B177">
        <v>9</v>
      </c>
      <c r="C177">
        <v>1026</v>
      </c>
      <c r="D177">
        <v>1174</v>
      </c>
      <c r="E177">
        <v>880</v>
      </c>
      <c r="F177">
        <v>880</v>
      </c>
    </row>
    <row r="178" spans="1:6" x14ac:dyDescent="0.3">
      <c r="A178" t="s">
        <v>583</v>
      </c>
      <c r="B178">
        <v>9</v>
      </c>
      <c r="C178">
        <v>2052</v>
      </c>
      <c r="D178">
        <v>2348</v>
      </c>
      <c r="E178">
        <v>1760</v>
      </c>
      <c r="F178">
        <v>1760</v>
      </c>
    </row>
    <row r="179" spans="1:6" x14ac:dyDescent="0.3">
      <c r="A179" t="s">
        <v>584</v>
      </c>
      <c r="B179">
        <v>9</v>
      </c>
    </row>
    <row r="180" spans="1:6" x14ac:dyDescent="0.3">
      <c r="A180" t="s">
        <v>585</v>
      </c>
      <c r="B180">
        <v>9</v>
      </c>
    </row>
    <row r="181" spans="1:6" x14ac:dyDescent="0.3">
      <c r="A181" t="s">
        <v>586</v>
      </c>
      <c r="B181">
        <v>9</v>
      </c>
    </row>
    <row r="182" spans="1:6" x14ac:dyDescent="0.3">
      <c r="A182" t="s">
        <v>587</v>
      </c>
      <c r="B182">
        <v>9</v>
      </c>
      <c r="C182" t="b">
        <v>0</v>
      </c>
      <c r="D182" t="b">
        <v>0</v>
      </c>
      <c r="E182" t="b">
        <v>0</v>
      </c>
      <c r="F182" t="b">
        <v>0</v>
      </c>
    </row>
    <row r="183" spans="1:6" x14ac:dyDescent="0.3">
      <c r="A183" t="s">
        <v>588</v>
      </c>
      <c r="B183">
        <v>9</v>
      </c>
      <c r="C183" t="b">
        <v>0</v>
      </c>
      <c r="D183" t="b">
        <v>0</v>
      </c>
      <c r="E183" t="b">
        <v>0</v>
      </c>
      <c r="F183" t="b">
        <v>0</v>
      </c>
    </row>
    <row r="184" spans="1:6" x14ac:dyDescent="0.3">
      <c r="A184" t="s">
        <v>570</v>
      </c>
      <c r="B184">
        <v>10</v>
      </c>
      <c r="C184">
        <v>9</v>
      </c>
      <c r="D184">
        <v>11</v>
      </c>
      <c r="E184">
        <v>46</v>
      </c>
      <c r="F184">
        <v>60</v>
      </c>
    </row>
    <row r="185" spans="1:6" x14ac:dyDescent="0.3">
      <c r="A185" t="s">
        <v>36</v>
      </c>
      <c r="B185">
        <v>10</v>
      </c>
      <c r="C185">
        <v>3</v>
      </c>
      <c r="D185">
        <v>4</v>
      </c>
      <c r="E185">
        <v>4</v>
      </c>
      <c r="F185">
        <v>3</v>
      </c>
    </row>
    <row r="186" spans="1:6" x14ac:dyDescent="0.3">
      <c r="A186" t="s">
        <v>506</v>
      </c>
      <c r="B186">
        <v>10</v>
      </c>
      <c r="C186" t="s">
        <v>571</v>
      </c>
      <c r="D186" t="s">
        <v>571</v>
      </c>
      <c r="E186" t="s">
        <v>598</v>
      </c>
      <c r="F186" t="s">
        <v>598</v>
      </c>
    </row>
    <row r="187" spans="1:6" x14ac:dyDescent="0.3">
      <c r="A187" t="s">
        <v>574</v>
      </c>
      <c r="B187">
        <v>10</v>
      </c>
      <c r="C187">
        <v>2827</v>
      </c>
      <c r="D187">
        <v>979</v>
      </c>
      <c r="E187">
        <v>529</v>
      </c>
      <c r="F187">
        <v>308</v>
      </c>
    </row>
    <row r="188" spans="1:6" x14ac:dyDescent="0.3">
      <c r="A188" t="s">
        <v>42</v>
      </c>
      <c r="B188">
        <v>10</v>
      </c>
      <c r="C188">
        <v>40</v>
      </c>
      <c r="D188">
        <v>30</v>
      </c>
      <c r="E188">
        <v>30</v>
      </c>
      <c r="F188">
        <v>30</v>
      </c>
    </row>
    <row r="189" spans="1:6" x14ac:dyDescent="0.3">
      <c r="A189" t="s">
        <v>575</v>
      </c>
      <c r="B189">
        <v>10</v>
      </c>
      <c r="C189">
        <v>48.2</v>
      </c>
      <c r="D189">
        <v>22.3</v>
      </c>
      <c r="E189">
        <v>12</v>
      </c>
      <c r="F189">
        <v>7</v>
      </c>
    </row>
    <row r="190" spans="1:6" x14ac:dyDescent="0.3">
      <c r="A190" t="s">
        <v>41</v>
      </c>
      <c r="B190">
        <v>10</v>
      </c>
      <c r="C190">
        <v>0</v>
      </c>
      <c r="D190">
        <v>0</v>
      </c>
      <c r="E190">
        <v>0</v>
      </c>
      <c r="F190">
        <v>0</v>
      </c>
    </row>
    <row r="191" spans="1:6" x14ac:dyDescent="0.3">
      <c r="A191" t="s">
        <v>576</v>
      </c>
      <c r="B191">
        <v>10</v>
      </c>
      <c r="C191">
        <v>12</v>
      </c>
      <c r="D191">
        <v>12</v>
      </c>
      <c r="E191">
        <v>12</v>
      </c>
      <c r="F191">
        <v>12</v>
      </c>
    </row>
    <row r="192" spans="1:6" x14ac:dyDescent="0.3">
      <c r="A192" t="s">
        <v>577</v>
      </c>
      <c r="B192">
        <v>10</v>
      </c>
      <c r="C192">
        <v>0</v>
      </c>
      <c r="D192">
        <v>0</v>
      </c>
      <c r="E192">
        <v>0</v>
      </c>
      <c r="F192">
        <v>0</v>
      </c>
    </row>
    <row r="193" spans="1:6" x14ac:dyDescent="0.3">
      <c r="A193" t="s">
        <v>578</v>
      </c>
      <c r="B193">
        <v>10</v>
      </c>
      <c r="C193">
        <v>0</v>
      </c>
      <c r="D193">
        <v>0</v>
      </c>
      <c r="E193">
        <v>0</v>
      </c>
      <c r="F193">
        <v>0</v>
      </c>
    </row>
    <row r="194" spans="1:6" x14ac:dyDescent="0.3">
      <c r="A194" t="s">
        <v>579</v>
      </c>
      <c r="B194">
        <v>10</v>
      </c>
      <c r="C194">
        <v>16</v>
      </c>
      <c r="D194">
        <v>16</v>
      </c>
      <c r="E194">
        <v>16</v>
      </c>
      <c r="F194">
        <v>16</v>
      </c>
    </row>
    <row r="195" spans="1:6" x14ac:dyDescent="0.3">
      <c r="A195" t="s">
        <v>580</v>
      </c>
      <c r="B195">
        <v>10</v>
      </c>
      <c r="C195">
        <v>500</v>
      </c>
      <c r="D195">
        <v>500</v>
      </c>
      <c r="E195">
        <v>500</v>
      </c>
      <c r="F195">
        <v>500</v>
      </c>
    </row>
    <row r="196" spans="1:6" x14ac:dyDescent="0.3">
      <c r="A196" t="s">
        <v>581</v>
      </c>
      <c r="B196">
        <v>10</v>
      </c>
      <c r="C196">
        <v>1761</v>
      </c>
      <c r="D196">
        <v>1320</v>
      </c>
      <c r="E196">
        <v>1320</v>
      </c>
      <c r="F196">
        <v>1320</v>
      </c>
    </row>
    <row r="197" spans="1:6" x14ac:dyDescent="0.3">
      <c r="A197" t="s">
        <v>582</v>
      </c>
      <c r="B197">
        <v>10</v>
      </c>
      <c r="C197">
        <v>1174</v>
      </c>
      <c r="D197">
        <v>880</v>
      </c>
      <c r="E197">
        <v>880</v>
      </c>
      <c r="F197">
        <v>880</v>
      </c>
    </row>
    <row r="198" spans="1:6" x14ac:dyDescent="0.3">
      <c r="A198" t="s">
        <v>583</v>
      </c>
      <c r="B198">
        <v>10</v>
      </c>
      <c r="C198">
        <v>2348</v>
      </c>
      <c r="D198">
        <v>1760</v>
      </c>
      <c r="E198">
        <v>1760</v>
      </c>
      <c r="F198">
        <v>1760</v>
      </c>
    </row>
    <row r="199" spans="1:6" x14ac:dyDescent="0.3">
      <c r="A199" t="s">
        <v>584</v>
      </c>
      <c r="B199">
        <v>10</v>
      </c>
    </row>
    <row r="200" spans="1:6" x14ac:dyDescent="0.3">
      <c r="A200" t="s">
        <v>585</v>
      </c>
      <c r="B200">
        <v>10</v>
      </c>
    </row>
    <row r="201" spans="1:6" x14ac:dyDescent="0.3">
      <c r="A201" t="s">
        <v>586</v>
      </c>
      <c r="B201">
        <v>10</v>
      </c>
    </row>
    <row r="202" spans="1:6" x14ac:dyDescent="0.3">
      <c r="A202" t="s">
        <v>587</v>
      </c>
      <c r="B202">
        <v>10</v>
      </c>
      <c r="C202" t="b">
        <v>0</v>
      </c>
      <c r="D202" t="b">
        <v>0</v>
      </c>
      <c r="E202" t="b">
        <v>0</v>
      </c>
      <c r="F202" t="b">
        <v>0</v>
      </c>
    </row>
    <row r="203" spans="1:6" x14ac:dyDescent="0.3">
      <c r="A203" t="s">
        <v>588</v>
      </c>
      <c r="B203">
        <v>10</v>
      </c>
      <c r="C203" t="b">
        <v>0</v>
      </c>
      <c r="D203" t="b">
        <v>0</v>
      </c>
      <c r="E203" t="b">
        <v>0</v>
      </c>
      <c r="F203" t="b">
        <v>0</v>
      </c>
    </row>
    <row r="204" spans="1:6" x14ac:dyDescent="0.3">
      <c r="A204" t="s">
        <v>570</v>
      </c>
      <c r="B204">
        <v>11</v>
      </c>
      <c r="C204">
        <v>10</v>
      </c>
      <c r="D204">
        <v>12</v>
      </c>
      <c r="E204">
        <v>22</v>
      </c>
      <c r="F204">
        <v>116</v>
      </c>
    </row>
    <row r="205" spans="1:6" x14ac:dyDescent="0.3">
      <c r="A205" t="s">
        <v>36</v>
      </c>
      <c r="B205">
        <v>11</v>
      </c>
      <c r="C205">
        <v>4</v>
      </c>
      <c r="D205">
        <v>4</v>
      </c>
      <c r="E205">
        <v>3</v>
      </c>
      <c r="F205">
        <v>2</v>
      </c>
    </row>
    <row r="206" spans="1:6" x14ac:dyDescent="0.3">
      <c r="A206" t="s">
        <v>506</v>
      </c>
      <c r="B206">
        <v>11</v>
      </c>
      <c r="C206" t="s">
        <v>571</v>
      </c>
      <c r="D206" t="s">
        <v>571</v>
      </c>
      <c r="E206" t="s">
        <v>599</v>
      </c>
      <c r="F206" t="s">
        <v>599</v>
      </c>
    </row>
    <row r="207" spans="1:6" x14ac:dyDescent="0.3">
      <c r="A207" t="s">
        <v>574</v>
      </c>
      <c r="B207">
        <v>11</v>
      </c>
      <c r="C207">
        <v>979</v>
      </c>
      <c r="D207">
        <v>855</v>
      </c>
      <c r="E207">
        <v>713</v>
      </c>
      <c r="F207">
        <v>764</v>
      </c>
    </row>
    <row r="208" spans="1:6" x14ac:dyDescent="0.3">
      <c r="A208" t="s">
        <v>42</v>
      </c>
      <c r="B208">
        <v>11</v>
      </c>
      <c r="C208">
        <v>45</v>
      </c>
      <c r="D208">
        <v>45</v>
      </c>
      <c r="E208">
        <v>30</v>
      </c>
      <c r="F208">
        <v>30</v>
      </c>
    </row>
    <row r="209" spans="1:6" x14ac:dyDescent="0.3">
      <c r="A209" t="s">
        <v>575</v>
      </c>
      <c r="B209">
        <v>11</v>
      </c>
      <c r="C209">
        <v>14.8</v>
      </c>
      <c r="D209">
        <v>13</v>
      </c>
      <c r="E209">
        <v>16.2</v>
      </c>
      <c r="F209">
        <v>17.399999999999999</v>
      </c>
    </row>
    <row r="210" spans="1:6" x14ac:dyDescent="0.3">
      <c r="A210" t="s">
        <v>41</v>
      </c>
      <c r="B210">
        <v>11</v>
      </c>
      <c r="C210">
        <v>0</v>
      </c>
      <c r="D210">
        <v>0</v>
      </c>
      <c r="E210">
        <v>0</v>
      </c>
      <c r="F210">
        <v>0</v>
      </c>
    </row>
    <row r="211" spans="1:6" x14ac:dyDescent="0.3">
      <c r="A211" t="s">
        <v>576</v>
      </c>
      <c r="B211">
        <v>11</v>
      </c>
      <c r="C211">
        <v>24</v>
      </c>
      <c r="D211">
        <v>24</v>
      </c>
      <c r="E211">
        <v>12</v>
      </c>
      <c r="F211">
        <v>12</v>
      </c>
    </row>
    <row r="212" spans="1:6" x14ac:dyDescent="0.3">
      <c r="A212" t="s">
        <v>577</v>
      </c>
      <c r="B212">
        <v>11</v>
      </c>
      <c r="C212">
        <v>0</v>
      </c>
      <c r="D212">
        <v>0</v>
      </c>
      <c r="E212">
        <v>0</v>
      </c>
      <c r="F212">
        <v>0</v>
      </c>
    </row>
    <row r="213" spans="1:6" x14ac:dyDescent="0.3">
      <c r="A213" t="s">
        <v>578</v>
      </c>
      <c r="B213">
        <v>11</v>
      </c>
      <c r="C213">
        <v>0</v>
      </c>
      <c r="D213">
        <v>0</v>
      </c>
      <c r="E213">
        <v>0</v>
      </c>
      <c r="F213">
        <v>0</v>
      </c>
    </row>
    <row r="214" spans="1:6" x14ac:dyDescent="0.3">
      <c r="A214" t="s">
        <v>579</v>
      </c>
      <c r="B214">
        <v>11</v>
      </c>
      <c r="C214">
        <v>16</v>
      </c>
      <c r="D214">
        <v>16</v>
      </c>
      <c r="E214">
        <v>16</v>
      </c>
      <c r="F214">
        <v>16</v>
      </c>
    </row>
    <row r="215" spans="1:6" x14ac:dyDescent="0.3">
      <c r="A215" t="s">
        <v>580</v>
      </c>
      <c r="B215">
        <v>11</v>
      </c>
      <c r="C215">
        <v>500</v>
      </c>
      <c r="D215">
        <v>500</v>
      </c>
      <c r="E215">
        <v>500</v>
      </c>
      <c r="F215">
        <v>500</v>
      </c>
    </row>
    <row r="216" spans="1:6" x14ac:dyDescent="0.3">
      <c r="A216" t="s">
        <v>581</v>
      </c>
      <c r="B216">
        <v>11</v>
      </c>
      <c r="C216">
        <v>1980</v>
      </c>
      <c r="D216">
        <v>1980</v>
      </c>
      <c r="E216">
        <v>1320</v>
      </c>
      <c r="F216">
        <v>1320</v>
      </c>
    </row>
    <row r="217" spans="1:6" x14ac:dyDescent="0.3">
      <c r="A217" t="s">
        <v>582</v>
      </c>
      <c r="B217">
        <v>11</v>
      </c>
      <c r="C217">
        <v>1320</v>
      </c>
      <c r="D217">
        <v>1320</v>
      </c>
      <c r="E217">
        <v>880</v>
      </c>
      <c r="F217">
        <v>880</v>
      </c>
    </row>
    <row r="218" spans="1:6" x14ac:dyDescent="0.3">
      <c r="A218" t="s">
        <v>583</v>
      </c>
      <c r="B218">
        <v>11</v>
      </c>
      <c r="C218">
        <v>2640</v>
      </c>
      <c r="D218">
        <v>2640</v>
      </c>
      <c r="E218">
        <v>1760</v>
      </c>
      <c r="F218">
        <v>1760</v>
      </c>
    </row>
    <row r="219" spans="1:6" x14ac:dyDescent="0.3">
      <c r="A219" t="s">
        <v>584</v>
      </c>
      <c r="B219">
        <v>11</v>
      </c>
    </row>
    <row r="220" spans="1:6" x14ac:dyDescent="0.3">
      <c r="A220" t="s">
        <v>585</v>
      </c>
      <c r="B220">
        <v>11</v>
      </c>
    </row>
    <row r="221" spans="1:6" x14ac:dyDescent="0.3">
      <c r="A221" t="s">
        <v>586</v>
      </c>
      <c r="B221">
        <v>11</v>
      </c>
    </row>
    <row r="222" spans="1:6" x14ac:dyDescent="0.3">
      <c r="A222" t="s">
        <v>587</v>
      </c>
      <c r="B222">
        <v>11</v>
      </c>
      <c r="C222" t="b">
        <v>0</v>
      </c>
      <c r="D222" t="b">
        <v>0</v>
      </c>
      <c r="E222" t="b">
        <v>0</v>
      </c>
      <c r="F222" t="b">
        <v>0</v>
      </c>
    </row>
    <row r="223" spans="1:6" x14ac:dyDescent="0.3">
      <c r="A223" t="s">
        <v>588</v>
      </c>
      <c r="B223">
        <v>11</v>
      </c>
      <c r="C223" t="b">
        <v>0</v>
      </c>
      <c r="D223" t="b">
        <v>0</v>
      </c>
      <c r="E223" t="b">
        <v>0</v>
      </c>
      <c r="F223" t="b">
        <v>0</v>
      </c>
    </row>
    <row r="224" spans="1:6" x14ac:dyDescent="0.3">
      <c r="A224" t="s">
        <v>570</v>
      </c>
      <c r="B224">
        <v>12</v>
      </c>
      <c r="C224">
        <v>11</v>
      </c>
      <c r="D224">
        <v>13</v>
      </c>
      <c r="E224">
        <v>17</v>
      </c>
      <c r="F224">
        <v>118</v>
      </c>
    </row>
    <row r="225" spans="1:6" x14ac:dyDescent="0.3">
      <c r="A225" t="s">
        <v>36</v>
      </c>
      <c r="B225">
        <v>12</v>
      </c>
      <c r="C225">
        <v>5</v>
      </c>
      <c r="D225">
        <v>4</v>
      </c>
      <c r="E225">
        <v>3</v>
      </c>
      <c r="F225">
        <v>3</v>
      </c>
    </row>
    <row r="226" spans="1:6" x14ac:dyDescent="0.3">
      <c r="A226" t="s">
        <v>506</v>
      </c>
      <c r="B226">
        <v>12</v>
      </c>
      <c r="C226" t="s">
        <v>571</v>
      </c>
      <c r="D226" t="s">
        <v>571</v>
      </c>
      <c r="E226" t="s">
        <v>600</v>
      </c>
      <c r="F226" t="s">
        <v>600</v>
      </c>
    </row>
    <row r="227" spans="1:6" x14ac:dyDescent="0.3">
      <c r="A227" t="s">
        <v>574</v>
      </c>
      <c r="B227">
        <v>12</v>
      </c>
      <c r="C227">
        <v>855</v>
      </c>
      <c r="D227">
        <v>1532</v>
      </c>
      <c r="E227">
        <v>433</v>
      </c>
      <c r="F227">
        <v>732</v>
      </c>
    </row>
    <row r="228" spans="1:6" x14ac:dyDescent="0.3">
      <c r="A228" t="s">
        <v>42</v>
      </c>
      <c r="B228">
        <v>12</v>
      </c>
      <c r="C228">
        <v>45</v>
      </c>
      <c r="D228">
        <v>45</v>
      </c>
      <c r="E228">
        <v>30</v>
      </c>
      <c r="F228">
        <v>30</v>
      </c>
    </row>
    <row r="229" spans="1:6" x14ac:dyDescent="0.3">
      <c r="A229" t="s">
        <v>575</v>
      </c>
      <c r="B229">
        <v>12</v>
      </c>
      <c r="C229">
        <v>13</v>
      </c>
      <c r="D229">
        <v>23.2</v>
      </c>
      <c r="E229">
        <v>9.8000000000000007</v>
      </c>
      <c r="F229">
        <v>16.600000000000001</v>
      </c>
    </row>
    <row r="230" spans="1:6" x14ac:dyDescent="0.3">
      <c r="A230" t="s">
        <v>41</v>
      </c>
      <c r="B230">
        <v>12</v>
      </c>
      <c r="C230">
        <v>0</v>
      </c>
      <c r="D230">
        <v>0</v>
      </c>
      <c r="E230">
        <v>0</v>
      </c>
      <c r="F230">
        <v>0</v>
      </c>
    </row>
    <row r="231" spans="1:6" x14ac:dyDescent="0.3">
      <c r="A231" t="s">
        <v>576</v>
      </c>
      <c r="B231">
        <v>12</v>
      </c>
      <c r="C231">
        <v>24</v>
      </c>
      <c r="D231">
        <v>24</v>
      </c>
      <c r="E231">
        <v>12</v>
      </c>
      <c r="F231">
        <v>12</v>
      </c>
    </row>
    <row r="232" spans="1:6" x14ac:dyDescent="0.3">
      <c r="A232" t="s">
        <v>577</v>
      </c>
      <c r="B232">
        <v>12</v>
      </c>
      <c r="C232">
        <v>0</v>
      </c>
      <c r="D232">
        <v>0</v>
      </c>
      <c r="E232">
        <v>0</v>
      </c>
      <c r="F232">
        <v>0</v>
      </c>
    </row>
    <row r="233" spans="1:6" x14ac:dyDescent="0.3">
      <c r="A233" t="s">
        <v>578</v>
      </c>
      <c r="B233">
        <v>12</v>
      </c>
      <c r="C233">
        <v>0</v>
      </c>
      <c r="D233">
        <v>0</v>
      </c>
      <c r="E233">
        <v>0</v>
      </c>
      <c r="F233">
        <v>0</v>
      </c>
    </row>
    <row r="234" spans="1:6" x14ac:dyDescent="0.3">
      <c r="A234" t="s">
        <v>579</v>
      </c>
      <c r="B234">
        <v>12</v>
      </c>
      <c r="C234">
        <v>16</v>
      </c>
      <c r="D234">
        <v>16</v>
      </c>
      <c r="E234">
        <v>16</v>
      </c>
      <c r="F234">
        <v>16</v>
      </c>
    </row>
    <row r="235" spans="1:6" x14ac:dyDescent="0.3">
      <c r="A235" t="s">
        <v>580</v>
      </c>
      <c r="B235">
        <v>12</v>
      </c>
      <c r="C235">
        <v>500</v>
      </c>
      <c r="D235">
        <v>500</v>
      </c>
      <c r="E235">
        <v>500</v>
      </c>
      <c r="F235">
        <v>500</v>
      </c>
    </row>
    <row r="236" spans="1:6" x14ac:dyDescent="0.3">
      <c r="A236" t="s">
        <v>581</v>
      </c>
      <c r="B236">
        <v>12</v>
      </c>
      <c r="C236">
        <v>1980</v>
      </c>
      <c r="D236">
        <v>1980</v>
      </c>
      <c r="E236">
        <v>1320</v>
      </c>
      <c r="F236">
        <v>1320</v>
      </c>
    </row>
    <row r="237" spans="1:6" x14ac:dyDescent="0.3">
      <c r="A237" t="s">
        <v>582</v>
      </c>
      <c r="B237">
        <v>12</v>
      </c>
      <c r="C237">
        <v>1320</v>
      </c>
      <c r="D237">
        <v>1320</v>
      </c>
      <c r="E237">
        <v>880</v>
      </c>
      <c r="F237">
        <v>880</v>
      </c>
    </row>
    <row r="238" spans="1:6" x14ac:dyDescent="0.3">
      <c r="A238" t="s">
        <v>583</v>
      </c>
      <c r="B238">
        <v>12</v>
      </c>
      <c r="C238">
        <v>2640</v>
      </c>
      <c r="D238">
        <v>2640</v>
      </c>
      <c r="E238">
        <v>1760</v>
      </c>
      <c r="F238">
        <v>1760</v>
      </c>
    </row>
    <row r="239" spans="1:6" x14ac:dyDescent="0.3">
      <c r="A239" t="s">
        <v>584</v>
      </c>
      <c r="B239">
        <v>12</v>
      </c>
    </row>
    <row r="240" spans="1:6" x14ac:dyDescent="0.3">
      <c r="A240" t="s">
        <v>585</v>
      </c>
      <c r="B240">
        <v>12</v>
      </c>
    </row>
    <row r="241" spans="1:6" x14ac:dyDescent="0.3">
      <c r="A241" t="s">
        <v>586</v>
      </c>
      <c r="B241">
        <v>12</v>
      </c>
    </row>
    <row r="242" spans="1:6" x14ac:dyDescent="0.3">
      <c r="A242" t="s">
        <v>587</v>
      </c>
      <c r="B242">
        <v>12</v>
      </c>
      <c r="C242" t="b">
        <v>0</v>
      </c>
      <c r="D242" t="b">
        <v>0</v>
      </c>
      <c r="E242" t="b">
        <v>0</v>
      </c>
      <c r="F242" t="b">
        <v>0</v>
      </c>
    </row>
    <row r="243" spans="1:6" x14ac:dyDescent="0.3">
      <c r="A243" t="s">
        <v>588</v>
      </c>
      <c r="B243">
        <v>12</v>
      </c>
      <c r="C243" t="b">
        <v>0</v>
      </c>
      <c r="D243" t="b">
        <v>0</v>
      </c>
      <c r="E243" t="b">
        <v>0</v>
      </c>
      <c r="F243" t="b">
        <v>0</v>
      </c>
    </row>
    <row r="244" spans="1:6" x14ac:dyDescent="0.3">
      <c r="A244" t="s">
        <v>570</v>
      </c>
      <c r="B244">
        <v>13</v>
      </c>
      <c r="C244">
        <v>12</v>
      </c>
      <c r="D244">
        <v>14</v>
      </c>
      <c r="E244">
        <v>24</v>
      </c>
      <c r="F244">
        <v>120</v>
      </c>
    </row>
    <row r="245" spans="1:6" x14ac:dyDescent="0.3">
      <c r="A245" t="s">
        <v>36</v>
      </c>
      <c r="B245">
        <v>13</v>
      </c>
      <c r="C245">
        <v>3</v>
      </c>
      <c r="D245">
        <v>4</v>
      </c>
      <c r="E245">
        <v>2</v>
      </c>
      <c r="F245">
        <v>1</v>
      </c>
    </row>
    <row r="246" spans="1:6" x14ac:dyDescent="0.3">
      <c r="A246" t="s">
        <v>506</v>
      </c>
      <c r="B246">
        <v>13</v>
      </c>
      <c r="C246" t="s">
        <v>571</v>
      </c>
      <c r="D246" t="s">
        <v>571</v>
      </c>
      <c r="E246" t="s">
        <v>730</v>
      </c>
      <c r="F246" t="s">
        <v>731</v>
      </c>
    </row>
    <row r="247" spans="1:6" x14ac:dyDescent="0.3">
      <c r="A247" t="s">
        <v>574</v>
      </c>
      <c r="B247">
        <v>13</v>
      </c>
      <c r="C247">
        <v>1532</v>
      </c>
      <c r="D247">
        <v>2033</v>
      </c>
      <c r="E247">
        <v>1247</v>
      </c>
      <c r="F247">
        <v>731</v>
      </c>
    </row>
    <row r="248" spans="1:6" x14ac:dyDescent="0.3">
      <c r="A248" t="s">
        <v>42</v>
      </c>
      <c r="B248">
        <v>13</v>
      </c>
      <c r="C248">
        <v>45</v>
      </c>
      <c r="D248">
        <v>45</v>
      </c>
      <c r="E248">
        <v>30</v>
      </c>
      <c r="F248">
        <v>30</v>
      </c>
    </row>
    <row r="249" spans="1:6" x14ac:dyDescent="0.3">
      <c r="A249" t="s">
        <v>575</v>
      </c>
      <c r="B249">
        <v>13</v>
      </c>
      <c r="C249">
        <v>23.2</v>
      </c>
      <c r="D249">
        <v>30.8</v>
      </c>
      <c r="E249">
        <v>28.3</v>
      </c>
      <c r="F249">
        <v>16.600000000000001</v>
      </c>
    </row>
    <row r="250" spans="1:6" x14ac:dyDescent="0.3">
      <c r="A250" t="s">
        <v>41</v>
      </c>
      <c r="B250">
        <v>13</v>
      </c>
      <c r="C250">
        <v>0</v>
      </c>
      <c r="D250">
        <v>0</v>
      </c>
      <c r="E250">
        <v>0</v>
      </c>
      <c r="F250">
        <v>0</v>
      </c>
    </row>
    <row r="251" spans="1:6" x14ac:dyDescent="0.3">
      <c r="A251" t="s">
        <v>576</v>
      </c>
      <c r="B251">
        <v>13</v>
      </c>
      <c r="C251">
        <v>12</v>
      </c>
      <c r="D251">
        <v>12</v>
      </c>
      <c r="E251">
        <v>0</v>
      </c>
      <c r="F251">
        <v>0</v>
      </c>
    </row>
    <row r="252" spans="1:6" x14ac:dyDescent="0.3">
      <c r="A252" t="s">
        <v>577</v>
      </c>
      <c r="B252">
        <v>13</v>
      </c>
      <c r="C252">
        <v>0</v>
      </c>
      <c r="D252">
        <v>0</v>
      </c>
      <c r="E252">
        <v>0</v>
      </c>
      <c r="F252">
        <v>0</v>
      </c>
    </row>
    <row r="253" spans="1:6" x14ac:dyDescent="0.3">
      <c r="A253" t="s">
        <v>578</v>
      </c>
      <c r="B253">
        <v>13</v>
      </c>
      <c r="C253">
        <v>0</v>
      </c>
      <c r="D253">
        <v>0</v>
      </c>
      <c r="E253">
        <v>0</v>
      </c>
      <c r="F253">
        <v>0</v>
      </c>
    </row>
    <row r="254" spans="1:6" x14ac:dyDescent="0.3">
      <c r="A254" t="s">
        <v>579</v>
      </c>
      <c r="B254">
        <v>13</v>
      </c>
      <c r="C254">
        <v>16</v>
      </c>
      <c r="D254">
        <v>16</v>
      </c>
      <c r="E254">
        <v>16</v>
      </c>
      <c r="F254">
        <v>16</v>
      </c>
    </row>
    <row r="255" spans="1:6" x14ac:dyDescent="0.3">
      <c r="A255" t="s">
        <v>580</v>
      </c>
      <c r="B255">
        <v>13</v>
      </c>
      <c r="C255">
        <v>500</v>
      </c>
      <c r="D255">
        <v>500</v>
      </c>
      <c r="E255">
        <v>500</v>
      </c>
      <c r="F255">
        <v>500</v>
      </c>
    </row>
    <row r="256" spans="1:6" x14ac:dyDescent="0.3">
      <c r="A256" t="s">
        <v>581</v>
      </c>
      <c r="B256">
        <v>13</v>
      </c>
      <c r="C256">
        <v>1980</v>
      </c>
      <c r="D256">
        <v>1980</v>
      </c>
      <c r="E256">
        <v>1320</v>
      </c>
      <c r="F256">
        <v>1320</v>
      </c>
    </row>
    <row r="257" spans="1:6" x14ac:dyDescent="0.3">
      <c r="A257" t="s">
        <v>582</v>
      </c>
      <c r="B257">
        <v>13</v>
      </c>
      <c r="C257">
        <v>1320</v>
      </c>
      <c r="D257">
        <v>1320</v>
      </c>
      <c r="E257">
        <v>880</v>
      </c>
      <c r="F257">
        <v>880</v>
      </c>
    </row>
    <row r="258" spans="1:6" x14ac:dyDescent="0.3">
      <c r="A258" t="s">
        <v>583</v>
      </c>
      <c r="B258">
        <v>13</v>
      </c>
      <c r="C258">
        <v>2640</v>
      </c>
      <c r="D258">
        <v>2640</v>
      </c>
      <c r="E258">
        <v>1760</v>
      </c>
      <c r="F258">
        <v>1760</v>
      </c>
    </row>
    <row r="259" spans="1:6" x14ac:dyDescent="0.3">
      <c r="A259" t="s">
        <v>584</v>
      </c>
      <c r="B259">
        <v>13</v>
      </c>
    </row>
    <row r="260" spans="1:6" x14ac:dyDescent="0.3">
      <c r="A260" t="s">
        <v>585</v>
      </c>
      <c r="B260">
        <v>13</v>
      </c>
    </row>
    <row r="261" spans="1:6" x14ac:dyDescent="0.3">
      <c r="A261" t="s">
        <v>586</v>
      </c>
      <c r="B261">
        <v>13</v>
      </c>
    </row>
    <row r="262" spans="1:6" x14ac:dyDescent="0.3">
      <c r="A262" t="s">
        <v>587</v>
      </c>
      <c r="B262">
        <v>13</v>
      </c>
      <c r="C262" t="b">
        <v>0</v>
      </c>
      <c r="D262" t="b">
        <v>0</v>
      </c>
      <c r="E262" t="b">
        <v>0</v>
      </c>
      <c r="F262" t="b">
        <v>0</v>
      </c>
    </row>
    <row r="263" spans="1:6" x14ac:dyDescent="0.3">
      <c r="A263" t="s">
        <v>588</v>
      </c>
      <c r="B263">
        <v>13</v>
      </c>
      <c r="C263" t="b">
        <v>0</v>
      </c>
      <c r="D263" t="b">
        <v>0</v>
      </c>
      <c r="E263" t="b">
        <v>0</v>
      </c>
      <c r="F263" t="b">
        <v>0</v>
      </c>
    </row>
    <row r="264" spans="1:6" x14ac:dyDescent="0.3">
      <c r="A264" t="s">
        <v>570</v>
      </c>
      <c r="B264">
        <v>14</v>
      </c>
      <c r="C264">
        <v>13</v>
      </c>
      <c r="D264">
        <v>15</v>
      </c>
      <c r="E264">
        <v>123</v>
      </c>
      <c r="F264">
        <v>124</v>
      </c>
    </row>
    <row r="265" spans="1:6" x14ac:dyDescent="0.3">
      <c r="A265" t="s">
        <v>36</v>
      </c>
      <c r="B265">
        <v>14</v>
      </c>
      <c r="C265">
        <v>4</v>
      </c>
      <c r="D265">
        <v>4</v>
      </c>
      <c r="E265">
        <v>2</v>
      </c>
      <c r="F265">
        <v>2</v>
      </c>
    </row>
    <row r="266" spans="1:6" x14ac:dyDescent="0.3">
      <c r="A266" t="s">
        <v>506</v>
      </c>
      <c r="B266">
        <v>14</v>
      </c>
      <c r="C266" t="s">
        <v>571</v>
      </c>
      <c r="D266" t="s">
        <v>571</v>
      </c>
      <c r="E266" t="s">
        <v>602</v>
      </c>
      <c r="F266" t="s">
        <v>602</v>
      </c>
    </row>
    <row r="267" spans="1:6" x14ac:dyDescent="0.3">
      <c r="A267" t="s">
        <v>574</v>
      </c>
      <c r="B267">
        <v>14</v>
      </c>
      <c r="C267">
        <v>2033</v>
      </c>
      <c r="D267">
        <v>1896</v>
      </c>
      <c r="E267">
        <v>667</v>
      </c>
      <c r="F267">
        <v>1308</v>
      </c>
    </row>
    <row r="268" spans="1:6" x14ac:dyDescent="0.3">
      <c r="A268" t="s">
        <v>42</v>
      </c>
      <c r="B268">
        <v>14</v>
      </c>
      <c r="C268">
        <v>45</v>
      </c>
      <c r="D268">
        <v>45</v>
      </c>
      <c r="E268">
        <v>30</v>
      </c>
      <c r="F268">
        <v>30</v>
      </c>
    </row>
    <row r="269" spans="1:6" x14ac:dyDescent="0.3">
      <c r="A269" t="s">
        <v>575</v>
      </c>
      <c r="B269">
        <v>14</v>
      </c>
      <c r="C269">
        <v>30.8</v>
      </c>
      <c r="D269">
        <v>28.7</v>
      </c>
      <c r="E269">
        <v>15.2</v>
      </c>
      <c r="F269">
        <v>29.7</v>
      </c>
    </row>
    <row r="270" spans="1:6" x14ac:dyDescent="0.3">
      <c r="A270" t="s">
        <v>41</v>
      </c>
      <c r="B270">
        <v>14</v>
      </c>
      <c r="C270">
        <v>0</v>
      </c>
      <c r="D270">
        <v>0</v>
      </c>
      <c r="E270">
        <v>0</v>
      </c>
      <c r="F270">
        <v>0</v>
      </c>
    </row>
    <row r="271" spans="1:6" x14ac:dyDescent="0.3">
      <c r="A271" t="s">
        <v>576</v>
      </c>
      <c r="B271">
        <v>14</v>
      </c>
      <c r="C271">
        <v>24</v>
      </c>
      <c r="D271">
        <v>24</v>
      </c>
      <c r="E271">
        <v>0</v>
      </c>
      <c r="F271">
        <v>0</v>
      </c>
    </row>
    <row r="272" spans="1:6" x14ac:dyDescent="0.3">
      <c r="A272" t="s">
        <v>577</v>
      </c>
      <c r="B272">
        <v>14</v>
      </c>
      <c r="C272">
        <v>0</v>
      </c>
      <c r="D272">
        <v>0</v>
      </c>
      <c r="E272">
        <v>0</v>
      </c>
      <c r="F272">
        <v>0</v>
      </c>
    </row>
    <row r="273" spans="1:6" x14ac:dyDescent="0.3">
      <c r="A273" t="s">
        <v>578</v>
      </c>
      <c r="B273">
        <v>14</v>
      </c>
      <c r="C273">
        <v>0</v>
      </c>
      <c r="D273">
        <v>0</v>
      </c>
      <c r="E273">
        <v>0</v>
      </c>
      <c r="F273">
        <v>0</v>
      </c>
    </row>
    <row r="274" spans="1:6" x14ac:dyDescent="0.3">
      <c r="A274" t="s">
        <v>579</v>
      </c>
      <c r="B274">
        <v>14</v>
      </c>
      <c r="C274">
        <v>16</v>
      </c>
      <c r="D274">
        <v>16</v>
      </c>
      <c r="E274">
        <v>16</v>
      </c>
      <c r="F274">
        <v>16</v>
      </c>
    </row>
    <row r="275" spans="1:6" x14ac:dyDescent="0.3">
      <c r="A275" t="s">
        <v>580</v>
      </c>
      <c r="B275">
        <v>14</v>
      </c>
      <c r="C275">
        <v>500</v>
      </c>
      <c r="D275">
        <v>500</v>
      </c>
      <c r="E275">
        <v>500</v>
      </c>
      <c r="F275">
        <v>500</v>
      </c>
    </row>
    <row r="276" spans="1:6" x14ac:dyDescent="0.3">
      <c r="A276" t="s">
        <v>581</v>
      </c>
      <c r="B276">
        <v>14</v>
      </c>
      <c r="C276">
        <v>1980</v>
      </c>
      <c r="D276">
        <v>1980</v>
      </c>
      <c r="E276">
        <v>1320</v>
      </c>
      <c r="F276">
        <v>1320</v>
      </c>
    </row>
    <row r="277" spans="1:6" x14ac:dyDescent="0.3">
      <c r="A277" t="s">
        <v>582</v>
      </c>
      <c r="B277">
        <v>14</v>
      </c>
      <c r="C277">
        <v>1320</v>
      </c>
      <c r="D277">
        <v>1320</v>
      </c>
      <c r="E277">
        <v>880</v>
      </c>
      <c r="F277">
        <v>880</v>
      </c>
    </row>
    <row r="278" spans="1:6" x14ac:dyDescent="0.3">
      <c r="A278" t="s">
        <v>583</v>
      </c>
      <c r="B278">
        <v>14</v>
      </c>
      <c r="C278">
        <v>2640</v>
      </c>
      <c r="D278">
        <v>2640</v>
      </c>
      <c r="E278">
        <v>1760</v>
      </c>
      <c r="F278">
        <v>1760</v>
      </c>
    </row>
    <row r="279" spans="1:6" x14ac:dyDescent="0.3">
      <c r="A279" t="s">
        <v>584</v>
      </c>
      <c r="B279">
        <v>14</v>
      </c>
    </row>
    <row r="280" spans="1:6" x14ac:dyDescent="0.3">
      <c r="A280" t="s">
        <v>585</v>
      </c>
      <c r="B280">
        <v>14</v>
      </c>
    </row>
    <row r="281" spans="1:6" x14ac:dyDescent="0.3">
      <c r="A281" t="s">
        <v>586</v>
      </c>
      <c r="B281">
        <v>14</v>
      </c>
    </row>
    <row r="282" spans="1:6" x14ac:dyDescent="0.3">
      <c r="A282" t="s">
        <v>587</v>
      </c>
      <c r="B282">
        <v>14</v>
      </c>
      <c r="C282" t="b">
        <v>0</v>
      </c>
      <c r="D282" t="b">
        <v>0</v>
      </c>
      <c r="E282" t="b">
        <v>0</v>
      </c>
      <c r="F282" t="b">
        <v>0</v>
      </c>
    </row>
    <row r="283" spans="1:6" x14ac:dyDescent="0.3">
      <c r="A283" t="s">
        <v>588</v>
      </c>
      <c r="B283">
        <v>14</v>
      </c>
      <c r="C283" t="b">
        <v>0</v>
      </c>
      <c r="D283" t="b">
        <v>0</v>
      </c>
      <c r="E283" t="b">
        <v>0</v>
      </c>
      <c r="F283" t="b">
        <v>0</v>
      </c>
    </row>
    <row r="284" spans="1:6" x14ac:dyDescent="0.3">
      <c r="A284" t="s">
        <v>570</v>
      </c>
      <c r="B284">
        <v>15</v>
      </c>
      <c r="C284">
        <v>14</v>
      </c>
      <c r="D284">
        <v>16</v>
      </c>
      <c r="E284">
        <v>128</v>
      </c>
      <c r="F284">
        <v>129</v>
      </c>
    </row>
    <row r="285" spans="1:6" x14ac:dyDescent="0.3">
      <c r="A285" t="s">
        <v>36</v>
      </c>
      <c r="B285">
        <v>15</v>
      </c>
      <c r="C285">
        <v>5</v>
      </c>
      <c r="D285">
        <v>4</v>
      </c>
      <c r="E285">
        <v>3</v>
      </c>
      <c r="F285">
        <v>3</v>
      </c>
    </row>
    <row r="286" spans="1:6" x14ac:dyDescent="0.3">
      <c r="A286" t="s">
        <v>506</v>
      </c>
      <c r="B286">
        <v>15</v>
      </c>
      <c r="C286" t="s">
        <v>571</v>
      </c>
      <c r="D286" t="s">
        <v>571</v>
      </c>
      <c r="E286" t="s">
        <v>603</v>
      </c>
      <c r="F286" t="s">
        <v>604</v>
      </c>
    </row>
    <row r="287" spans="1:6" x14ac:dyDescent="0.3">
      <c r="A287" t="s">
        <v>574</v>
      </c>
      <c r="B287">
        <v>15</v>
      </c>
      <c r="C287">
        <v>1896</v>
      </c>
      <c r="D287">
        <v>1304</v>
      </c>
      <c r="E287">
        <v>1000</v>
      </c>
      <c r="F287">
        <v>1155</v>
      </c>
    </row>
    <row r="288" spans="1:6" x14ac:dyDescent="0.3">
      <c r="A288" t="s">
        <v>42</v>
      </c>
      <c r="B288">
        <v>15</v>
      </c>
      <c r="C288">
        <v>45</v>
      </c>
      <c r="D288">
        <v>45</v>
      </c>
      <c r="E288">
        <v>30</v>
      </c>
      <c r="F288">
        <v>30</v>
      </c>
    </row>
    <row r="289" spans="1:6" x14ac:dyDescent="0.3">
      <c r="A289" t="s">
        <v>575</v>
      </c>
      <c r="B289">
        <v>15</v>
      </c>
      <c r="C289">
        <v>28.7</v>
      </c>
      <c r="D289">
        <v>19.8</v>
      </c>
      <c r="E289">
        <v>22.7</v>
      </c>
      <c r="F289">
        <v>26.3</v>
      </c>
    </row>
    <row r="290" spans="1:6" x14ac:dyDescent="0.3">
      <c r="A290" t="s">
        <v>41</v>
      </c>
      <c r="B290">
        <v>15</v>
      </c>
      <c r="C290">
        <v>0</v>
      </c>
      <c r="D290">
        <v>0</v>
      </c>
      <c r="E290">
        <v>0</v>
      </c>
      <c r="F290">
        <v>0</v>
      </c>
    </row>
    <row r="291" spans="1:6" x14ac:dyDescent="0.3">
      <c r="A291" t="s">
        <v>576</v>
      </c>
      <c r="B291">
        <v>15</v>
      </c>
      <c r="C291">
        <v>24</v>
      </c>
      <c r="D291">
        <v>24</v>
      </c>
      <c r="E291">
        <v>12</v>
      </c>
      <c r="F291">
        <v>12</v>
      </c>
    </row>
    <row r="292" spans="1:6" x14ac:dyDescent="0.3">
      <c r="A292" t="s">
        <v>577</v>
      </c>
      <c r="B292">
        <v>15</v>
      </c>
      <c r="C292">
        <v>0</v>
      </c>
      <c r="D292">
        <v>0</v>
      </c>
      <c r="E292">
        <v>0</v>
      </c>
      <c r="F292">
        <v>0</v>
      </c>
    </row>
    <row r="293" spans="1:6" x14ac:dyDescent="0.3">
      <c r="A293" t="s">
        <v>578</v>
      </c>
      <c r="B293">
        <v>15</v>
      </c>
      <c r="C293">
        <v>0</v>
      </c>
      <c r="D293">
        <v>0</v>
      </c>
      <c r="E293">
        <v>0</v>
      </c>
      <c r="F293">
        <v>0</v>
      </c>
    </row>
    <row r="294" spans="1:6" x14ac:dyDescent="0.3">
      <c r="A294" t="s">
        <v>579</v>
      </c>
      <c r="B294">
        <v>15</v>
      </c>
      <c r="C294">
        <v>16</v>
      </c>
      <c r="D294">
        <v>16</v>
      </c>
      <c r="E294">
        <v>16</v>
      </c>
      <c r="F294">
        <v>16</v>
      </c>
    </row>
    <row r="295" spans="1:6" x14ac:dyDescent="0.3">
      <c r="A295" t="s">
        <v>580</v>
      </c>
      <c r="B295">
        <v>15</v>
      </c>
      <c r="C295">
        <v>500</v>
      </c>
      <c r="D295">
        <v>500</v>
      </c>
      <c r="E295">
        <v>500</v>
      </c>
      <c r="F295">
        <v>500</v>
      </c>
    </row>
    <row r="296" spans="1:6" x14ac:dyDescent="0.3">
      <c r="A296" t="s">
        <v>581</v>
      </c>
      <c r="B296">
        <v>15</v>
      </c>
      <c r="C296">
        <v>1980</v>
      </c>
      <c r="D296">
        <v>1980</v>
      </c>
      <c r="E296">
        <v>1320</v>
      </c>
      <c r="F296">
        <v>1320</v>
      </c>
    </row>
    <row r="297" spans="1:6" x14ac:dyDescent="0.3">
      <c r="A297" t="s">
        <v>582</v>
      </c>
      <c r="B297">
        <v>15</v>
      </c>
      <c r="C297">
        <v>1320</v>
      </c>
      <c r="D297">
        <v>1320</v>
      </c>
      <c r="E297">
        <v>880</v>
      </c>
      <c r="F297">
        <v>880</v>
      </c>
    </row>
    <row r="298" spans="1:6" x14ac:dyDescent="0.3">
      <c r="A298" t="s">
        <v>583</v>
      </c>
      <c r="B298">
        <v>15</v>
      </c>
      <c r="C298">
        <v>2640</v>
      </c>
      <c r="D298">
        <v>2640</v>
      </c>
      <c r="E298">
        <v>1760</v>
      </c>
      <c r="F298">
        <v>1760</v>
      </c>
    </row>
    <row r="299" spans="1:6" x14ac:dyDescent="0.3">
      <c r="A299" t="s">
        <v>584</v>
      </c>
      <c r="B299">
        <v>15</v>
      </c>
    </row>
    <row r="300" spans="1:6" x14ac:dyDescent="0.3">
      <c r="A300" t="s">
        <v>585</v>
      </c>
      <c r="B300">
        <v>15</v>
      </c>
    </row>
    <row r="301" spans="1:6" x14ac:dyDescent="0.3">
      <c r="A301" t="s">
        <v>586</v>
      </c>
      <c r="B301">
        <v>15</v>
      </c>
    </row>
    <row r="302" spans="1:6" x14ac:dyDescent="0.3">
      <c r="A302" t="s">
        <v>587</v>
      </c>
      <c r="B302">
        <v>15</v>
      </c>
      <c r="C302" t="b">
        <v>0</v>
      </c>
      <c r="D302" t="b">
        <v>0</v>
      </c>
      <c r="E302" t="b">
        <v>0</v>
      </c>
      <c r="F302" t="b">
        <v>0</v>
      </c>
    </row>
    <row r="303" spans="1:6" x14ac:dyDescent="0.3">
      <c r="A303" t="s">
        <v>588</v>
      </c>
      <c r="B303">
        <v>15</v>
      </c>
      <c r="C303" t="b">
        <v>0</v>
      </c>
      <c r="D303" t="b">
        <v>0</v>
      </c>
      <c r="E303" t="b">
        <v>0</v>
      </c>
      <c r="F303" t="b">
        <v>0</v>
      </c>
    </row>
    <row r="304" spans="1:6" x14ac:dyDescent="0.3">
      <c r="A304" t="s">
        <v>570</v>
      </c>
      <c r="B304">
        <v>16</v>
      </c>
      <c r="C304">
        <v>15</v>
      </c>
      <c r="D304">
        <v>19</v>
      </c>
      <c r="E304">
        <v>130</v>
      </c>
      <c r="F304">
        <v>131</v>
      </c>
    </row>
    <row r="305" spans="1:6" x14ac:dyDescent="0.3">
      <c r="A305" t="s">
        <v>36</v>
      </c>
      <c r="B305">
        <v>16</v>
      </c>
      <c r="C305">
        <v>4</v>
      </c>
      <c r="D305">
        <v>4</v>
      </c>
      <c r="E305">
        <v>2</v>
      </c>
      <c r="F305">
        <v>2</v>
      </c>
    </row>
    <row r="306" spans="1:6" x14ac:dyDescent="0.3">
      <c r="A306" t="s">
        <v>506</v>
      </c>
      <c r="B306">
        <v>16</v>
      </c>
      <c r="C306" t="s">
        <v>571</v>
      </c>
      <c r="D306" t="s">
        <v>571</v>
      </c>
      <c r="E306" t="s">
        <v>732</v>
      </c>
      <c r="F306" t="s">
        <v>606</v>
      </c>
    </row>
    <row r="307" spans="1:6" x14ac:dyDescent="0.3">
      <c r="A307" t="s">
        <v>574</v>
      </c>
      <c r="B307">
        <v>16</v>
      </c>
      <c r="C307">
        <v>1304</v>
      </c>
      <c r="D307">
        <v>7582</v>
      </c>
      <c r="E307">
        <v>832</v>
      </c>
      <c r="F307">
        <v>1238</v>
      </c>
    </row>
    <row r="308" spans="1:6" x14ac:dyDescent="0.3">
      <c r="A308" t="s">
        <v>42</v>
      </c>
      <c r="B308">
        <v>16</v>
      </c>
      <c r="C308">
        <v>45</v>
      </c>
      <c r="D308">
        <v>55</v>
      </c>
      <c r="E308">
        <v>30</v>
      </c>
      <c r="F308">
        <v>30</v>
      </c>
    </row>
    <row r="309" spans="1:6" x14ac:dyDescent="0.3">
      <c r="A309" t="s">
        <v>575</v>
      </c>
      <c r="B309">
        <v>16</v>
      </c>
      <c r="C309">
        <v>19.8</v>
      </c>
      <c r="D309">
        <v>94</v>
      </c>
      <c r="E309">
        <v>18.899999999999999</v>
      </c>
      <c r="F309">
        <v>28.1</v>
      </c>
    </row>
    <row r="310" spans="1:6" x14ac:dyDescent="0.3">
      <c r="A310" t="s">
        <v>41</v>
      </c>
      <c r="B310">
        <v>16</v>
      </c>
      <c r="C310">
        <v>0</v>
      </c>
      <c r="D310">
        <v>0</v>
      </c>
      <c r="E310">
        <v>0</v>
      </c>
      <c r="F310">
        <v>0</v>
      </c>
    </row>
    <row r="311" spans="1:6" x14ac:dyDescent="0.3">
      <c r="A311" t="s">
        <v>576</v>
      </c>
      <c r="B311">
        <v>16</v>
      </c>
      <c r="C311">
        <v>12</v>
      </c>
      <c r="D311">
        <v>12</v>
      </c>
      <c r="E311">
        <v>0</v>
      </c>
      <c r="F311">
        <v>0</v>
      </c>
    </row>
    <row r="312" spans="1:6" x14ac:dyDescent="0.3">
      <c r="A312" t="s">
        <v>577</v>
      </c>
      <c r="B312">
        <v>16</v>
      </c>
      <c r="C312">
        <v>0</v>
      </c>
      <c r="D312">
        <v>0</v>
      </c>
      <c r="E312">
        <v>0</v>
      </c>
      <c r="F312">
        <v>0</v>
      </c>
    </row>
    <row r="313" spans="1:6" x14ac:dyDescent="0.3">
      <c r="A313" t="s">
        <v>578</v>
      </c>
      <c r="B313">
        <v>16</v>
      </c>
      <c r="C313">
        <v>0</v>
      </c>
      <c r="D313">
        <v>0</v>
      </c>
      <c r="E313">
        <v>0</v>
      </c>
      <c r="F313">
        <v>0</v>
      </c>
    </row>
    <row r="314" spans="1:6" x14ac:dyDescent="0.3">
      <c r="A314" t="s">
        <v>579</v>
      </c>
      <c r="B314">
        <v>16</v>
      </c>
      <c r="C314">
        <v>16</v>
      </c>
      <c r="D314">
        <v>16</v>
      </c>
      <c r="E314">
        <v>16</v>
      </c>
      <c r="F314">
        <v>16</v>
      </c>
    </row>
    <row r="315" spans="1:6" x14ac:dyDescent="0.3">
      <c r="A315" t="s">
        <v>580</v>
      </c>
      <c r="B315">
        <v>16</v>
      </c>
      <c r="C315">
        <v>500</v>
      </c>
      <c r="D315">
        <v>500</v>
      </c>
      <c r="E315">
        <v>500</v>
      </c>
      <c r="F315">
        <v>500</v>
      </c>
    </row>
    <row r="316" spans="1:6" x14ac:dyDescent="0.3">
      <c r="A316" t="s">
        <v>581</v>
      </c>
      <c r="B316">
        <v>16</v>
      </c>
      <c r="C316">
        <v>1980</v>
      </c>
      <c r="D316">
        <v>2421</v>
      </c>
      <c r="E316">
        <v>1320</v>
      </c>
      <c r="F316">
        <v>1320</v>
      </c>
    </row>
    <row r="317" spans="1:6" x14ac:dyDescent="0.3">
      <c r="A317" t="s">
        <v>582</v>
      </c>
      <c r="B317">
        <v>16</v>
      </c>
      <c r="C317">
        <v>1320</v>
      </c>
      <c r="D317">
        <v>1614</v>
      </c>
      <c r="E317">
        <v>880</v>
      </c>
      <c r="F317">
        <v>880</v>
      </c>
    </row>
    <row r="318" spans="1:6" x14ac:dyDescent="0.3">
      <c r="A318" t="s">
        <v>583</v>
      </c>
      <c r="B318">
        <v>16</v>
      </c>
      <c r="C318">
        <v>2640</v>
      </c>
      <c r="D318">
        <v>3228</v>
      </c>
      <c r="E318">
        <v>1760</v>
      </c>
      <c r="F318">
        <v>1760</v>
      </c>
    </row>
    <row r="319" spans="1:6" x14ac:dyDescent="0.3">
      <c r="A319" t="s">
        <v>584</v>
      </c>
      <c r="B319">
        <v>16</v>
      </c>
    </row>
    <row r="320" spans="1:6" x14ac:dyDescent="0.3">
      <c r="A320" t="s">
        <v>585</v>
      </c>
      <c r="B320">
        <v>16</v>
      </c>
    </row>
    <row r="321" spans="1:6" x14ac:dyDescent="0.3">
      <c r="A321" t="s">
        <v>586</v>
      </c>
      <c r="B321">
        <v>16</v>
      </c>
    </row>
    <row r="322" spans="1:6" x14ac:dyDescent="0.3">
      <c r="A322" t="s">
        <v>587</v>
      </c>
      <c r="B322">
        <v>16</v>
      </c>
      <c r="C322" t="b">
        <v>0</v>
      </c>
      <c r="D322" t="b">
        <v>0</v>
      </c>
      <c r="E322" t="b">
        <v>0</v>
      </c>
      <c r="F322" t="b">
        <v>0</v>
      </c>
    </row>
    <row r="323" spans="1:6" x14ac:dyDescent="0.3">
      <c r="A323" t="s">
        <v>588</v>
      </c>
      <c r="B323">
        <v>16</v>
      </c>
      <c r="C323" t="b">
        <v>0</v>
      </c>
      <c r="D323" t="b">
        <v>0</v>
      </c>
      <c r="E323" t="b">
        <v>0</v>
      </c>
      <c r="F323" t="b">
        <v>0</v>
      </c>
    </row>
    <row r="324" spans="1:6" x14ac:dyDescent="0.3">
      <c r="A324" t="s">
        <v>570</v>
      </c>
      <c r="B324">
        <v>17</v>
      </c>
      <c r="E324">
        <v>23</v>
      </c>
      <c r="F324">
        <v>12</v>
      </c>
    </row>
    <row r="325" spans="1:6" x14ac:dyDescent="0.3">
      <c r="A325" t="s">
        <v>36</v>
      </c>
      <c r="B325">
        <v>17</v>
      </c>
      <c r="E325">
        <v>2</v>
      </c>
      <c r="F325" t="s">
        <v>607</v>
      </c>
    </row>
    <row r="326" spans="1:6" x14ac:dyDescent="0.3">
      <c r="A326" t="s">
        <v>506</v>
      </c>
      <c r="B326">
        <v>17</v>
      </c>
      <c r="E326" t="s">
        <v>600</v>
      </c>
      <c r="F326" t="s">
        <v>600</v>
      </c>
    </row>
    <row r="327" spans="1:6" x14ac:dyDescent="0.3">
      <c r="A327" t="s">
        <v>574</v>
      </c>
      <c r="B327">
        <v>17</v>
      </c>
      <c r="E327">
        <v>523</v>
      </c>
      <c r="F327">
        <v>433</v>
      </c>
    </row>
    <row r="328" spans="1:6" x14ac:dyDescent="0.3">
      <c r="A328" t="s">
        <v>42</v>
      </c>
      <c r="B328">
        <v>17</v>
      </c>
      <c r="E328">
        <v>30</v>
      </c>
      <c r="F328">
        <v>30</v>
      </c>
    </row>
    <row r="329" spans="1:6" x14ac:dyDescent="0.3">
      <c r="A329" t="s">
        <v>575</v>
      </c>
      <c r="B329">
        <v>17</v>
      </c>
      <c r="E329">
        <v>11.9</v>
      </c>
      <c r="F329">
        <v>9.8000000000000007</v>
      </c>
    </row>
    <row r="330" spans="1:6" x14ac:dyDescent="0.3">
      <c r="A330" t="s">
        <v>41</v>
      </c>
      <c r="B330">
        <v>17</v>
      </c>
      <c r="E330">
        <v>0</v>
      </c>
      <c r="F330">
        <v>0</v>
      </c>
    </row>
    <row r="331" spans="1:6" x14ac:dyDescent="0.3">
      <c r="A331" t="s">
        <v>576</v>
      </c>
      <c r="B331">
        <v>17</v>
      </c>
      <c r="E331">
        <v>12</v>
      </c>
      <c r="F331">
        <v>12</v>
      </c>
    </row>
    <row r="332" spans="1:6" x14ac:dyDescent="0.3">
      <c r="A332" t="s">
        <v>577</v>
      </c>
      <c r="B332">
        <v>17</v>
      </c>
      <c r="E332">
        <v>0</v>
      </c>
      <c r="F332">
        <v>0</v>
      </c>
    </row>
    <row r="333" spans="1:6" x14ac:dyDescent="0.3">
      <c r="A333" t="s">
        <v>578</v>
      </c>
      <c r="B333">
        <v>17</v>
      </c>
      <c r="E333">
        <v>0</v>
      </c>
      <c r="F333">
        <v>0</v>
      </c>
    </row>
    <row r="334" spans="1:6" x14ac:dyDescent="0.3">
      <c r="A334" t="s">
        <v>579</v>
      </c>
      <c r="B334">
        <v>17</v>
      </c>
      <c r="E334">
        <v>16</v>
      </c>
      <c r="F334">
        <v>16</v>
      </c>
    </row>
    <row r="335" spans="1:6" x14ac:dyDescent="0.3">
      <c r="A335" t="s">
        <v>580</v>
      </c>
      <c r="B335">
        <v>17</v>
      </c>
      <c r="E335">
        <v>100</v>
      </c>
      <c r="F335">
        <v>100</v>
      </c>
    </row>
    <row r="336" spans="1:6" x14ac:dyDescent="0.3">
      <c r="A336" t="s">
        <v>581</v>
      </c>
      <c r="B336">
        <v>17</v>
      </c>
      <c r="E336">
        <v>1320</v>
      </c>
      <c r="F336">
        <v>1320</v>
      </c>
    </row>
    <row r="337" spans="1:6" x14ac:dyDescent="0.3">
      <c r="A337" t="s">
        <v>582</v>
      </c>
      <c r="B337">
        <v>17</v>
      </c>
      <c r="E337">
        <v>880</v>
      </c>
      <c r="F337">
        <v>880</v>
      </c>
    </row>
    <row r="338" spans="1:6" x14ac:dyDescent="0.3">
      <c r="A338" t="s">
        <v>583</v>
      </c>
      <c r="B338">
        <v>17</v>
      </c>
      <c r="E338">
        <v>1760</v>
      </c>
      <c r="F338">
        <v>1760</v>
      </c>
    </row>
    <row r="339" spans="1:6" x14ac:dyDescent="0.3">
      <c r="A339" t="s">
        <v>584</v>
      </c>
      <c r="B339">
        <v>17</v>
      </c>
    </row>
    <row r="340" spans="1:6" x14ac:dyDescent="0.3">
      <c r="A340" t="s">
        <v>585</v>
      </c>
      <c r="B340">
        <v>17</v>
      </c>
    </row>
    <row r="341" spans="1:6" x14ac:dyDescent="0.3">
      <c r="A341" t="s">
        <v>586</v>
      </c>
      <c r="B341">
        <v>17</v>
      </c>
    </row>
    <row r="342" spans="1:6" x14ac:dyDescent="0.3">
      <c r="A342" t="s">
        <v>587</v>
      </c>
      <c r="B342">
        <v>17</v>
      </c>
      <c r="E342" t="b">
        <v>0</v>
      </c>
      <c r="F342" t="b">
        <v>0</v>
      </c>
    </row>
    <row r="343" spans="1:6" x14ac:dyDescent="0.3">
      <c r="A343" t="s">
        <v>588</v>
      </c>
      <c r="B343">
        <v>17</v>
      </c>
      <c r="E343" t="b">
        <v>0</v>
      </c>
      <c r="F343" t="b">
        <v>0</v>
      </c>
    </row>
    <row r="344" spans="1:6" x14ac:dyDescent="0.3">
      <c r="A344" t="s">
        <v>570</v>
      </c>
      <c r="B344">
        <v>18</v>
      </c>
      <c r="C344">
        <v>2</v>
      </c>
      <c r="D344">
        <v>3</v>
      </c>
    </row>
    <row r="345" spans="1:6" x14ac:dyDescent="0.3">
      <c r="A345" t="s">
        <v>36</v>
      </c>
      <c r="B345">
        <v>18</v>
      </c>
      <c r="C345" t="s">
        <v>608</v>
      </c>
      <c r="D345" t="s">
        <v>607</v>
      </c>
    </row>
    <row r="346" spans="1:6" x14ac:dyDescent="0.3">
      <c r="A346" t="s">
        <v>506</v>
      </c>
      <c r="B346">
        <v>18</v>
      </c>
      <c r="C346" t="s">
        <v>571</v>
      </c>
      <c r="D346" t="s">
        <v>571</v>
      </c>
    </row>
    <row r="347" spans="1:6" x14ac:dyDescent="0.3">
      <c r="A347" t="s">
        <v>574</v>
      </c>
      <c r="B347">
        <v>18</v>
      </c>
      <c r="C347">
        <v>1993</v>
      </c>
      <c r="D347">
        <v>434</v>
      </c>
    </row>
    <row r="348" spans="1:6" x14ac:dyDescent="0.3">
      <c r="A348" t="s">
        <v>42</v>
      </c>
      <c r="B348">
        <v>18</v>
      </c>
      <c r="C348">
        <v>45</v>
      </c>
      <c r="D348">
        <v>45</v>
      </c>
    </row>
    <row r="349" spans="1:6" x14ac:dyDescent="0.3">
      <c r="A349" t="s">
        <v>575</v>
      </c>
      <c r="B349">
        <v>18</v>
      </c>
      <c r="C349">
        <v>30.2</v>
      </c>
      <c r="D349">
        <v>6.6</v>
      </c>
    </row>
    <row r="350" spans="1:6" x14ac:dyDescent="0.3">
      <c r="A350" t="s">
        <v>41</v>
      </c>
      <c r="B350">
        <v>18</v>
      </c>
      <c r="C350">
        <v>0</v>
      </c>
      <c r="D350">
        <v>0</v>
      </c>
    </row>
    <row r="351" spans="1:6" x14ac:dyDescent="0.3">
      <c r="A351" t="s">
        <v>576</v>
      </c>
      <c r="B351">
        <v>18</v>
      </c>
      <c r="C351">
        <v>12</v>
      </c>
      <c r="D351">
        <v>12</v>
      </c>
    </row>
    <row r="352" spans="1:6" x14ac:dyDescent="0.3">
      <c r="A352" t="s">
        <v>577</v>
      </c>
      <c r="B352">
        <v>18</v>
      </c>
      <c r="C352">
        <v>0</v>
      </c>
      <c r="D352">
        <v>0</v>
      </c>
    </row>
    <row r="353" spans="1:6" x14ac:dyDescent="0.3">
      <c r="A353" t="s">
        <v>578</v>
      </c>
      <c r="B353">
        <v>18</v>
      </c>
      <c r="C353">
        <v>0</v>
      </c>
      <c r="D353">
        <v>0</v>
      </c>
    </row>
    <row r="354" spans="1:6" x14ac:dyDescent="0.3">
      <c r="A354" t="s">
        <v>579</v>
      </c>
      <c r="B354">
        <v>18</v>
      </c>
      <c r="C354">
        <v>16</v>
      </c>
      <c r="D354">
        <v>16</v>
      </c>
    </row>
    <row r="355" spans="1:6" x14ac:dyDescent="0.3">
      <c r="A355" t="s">
        <v>580</v>
      </c>
      <c r="B355">
        <v>18</v>
      </c>
      <c r="C355">
        <v>100</v>
      </c>
      <c r="D355">
        <v>100</v>
      </c>
    </row>
    <row r="356" spans="1:6" x14ac:dyDescent="0.3">
      <c r="A356" t="s">
        <v>581</v>
      </c>
      <c r="B356">
        <v>18</v>
      </c>
      <c r="C356">
        <v>1980</v>
      </c>
      <c r="D356">
        <v>1980</v>
      </c>
    </row>
    <row r="357" spans="1:6" x14ac:dyDescent="0.3">
      <c r="A357" t="s">
        <v>582</v>
      </c>
      <c r="B357">
        <v>18</v>
      </c>
      <c r="C357">
        <v>1320</v>
      </c>
      <c r="D357">
        <v>1320</v>
      </c>
    </row>
    <row r="358" spans="1:6" x14ac:dyDescent="0.3">
      <c r="A358" t="s">
        <v>583</v>
      </c>
      <c r="B358">
        <v>18</v>
      </c>
      <c r="C358">
        <v>2640</v>
      </c>
      <c r="D358">
        <v>2640</v>
      </c>
    </row>
    <row r="359" spans="1:6" x14ac:dyDescent="0.3">
      <c r="A359" t="s">
        <v>584</v>
      </c>
      <c r="B359">
        <v>18</v>
      </c>
    </row>
    <row r="360" spans="1:6" x14ac:dyDescent="0.3">
      <c r="A360" t="s">
        <v>585</v>
      </c>
      <c r="B360">
        <v>18</v>
      </c>
    </row>
    <row r="361" spans="1:6" x14ac:dyDescent="0.3">
      <c r="A361" t="s">
        <v>586</v>
      </c>
      <c r="B361">
        <v>18</v>
      </c>
    </row>
    <row r="362" spans="1:6" x14ac:dyDescent="0.3">
      <c r="A362" t="s">
        <v>587</v>
      </c>
      <c r="B362">
        <v>18</v>
      </c>
      <c r="C362" t="b">
        <v>0</v>
      </c>
      <c r="D362" t="b">
        <v>0</v>
      </c>
    </row>
    <row r="363" spans="1:6" x14ac:dyDescent="0.3">
      <c r="A363" t="s">
        <v>588</v>
      </c>
      <c r="B363">
        <v>18</v>
      </c>
      <c r="C363" t="b">
        <v>0</v>
      </c>
      <c r="D363" t="b">
        <v>0</v>
      </c>
    </row>
    <row r="364" spans="1:6" x14ac:dyDescent="0.3">
      <c r="A364" t="s">
        <v>570</v>
      </c>
      <c r="B364">
        <v>19</v>
      </c>
      <c r="C364">
        <v>16</v>
      </c>
      <c r="D364">
        <v>21</v>
      </c>
      <c r="F364">
        <v>132</v>
      </c>
    </row>
    <row r="365" spans="1:6" x14ac:dyDescent="0.3">
      <c r="A365" t="s">
        <v>36</v>
      </c>
      <c r="B365">
        <v>19</v>
      </c>
      <c r="C365">
        <v>4</v>
      </c>
      <c r="D365">
        <v>3</v>
      </c>
      <c r="F365">
        <v>2</v>
      </c>
    </row>
    <row r="366" spans="1:6" x14ac:dyDescent="0.3">
      <c r="A366" t="s">
        <v>506</v>
      </c>
      <c r="B366">
        <v>19</v>
      </c>
      <c r="C366" t="s">
        <v>571</v>
      </c>
      <c r="D366" t="s">
        <v>571</v>
      </c>
      <c r="F366" t="s">
        <v>609</v>
      </c>
    </row>
    <row r="367" spans="1:6" x14ac:dyDescent="0.3">
      <c r="A367" t="s">
        <v>574</v>
      </c>
      <c r="B367">
        <v>19</v>
      </c>
      <c r="C367">
        <v>7582</v>
      </c>
      <c r="D367">
        <v>2522</v>
      </c>
      <c r="F367">
        <v>1265</v>
      </c>
    </row>
    <row r="368" spans="1:6" x14ac:dyDescent="0.3">
      <c r="A368" t="s">
        <v>42</v>
      </c>
      <c r="B368">
        <v>19</v>
      </c>
      <c r="C368">
        <v>55</v>
      </c>
      <c r="D368">
        <v>55</v>
      </c>
      <c r="F368">
        <v>30</v>
      </c>
    </row>
    <row r="369" spans="1:6" x14ac:dyDescent="0.3">
      <c r="A369" t="s">
        <v>575</v>
      </c>
      <c r="B369">
        <v>19</v>
      </c>
      <c r="C369">
        <v>94</v>
      </c>
      <c r="D369">
        <v>31.3</v>
      </c>
      <c r="F369">
        <v>28.8</v>
      </c>
    </row>
    <row r="370" spans="1:6" x14ac:dyDescent="0.3">
      <c r="A370" t="s">
        <v>41</v>
      </c>
      <c r="B370">
        <v>19</v>
      </c>
      <c r="C370">
        <v>0</v>
      </c>
      <c r="D370">
        <v>0</v>
      </c>
      <c r="F370">
        <v>3</v>
      </c>
    </row>
    <row r="371" spans="1:6" x14ac:dyDescent="0.3">
      <c r="A371" t="s">
        <v>576</v>
      </c>
      <c r="B371">
        <v>19</v>
      </c>
      <c r="C371">
        <v>12</v>
      </c>
      <c r="D371">
        <v>12</v>
      </c>
      <c r="F371">
        <v>12</v>
      </c>
    </row>
    <row r="372" spans="1:6" x14ac:dyDescent="0.3">
      <c r="A372" t="s">
        <v>577</v>
      </c>
      <c r="B372">
        <v>19</v>
      </c>
      <c r="C372">
        <v>0</v>
      </c>
      <c r="D372">
        <v>0</v>
      </c>
      <c r="F372">
        <v>0</v>
      </c>
    </row>
    <row r="373" spans="1:6" x14ac:dyDescent="0.3">
      <c r="A373" t="s">
        <v>578</v>
      </c>
      <c r="B373">
        <v>19</v>
      </c>
      <c r="C373">
        <v>0</v>
      </c>
      <c r="D373">
        <v>0</v>
      </c>
      <c r="F373">
        <v>0</v>
      </c>
    </row>
    <row r="374" spans="1:6" x14ac:dyDescent="0.3">
      <c r="A374" t="s">
        <v>579</v>
      </c>
      <c r="B374">
        <v>19</v>
      </c>
      <c r="C374">
        <v>16</v>
      </c>
      <c r="D374">
        <v>16</v>
      </c>
      <c r="F374">
        <v>16</v>
      </c>
    </row>
    <row r="375" spans="1:6" x14ac:dyDescent="0.3">
      <c r="A375" t="s">
        <v>580</v>
      </c>
      <c r="B375">
        <v>19</v>
      </c>
      <c r="C375">
        <v>500</v>
      </c>
      <c r="D375">
        <v>500</v>
      </c>
      <c r="F375">
        <v>500</v>
      </c>
    </row>
    <row r="376" spans="1:6" x14ac:dyDescent="0.3">
      <c r="A376" t="s">
        <v>581</v>
      </c>
      <c r="B376">
        <v>19</v>
      </c>
      <c r="C376">
        <v>2421</v>
      </c>
      <c r="D376">
        <v>2421</v>
      </c>
      <c r="F376">
        <v>1320</v>
      </c>
    </row>
    <row r="377" spans="1:6" x14ac:dyDescent="0.3">
      <c r="A377" t="s">
        <v>582</v>
      </c>
      <c r="B377">
        <v>19</v>
      </c>
      <c r="C377">
        <v>1614</v>
      </c>
      <c r="D377">
        <v>1614</v>
      </c>
      <c r="F377">
        <v>880</v>
      </c>
    </row>
    <row r="378" spans="1:6" x14ac:dyDescent="0.3">
      <c r="A378" t="s">
        <v>583</v>
      </c>
      <c r="B378">
        <v>19</v>
      </c>
      <c r="C378">
        <v>3228</v>
      </c>
      <c r="D378">
        <v>3228</v>
      </c>
      <c r="F378">
        <v>1760</v>
      </c>
    </row>
    <row r="379" spans="1:6" x14ac:dyDescent="0.3">
      <c r="A379" t="s">
        <v>584</v>
      </c>
      <c r="B379">
        <v>19</v>
      </c>
    </row>
    <row r="380" spans="1:6" x14ac:dyDescent="0.3">
      <c r="A380" t="s">
        <v>585</v>
      </c>
      <c r="B380">
        <v>19</v>
      </c>
    </row>
    <row r="381" spans="1:6" x14ac:dyDescent="0.3">
      <c r="A381" t="s">
        <v>586</v>
      </c>
      <c r="B381">
        <v>19</v>
      </c>
    </row>
    <row r="382" spans="1:6" x14ac:dyDescent="0.3">
      <c r="A382" t="s">
        <v>587</v>
      </c>
      <c r="B382">
        <v>19</v>
      </c>
      <c r="C382" t="b">
        <v>0</v>
      </c>
      <c r="D382" t="b">
        <v>0</v>
      </c>
      <c r="F382" t="b">
        <v>0</v>
      </c>
    </row>
    <row r="383" spans="1:6" x14ac:dyDescent="0.3">
      <c r="A383" t="s">
        <v>588</v>
      </c>
      <c r="B383">
        <v>19</v>
      </c>
      <c r="C383" t="b">
        <v>0</v>
      </c>
      <c r="D383" t="b">
        <v>0</v>
      </c>
      <c r="F383" t="b">
        <v>0</v>
      </c>
    </row>
    <row r="384" spans="1:6" x14ac:dyDescent="0.3">
      <c r="A384" t="s">
        <v>570</v>
      </c>
      <c r="B384">
        <v>21</v>
      </c>
      <c r="C384">
        <v>19</v>
      </c>
      <c r="D384">
        <v>61</v>
      </c>
      <c r="E384">
        <v>133</v>
      </c>
      <c r="F384">
        <v>134</v>
      </c>
    </row>
    <row r="385" spans="1:6" x14ac:dyDescent="0.3">
      <c r="A385" t="s">
        <v>36</v>
      </c>
      <c r="B385">
        <v>21</v>
      </c>
      <c r="C385">
        <v>4</v>
      </c>
      <c r="D385">
        <v>4</v>
      </c>
      <c r="E385">
        <v>2</v>
      </c>
      <c r="F385">
        <v>1</v>
      </c>
    </row>
    <row r="386" spans="1:6" x14ac:dyDescent="0.3">
      <c r="A386" t="s">
        <v>506</v>
      </c>
      <c r="B386">
        <v>21</v>
      </c>
      <c r="C386" t="s">
        <v>571</v>
      </c>
      <c r="D386" t="s">
        <v>571</v>
      </c>
      <c r="E386" t="s">
        <v>610</v>
      </c>
      <c r="F386" t="s">
        <v>611</v>
      </c>
    </row>
    <row r="387" spans="1:6" x14ac:dyDescent="0.3">
      <c r="A387" t="s">
        <v>574</v>
      </c>
      <c r="B387">
        <v>21</v>
      </c>
      <c r="C387">
        <v>2522</v>
      </c>
      <c r="D387">
        <v>875</v>
      </c>
      <c r="E387">
        <v>1474</v>
      </c>
      <c r="F387">
        <v>760</v>
      </c>
    </row>
    <row r="388" spans="1:6" x14ac:dyDescent="0.3">
      <c r="A388" t="s">
        <v>42</v>
      </c>
      <c r="B388">
        <v>21</v>
      </c>
      <c r="C388">
        <v>55</v>
      </c>
      <c r="D388">
        <v>55</v>
      </c>
      <c r="E388">
        <v>30</v>
      </c>
      <c r="F388">
        <v>30</v>
      </c>
    </row>
    <row r="389" spans="1:6" x14ac:dyDescent="0.3">
      <c r="A389" t="s">
        <v>575</v>
      </c>
      <c r="B389">
        <v>21</v>
      </c>
      <c r="C389">
        <v>31.3</v>
      </c>
      <c r="D389">
        <v>10.8</v>
      </c>
      <c r="E389">
        <v>33.5</v>
      </c>
      <c r="F389">
        <v>17.3</v>
      </c>
    </row>
    <row r="390" spans="1:6" x14ac:dyDescent="0.3">
      <c r="A390" t="s">
        <v>41</v>
      </c>
      <c r="B390">
        <v>21</v>
      </c>
      <c r="C390">
        <v>0</v>
      </c>
      <c r="D390">
        <v>0</v>
      </c>
      <c r="E390">
        <v>0</v>
      </c>
      <c r="F390">
        <v>3</v>
      </c>
    </row>
    <row r="391" spans="1:6" x14ac:dyDescent="0.3">
      <c r="A391" t="s">
        <v>576</v>
      </c>
      <c r="B391">
        <v>21</v>
      </c>
      <c r="C391">
        <v>12</v>
      </c>
      <c r="D391">
        <v>12</v>
      </c>
      <c r="E391">
        <v>0</v>
      </c>
      <c r="F391">
        <v>0</v>
      </c>
    </row>
    <row r="392" spans="1:6" x14ac:dyDescent="0.3">
      <c r="A392" t="s">
        <v>577</v>
      </c>
      <c r="B392">
        <v>21</v>
      </c>
      <c r="C392">
        <v>0</v>
      </c>
      <c r="D392">
        <v>0</v>
      </c>
      <c r="E392">
        <v>0</v>
      </c>
      <c r="F392">
        <v>0</v>
      </c>
    </row>
    <row r="393" spans="1:6" x14ac:dyDescent="0.3">
      <c r="A393" t="s">
        <v>578</v>
      </c>
      <c r="B393">
        <v>21</v>
      </c>
      <c r="C393">
        <v>0</v>
      </c>
      <c r="D393">
        <v>0</v>
      </c>
      <c r="E393">
        <v>0</v>
      </c>
      <c r="F393">
        <v>0</v>
      </c>
    </row>
    <row r="394" spans="1:6" x14ac:dyDescent="0.3">
      <c r="A394" t="s">
        <v>579</v>
      </c>
      <c r="B394">
        <v>21</v>
      </c>
      <c r="C394">
        <v>16</v>
      </c>
      <c r="D394">
        <v>16</v>
      </c>
      <c r="E394">
        <v>16</v>
      </c>
      <c r="F394">
        <v>16</v>
      </c>
    </row>
    <row r="395" spans="1:6" x14ac:dyDescent="0.3">
      <c r="A395" t="s">
        <v>580</v>
      </c>
      <c r="B395">
        <v>21</v>
      </c>
      <c r="C395">
        <v>500</v>
      </c>
      <c r="D395">
        <v>500</v>
      </c>
      <c r="E395">
        <v>500</v>
      </c>
      <c r="F395">
        <v>500</v>
      </c>
    </row>
    <row r="396" spans="1:6" x14ac:dyDescent="0.3">
      <c r="A396" t="s">
        <v>581</v>
      </c>
      <c r="B396">
        <v>21</v>
      </c>
      <c r="C396">
        <v>2421</v>
      </c>
      <c r="D396">
        <v>2421</v>
      </c>
      <c r="E396">
        <v>1320</v>
      </c>
      <c r="F396">
        <v>1320</v>
      </c>
    </row>
    <row r="397" spans="1:6" x14ac:dyDescent="0.3">
      <c r="A397" t="s">
        <v>582</v>
      </c>
      <c r="B397">
        <v>21</v>
      </c>
      <c r="C397">
        <v>1614</v>
      </c>
      <c r="D397">
        <v>1614</v>
      </c>
      <c r="E397">
        <v>880</v>
      </c>
      <c r="F397">
        <v>880</v>
      </c>
    </row>
    <row r="398" spans="1:6" x14ac:dyDescent="0.3">
      <c r="A398" t="s">
        <v>583</v>
      </c>
      <c r="B398">
        <v>21</v>
      </c>
      <c r="C398">
        <v>3228</v>
      </c>
      <c r="D398">
        <v>3228</v>
      </c>
      <c r="E398">
        <v>1760</v>
      </c>
      <c r="F398">
        <v>1760</v>
      </c>
    </row>
    <row r="399" spans="1:6" x14ac:dyDescent="0.3">
      <c r="A399" t="s">
        <v>584</v>
      </c>
      <c r="B399">
        <v>21</v>
      </c>
    </row>
    <row r="400" spans="1:6" x14ac:dyDescent="0.3">
      <c r="A400" t="s">
        <v>585</v>
      </c>
      <c r="B400">
        <v>21</v>
      </c>
    </row>
    <row r="401" spans="1:6" x14ac:dyDescent="0.3">
      <c r="A401" t="s">
        <v>586</v>
      </c>
      <c r="B401">
        <v>21</v>
      </c>
    </row>
    <row r="402" spans="1:6" x14ac:dyDescent="0.3">
      <c r="A402" t="s">
        <v>587</v>
      </c>
      <c r="B402">
        <v>21</v>
      </c>
      <c r="C402" t="b">
        <v>0</v>
      </c>
      <c r="D402" t="b">
        <v>0</v>
      </c>
      <c r="E402" t="b">
        <v>0</v>
      </c>
      <c r="F402" t="b">
        <v>0</v>
      </c>
    </row>
    <row r="403" spans="1:6" x14ac:dyDescent="0.3">
      <c r="A403" t="s">
        <v>588</v>
      </c>
      <c r="B403">
        <v>21</v>
      </c>
      <c r="C403" t="b">
        <v>0</v>
      </c>
      <c r="D403" t="b">
        <v>0</v>
      </c>
      <c r="E403" t="b">
        <v>0</v>
      </c>
      <c r="F403" t="b">
        <v>0</v>
      </c>
    </row>
    <row r="404" spans="1:6" x14ac:dyDescent="0.3">
      <c r="A404" t="s">
        <v>570</v>
      </c>
      <c r="B404">
        <v>22</v>
      </c>
      <c r="C404">
        <v>46</v>
      </c>
      <c r="D404">
        <v>23</v>
      </c>
      <c r="E404">
        <v>115</v>
      </c>
      <c r="F404">
        <v>11</v>
      </c>
    </row>
    <row r="405" spans="1:6" x14ac:dyDescent="0.3">
      <c r="A405" t="s">
        <v>36</v>
      </c>
      <c r="B405">
        <v>22</v>
      </c>
      <c r="C405">
        <v>4</v>
      </c>
      <c r="D405">
        <v>4</v>
      </c>
      <c r="E405">
        <v>1</v>
      </c>
      <c r="F405">
        <v>2</v>
      </c>
    </row>
    <row r="406" spans="1:6" x14ac:dyDescent="0.3">
      <c r="A406" t="s">
        <v>506</v>
      </c>
      <c r="B406">
        <v>22</v>
      </c>
      <c r="C406" t="s">
        <v>598</v>
      </c>
      <c r="D406" t="s">
        <v>598</v>
      </c>
      <c r="E406" t="s">
        <v>599</v>
      </c>
      <c r="F406" t="s">
        <v>599</v>
      </c>
    </row>
    <row r="407" spans="1:6" x14ac:dyDescent="0.3">
      <c r="A407" t="s">
        <v>574</v>
      </c>
      <c r="B407">
        <v>22</v>
      </c>
      <c r="C407">
        <v>358</v>
      </c>
      <c r="D407">
        <v>773</v>
      </c>
      <c r="E407">
        <v>931</v>
      </c>
      <c r="F407">
        <v>713</v>
      </c>
    </row>
    <row r="408" spans="1:6" x14ac:dyDescent="0.3">
      <c r="A408" t="s">
        <v>42</v>
      </c>
      <c r="B408">
        <v>22</v>
      </c>
      <c r="C408">
        <v>45</v>
      </c>
      <c r="D408">
        <v>30</v>
      </c>
      <c r="E408">
        <v>30</v>
      </c>
      <c r="F408">
        <v>30</v>
      </c>
    </row>
    <row r="409" spans="1:6" x14ac:dyDescent="0.3">
      <c r="A409" t="s">
        <v>575</v>
      </c>
      <c r="B409">
        <v>22</v>
      </c>
      <c r="C409">
        <v>5.4</v>
      </c>
      <c r="D409">
        <v>17.600000000000001</v>
      </c>
      <c r="E409">
        <v>21.2</v>
      </c>
      <c r="F409">
        <v>16.2</v>
      </c>
    </row>
    <row r="410" spans="1:6" x14ac:dyDescent="0.3">
      <c r="A410" t="s">
        <v>41</v>
      </c>
      <c r="B410">
        <v>22</v>
      </c>
      <c r="C410">
        <v>0</v>
      </c>
      <c r="D410">
        <v>0</v>
      </c>
      <c r="E410">
        <v>0</v>
      </c>
      <c r="F410">
        <v>0</v>
      </c>
    </row>
    <row r="411" spans="1:6" x14ac:dyDescent="0.3">
      <c r="A411" t="s">
        <v>576</v>
      </c>
      <c r="B411">
        <v>22</v>
      </c>
      <c r="C411">
        <v>12</v>
      </c>
      <c r="D411">
        <v>12</v>
      </c>
      <c r="E411">
        <v>12</v>
      </c>
      <c r="F411">
        <v>12</v>
      </c>
    </row>
    <row r="412" spans="1:6" x14ac:dyDescent="0.3">
      <c r="A412" t="s">
        <v>577</v>
      </c>
      <c r="B412">
        <v>22</v>
      </c>
      <c r="C412">
        <v>0</v>
      </c>
      <c r="D412">
        <v>0</v>
      </c>
      <c r="E412">
        <v>0</v>
      </c>
      <c r="F412">
        <v>0</v>
      </c>
    </row>
    <row r="413" spans="1:6" x14ac:dyDescent="0.3">
      <c r="A413" t="s">
        <v>578</v>
      </c>
      <c r="B413">
        <v>22</v>
      </c>
      <c r="C413">
        <v>0</v>
      </c>
      <c r="D413">
        <v>0</v>
      </c>
      <c r="E413">
        <v>0</v>
      </c>
      <c r="F413">
        <v>0</v>
      </c>
    </row>
    <row r="414" spans="1:6" x14ac:dyDescent="0.3">
      <c r="A414" t="s">
        <v>579</v>
      </c>
      <c r="B414">
        <v>22</v>
      </c>
      <c r="C414">
        <v>16</v>
      </c>
      <c r="D414">
        <v>16</v>
      </c>
      <c r="E414">
        <v>16</v>
      </c>
      <c r="F414">
        <v>16</v>
      </c>
    </row>
    <row r="415" spans="1:6" x14ac:dyDescent="0.3">
      <c r="A415" t="s">
        <v>580</v>
      </c>
      <c r="B415">
        <v>22</v>
      </c>
      <c r="C415">
        <v>500</v>
      </c>
      <c r="D415">
        <v>500</v>
      </c>
      <c r="E415">
        <v>500</v>
      </c>
      <c r="F415">
        <v>500</v>
      </c>
    </row>
    <row r="416" spans="1:6" x14ac:dyDescent="0.3">
      <c r="A416" t="s">
        <v>581</v>
      </c>
      <c r="B416">
        <v>22</v>
      </c>
      <c r="C416">
        <v>1980</v>
      </c>
      <c r="D416">
        <v>1320</v>
      </c>
      <c r="E416">
        <v>1320</v>
      </c>
      <c r="F416">
        <v>1320</v>
      </c>
    </row>
    <row r="417" spans="1:6" x14ac:dyDescent="0.3">
      <c r="A417" t="s">
        <v>582</v>
      </c>
      <c r="B417">
        <v>22</v>
      </c>
      <c r="C417">
        <v>1320</v>
      </c>
      <c r="D417">
        <v>880</v>
      </c>
      <c r="E417">
        <v>880</v>
      </c>
      <c r="F417">
        <v>880</v>
      </c>
    </row>
    <row r="418" spans="1:6" x14ac:dyDescent="0.3">
      <c r="A418" t="s">
        <v>583</v>
      </c>
      <c r="B418">
        <v>22</v>
      </c>
      <c r="C418">
        <v>2640</v>
      </c>
      <c r="D418">
        <v>1760</v>
      </c>
      <c r="E418">
        <v>1760</v>
      </c>
      <c r="F418">
        <v>1760</v>
      </c>
    </row>
    <row r="419" spans="1:6" x14ac:dyDescent="0.3">
      <c r="A419" t="s">
        <v>584</v>
      </c>
      <c r="B419">
        <v>22</v>
      </c>
    </row>
    <row r="420" spans="1:6" x14ac:dyDescent="0.3">
      <c r="A420" t="s">
        <v>585</v>
      </c>
      <c r="B420">
        <v>22</v>
      </c>
    </row>
    <row r="421" spans="1:6" x14ac:dyDescent="0.3">
      <c r="A421" t="s">
        <v>586</v>
      </c>
      <c r="B421">
        <v>22</v>
      </c>
    </row>
    <row r="422" spans="1:6" x14ac:dyDescent="0.3">
      <c r="A422" t="s">
        <v>587</v>
      </c>
      <c r="B422">
        <v>22</v>
      </c>
      <c r="C422" t="b">
        <v>0</v>
      </c>
      <c r="D422" t="b">
        <v>0</v>
      </c>
      <c r="E422" t="b">
        <v>0</v>
      </c>
      <c r="F422" t="b">
        <v>0</v>
      </c>
    </row>
    <row r="423" spans="1:6" x14ac:dyDescent="0.3">
      <c r="A423" t="s">
        <v>588</v>
      </c>
      <c r="B423">
        <v>22</v>
      </c>
      <c r="C423" t="b">
        <v>0</v>
      </c>
      <c r="D423" t="b">
        <v>0</v>
      </c>
      <c r="E423" t="b">
        <v>0</v>
      </c>
      <c r="F423" t="b">
        <v>0</v>
      </c>
    </row>
    <row r="424" spans="1:6" x14ac:dyDescent="0.3">
      <c r="A424" t="s">
        <v>570</v>
      </c>
      <c r="B424">
        <v>23</v>
      </c>
      <c r="C424">
        <v>22</v>
      </c>
      <c r="D424">
        <v>24</v>
      </c>
      <c r="E424">
        <v>117</v>
      </c>
      <c r="F424">
        <v>17</v>
      </c>
    </row>
    <row r="425" spans="1:6" x14ac:dyDescent="0.3">
      <c r="A425" t="s">
        <v>36</v>
      </c>
      <c r="B425">
        <v>23</v>
      </c>
      <c r="C425">
        <v>4</v>
      </c>
      <c r="D425">
        <v>4</v>
      </c>
      <c r="E425">
        <v>1</v>
      </c>
      <c r="F425">
        <v>2</v>
      </c>
    </row>
    <row r="426" spans="1:6" x14ac:dyDescent="0.3">
      <c r="A426" t="s">
        <v>506</v>
      </c>
      <c r="B426">
        <v>23</v>
      </c>
      <c r="C426" t="s">
        <v>598</v>
      </c>
      <c r="D426" t="s">
        <v>598</v>
      </c>
      <c r="E426" t="s">
        <v>600</v>
      </c>
      <c r="F426" t="s">
        <v>600</v>
      </c>
    </row>
    <row r="427" spans="1:6" x14ac:dyDescent="0.3">
      <c r="A427" t="s">
        <v>574</v>
      </c>
      <c r="B427">
        <v>23</v>
      </c>
      <c r="C427">
        <v>773</v>
      </c>
      <c r="D427">
        <v>1523</v>
      </c>
      <c r="E427">
        <v>1131</v>
      </c>
      <c r="F427">
        <v>523</v>
      </c>
    </row>
    <row r="428" spans="1:6" x14ac:dyDescent="0.3">
      <c r="A428" t="s">
        <v>42</v>
      </c>
      <c r="B428">
        <v>23</v>
      </c>
      <c r="C428">
        <v>45</v>
      </c>
      <c r="D428">
        <v>45</v>
      </c>
      <c r="E428">
        <v>30</v>
      </c>
      <c r="F428">
        <v>30</v>
      </c>
    </row>
    <row r="429" spans="1:6" x14ac:dyDescent="0.3">
      <c r="A429" t="s">
        <v>575</v>
      </c>
      <c r="B429">
        <v>23</v>
      </c>
      <c r="C429">
        <v>11.7</v>
      </c>
      <c r="D429">
        <v>23.1</v>
      </c>
      <c r="E429">
        <v>25.7</v>
      </c>
      <c r="F429">
        <v>11.9</v>
      </c>
    </row>
    <row r="430" spans="1:6" x14ac:dyDescent="0.3">
      <c r="A430" t="s">
        <v>41</v>
      </c>
      <c r="B430">
        <v>23</v>
      </c>
      <c r="C430">
        <v>0</v>
      </c>
      <c r="D430">
        <v>0</v>
      </c>
      <c r="E430">
        <v>0</v>
      </c>
      <c r="F430">
        <v>0</v>
      </c>
    </row>
    <row r="431" spans="1:6" x14ac:dyDescent="0.3">
      <c r="A431" t="s">
        <v>576</v>
      </c>
      <c r="B431">
        <v>23</v>
      </c>
      <c r="C431">
        <v>12</v>
      </c>
      <c r="D431">
        <v>12</v>
      </c>
      <c r="E431">
        <v>12</v>
      </c>
      <c r="F431">
        <v>12</v>
      </c>
    </row>
    <row r="432" spans="1:6" x14ac:dyDescent="0.3">
      <c r="A432" t="s">
        <v>577</v>
      </c>
      <c r="B432">
        <v>23</v>
      </c>
      <c r="C432">
        <v>0</v>
      </c>
      <c r="D432">
        <v>0</v>
      </c>
      <c r="E432">
        <v>0</v>
      </c>
      <c r="F432">
        <v>0</v>
      </c>
    </row>
    <row r="433" spans="1:6" x14ac:dyDescent="0.3">
      <c r="A433" t="s">
        <v>578</v>
      </c>
      <c r="B433">
        <v>23</v>
      </c>
      <c r="C433">
        <v>0</v>
      </c>
      <c r="D433">
        <v>0</v>
      </c>
      <c r="E433">
        <v>0</v>
      </c>
      <c r="F433">
        <v>0</v>
      </c>
    </row>
    <row r="434" spans="1:6" x14ac:dyDescent="0.3">
      <c r="A434" t="s">
        <v>579</v>
      </c>
      <c r="B434">
        <v>23</v>
      </c>
      <c r="C434">
        <v>16</v>
      </c>
      <c r="D434">
        <v>16</v>
      </c>
      <c r="E434">
        <v>16</v>
      </c>
      <c r="F434">
        <v>16</v>
      </c>
    </row>
    <row r="435" spans="1:6" x14ac:dyDescent="0.3">
      <c r="A435" t="s">
        <v>580</v>
      </c>
      <c r="B435">
        <v>23</v>
      </c>
      <c r="C435">
        <v>500</v>
      </c>
      <c r="D435">
        <v>500</v>
      </c>
      <c r="E435">
        <v>500</v>
      </c>
      <c r="F435">
        <v>500</v>
      </c>
    </row>
    <row r="436" spans="1:6" x14ac:dyDescent="0.3">
      <c r="A436" t="s">
        <v>581</v>
      </c>
      <c r="B436">
        <v>23</v>
      </c>
      <c r="C436">
        <v>1980</v>
      </c>
      <c r="D436">
        <v>1980</v>
      </c>
      <c r="E436">
        <v>1320</v>
      </c>
      <c r="F436">
        <v>1320</v>
      </c>
    </row>
    <row r="437" spans="1:6" x14ac:dyDescent="0.3">
      <c r="A437" t="s">
        <v>582</v>
      </c>
      <c r="B437">
        <v>23</v>
      </c>
      <c r="C437">
        <v>1320</v>
      </c>
      <c r="D437">
        <v>1320</v>
      </c>
      <c r="E437">
        <v>880</v>
      </c>
      <c r="F437">
        <v>880</v>
      </c>
    </row>
    <row r="438" spans="1:6" x14ac:dyDescent="0.3">
      <c r="A438" t="s">
        <v>583</v>
      </c>
      <c r="B438">
        <v>23</v>
      </c>
      <c r="C438">
        <v>2640</v>
      </c>
      <c r="D438">
        <v>2640</v>
      </c>
      <c r="E438">
        <v>1760</v>
      </c>
      <c r="F438">
        <v>1760</v>
      </c>
    </row>
    <row r="439" spans="1:6" x14ac:dyDescent="0.3">
      <c r="A439" t="s">
        <v>584</v>
      </c>
      <c r="B439">
        <v>23</v>
      </c>
    </row>
    <row r="440" spans="1:6" x14ac:dyDescent="0.3">
      <c r="A440" t="s">
        <v>585</v>
      </c>
      <c r="B440">
        <v>23</v>
      </c>
    </row>
    <row r="441" spans="1:6" x14ac:dyDescent="0.3">
      <c r="A441" t="s">
        <v>586</v>
      </c>
      <c r="B441">
        <v>23</v>
      </c>
    </row>
    <row r="442" spans="1:6" x14ac:dyDescent="0.3">
      <c r="A442" t="s">
        <v>587</v>
      </c>
      <c r="B442">
        <v>23</v>
      </c>
      <c r="C442" t="b">
        <v>0</v>
      </c>
      <c r="D442" t="b">
        <v>0</v>
      </c>
      <c r="E442" t="b">
        <v>0</v>
      </c>
      <c r="F442" t="b">
        <v>0</v>
      </c>
    </row>
    <row r="443" spans="1:6" x14ac:dyDescent="0.3">
      <c r="A443" t="s">
        <v>588</v>
      </c>
      <c r="B443">
        <v>23</v>
      </c>
      <c r="C443" t="b">
        <v>0</v>
      </c>
      <c r="D443" t="b">
        <v>0</v>
      </c>
      <c r="E443" t="b">
        <v>0</v>
      </c>
      <c r="F443" t="b">
        <v>0</v>
      </c>
    </row>
    <row r="444" spans="1:6" x14ac:dyDescent="0.3">
      <c r="A444" t="s">
        <v>570</v>
      </c>
      <c r="B444">
        <v>24</v>
      </c>
      <c r="C444">
        <v>23</v>
      </c>
      <c r="D444">
        <v>25</v>
      </c>
      <c r="E444">
        <v>119</v>
      </c>
      <c r="F444">
        <v>13</v>
      </c>
    </row>
    <row r="445" spans="1:6" x14ac:dyDescent="0.3">
      <c r="A445" t="s">
        <v>36</v>
      </c>
      <c r="B445">
        <v>24</v>
      </c>
      <c r="C445">
        <v>4</v>
      </c>
      <c r="D445">
        <v>4</v>
      </c>
      <c r="E445">
        <v>1</v>
      </c>
      <c r="F445">
        <v>2</v>
      </c>
    </row>
    <row r="446" spans="1:6" x14ac:dyDescent="0.3">
      <c r="A446" t="s">
        <v>506</v>
      </c>
      <c r="B446">
        <v>24</v>
      </c>
      <c r="C446" t="s">
        <v>598</v>
      </c>
      <c r="D446" t="s">
        <v>598</v>
      </c>
      <c r="E446" t="s">
        <v>612</v>
      </c>
      <c r="F446" t="s">
        <v>730</v>
      </c>
    </row>
    <row r="447" spans="1:6" x14ac:dyDescent="0.3">
      <c r="A447" t="s">
        <v>574</v>
      </c>
      <c r="B447">
        <v>24</v>
      </c>
      <c r="C447">
        <v>1523</v>
      </c>
      <c r="D447">
        <v>2106</v>
      </c>
      <c r="E447">
        <v>787</v>
      </c>
      <c r="F447">
        <v>1247</v>
      </c>
    </row>
    <row r="448" spans="1:6" x14ac:dyDescent="0.3">
      <c r="A448" t="s">
        <v>42</v>
      </c>
      <c r="B448">
        <v>24</v>
      </c>
      <c r="C448">
        <v>45</v>
      </c>
      <c r="D448">
        <v>45</v>
      </c>
      <c r="E448">
        <v>30</v>
      </c>
      <c r="F448">
        <v>30</v>
      </c>
    </row>
    <row r="449" spans="1:6" x14ac:dyDescent="0.3">
      <c r="A449" t="s">
        <v>575</v>
      </c>
      <c r="B449">
        <v>24</v>
      </c>
      <c r="C449">
        <v>23.1</v>
      </c>
      <c r="D449">
        <v>31.9</v>
      </c>
      <c r="E449">
        <v>17.899999999999999</v>
      </c>
      <c r="F449">
        <v>28.3</v>
      </c>
    </row>
    <row r="450" spans="1:6" x14ac:dyDescent="0.3">
      <c r="A450" t="s">
        <v>41</v>
      </c>
      <c r="B450">
        <v>24</v>
      </c>
      <c r="C450">
        <v>0</v>
      </c>
      <c r="D450">
        <v>0</v>
      </c>
      <c r="E450">
        <v>0</v>
      </c>
      <c r="F450">
        <v>0</v>
      </c>
    </row>
    <row r="451" spans="1:6" x14ac:dyDescent="0.3">
      <c r="A451" t="s">
        <v>576</v>
      </c>
      <c r="B451">
        <v>24</v>
      </c>
      <c r="C451">
        <v>12</v>
      </c>
      <c r="D451">
        <v>12</v>
      </c>
      <c r="E451">
        <v>0</v>
      </c>
      <c r="F451">
        <v>0</v>
      </c>
    </row>
    <row r="452" spans="1:6" x14ac:dyDescent="0.3">
      <c r="A452" t="s">
        <v>577</v>
      </c>
      <c r="B452">
        <v>24</v>
      </c>
      <c r="C452">
        <v>0</v>
      </c>
      <c r="D452">
        <v>0</v>
      </c>
      <c r="E452">
        <v>0</v>
      </c>
      <c r="F452">
        <v>0</v>
      </c>
    </row>
    <row r="453" spans="1:6" x14ac:dyDescent="0.3">
      <c r="A453" t="s">
        <v>578</v>
      </c>
      <c r="B453">
        <v>24</v>
      </c>
      <c r="C453">
        <v>0</v>
      </c>
      <c r="D453">
        <v>0</v>
      </c>
      <c r="E453">
        <v>0</v>
      </c>
      <c r="F453">
        <v>0</v>
      </c>
    </row>
    <row r="454" spans="1:6" x14ac:dyDescent="0.3">
      <c r="A454" t="s">
        <v>579</v>
      </c>
      <c r="B454">
        <v>24</v>
      </c>
      <c r="C454">
        <v>16</v>
      </c>
      <c r="D454">
        <v>16</v>
      </c>
      <c r="E454">
        <v>16</v>
      </c>
      <c r="F454">
        <v>16</v>
      </c>
    </row>
    <row r="455" spans="1:6" x14ac:dyDescent="0.3">
      <c r="A455" t="s">
        <v>580</v>
      </c>
      <c r="B455">
        <v>24</v>
      </c>
      <c r="C455">
        <v>500</v>
      </c>
      <c r="D455">
        <v>500</v>
      </c>
      <c r="E455">
        <v>500</v>
      </c>
      <c r="F455">
        <v>500</v>
      </c>
    </row>
    <row r="456" spans="1:6" x14ac:dyDescent="0.3">
      <c r="A456" t="s">
        <v>581</v>
      </c>
      <c r="B456">
        <v>24</v>
      </c>
      <c r="C456">
        <v>1980</v>
      </c>
      <c r="D456">
        <v>1980</v>
      </c>
      <c r="E456">
        <v>1320</v>
      </c>
      <c r="F456">
        <v>1320</v>
      </c>
    </row>
    <row r="457" spans="1:6" x14ac:dyDescent="0.3">
      <c r="A457" t="s">
        <v>582</v>
      </c>
      <c r="B457">
        <v>24</v>
      </c>
      <c r="C457">
        <v>1320</v>
      </c>
      <c r="D457">
        <v>1320</v>
      </c>
      <c r="E457">
        <v>880</v>
      </c>
      <c r="F457">
        <v>880</v>
      </c>
    </row>
    <row r="458" spans="1:6" x14ac:dyDescent="0.3">
      <c r="A458" t="s">
        <v>583</v>
      </c>
      <c r="B458">
        <v>24</v>
      </c>
      <c r="C458">
        <v>2640</v>
      </c>
      <c r="D458">
        <v>2640</v>
      </c>
      <c r="E458">
        <v>1760</v>
      </c>
      <c r="F458">
        <v>1760</v>
      </c>
    </row>
    <row r="459" spans="1:6" x14ac:dyDescent="0.3">
      <c r="A459" t="s">
        <v>584</v>
      </c>
      <c r="B459">
        <v>24</v>
      </c>
    </row>
    <row r="460" spans="1:6" x14ac:dyDescent="0.3">
      <c r="A460" t="s">
        <v>585</v>
      </c>
      <c r="B460">
        <v>24</v>
      </c>
    </row>
    <row r="461" spans="1:6" x14ac:dyDescent="0.3">
      <c r="A461" t="s">
        <v>586</v>
      </c>
      <c r="B461">
        <v>24</v>
      </c>
    </row>
    <row r="462" spans="1:6" x14ac:dyDescent="0.3">
      <c r="A462" t="s">
        <v>587</v>
      </c>
      <c r="B462">
        <v>24</v>
      </c>
      <c r="C462" t="b">
        <v>0</v>
      </c>
      <c r="D462" t="b">
        <v>0</v>
      </c>
      <c r="E462" t="b">
        <v>0</v>
      </c>
      <c r="F462" t="b">
        <v>0</v>
      </c>
    </row>
    <row r="463" spans="1:6" x14ac:dyDescent="0.3">
      <c r="A463" t="s">
        <v>588</v>
      </c>
      <c r="B463">
        <v>24</v>
      </c>
      <c r="C463" t="b">
        <v>0</v>
      </c>
      <c r="D463" t="b">
        <v>0</v>
      </c>
      <c r="E463" t="b">
        <v>0</v>
      </c>
      <c r="F463" t="b">
        <v>0</v>
      </c>
    </row>
    <row r="464" spans="1:6" x14ac:dyDescent="0.3">
      <c r="A464" t="s">
        <v>570</v>
      </c>
      <c r="B464">
        <v>25</v>
      </c>
      <c r="C464">
        <v>24</v>
      </c>
      <c r="D464">
        <v>26</v>
      </c>
      <c r="E464">
        <v>121</v>
      </c>
      <c r="F464">
        <v>122</v>
      </c>
    </row>
    <row r="465" spans="1:6" x14ac:dyDescent="0.3">
      <c r="A465" t="s">
        <v>36</v>
      </c>
      <c r="B465">
        <v>25</v>
      </c>
      <c r="C465">
        <v>4</v>
      </c>
      <c r="D465">
        <v>4</v>
      </c>
      <c r="E465">
        <v>2</v>
      </c>
      <c r="F465">
        <v>2</v>
      </c>
    </row>
    <row r="466" spans="1:6" x14ac:dyDescent="0.3">
      <c r="A466" t="s">
        <v>506</v>
      </c>
      <c r="B466">
        <v>25</v>
      </c>
      <c r="C466" t="s">
        <v>598</v>
      </c>
      <c r="D466" t="s">
        <v>613</v>
      </c>
      <c r="E466" t="s">
        <v>614</v>
      </c>
      <c r="F466" t="s">
        <v>614</v>
      </c>
    </row>
    <row r="467" spans="1:6" x14ac:dyDescent="0.3">
      <c r="A467" t="s">
        <v>574</v>
      </c>
      <c r="B467">
        <v>25</v>
      </c>
      <c r="C467">
        <v>2106</v>
      </c>
      <c r="D467">
        <v>1026</v>
      </c>
      <c r="E467">
        <v>1101</v>
      </c>
      <c r="F467">
        <v>919</v>
      </c>
    </row>
    <row r="468" spans="1:6" x14ac:dyDescent="0.3">
      <c r="A468" t="s">
        <v>42</v>
      </c>
      <c r="B468">
        <v>25</v>
      </c>
      <c r="C468">
        <v>45</v>
      </c>
      <c r="D468">
        <v>45</v>
      </c>
      <c r="E468">
        <v>30</v>
      </c>
      <c r="F468">
        <v>30</v>
      </c>
    </row>
    <row r="469" spans="1:6" x14ac:dyDescent="0.3">
      <c r="A469" t="s">
        <v>575</v>
      </c>
      <c r="B469">
        <v>25</v>
      </c>
      <c r="C469">
        <v>31.9</v>
      </c>
      <c r="D469">
        <v>15.5</v>
      </c>
      <c r="E469">
        <v>25</v>
      </c>
      <c r="F469">
        <v>20.9</v>
      </c>
    </row>
    <row r="470" spans="1:6" x14ac:dyDescent="0.3">
      <c r="A470" t="s">
        <v>41</v>
      </c>
      <c r="B470">
        <v>25</v>
      </c>
      <c r="C470">
        <v>0</v>
      </c>
      <c r="D470">
        <v>0</v>
      </c>
      <c r="E470">
        <v>0</v>
      </c>
      <c r="F470">
        <v>0</v>
      </c>
    </row>
    <row r="471" spans="1:6" x14ac:dyDescent="0.3">
      <c r="A471" t="s">
        <v>576</v>
      </c>
      <c r="B471">
        <v>25</v>
      </c>
      <c r="C471">
        <v>12</v>
      </c>
      <c r="D471">
        <v>12</v>
      </c>
      <c r="E471">
        <v>0</v>
      </c>
      <c r="F471">
        <v>0</v>
      </c>
    </row>
    <row r="472" spans="1:6" x14ac:dyDescent="0.3">
      <c r="A472" t="s">
        <v>577</v>
      </c>
      <c r="B472">
        <v>25</v>
      </c>
      <c r="C472">
        <v>0</v>
      </c>
      <c r="D472">
        <v>0</v>
      </c>
      <c r="E472">
        <v>0</v>
      </c>
      <c r="F472">
        <v>0</v>
      </c>
    </row>
    <row r="473" spans="1:6" x14ac:dyDescent="0.3">
      <c r="A473" t="s">
        <v>578</v>
      </c>
      <c r="B473">
        <v>25</v>
      </c>
      <c r="C473">
        <v>0</v>
      </c>
      <c r="D473">
        <v>0</v>
      </c>
      <c r="E473">
        <v>0</v>
      </c>
      <c r="F473">
        <v>0</v>
      </c>
    </row>
    <row r="474" spans="1:6" x14ac:dyDescent="0.3">
      <c r="A474" t="s">
        <v>579</v>
      </c>
      <c r="B474">
        <v>25</v>
      </c>
      <c r="C474">
        <v>16</v>
      </c>
      <c r="D474">
        <v>16</v>
      </c>
      <c r="E474">
        <v>16</v>
      </c>
      <c r="F474">
        <v>16</v>
      </c>
    </row>
    <row r="475" spans="1:6" x14ac:dyDescent="0.3">
      <c r="A475" t="s">
        <v>580</v>
      </c>
      <c r="B475">
        <v>25</v>
      </c>
      <c r="C475">
        <v>500</v>
      </c>
      <c r="D475">
        <v>500</v>
      </c>
      <c r="E475">
        <v>500</v>
      </c>
      <c r="F475">
        <v>500</v>
      </c>
    </row>
    <row r="476" spans="1:6" x14ac:dyDescent="0.3">
      <c r="A476" t="s">
        <v>581</v>
      </c>
      <c r="B476">
        <v>25</v>
      </c>
      <c r="C476">
        <v>1980</v>
      </c>
      <c r="D476">
        <v>1980</v>
      </c>
      <c r="E476">
        <v>1320</v>
      </c>
      <c r="F476">
        <v>1320</v>
      </c>
    </row>
    <row r="477" spans="1:6" x14ac:dyDescent="0.3">
      <c r="A477" t="s">
        <v>582</v>
      </c>
      <c r="B477">
        <v>25</v>
      </c>
      <c r="C477">
        <v>1320</v>
      </c>
      <c r="D477">
        <v>1320</v>
      </c>
      <c r="E477">
        <v>880</v>
      </c>
      <c r="F477">
        <v>880</v>
      </c>
    </row>
    <row r="478" spans="1:6" x14ac:dyDescent="0.3">
      <c r="A478" t="s">
        <v>583</v>
      </c>
      <c r="B478">
        <v>25</v>
      </c>
      <c r="C478">
        <v>2640</v>
      </c>
      <c r="D478">
        <v>2640</v>
      </c>
      <c r="E478">
        <v>1760</v>
      </c>
      <c r="F478">
        <v>1760</v>
      </c>
    </row>
    <row r="479" spans="1:6" x14ac:dyDescent="0.3">
      <c r="A479" t="s">
        <v>584</v>
      </c>
      <c r="B479">
        <v>25</v>
      </c>
    </row>
    <row r="480" spans="1:6" x14ac:dyDescent="0.3">
      <c r="A480" t="s">
        <v>585</v>
      </c>
      <c r="B480">
        <v>25</v>
      </c>
    </row>
    <row r="481" spans="1:6" x14ac:dyDescent="0.3">
      <c r="A481" t="s">
        <v>586</v>
      </c>
      <c r="B481">
        <v>25</v>
      </c>
    </row>
    <row r="482" spans="1:6" x14ac:dyDescent="0.3">
      <c r="A482" t="s">
        <v>587</v>
      </c>
      <c r="B482">
        <v>25</v>
      </c>
      <c r="C482" t="b">
        <v>0</v>
      </c>
      <c r="D482" t="b">
        <v>0</v>
      </c>
      <c r="E482" t="b">
        <v>0</v>
      </c>
      <c r="F482" t="b">
        <v>0</v>
      </c>
    </row>
    <row r="483" spans="1:6" x14ac:dyDescent="0.3">
      <c r="A483" t="s">
        <v>588</v>
      </c>
      <c r="B483">
        <v>25</v>
      </c>
      <c r="C483" t="b">
        <v>0</v>
      </c>
      <c r="D483" t="b">
        <v>0</v>
      </c>
      <c r="E483" t="b">
        <v>0</v>
      </c>
      <c r="F483" t="b">
        <v>0</v>
      </c>
    </row>
    <row r="484" spans="1:6" x14ac:dyDescent="0.3">
      <c r="A484" t="s">
        <v>570</v>
      </c>
      <c r="B484">
        <v>26</v>
      </c>
      <c r="C484">
        <v>25</v>
      </c>
      <c r="D484">
        <v>127</v>
      </c>
      <c r="E484">
        <v>125</v>
      </c>
      <c r="F484">
        <v>126</v>
      </c>
    </row>
    <row r="485" spans="1:6" x14ac:dyDescent="0.3">
      <c r="A485" t="s">
        <v>36</v>
      </c>
      <c r="B485">
        <v>26</v>
      </c>
      <c r="C485">
        <v>4</v>
      </c>
      <c r="D485">
        <v>4</v>
      </c>
      <c r="E485">
        <v>1</v>
      </c>
      <c r="F485">
        <v>3</v>
      </c>
    </row>
    <row r="486" spans="1:6" x14ac:dyDescent="0.3">
      <c r="A486" t="s">
        <v>506</v>
      </c>
      <c r="B486">
        <v>26</v>
      </c>
      <c r="C486" t="s">
        <v>613</v>
      </c>
      <c r="D486" t="s">
        <v>598</v>
      </c>
      <c r="E486" t="s">
        <v>615</v>
      </c>
      <c r="F486" t="s">
        <v>603</v>
      </c>
    </row>
    <row r="487" spans="1:6" x14ac:dyDescent="0.3">
      <c r="A487" t="s">
        <v>574</v>
      </c>
      <c r="B487">
        <v>26</v>
      </c>
      <c r="C487">
        <v>1026</v>
      </c>
      <c r="D487">
        <v>830</v>
      </c>
      <c r="E487">
        <v>424</v>
      </c>
      <c r="F487">
        <v>581</v>
      </c>
    </row>
    <row r="488" spans="1:6" x14ac:dyDescent="0.3">
      <c r="A488" t="s">
        <v>42</v>
      </c>
      <c r="B488">
        <v>26</v>
      </c>
      <c r="C488">
        <v>45</v>
      </c>
      <c r="D488">
        <v>45</v>
      </c>
      <c r="E488">
        <v>30</v>
      </c>
      <c r="F488">
        <v>30</v>
      </c>
    </row>
    <row r="489" spans="1:6" x14ac:dyDescent="0.3">
      <c r="A489" t="s">
        <v>575</v>
      </c>
      <c r="B489">
        <v>26</v>
      </c>
      <c r="C489">
        <v>15.5</v>
      </c>
      <c r="D489">
        <v>12.6</v>
      </c>
      <c r="E489">
        <v>9.6</v>
      </c>
      <c r="F489">
        <v>13.2</v>
      </c>
    </row>
    <row r="490" spans="1:6" x14ac:dyDescent="0.3">
      <c r="A490" t="s">
        <v>41</v>
      </c>
      <c r="B490">
        <v>26</v>
      </c>
      <c r="C490">
        <v>0</v>
      </c>
      <c r="D490">
        <v>0</v>
      </c>
      <c r="E490">
        <v>0</v>
      </c>
      <c r="F490">
        <v>0</v>
      </c>
    </row>
    <row r="491" spans="1:6" x14ac:dyDescent="0.3">
      <c r="A491" t="s">
        <v>576</v>
      </c>
      <c r="B491">
        <v>26</v>
      </c>
      <c r="C491">
        <v>12</v>
      </c>
      <c r="D491">
        <v>12</v>
      </c>
      <c r="E491">
        <v>12</v>
      </c>
      <c r="F491">
        <v>12</v>
      </c>
    </row>
    <row r="492" spans="1:6" x14ac:dyDescent="0.3">
      <c r="A492" t="s">
        <v>577</v>
      </c>
      <c r="B492">
        <v>26</v>
      </c>
      <c r="C492">
        <v>0</v>
      </c>
      <c r="D492">
        <v>0</v>
      </c>
      <c r="E492">
        <v>0</v>
      </c>
      <c r="F492">
        <v>0</v>
      </c>
    </row>
    <row r="493" spans="1:6" x14ac:dyDescent="0.3">
      <c r="A493" t="s">
        <v>578</v>
      </c>
      <c r="B493">
        <v>26</v>
      </c>
      <c r="C493">
        <v>0</v>
      </c>
      <c r="D493">
        <v>0</v>
      </c>
      <c r="E493">
        <v>0</v>
      </c>
      <c r="F493">
        <v>0</v>
      </c>
    </row>
    <row r="494" spans="1:6" x14ac:dyDescent="0.3">
      <c r="A494" t="s">
        <v>579</v>
      </c>
      <c r="B494">
        <v>26</v>
      </c>
      <c r="C494">
        <v>16</v>
      </c>
      <c r="D494">
        <v>16</v>
      </c>
      <c r="E494">
        <v>16</v>
      </c>
      <c r="F494">
        <v>16</v>
      </c>
    </row>
    <row r="495" spans="1:6" x14ac:dyDescent="0.3">
      <c r="A495" t="s">
        <v>580</v>
      </c>
      <c r="B495">
        <v>26</v>
      </c>
      <c r="C495">
        <v>500</v>
      </c>
      <c r="D495">
        <v>500</v>
      </c>
      <c r="E495">
        <v>500</v>
      </c>
      <c r="F495">
        <v>500</v>
      </c>
    </row>
    <row r="496" spans="1:6" x14ac:dyDescent="0.3">
      <c r="A496" t="s">
        <v>581</v>
      </c>
      <c r="B496">
        <v>26</v>
      </c>
      <c r="C496">
        <v>1980</v>
      </c>
      <c r="D496">
        <v>1980</v>
      </c>
      <c r="E496">
        <v>1320</v>
      </c>
      <c r="F496">
        <v>1320</v>
      </c>
    </row>
    <row r="497" spans="1:6" x14ac:dyDescent="0.3">
      <c r="A497" t="s">
        <v>582</v>
      </c>
      <c r="B497">
        <v>26</v>
      </c>
      <c r="C497">
        <v>1320</v>
      </c>
      <c r="D497">
        <v>1320</v>
      </c>
      <c r="E497">
        <v>880</v>
      </c>
      <c r="F497">
        <v>880</v>
      </c>
    </row>
    <row r="498" spans="1:6" x14ac:dyDescent="0.3">
      <c r="A498" t="s">
        <v>583</v>
      </c>
      <c r="B498">
        <v>26</v>
      </c>
      <c r="C498">
        <v>2640</v>
      </c>
      <c r="D498">
        <v>2640</v>
      </c>
      <c r="E498">
        <v>1760</v>
      </c>
      <c r="F498">
        <v>1760</v>
      </c>
    </row>
    <row r="499" spans="1:6" x14ac:dyDescent="0.3">
      <c r="A499" t="s">
        <v>584</v>
      </c>
      <c r="B499">
        <v>26</v>
      </c>
    </row>
    <row r="500" spans="1:6" x14ac:dyDescent="0.3">
      <c r="A500" t="s">
        <v>585</v>
      </c>
      <c r="B500">
        <v>26</v>
      </c>
    </row>
    <row r="501" spans="1:6" x14ac:dyDescent="0.3">
      <c r="A501" t="s">
        <v>586</v>
      </c>
      <c r="B501">
        <v>26</v>
      </c>
    </row>
    <row r="502" spans="1:6" x14ac:dyDescent="0.3">
      <c r="A502" t="s">
        <v>587</v>
      </c>
      <c r="B502">
        <v>26</v>
      </c>
      <c r="C502" t="b">
        <v>0</v>
      </c>
      <c r="D502" t="b">
        <v>0</v>
      </c>
      <c r="E502" t="b">
        <v>0</v>
      </c>
      <c r="F502" t="b">
        <v>0</v>
      </c>
    </row>
    <row r="503" spans="1:6" x14ac:dyDescent="0.3">
      <c r="A503" t="s">
        <v>588</v>
      </c>
      <c r="B503">
        <v>26</v>
      </c>
      <c r="C503" t="b">
        <v>0</v>
      </c>
      <c r="D503" t="b">
        <v>0</v>
      </c>
      <c r="E503" t="b">
        <v>0</v>
      </c>
      <c r="F503" t="b">
        <v>0</v>
      </c>
    </row>
    <row r="504" spans="1:6" x14ac:dyDescent="0.3">
      <c r="A504" t="s">
        <v>570</v>
      </c>
      <c r="B504">
        <v>30</v>
      </c>
      <c r="C504">
        <v>61</v>
      </c>
      <c r="D504">
        <v>31</v>
      </c>
      <c r="F504">
        <v>135</v>
      </c>
    </row>
    <row r="505" spans="1:6" x14ac:dyDescent="0.3">
      <c r="A505" t="s">
        <v>36</v>
      </c>
      <c r="B505">
        <v>30</v>
      </c>
      <c r="C505">
        <v>4</v>
      </c>
      <c r="D505">
        <v>3</v>
      </c>
      <c r="F505">
        <v>2</v>
      </c>
    </row>
    <row r="506" spans="1:6" x14ac:dyDescent="0.3">
      <c r="A506" t="s">
        <v>506</v>
      </c>
      <c r="B506">
        <v>30</v>
      </c>
      <c r="C506" t="s">
        <v>571</v>
      </c>
      <c r="D506" t="s">
        <v>571</v>
      </c>
      <c r="F506" t="s">
        <v>616</v>
      </c>
    </row>
    <row r="507" spans="1:6" x14ac:dyDescent="0.3">
      <c r="A507" t="s">
        <v>574</v>
      </c>
      <c r="B507">
        <v>30</v>
      </c>
      <c r="C507">
        <v>2237</v>
      </c>
      <c r="D507">
        <v>1575</v>
      </c>
      <c r="F507">
        <v>618</v>
      </c>
    </row>
    <row r="508" spans="1:6" x14ac:dyDescent="0.3">
      <c r="A508" t="s">
        <v>42</v>
      </c>
      <c r="B508">
        <v>30</v>
      </c>
      <c r="C508">
        <v>55</v>
      </c>
      <c r="D508">
        <v>55</v>
      </c>
      <c r="F508">
        <v>25</v>
      </c>
    </row>
    <row r="509" spans="1:6" x14ac:dyDescent="0.3">
      <c r="A509" t="s">
        <v>575</v>
      </c>
      <c r="B509">
        <v>30</v>
      </c>
      <c r="C509">
        <v>27.7</v>
      </c>
      <c r="D509">
        <v>19.5</v>
      </c>
      <c r="F509">
        <v>16.899999999999999</v>
      </c>
    </row>
    <row r="510" spans="1:6" x14ac:dyDescent="0.3">
      <c r="A510" t="s">
        <v>41</v>
      </c>
      <c r="B510">
        <v>30</v>
      </c>
      <c r="C510">
        <v>0</v>
      </c>
      <c r="D510">
        <v>-1</v>
      </c>
      <c r="F510">
        <v>2</v>
      </c>
    </row>
    <row r="511" spans="1:6" x14ac:dyDescent="0.3">
      <c r="A511" t="s">
        <v>576</v>
      </c>
      <c r="B511">
        <v>30</v>
      </c>
      <c r="C511">
        <v>12</v>
      </c>
      <c r="D511">
        <v>12</v>
      </c>
      <c r="F511">
        <v>12</v>
      </c>
    </row>
    <row r="512" spans="1:6" x14ac:dyDescent="0.3">
      <c r="A512" t="s">
        <v>577</v>
      </c>
      <c r="B512">
        <v>30</v>
      </c>
      <c r="C512">
        <v>0</v>
      </c>
      <c r="D512">
        <v>0</v>
      </c>
      <c r="F512">
        <v>0</v>
      </c>
    </row>
    <row r="513" spans="1:6" x14ac:dyDescent="0.3">
      <c r="A513" t="s">
        <v>578</v>
      </c>
      <c r="B513">
        <v>30</v>
      </c>
      <c r="C513">
        <v>0</v>
      </c>
      <c r="D513">
        <v>0</v>
      </c>
      <c r="F513">
        <v>0</v>
      </c>
    </row>
    <row r="514" spans="1:6" x14ac:dyDescent="0.3">
      <c r="A514" t="s">
        <v>579</v>
      </c>
      <c r="B514">
        <v>30</v>
      </c>
      <c r="C514">
        <v>16</v>
      </c>
      <c r="D514">
        <v>16</v>
      </c>
      <c r="F514">
        <v>16</v>
      </c>
    </row>
    <row r="515" spans="1:6" x14ac:dyDescent="0.3">
      <c r="A515" t="s">
        <v>580</v>
      </c>
      <c r="B515">
        <v>30</v>
      </c>
      <c r="C515">
        <v>500</v>
      </c>
      <c r="D515">
        <v>500</v>
      </c>
      <c r="F515">
        <v>500</v>
      </c>
    </row>
    <row r="516" spans="1:6" x14ac:dyDescent="0.3">
      <c r="A516" t="s">
        <v>581</v>
      </c>
      <c r="B516">
        <v>30</v>
      </c>
      <c r="C516">
        <v>2421</v>
      </c>
      <c r="D516">
        <v>2421</v>
      </c>
      <c r="F516">
        <v>1101</v>
      </c>
    </row>
    <row r="517" spans="1:6" x14ac:dyDescent="0.3">
      <c r="A517" t="s">
        <v>582</v>
      </c>
      <c r="B517">
        <v>30</v>
      </c>
      <c r="C517">
        <v>1614</v>
      </c>
      <c r="D517">
        <v>1614</v>
      </c>
      <c r="F517">
        <v>734</v>
      </c>
    </row>
    <row r="518" spans="1:6" x14ac:dyDescent="0.3">
      <c r="A518" t="s">
        <v>583</v>
      </c>
      <c r="B518">
        <v>30</v>
      </c>
      <c r="C518">
        <v>3228</v>
      </c>
      <c r="D518">
        <v>3228</v>
      </c>
      <c r="F518">
        <v>1468</v>
      </c>
    </row>
    <row r="519" spans="1:6" x14ac:dyDescent="0.3">
      <c r="A519" t="s">
        <v>584</v>
      </c>
      <c r="B519">
        <v>30</v>
      </c>
    </row>
    <row r="520" spans="1:6" x14ac:dyDescent="0.3">
      <c r="A520" t="s">
        <v>585</v>
      </c>
      <c r="B520">
        <v>30</v>
      </c>
    </row>
    <row r="521" spans="1:6" x14ac:dyDescent="0.3">
      <c r="A521" t="s">
        <v>586</v>
      </c>
      <c r="B521">
        <v>30</v>
      </c>
    </row>
    <row r="522" spans="1:6" x14ac:dyDescent="0.3">
      <c r="A522" t="s">
        <v>587</v>
      </c>
      <c r="B522">
        <v>30</v>
      </c>
      <c r="C522" t="b">
        <v>0</v>
      </c>
      <c r="D522" t="b">
        <v>0</v>
      </c>
      <c r="F522" t="b">
        <v>0</v>
      </c>
    </row>
    <row r="523" spans="1:6" x14ac:dyDescent="0.3">
      <c r="A523" t="s">
        <v>588</v>
      </c>
      <c r="B523">
        <v>30</v>
      </c>
      <c r="C523" t="b">
        <v>0</v>
      </c>
      <c r="D523" t="b">
        <v>0</v>
      </c>
      <c r="F523" t="b">
        <v>0</v>
      </c>
    </row>
    <row r="524" spans="1:6" x14ac:dyDescent="0.3">
      <c r="A524" t="s">
        <v>570</v>
      </c>
      <c r="B524">
        <v>31</v>
      </c>
      <c r="C524">
        <v>30</v>
      </c>
      <c r="D524">
        <v>8</v>
      </c>
      <c r="E524">
        <v>136</v>
      </c>
      <c r="F524">
        <v>137</v>
      </c>
    </row>
    <row r="525" spans="1:6" x14ac:dyDescent="0.3">
      <c r="A525" t="s">
        <v>36</v>
      </c>
      <c r="B525">
        <v>31</v>
      </c>
      <c r="C525">
        <v>4</v>
      </c>
      <c r="D525">
        <v>5</v>
      </c>
      <c r="E525">
        <v>1</v>
      </c>
      <c r="F525">
        <v>3</v>
      </c>
    </row>
    <row r="526" spans="1:6" x14ac:dyDescent="0.3">
      <c r="A526" t="s">
        <v>506</v>
      </c>
      <c r="B526">
        <v>31</v>
      </c>
      <c r="C526" t="s">
        <v>571</v>
      </c>
      <c r="D526" t="s">
        <v>571</v>
      </c>
      <c r="E526" t="s">
        <v>617</v>
      </c>
      <c r="F526" t="s">
        <v>617</v>
      </c>
    </row>
    <row r="527" spans="1:6" x14ac:dyDescent="0.3">
      <c r="A527" t="s">
        <v>574</v>
      </c>
      <c r="B527">
        <v>31</v>
      </c>
      <c r="C527">
        <v>1575</v>
      </c>
      <c r="D527">
        <v>410</v>
      </c>
      <c r="E527">
        <v>329</v>
      </c>
      <c r="F527">
        <v>264</v>
      </c>
    </row>
    <row r="528" spans="1:6" x14ac:dyDescent="0.3">
      <c r="A528" t="s">
        <v>42</v>
      </c>
      <c r="B528">
        <v>31</v>
      </c>
      <c r="C528">
        <v>55</v>
      </c>
      <c r="D528">
        <v>55</v>
      </c>
      <c r="E528">
        <v>25</v>
      </c>
      <c r="F528">
        <v>35</v>
      </c>
    </row>
    <row r="529" spans="1:6" x14ac:dyDescent="0.3">
      <c r="A529" t="s">
        <v>575</v>
      </c>
      <c r="B529">
        <v>31</v>
      </c>
      <c r="C529">
        <v>19.5</v>
      </c>
      <c r="D529">
        <v>5.0999999999999996</v>
      </c>
      <c r="E529">
        <v>9</v>
      </c>
      <c r="F529">
        <v>5.0999999999999996</v>
      </c>
    </row>
    <row r="530" spans="1:6" x14ac:dyDescent="0.3">
      <c r="A530" t="s">
        <v>41</v>
      </c>
      <c r="B530">
        <v>31</v>
      </c>
      <c r="C530">
        <v>2</v>
      </c>
      <c r="D530">
        <v>-3</v>
      </c>
      <c r="E530">
        <v>2</v>
      </c>
      <c r="F530">
        <v>5</v>
      </c>
    </row>
    <row r="531" spans="1:6" x14ac:dyDescent="0.3">
      <c r="A531" t="s">
        <v>576</v>
      </c>
      <c r="B531">
        <v>31</v>
      </c>
      <c r="C531">
        <v>24</v>
      </c>
      <c r="D531">
        <v>24</v>
      </c>
      <c r="E531">
        <v>12</v>
      </c>
      <c r="F531">
        <v>12</v>
      </c>
    </row>
    <row r="532" spans="1:6" x14ac:dyDescent="0.3">
      <c r="A532" t="s">
        <v>577</v>
      </c>
      <c r="B532">
        <v>31</v>
      </c>
      <c r="C532">
        <v>0</v>
      </c>
      <c r="D532">
        <v>0</v>
      </c>
      <c r="E532">
        <v>0</v>
      </c>
      <c r="F532">
        <v>0</v>
      </c>
    </row>
    <row r="533" spans="1:6" x14ac:dyDescent="0.3">
      <c r="A533" t="s">
        <v>578</v>
      </c>
      <c r="B533">
        <v>31</v>
      </c>
      <c r="C533">
        <v>0</v>
      </c>
      <c r="D533">
        <v>0</v>
      </c>
      <c r="E533">
        <v>0</v>
      </c>
      <c r="F533">
        <v>0</v>
      </c>
    </row>
    <row r="534" spans="1:6" x14ac:dyDescent="0.3">
      <c r="A534" t="s">
        <v>579</v>
      </c>
      <c r="B534">
        <v>31</v>
      </c>
      <c r="C534">
        <v>16</v>
      </c>
      <c r="D534">
        <v>16</v>
      </c>
      <c r="E534">
        <v>16</v>
      </c>
      <c r="F534">
        <v>16</v>
      </c>
    </row>
    <row r="535" spans="1:6" x14ac:dyDescent="0.3">
      <c r="A535" t="s">
        <v>580</v>
      </c>
      <c r="B535">
        <v>31</v>
      </c>
      <c r="C535">
        <v>500</v>
      </c>
      <c r="D535">
        <v>500</v>
      </c>
      <c r="E535">
        <v>500</v>
      </c>
      <c r="F535">
        <v>500</v>
      </c>
    </row>
    <row r="536" spans="1:6" x14ac:dyDescent="0.3">
      <c r="A536" t="s">
        <v>581</v>
      </c>
      <c r="B536">
        <v>31</v>
      </c>
      <c r="C536">
        <v>2421</v>
      </c>
      <c r="D536">
        <v>2421</v>
      </c>
      <c r="E536">
        <v>1101</v>
      </c>
      <c r="F536">
        <v>1539</v>
      </c>
    </row>
    <row r="537" spans="1:6" x14ac:dyDescent="0.3">
      <c r="A537" t="s">
        <v>582</v>
      </c>
      <c r="B537">
        <v>31</v>
      </c>
      <c r="C537">
        <v>1614</v>
      </c>
      <c r="D537">
        <v>1614</v>
      </c>
      <c r="E537">
        <v>734</v>
      </c>
      <c r="F537">
        <v>1026</v>
      </c>
    </row>
    <row r="538" spans="1:6" x14ac:dyDescent="0.3">
      <c r="A538" t="s">
        <v>583</v>
      </c>
      <c r="B538">
        <v>31</v>
      </c>
      <c r="C538">
        <v>3228</v>
      </c>
      <c r="D538">
        <v>3228</v>
      </c>
      <c r="E538">
        <v>1468</v>
      </c>
      <c r="F538">
        <v>2052</v>
      </c>
    </row>
    <row r="539" spans="1:6" x14ac:dyDescent="0.3">
      <c r="A539" t="s">
        <v>584</v>
      </c>
      <c r="B539">
        <v>31</v>
      </c>
    </row>
    <row r="540" spans="1:6" x14ac:dyDescent="0.3">
      <c r="A540" t="s">
        <v>585</v>
      </c>
      <c r="B540">
        <v>31</v>
      </c>
    </row>
    <row r="541" spans="1:6" x14ac:dyDescent="0.3">
      <c r="A541" t="s">
        <v>586</v>
      </c>
      <c r="B541">
        <v>31</v>
      </c>
    </row>
    <row r="542" spans="1:6" x14ac:dyDescent="0.3">
      <c r="A542" t="s">
        <v>587</v>
      </c>
      <c r="B542">
        <v>31</v>
      </c>
      <c r="C542" t="b">
        <v>0</v>
      </c>
      <c r="D542" t="b">
        <v>0</v>
      </c>
      <c r="E542" t="b">
        <v>0</v>
      </c>
      <c r="F542" t="b">
        <v>0</v>
      </c>
    </row>
    <row r="543" spans="1:6" x14ac:dyDescent="0.3">
      <c r="A543" t="s">
        <v>588</v>
      </c>
      <c r="B543">
        <v>31</v>
      </c>
      <c r="C543" t="b">
        <v>0</v>
      </c>
      <c r="D543" t="b">
        <v>0</v>
      </c>
      <c r="E543" t="b">
        <v>0</v>
      </c>
      <c r="F543" t="b">
        <v>0</v>
      </c>
    </row>
    <row r="544" spans="1:6" x14ac:dyDescent="0.3">
      <c r="A544" t="s">
        <v>570</v>
      </c>
      <c r="B544">
        <v>32</v>
      </c>
      <c r="C544">
        <v>8</v>
      </c>
      <c r="D544">
        <v>33</v>
      </c>
      <c r="E544">
        <v>139</v>
      </c>
      <c r="F544">
        <v>140</v>
      </c>
    </row>
    <row r="545" spans="1:6" x14ac:dyDescent="0.3">
      <c r="A545" t="s">
        <v>36</v>
      </c>
      <c r="B545">
        <v>32</v>
      </c>
      <c r="C545">
        <v>4</v>
      </c>
      <c r="D545">
        <v>4</v>
      </c>
      <c r="E545">
        <v>2</v>
      </c>
      <c r="F545">
        <v>2</v>
      </c>
    </row>
    <row r="546" spans="1:6" x14ac:dyDescent="0.3">
      <c r="A546" t="s">
        <v>506</v>
      </c>
      <c r="B546">
        <v>32</v>
      </c>
      <c r="C546" t="s">
        <v>571</v>
      </c>
      <c r="D546" t="s">
        <v>571</v>
      </c>
      <c r="E546" t="s">
        <v>618</v>
      </c>
      <c r="F546" t="s">
        <v>619</v>
      </c>
    </row>
    <row r="547" spans="1:6" x14ac:dyDescent="0.3">
      <c r="A547" t="s">
        <v>574</v>
      </c>
      <c r="B547">
        <v>32</v>
      </c>
      <c r="C547">
        <v>809</v>
      </c>
      <c r="D547" t="s">
        <v>620</v>
      </c>
      <c r="E547">
        <v>380</v>
      </c>
      <c r="F547">
        <v>418</v>
      </c>
    </row>
    <row r="548" spans="1:6" x14ac:dyDescent="0.3">
      <c r="A548" t="s">
        <v>42</v>
      </c>
      <c r="B548">
        <v>32</v>
      </c>
      <c r="C548">
        <v>55</v>
      </c>
      <c r="D548">
        <v>55</v>
      </c>
      <c r="E548">
        <v>35</v>
      </c>
      <c r="F548">
        <v>35</v>
      </c>
    </row>
    <row r="549" spans="1:6" x14ac:dyDescent="0.3">
      <c r="A549" t="s">
        <v>575</v>
      </c>
      <c r="B549">
        <v>32</v>
      </c>
      <c r="C549">
        <v>10</v>
      </c>
      <c r="D549">
        <v>37.200000000000003</v>
      </c>
      <c r="E549">
        <v>7.4</v>
      </c>
      <c r="F549">
        <v>8.1</v>
      </c>
    </row>
    <row r="550" spans="1:6" x14ac:dyDescent="0.3">
      <c r="A550" t="s">
        <v>41</v>
      </c>
      <c r="B550">
        <v>32</v>
      </c>
      <c r="C550">
        <v>2</v>
      </c>
      <c r="D550">
        <v>-2</v>
      </c>
      <c r="E550">
        <v>1</v>
      </c>
      <c r="F550">
        <v>0</v>
      </c>
    </row>
    <row r="551" spans="1:6" x14ac:dyDescent="0.3">
      <c r="A551" t="s">
        <v>576</v>
      </c>
      <c r="B551">
        <v>32</v>
      </c>
      <c r="C551">
        <v>12</v>
      </c>
      <c r="D551">
        <v>12</v>
      </c>
      <c r="E551">
        <v>12</v>
      </c>
      <c r="F551">
        <v>12</v>
      </c>
    </row>
    <row r="552" spans="1:6" x14ac:dyDescent="0.3">
      <c r="A552" t="s">
        <v>577</v>
      </c>
      <c r="B552">
        <v>32</v>
      </c>
      <c r="C552">
        <v>0</v>
      </c>
      <c r="D552">
        <v>0</v>
      </c>
      <c r="E552">
        <v>0</v>
      </c>
      <c r="F552">
        <v>0</v>
      </c>
    </row>
    <row r="553" spans="1:6" x14ac:dyDescent="0.3">
      <c r="A553" t="s">
        <v>578</v>
      </c>
      <c r="B553">
        <v>32</v>
      </c>
      <c r="C553">
        <v>0</v>
      </c>
      <c r="D553">
        <v>0</v>
      </c>
      <c r="E553">
        <v>0</v>
      </c>
      <c r="F553">
        <v>0</v>
      </c>
    </row>
    <row r="554" spans="1:6" x14ac:dyDescent="0.3">
      <c r="A554" t="s">
        <v>579</v>
      </c>
      <c r="B554">
        <v>32</v>
      </c>
      <c r="C554">
        <v>16</v>
      </c>
      <c r="D554">
        <v>16</v>
      </c>
      <c r="E554">
        <v>16</v>
      </c>
      <c r="F554">
        <v>16</v>
      </c>
    </row>
    <row r="555" spans="1:6" x14ac:dyDescent="0.3">
      <c r="A555" t="s">
        <v>580</v>
      </c>
      <c r="B555">
        <v>32</v>
      </c>
      <c r="C555">
        <v>500</v>
      </c>
      <c r="D555">
        <v>500</v>
      </c>
      <c r="E555">
        <v>500</v>
      </c>
      <c r="F555">
        <v>500</v>
      </c>
    </row>
    <row r="556" spans="1:6" x14ac:dyDescent="0.3">
      <c r="A556" t="s">
        <v>581</v>
      </c>
      <c r="B556">
        <v>32</v>
      </c>
      <c r="C556">
        <v>2421</v>
      </c>
      <c r="D556">
        <v>2421</v>
      </c>
      <c r="E556">
        <v>1539</v>
      </c>
      <c r="F556">
        <v>1539</v>
      </c>
    </row>
    <row r="557" spans="1:6" x14ac:dyDescent="0.3">
      <c r="A557" t="s">
        <v>582</v>
      </c>
      <c r="B557">
        <v>32</v>
      </c>
      <c r="C557">
        <v>1614</v>
      </c>
      <c r="D557">
        <v>1614</v>
      </c>
      <c r="E557">
        <v>1026</v>
      </c>
      <c r="F557">
        <v>1026</v>
      </c>
    </row>
    <row r="558" spans="1:6" x14ac:dyDescent="0.3">
      <c r="A558" t="s">
        <v>583</v>
      </c>
      <c r="B558">
        <v>32</v>
      </c>
      <c r="C558">
        <v>3228</v>
      </c>
      <c r="D558">
        <v>3228</v>
      </c>
      <c r="E558">
        <v>2052</v>
      </c>
      <c r="F558">
        <v>2052</v>
      </c>
    </row>
    <row r="559" spans="1:6" x14ac:dyDescent="0.3">
      <c r="A559" t="s">
        <v>584</v>
      </c>
      <c r="B559">
        <v>32</v>
      </c>
    </row>
    <row r="560" spans="1:6" x14ac:dyDescent="0.3">
      <c r="A560" t="s">
        <v>585</v>
      </c>
      <c r="B560">
        <v>32</v>
      </c>
    </row>
    <row r="561" spans="1:6" x14ac:dyDescent="0.3">
      <c r="A561" t="s">
        <v>586</v>
      </c>
      <c r="B561">
        <v>32</v>
      </c>
    </row>
    <row r="562" spans="1:6" x14ac:dyDescent="0.3">
      <c r="A562" t="s">
        <v>587</v>
      </c>
      <c r="B562">
        <v>32</v>
      </c>
      <c r="C562" t="b">
        <v>0</v>
      </c>
      <c r="D562" t="b">
        <v>0</v>
      </c>
      <c r="E562" t="b">
        <v>0</v>
      </c>
      <c r="F562" t="b">
        <v>0</v>
      </c>
    </row>
    <row r="563" spans="1:6" x14ac:dyDescent="0.3">
      <c r="A563" t="s">
        <v>588</v>
      </c>
      <c r="B563">
        <v>32</v>
      </c>
      <c r="C563" t="b">
        <v>0</v>
      </c>
      <c r="D563" t="b">
        <v>0</v>
      </c>
      <c r="E563" t="b">
        <v>0</v>
      </c>
      <c r="F563" t="b">
        <v>0</v>
      </c>
    </row>
    <row r="564" spans="1:6" x14ac:dyDescent="0.3">
      <c r="A564" t="s">
        <v>570</v>
      </c>
      <c r="B564">
        <v>33</v>
      </c>
      <c r="C564">
        <v>32</v>
      </c>
      <c r="D564">
        <v>34</v>
      </c>
      <c r="E564">
        <v>212</v>
      </c>
      <c r="F564">
        <v>213</v>
      </c>
    </row>
    <row r="565" spans="1:6" x14ac:dyDescent="0.3">
      <c r="A565" t="s">
        <v>36</v>
      </c>
      <c r="B565">
        <v>33</v>
      </c>
      <c r="C565">
        <v>4</v>
      </c>
      <c r="D565">
        <v>4</v>
      </c>
      <c r="E565">
        <v>2</v>
      </c>
      <c r="F565">
        <v>2</v>
      </c>
    </row>
    <row r="566" spans="1:6" x14ac:dyDescent="0.3">
      <c r="A566" t="s">
        <v>506</v>
      </c>
      <c r="B566">
        <v>33</v>
      </c>
      <c r="C566" t="s">
        <v>571</v>
      </c>
      <c r="D566" t="s">
        <v>571</v>
      </c>
      <c r="E566" t="s">
        <v>621</v>
      </c>
      <c r="F566" t="s">
        <v>622</v>
      </c>
    </row>
    <row r="567" spans="1:6" x14ac:dyDescent="0.3">
      <c r="A567" t="s">
        <v>574</v>
      </c>
      <c r="B567">
        <v>33</v>
      </c>
      <c r="C567" t="s">
        <v>620</v>
      </c>
      <c r="D567" t="s">
        <v>623</v>
      </c>
      <c r="E567">
        <v>622</v>
      </c>
      <c r="F567">
        <v>1097</v>
      </c>
    </row>
    <row r="568" spans="1:6" x14ac:dyDescent="0.3">
      <c r="A568" t="s">
        <v>42</v>
      </c>
      <c r="B568">
        <v>33</v>
      </c>
      <c r="C568">
        <v>55</v>
      </c>
      <c r="D568">
        <v>55</v>
      </c>
      <c r="E568">
        <v>30</v>
      </c>
      <c r="F568">
        <v>30</v>
      </c>
    </row>
    <row r="569" spans="1:6" x14ac:dyDescent="0.3">
      <c r="A569" t="s">
        <v>575</v>
      </c>
      <c r="B569">
        <v>33</v>
      </c>
      <c r="C569">
        <v>37.200000000000003</v>
      </c>
      <c r="D569">
        <v>39</v>
      </c>
      <c r="E569">
        <v>14.1</v>
      </c>
      <c r="F569">
        <v>24.9</v>
      </c>
    </row>
    <row r="570" spans="1:6" x14ac:dyDescent="0.3">
      <c r="A570" t="s">
        <v>41</v>
      </c>
      <c r="B570">
        <v>33</v>
      </c>
      <c r="C570">
        <v>0</v>
      </c>
      <c r="D570">
        <v>-2</v>
      </c>
      <c r="E570">
        <v>0</v>
      </c>
      <c r="F570">
        <v>0</v>
      </c>
    </row>
    <row r="571" spans="1:6" x14ac:dyDescent="0.3">
      <c r="A571" t="s">
        <v>576</v>
      </c>
      <c r="B571">
        <v>33</v>
      </c>
      <c r="C571">
        <v>12</v>
      </c>
      <c r="D571">
        <v>12</v>
      </c>
      <c r="E571">
        <v>12</v>
      </c>
      <c r="F571">
        <v>12</v>
      </c>
    </row>
    <row r="572" spans="1:6" x14ac:dyDescent="0.3">
      <c r="A572" t="s">
        <v>577</v>
      </c>
      <c r="B572">
        <v>33</v>
      </c>
      <c r="C572">
        <v>0</v>
      </c>
      <c r="D572">
        <v>0</v>
      </c>
      <c r="E572">
        <v>0</v>
      </c>
      <c r="F572">
        <v>0</v>
      </c>
    </row>
    <row r="573" spans="1:6" x14ac:dyDescent="0.3">
      <c r="A573" t="s">
        <v>578</v>
      </c>
      <c r="B573">
        <v>33</v>
      </c>
      <c r="C573">
        <v>0</v>
      </c>
      <c r="D573">
        <v>0</v>
      </c>
      <c r="E573">
        <v>0</v>
      </c>
      <c r="F573">
        <v>0</v>
      </c>
    </row>
    <row r="574" spans="1:6" x14ac:dyDescent="0.3">
      <c r="A574" t="s">
        <v>579</v>
      </c>
      <c r="B574">
        <v>33</v>
      </c>
      <c r="C574">
        <v>16</v>
      </c>
      <c r="D574">
        <v>16</v>
      </c>
      <c r="E574">
        <v>16</v>
      </c>
      <c r="F574">
        <v>16</v>
      </c>
    </row>
    <row r="575" spans="1:6" x14ac:dyDescent="0.3">
      <c r="A575" t="s">
        <v>580</v>
      </c>
      <c r="B575">
        <v>33</v>
      </c>
      <c r="C575">
        <v>500</v>
      </c>
      <c r="D575">
        <v>500</v>
      </c>
      <c r="E575">
        <v>500</v>
      </c>
      <c r="F575">
        <v>500</v>
      </c>
    </row>
    <row r="576" spans="1:6" x14ac:dyDescent="0.3">
      <c r="A576" t="s">
        <v>581</v>
      </c>
      <c r="B576">
        <v>33</v>
      </c>
      <c r="C576">
        <v>2421</v>
      </c>
      <c r="D576">
        <v>2421</v>
      </c>
      <c r="E576">
        <v>1320</v>
      </c>
      <c r="F576">
        <v>1320</v>
      </c>
    </row>
    <row r="577" spans="1:6" x14ac:dyDescent="0.3">
      <c r="A577" t="s">
        <v>582</v>
      </c>
      <c r="B577">
        <v>33</v>
      </c>
      <c r="C577">
        <v>1614</v>
      </c>
      <c r="D577">
        <v>1614</v>
      </c>
      <c r="E577">
        <v>880</v>
      </c>
      <c r="F577">
        <v>880</v>
      </c>
    </row>
    <row r="578" spans="1:6" x14ac:dyDescent="0.3">
      <c r="A578" t="s">
        <v>583</v>
      </c>
      <c r="B578">
        <v>33</v>
      </c>
      <c r="C578">
        <v>3228</v>
      </c>
      <c r="D578">
        <v>3228</v>
      </c>
      <c r="E578">
        <v>1760</v>
      </c>
      <c r="F578">
        <v>1760</v>
      </c>
    </row>
    <row r="579" spans="1:6" x14ac:dyDescent="0.3">
      <c r="A579" t="s">
        <v>584</v>
      </c>
      <c r="B579">
        <v>33</v>
      </c>
    </row>
    <row r="580" spans="1:6" x14ac:dyDescent="0.3">
      <c r="A580" t="s">
        <v>585</v>
      </c>
      <c r="B580">
        <v>33</v>
      </c>
    </row>
    <row r="581" spans="1:6" x14ac:dyDescent="0.3">
      <c r="A581" t="s">
        <v>586</v>
      </c>
      <c r="B581">
        <v>33</v>
      </c>
    </row>
    <row r="582" spans="1:6" x14ac:dyDescent="0.3">
      <c r="A582" t="s">
        <v>587</v>
      </c>
      <c r="B582">
        <v>33</v>
      </c>
      <c r="C582" t="b">
        <v>0</v>
      </c>
      <c r="D582" t="b">
        <v>0</v>
      </c>
      <c r="E582" t="b">
        <v>0</v>
      </c>
      <c r="F582" t="b">
        <v>0</v>
      </c>
    </row>
    <row r="583" spans="1:6" x14ac:dyDescent="0.3">
      <c r="A583" t="s">
        <v>588</v>
      </c>
      <c r="B583">
        <v>33</v>
      </c>
      <c r="C583" t="b">
        <v>0</v>
      </c>
      <c r="D583" t="b">
        <v>0</v>
      </c>
      <c r="E583" t="b">
        <v>0</v>
      </c>
      <c r="F583" t="b">
        <v>0</v>
      </c>
    </row>
    <row r="584" spans="1:6" x14ac:dyDescent="0.3">
      <c r="A584" t="s">
        <v>570</v>
      </c>
      <c r="B584">
        <v>34</v>
      </c>
      <c r="C584">
        <v>33</v>
      </c>
      <c r="D584">
        <v>62</v>
      </c>
      <c r="E584">
        <v>211</v>
      </c>
      <c r="F584">
        <v>210</v>
      </c>
    </row>
    <row r="585" spans="1:6" x14ac:dyDescent="0.3">
      <c r="A585" t="s">
        <v>36</v>
      </c>
      <c r="B585">
        <v>34</v>
      </c>
      <c r="C585">
        <v>4</v>
      </c>
      <c r="D585">
        <v>4</v>
      </c>
      <c r="E585">
        <v>1</v>
      </c>
      <c r="F585">
        <v>1</v>
      </c>
    </row>
    <row r="586" spans="1:6" x14ac:dyDescent="0.3">
      <c r="A586" t="s">
        <v>506</v>
      </c>
      <c r="B586">
        <v>34</v>
      </c>
      <c r="C586" t="s">
        <v>571</v>
      </c>
      <c r="D586" t="s">
        <v>571</v>
      </c>
      <c r="E586" t="s">
        <v>624</v>
      </c>
      <c r="F586" t="s">
        <v>624</v>
      </c>
    </row>
    <row r="587" spans="1:6" x14ac:dyDescent="0.3">
      <c r="A587" t="s">
        <v>574</v>
      </c>
      <c r="B587">
        <v>34</v>
      </c>
      <c r="C587" t="s">
        <v>623</v>
      </c>
      <c r="D587">
        <v>1189</v>
      </c>
      <c r="E587">
        <v>505</v>
      </c>
      <c r="F587">
        <v>703</v>
      </c>
    </row>
    <row r="588" spans="1:6" x14ac:dyDescent="0.3">
      <c r="A588" t="s">
        <v>42</v>
      </c>
      <c r="B588">
        <v>34</v>
      </c>
      <c r="C588">
        <v>55</v>
      </c>
      <c r="D588">
        <v>55</v>
      </c>
      <c r="E588">
        <v>30</v>
      </c>
      <c r="F588">
        <v>30</v>
      </c>
    </row>
    <row r="589" spans="1:6" x14ac:dyDescent="0.3">
      <c r="A589" t="s">
        <v>575</v>
      </c>
      <c r="B589">
        <v>34</v>
      </c>
      <c r="C589">
        <v>39</v>
      </c>
      <c r="D589">
        <v>14.7</v>
      </c>
      <c r="E589">
        <v>11.5</v>
      </c>
      <c r="F589">
        <v>16</v>
      </c>
    </row>
    <row r="590" spans="1:6" x14ac:dyDescent="0.3">
      <c r="A590" t="s">
        <v>41</v>
      </c>
      <c r="B590">
        <v>34</v>
      </c>
      <c r="C590">
        <v>0</v>
      </c>
      <c r="D590">
        <v>-2</v>
      </c>
      <c r="E590">
        <v>0</v>
      </c>
      <c r="F590">
        <v>0</v>
      </c>
    </row>
    <row r="591" spans="1:6" x14ac:dyDescent="0.3">
      <c r="A591" t="s">
        <v>576</v>
      </c>
      <c r="B591">
        <v>34</v>
      </c>
      <c r="C591">
        <v>12</v>
      </c>
      <c r="D591">
        <v>12</v>
      </c>
      <c r="E591">
        <v>0</v>
      </c>
      <c r="F591">
        <v>0</v>
      </c>
    </row>
    <row r="592" spans="1:6" x14ac:dyDescent="0.3">
      <c r="A592" t="s">
        <v>577</v>
      </c>
      <c r="B592">
        <v>34</v>
      </c>
      <c r="C592">
        <v>0</v>
      </c>
      <c r="D592">
        <v>0</v>
      </c>
      <c r="E592">
        <v>0</v>
      </c>
      <c r="F592">
        <v>0</v>
      </c>
    </row>
    <row r="593" spans="1:6" x14ac:dyDescent="0.3">
      <c r="A593" t="s">
        <v>578</v>
      </c>
      <c r="B593">
        <v>34</v>
      </c>
      <c r="C593">
        <v>0</v>
      </c>
      <c r="D593">
        <v>0</v>
      </c>
      <c r="E593">
        <v>0</v>
      </c>
      <c r="F593">
        <v>0</v>
      </c>
    </row>
    <row r="594" spans="1:6" x14ac:dyDescent="0.3">
      <c r="A594" t="s">
        <v>579</v>
      </c>
      <c r="B594">
        <v>34</v>
      </c>
      <c r="C594">
        <v>16</v>
      </c>
      <c r="D594">
        <v>16</v>
      </c>
      <c r="E594">
        <v>16</v>
      </c>
      <c r="F594">
        <v>16</v>
      </c>
    </row>
    <row r="595" spans="1:6" x14ac:dyDescent="0.3">
      <c r="A595" t="s">
        <v>580</v>
      </c>
      <c r="B595">
        <v>34</v>
      </c>
      <c r="C595">
        <v>500</v>
      </c>
      <c r="D595">
        <v>500</v>
      </c>
      <c r="E595">
        <v>500</v>
      </c>
      <c r="F595">
        <v>500</v>
      </c>
    </row>
    <row r="596" spans="1:6" x14ac:dyDescent="0.3">
      <c r="A596" t="s">
        <v>581</v>
      </c>
      <c r="B596">
        <v>34</v>
      </c>
      <c r="C596">
        <v>2421</v>
      </c>
      <c r="D596">
        <v>2421</v>
      </c>
      <c r="E596">
        <v>1320</v>
      </c>
      <c r="F596">
        <v>1320</v>
      </c>
    </row>
    <row r="597" spans="1:6" x14ac:dyDescent="0.3">
      <c r="A597" t="s">
        <v>582</v>
      </c>
      <c r="B597">
        <v>34</v>
      </c>
      <c r="C597">
        <v>1614</v>
      </c>
      <c r="D597">
        <v>1614</v>
      </c>
      <c r="E597">
        <v>880</v>
      </c>
      <c r="F597">
        <v>880</v>
      </c>
    </row>
    <row r="598" spans="1:6" x14ac:dyDescent="0.3">
      <c r="A598" t="s">
        <v>583</v>
      </c>
      <c r="B598">
        <v>34</v>
      </c>
      <c r="C598">
        <v>3228</v>
      </c>
      <c r="D598">
        <v>3228</v>
      </c>
      <c r="E598">
        <v>1760</v>
      </c>
      <c r="F598">
        <v>1760</v>
      </c>
    </row>
    <row r="599" spans="1:6" x14ac:dyDescent="0.3">
      <c r="A599" t="s">
        <v>584</v>
      </c>
      <c r="B599">
        <v>34</v>
      </c>
    </row>
    <row r="600" spans="1:6" x14ac:dyDescent="0.3">
      <c r="A600" t="s">
        <v>585</v>
      </c>
      <c r="B600">
        <v>34</v>
      </c>
    </row>
    <row r="601" spans="1:6" x14ac:dyDescent="0.3">
      <c r="A601" t="s">
        <v>586</v>
      </c>
      <c r="B601">
        <v>34</v>
      </c>
    </row>
    <row r="602" spans="1:6" x14ac:dyDescent="0.3">
      <c r="A602" t="s">
        <v>587</v>
      </c>
      <c r="B602">
        <v>34</v>
      </c>
      <c r="C602" t="b">
        <v>0</v>
      </c>
      <c r="D602" t="b">
        <v>0</v>
      </c>
      <c r="E602" t="b">
        <v>0</v>
      </c>
      <c r="F602" t="b">
        <v>0</v>
      </c>
    </row>
    <row r="603" spans="1:6" x14ac:dyDescent="0.3">
      <c r="A603" t="s">
        <v>588</v>
      </c>
      <c r="B603">
        <v>34</v>
      </c>
      <c r="C603" t="b">
        <v>0</v>
      </c>
      <c r="D603" t="b">
        <v>0</v>
      </c>
      <c r="E603" t="b">
        <v>0</v>
      </c>
      <c r="F603" t="b">
        <v>0</v>
      </c>
    </row>
    <row r="604" spans="1:6" x14ac:dyDescent="0.3">
      <c r="A604" t="s">
        <v>570</v>
      </c>
      <c r="B604">
        <v>46</v>
      </c>
      <c r="D604">
        <v>22</v>
      </c>
      <c r="F604">
        <v>10</v>
      </c>
    </row>
    <row r="605" spans="1:6" x14ac:dyDescent="0.3">
      <c r="A605" t="s">
        <v>36</v>
      </c>
      <c r="B605">
        <v>46</v>
      </c>
      <c r="D605">
        <v>2</v>
      </c>
      <c r="F605" t="s">
        <v>607</v>
      </c>
    </row>
    <row r="606" spans="1:6" x14ac:dyDescent="0.3">
      <c r="A606" t="s">
        <v>506</v>
      </c>
      <c r="B606">
        <v>46</v>
      </c>
      <c r="D606" t="s">
        <v>598</v>
      </c>
      <c r="F606" t="s">
        <v>598</v>
      </c>
    </row>
    <row r="607" spans="1:6" x14ac:dyDescent="0.3">
      <c r="A607" t="s">
        <v>574</v>
      </c>
      <c r="B607">
        <v>46</v>
      </c>
      <c r="D607">
        <v>358</v>
      </c>
      <c r="F607">
        <v>529</v>
      </c>
    </row>
    <row r="608" spans="1:6" x14ac:dyDescent="0.3">
      <c r="A608" t="s">
        <v>42</v>
      </c>
      <c r="B608">
        <v>46</v>
      </c>
      <c r="D608">
        <v>30</v>
      </c>
      <c r="F608">
        <v>30</v>
      </c>
    </row>
    <row r="609" spans="1:6" x14ac:dyDescent="0.3">
      <c r="A609" t="s">
        <v>575</v>
      </c>
      <c r="B609">
        <v>46</v>
      </c>
      <c r="D609">
        <v>8.1</v>
      </c>
      <c r="F609">
        <v>12</v>
      </c>
    </row>
    <row r="610" spans="1:6" x14ac:dyDescent="0.3">
      <c r="A610" t="s">
        <v>41</v>
      </c>
      <c r="B610">
        <v>46</v>
      </c>
      <c r="D610">
        <v>0</v>
      </c>
      <c r="F610">
        <v>0</v>
      </c>
    </row>
    <row r="611" spans="1:6" x14ac:dyDescent="0.3">
      <c r="A611" t="s">
        <v>576</v>
      </c>
      <c r="B611">
        <v>46</v>
      </c>
      <c r="D611">
        <v>12</v>
      </c>
      <c r="F611">
        <v>12</v>
      </c>
    </row>
    <row r="612" spans="1:6" x14ac:dyDescent="0.3">
      <c r="A612" t="s">
        <v>577</v>
      </c>
      <c r="B612">
        <v>46</v>
      </c>
      <c r="D612">
        <v>0</v>
      </c>
      <c r="F612">
        <v>0</v>
      </c>
    </row>
    <row r="613" spans="1:6" x14ac:dyDescent="0.3">
      <c r="A613" t="s">
        <v>578</v>
      </c>
      <c r="B613">
        <v>46</v>
      </c>
      <c r="D613">
        <v>0</v>
      </c>
      <c r="F613">
        <v>0</v>
      </c>
    </row>
    <row r="614" spans="1:6" x14ac:dyDescent="0.3">
      <c r="A614" t="s">
        <v>579</v>
      </c>
      <c r="B614">
        <v>46</v>
      </c>
      <c r="D614">
        <v>16</v>
      </c>
      <c r="F614">
        <v>16</v>
      </c>
    </row>
    <row r="615" spans="1:6" x14ac:dyDescent="0.3">
      <c r="A615" t="s">
        <v>580</v>
      </c>
      <c r="B615">
        <v>46</v>
      </c>
      <c r="D615">
        <v>100</v>
      </c>
      <c r="F615">
        <v>100</v>
      </c>
    </row>
    <row r="616" spans="1:6" x14ac:dyDescent="0.3">
      <c r="A616" t="s">
        <v>581</v>
      </c>
      <c r="B616">
        <v>46</v>
      </c>
      <c r="D616">
        <v>1320</v>
      </c>
      <c r="F616">
        <v>1320</v>
      </c>
    </row>
    <row r="617" spans="1:6" x14ac:dyDescent="0.3">
      <c r="A617" t="s">
        <v>582</v>
      </c>
      <c r="B617">
        <v>46</v>
      </c>
      <c r="D617">
        <v>880</v>
      </c>
      <c r="F617">
        <v>880</v>
      </c>
    </row>
    <row r="618" spans="1:6" x14ac:dyDescent="0.3">
      <c r="A618" t="s">
        <v>583</v>
      </c>
      <c r="B618">
        <v>46</v>
      </c>
      <c r="D618">
        <v>1760</v>
      </c>
      <c r="F618">
        <v>1760</v>
      </c>
    </row>
    <row r="619" spans="1:6" x14ac:dyDescent="0.3">
      <c r="A619" t="s">
        <v>584</v>
      </c>
      <c r="B619">
        <v>46</v>
      </c>
    </row>
    <row r="620" spans="1:6" x14ac:dyDescent="0.3">
      <c r="A620" t="s">
        <v>585</v>
      </c>
      <c r="B620">
        <v>46</v>
      </c>
    </row>
    <row r="621" spans="1:6" x14ac:dyDescent="0.3">
      <c r="A621" t="s">
        <v>586</v>
      </c>
      <c r="B621">
        <v>46</v>
      </c>
    </row>
    <row r="622" spans="1:6" x14ac:dyDescent="0.3">
      <c r="A622" t="s">
        <v>587</v>
      </c>
      <c r="B622">
        <v>46</v>
      </c>
      <c r="D622" t="b">
        <v>0</v>
      </c>
      <c r="F622" t="b">
        <v>0</v>
      </c>
    </row>
    <row r="623" spans="1:6" x14ac:dyDescent="0.3">
      <c r="A623" t="s">
        <v>588</v>
      </c>
      <c r="B623">
        <v>46</v>
      </c>
      <c r="D623" t="b">
        <v>0</v>
      </c>
      <c r="F623" t="b">
        <v>0</v>
      </c>
    </row>
    <row r="624" spans="1:6" x14ac:dyDescent="0.3">
      <c r="A624" t="s">
        <v>570</v>
      </c>
      <c r="B624">
        <v>60</v>
      </c>
      <c r="C624">
        <v>7</v>
      </c>
      <c r="E624">
        <v>10</v>
      </c>
    </row>
    <row r="625" spans="1:5" x14ac:dyDescent="0.3">
      <c r="A625" t="s">
        <v>36</v>
      </c>
      <c r="B625">
        <v>60</v>
      </c>
      <c r="C625" t="s">
        <v>607</v>
      </c>
      <c r="E625">
        <v>2</v>
      </c>
    </row>
    <row r="626" spans="1:5" x14ac:dyDescent="0.3">
      <c r="A626" t="s">
        <v>506</v>
      </c>
      <c r="B626">
        <v>60</v>
      </c>
      <c r="E626" t="s">
        <v>598</v>
      </c>
    </row>
    <row r="627" spans="1:5" x14ac:dyDescent="0.3">
      <c r="A627" t="s">
        <v>574</v>
      </c>
      <c r="B627">
        <v>60</v>
      </c>
      <c r="C627">
        <v>5914</v>
      </c>
      <c r="E627">
        <v>308</v>
      </c>
    </row>
    <row r="628" spans="1:5" x14ac:dyDescent="0.3">
      <c r="A628" t="s">
        <v>42</v>
      </c>
      <c r="B628">
        <v>60</v>
      </c>
      <c r="C628">
        <v>30</v>
      </c>
      <c r="E628">
        <v>30</v>
      </c>
    </row>
    <row r="629" spans="1:5" x14ac:dyDescent="0.3">
      <c r="A629" t="s">
        <v>575</v>
      </c>
      <c r="B629">
        <v>60</v>
      </c>
      <c r="C629">
        <v>134.4</v>
      </c>
      <c r="E629">
        <v>7</v>
      </c>
    </row>
    <row r="630" spans="1:5" x14ac:dyDescent="0.3">
      <c r="A630" t="s">
        <v>41</v>
      </c>
      <c r="B630">
        <v>60</v>
      </c>
      <c r="C630">
        <v>0</v>
      </c>
      <c r="E630">
        <v>0</v>
      </c>
    </row>
    <row r="631" spans="1:5" x14ac:dyDescent="0.3">
      <c r="A631" t="s">
        <v>576</v>
      </c>
      <c r="B631">
        <v>60</v>
      </c>
      <c r="C631">
        <v>0</v>
      </c>
      <c r="E631">
        <v>12</v>
      </c>
    </row>
    <row r="632" spans="1:5" x14ac:dyDescent="0.3">
      <c r="A632" t="s">
        <v>577</v>
      </c>
      <c r="B632">
        <v>60</v>
      </c>
      <c r="C632">
        <v>0</v>
      </c>
      <c r="E632">
        <v>0</v>
      </c>
    </row>
    <row r="633" spans="1:5" x14ac:dyDescent="0.3">
      <c r="A633" t="s">
        <v>578</v>
      </c>
      <c r="B633">
        <v>60</v>
      </c>
      <c r="C633">
        <v>0</v>
      </c>
      <c r="E633">
        <v>0</v>
      </c>
    </row>
    <row r="634" spans="1:5" x14ac:dyDescent="0.3">
      <c r="A634" t="s">
        <v>579</v>
      </c>
      <c r="B634">
        <v>60</v>
      </c>
      <c r="C634">
        <v>16</v>
      </c>
      <c r="E634">
        <v>16</v>
      </c>
    </row>
    <row r="635" spans="1:5" x14ac:dyDescent="0.3">
      <c r="A635" t="s">
        <v>580</v>
      </c>
      <c r="B635">
        <v>60</v>
      </c>
      <c r="C635">
        <v>100</v>
      </c>
      <c r="E635">
        <v>100</v>
      </c>
    </row>
    <row r="636" spans="1:5" x14ac:dyDescent="0.3">
      <c r="A636" t="s">
        <v>581</v>
      </c>
      <c r="B636">
        <v>60</v>
      </c>
      <c r="C636">
        <v>1320</v>
      </c>
      <c r="E636">
        <v>1320</v>
      </c>
    </row>
    <row r="637" spans="1:5" x14ac:dyDescent="0.3">
      <c r="A637" t="s">
        <v>582</v>
      </c>
      <c r="B637">
        <v>60</v>
      </c>
      <c r="C637">
        <v>880</v>
      </c>
      <c r="E637">
        <v>880</v>
      </c>
    </row>
    <row r="638" spans="1:5" x14ac:dyDescent="0.3">
      <c r="A638" t="s">
        <v>583</v>
      </c>
      <c r="B638">
        <v>60</v>
      </c>
      <c r="C638">
        <v>1760</v>
      </c>
      <c r="E638">
        <v>1760</v>
      </c>
    </row>
    <row r="639" spans="1:5" x14ac:dyDescent="0.3">
      <c r="A639" t="s">
        <v>584</v>
      </c>
      <c r="B639">
        <v>60</v>
      </c>
    </row>
    <row r="640" spans="1:5" x14ac:dyDescent="0.3">
      <c r="A640" t="s">
        <v>585</v>
      </c>
      <c r="B640">
        <v>60</v>
      </c>
    </row>
    <row r="641" spans="1:5" x14ac:dyDescent="0.3">
      <c r="A641" t="s">
        <v>586</v>
      </c>
      <c r="B641">
        <v>60</v>
      </c>
    </row>
    <row r="642" spans="1:5" x14ac:dyDescent="0.3">
      <c r="A642" t="s">
        <v>587</v>
      </c>
      <c r="B642">
        <v>60</v>
      </c>
      <c r="C642" t="b">
        <v>0</v>
      </c>
      <c r="E642" t="b">
        <v>0</v>
      </c>
    </row>
    <row r="643" spans="1:5" x14ac:dyDescent="0.3">
      <c r="A643" t="s">
        <v>588</v>
      </c>
      <c r="B643">
        <v>60</v>
      </c>
      <c r="C643" t="b">
        <v>0</v>
      </c>
      <c r="E643" t="b">
        <v>0</v>
      </c>
    </row>
    <row r="644" spans="1:5" x14ac:dyDescent="0.3">
      <c r="A644" t="s">
        <v>570</v>
      </c>
      <c r="B644">
        <v>61</v>
      </c>
      <c r="C644">
        <v>21</v>
      </c>
      <c r="D644">
        <v>30</v>
      </c>
    </row>
    <row r="645" spans="1:5" x14ac:dyDescent="0.3">
      <c r="A645" t="s">
        <v>36</v>
      </c>
      <c r="B645">
        <v>61</v>
      </c>
      <c r="C645">
        <v>2</v>
      </c>
      <c r="D645">
        <v>2</v>
      </c>
    </row>
    <row r="646" spans="1:5" x14ac:dyDescent="0.3">
      <c r="A646" t="s">
        <v>506</v>
      </c>
      <c r="B646">
        <v>61</v>
      </c>
      <c r="C646" t="s">
        <v>571</v>
      </c>
      <c r="D646" t="s">
        <v>571</v>
      </c>
    </row>
    <row r="647" spans="1:5" x14ac:dyDescent="0.3">
      <c r="A647" t="s">
        <v>574</v>
      </c>
      <c r="B647">
        <v>61</v>
      </c>
      <c r="C647">
        <v>875</v>
      </c>
      <c r="D647">
        <v>2237</v>
      </c>
    </row>
    <row r="648" spans="1:5" x14ac:dyDescent="0.3">
      <c r="A648" t="s">
        <v>42</v>
      </c>
      <c r="B648">
        <v>61</v>
      </c>
      <c r="C648">
        <v>55</v>
      </c>
      <c r="D648">
        <v>55</v>
      </c>
    </row>
    <row r="649" spans="1:5" x14ac:dyDescent="0.3">
      <c r="A649" t="s">
        <v>575</v>
      </c>
      <c r="B649">
        <v>61</v>
      </c>
      <c r="C649">
        <v>10.8</v>
      </c>
      <c r="D649">
        <v>27.7</v>
      </c>
    </row>
    <row r="650" spans="1:5" x14ac:dyDescent="0.3">
      <c r="A650" t="s">
        <v>41</v>
      </c>
      <c r="B650">
        <v>61</v>
      </c>
      <c r="C650">
        <v>0</v>
      </c>
      <c r="D650">
        <v>0</v>
      </c>
    </row>
    <row r="651" spans="1:5" x14ac:dyDescent="0.3">
      <c r="A651" t="s">
        <v>576</v>
      </c>
      <c r="B651">
        <v>61</v>
      </c>
      <c r="C651">
        <v>12</v>
      </c>
      <c r="D651">
        <v>12</v>
      </c>
    </row>
    <row r="652" spans="1:5" x14ac:dyDescent="0.3">
      <c r="A652" t="s">
        <v>577</v>
      </c>
      <c r="B652">
        <v>61</v>
      </c>
      <c r="C652">
        <v>0</v>
      </c>
      <c r="D652">
        <v>0</v>
      </c>
    </row>
    <row r="653" spans="1:5" x14ac:dyDescent="0.3">
      <c r="A653" t="s">
        <v>578</v>
      </c>
      <c r="B653">
        <v>61</v>
      </c>
      <c r="C653">
        <v>0</v>
      </c>
      <c r="D653">
        <v>0</v>
      </c>
    </row>
    <row r="654" spans="1:5" x14ac:dyDescent="0.3">
      <c r="A654" t="s">
        <v>579</v>
      </c>
      <c r="B654">
        <v>61</v>
      </c>
      <c r="C654">
        <v>16</v>
      </c>
      <c r="D654">
        <v>16</v>
      </c>
    </row>
    <row r="655" spans="1:5" x14ac:dyDescent="0.3">
      <c r="A655" t="s">
        <v>580</v>
      </c>
      <c r="B655">
        <v>61</v>
      </c>
      <c r="C655">
        <v>100</v>
      </c>
      <c r="D655">
        <v>100</v>
      </c>
    </row>
    <row r="656" spans="1:5" x14ac:dyDescent="0.3">
      <c r="A656" t="s">
        <v>581</v>
      </c>
      <c r="B656">
        <v>61</v>
      </c>
      <c r="C656">
        <v>2421</v>
      </c>
      <c r="D656">
        <v>2421</v>
      </c>
    </row>
    <row r="657" spans="1:4" x14ac:dyDescent="0.3">
      <c r="A657" t="s">
        <v>582</v>
      </c>
      <c r="B657">
        <v>61</v>
      </c>
      <c r="C657">
        <v>1614</v>
      </c>
      <c r="D657">
        <v>1614</v>
      </c>
    </row>
    <row r="658" spans="1:4" x14ac:dyDescent="0.3">
      <c r="A658" t="s">
        <v>583</v>
      </c>
      <c r="B658">
        <v>61</v>
      </c>
      <c r="C658">
        <v>3228</v>
      </c>
      <c r="D658">
        <v>3228</v>
      </c>
    </row>
    <row r="659" spans="1:4" x14ac:dyDescent="0.3">
      <c r="A659" t="s">
        <v>584</v>
      </c>
      <c r="B659">
        <v>61</v>
      </c>
    </row>
    <row r="660" spans="1:4" x14ac:dyDescent="0.3">
      <c r="A660" t="s">
        <v>585</v>
      </c>
      <c r="B660">
        <v>61</v>
      </c>
    </row>
    <row r="661" spans="1:4" x14ac:dyDescent="0.3">
      <c r="A661" t="s">
        <v>586</v>
      </c>
      <c r="B661">
        <v>61</v>
      </c>
    </row>
    <row r="662" spans="1:4" x14ac:dyDescent="0.3">
      <c r="A662" t="s">
        <v>587</v>
      </c>
      <c r="B662">
        <v>61</v>
      </c>
      <c r="C662" t="b">
        <v>0</v>
      </c>
      <c r="D662" t="b">
        <v>0</v>
      </c>
    </row>
    <row r="663" spans="1:4" x14ac:dyDescent="0.3">
      <c r="A663" t="s">
        <v>588</v>
      </c>
      <c r="B663">
        <v>61</v>
      </c>
      <c r="C663" t="b">
        <v>0</v>
      </c>
      <c r="D663" t="b">
        <v>0</v>
      </c>
    </row>
    <row r="664" spans="1:4" x14ac:dyDescent="0.3">
      <c r="A664" t="s">
        <v>570</v>
      </c>
      <c r="B664">
        <v>62</v>
      </c>
      <c r="C664">
        <v>34</v>
      </c>
    </row>
    <row r="665" spans="1:4" x14ac:dyDescent="0.3">
      <c r="A665" t="s">
        <v>36</v>
      </c>
      <c r="B665">
        <v>62</v>
      </c>
      <c r="C665">
        <v>2</v>
      </c>
    </row>
    <row r="666" spans="1:4" x14ac:dyDescent="0.3">
      <c r="A666" t="s">
        <v>506</v>
      </c>
      <c r="B666">
        <v>62</v>
      </c>
      <c r="C666" t="s">
        <v>571</v>
      </c>
    </row>
    <row r="667" spans="1:4" x14ac:dyDescent="0.3">
      <c r="A667" t="s">
        <v>574</v>
      </c>
      <c r="B667">
        <v>62</v>
      </c>
      <c r="C667">
        <v>1189</v>
      </c>
    </row>
    <row r="668" spans="1:4" x14ac:dyDescent="0.3">
      <c r="A668" t="s">
        <v>42</v>
      </c>
      <c r="B668">
        <v>62</v>
      </c>
      <c r="C668">
        <v>55</v>
      </c>
    </row>
    <row r="669" spans="1:4" x14ac:dyDescent="0.3">
      <c r="A669" t="s">
        <v>575</v>
      </c>
      <c r="B669">
        <v>62</v>
      </c>
      <c r="C669">
        <v>14.7</v>
      </c>
    </row>
    <row r="670" spans="1:4" x14ac:dyDescent="0.3">
      <c r="A670" t="s">
        <v>41</v>
      </c>
      <c r="B670">
        <v>62</v>
      </c>
      <c r="C670">
        <v>0</v>
      </c>
    </row>
    <row r="671" spans="1:4" x14ac:dyDescent="0.3">
      <c r="A671" t="s">
        <v>576</v>
      </c>
      <c r="B671">
        <v>62</v>
      </c>
      <c r="C671">
        <v>12</v>
      </c>
    </row>
    <row r="672" spans="1:4" x14ac:dyDescent="0.3">
      <c r="A672" t="s">
        <v>577</v>
      </c>
      <c r="B672">
        <v>62</v>
      </c>
      <c r="C672">
        <v>0</v>
      </c>
    </row>
    <row r="673" spans="1:4" x14ac:dyDescent="0.3">
      <c r="A673" t="s">
        <v>578</v>
      </c>
      <c r="B673">
        <v>62</v>
      </c>
      <c r="C673">
        <v>0</v>
      </c>
    </row>
    <row r="674" spans="1:4" x14ac:dyDescent="0.3">
      <c r="A674" t="s">
        <v>579</v>
      </c>
      <c r="B674">
        <v>62</v>
      </c>
      <c r="C674">
        <v>16</v>
      </c>
    </row>
    <row r="675" spans="1:4" x14ac:dyDescent="0.3">
      <c r="A675" t="s">
        <v>580</v>
      </c>
      <c r="B675">
        <v>62</v>
      </c>
      <c r="C675">
        <v>200</v>
      </c>
    </row>
    <row r="676" spans="1:4" x14ac:dyDescent="0.3">
      <c r="A676" t="s">
        <v>581</v>
      </c>
      <c r="B676">
        <v>62</v>
      </c>
      <c r="C676">
        <v>2421</v>
      </c>
    </row>
    <row r="677" spans="1:4" x14ac:dyDescent="0.3">
      <c r="A677" t="s">
        <v>582</v>
      </c>
      <c r="B677">
        <v>62</v>
      </c>
      <c r="C677">
        <v>1614</v>
      </c>
    </row>
    <row r="678" spans="1:4" x14ac:dyDescent="0.3">
      <c r="A678" t="s">
        <v>583</v>
      </c>
      <c r="B678">
        <v>62</v>
      </c>
      <c r="C678">
        <v>3228</v>
      </c>
    </row>
    <row r="679" spans="1:4" x14ac:dyDescent="0.3">
      <c r="A679" t="s">
        <v>584</v>
      </c>
      <c r="B679">
        <v>62</v>
      </c>
    </row>
    <row r="680" spans="1:4" x14ac:dyDescent="0.3">
      <c r="A680" t="s">
        <v>585</v>
      </c>
      <c r="B680">
        <v>62</v>
      </c>
    </row>
    <row r="681" spans="1:4" x14ac:dyDescent="0.3">
      <c r="A681" t="s">
        <v>586</v>
      </c>
      <c r="B681">
        <v>62</v>
      </c>
    </row>
    <row r="682" spans="1:4" x14ac:dyDescent="0.3">
      <c r="A682" t="s">
        <v>587</v>
      </c>
      <c r="B682">
        <v>62</v>
      </c>
      <c r="C682" t="b">
        <v>0</v>
      </c>
    </row>
    <row r="683" spans="1:4" x14ac:dyDescent="0.3">
      <c r="A683" t="s">
        <v>588</v>
      </c>
      <c r="B683">
        <v>62</v>
      </c>
      <c r="C683" t="b">
        <v>0</v>
      </c>
    </row>
    <row r="684" spans="1:4" x14ac:dyDescent="0.3">
      <c r="A684" t="s">
        <v>570</v>
      </c>
      <c r="B684">
        <v>101</v>
      </c>
      <c r="D684">
        <v>1</v>
      </c>
    </row>
    <row r="685" spans="1:4" x14ac:dyDescent="0.3">
      <c r="A685" t="s">
        <v>36</v>
      </c>
      <c r="B685">
        <v>101</v>
      </c>
      <c r="D685">
        <v>1</v>
      </c>
    </row>
    <row r="686" spans="1:4" x14ac:dyDescent="0.3">
      <c r="A686" t="s">
        <v>506</v>
      </c>
      <c r="B686">
        <v>101</v>
      </c>
      <c r="D686" t="s">
        <v>571</v>
      </c>
    </row>
    <row r="687" spans="1:4" x14ac:dyDescent="0.3">
      <c r="A687" t="s">
        <v>574</v>
      </c>
      <c r="B687">
        <v>101</v>
      </c>
      <c r="D687">
        <v>620</v>
      </c>
    </row>
    <row r="688" spans="1:4" x14ac:dyDescent="0.3">
      <c r="A688" t="s">
        <v>42</v>
      </c>
      <c r="B688">
        <v>101</v>
      </c>
      <c r="D688">
        <v>30</v>
      </c>
    </row>
    <row r="689" spans="1:6" x14ac:dyDescent="0.3">
      <c r="A689" t="s">
        <v>575</v>
      </c>
      <c r="B689">
        <v>101</v>
      </c>
      <c r="D689">
        <v>14.1</v>
      </c>
    </row>
    <row r="690" spans="1:6" x14ac:dyDescent="0.3">
      <c r="A690" t="s">
        <v>41</v>
      </c>
      <c r="B690">
        <v>101</v>
      </c>
      <c r="D690">
        <v>0</v>
      </c>
    </row>
    <row r="691" spans="1:6" x14ac:dyDescent="0.3">
      <c r="A691" t="s">
        <v>576</v>
      </c>
      <c r="B691">
        <v>101</v>
      </c>
      <c r="D691">
        <v>12</v>
      </c>
    </row>
    <row r="692" spans="1:6" x14ac:dyDescent="0.3">
      <c r="A692" t="s">
        <v>577</v>
      </c>
      <c r="B692">
        <v>101</v>
      </c>
      <c r="D692">
        <v>0</v>
      </c>
    </row>
    <row r="693" spans="1:6" x14ac:dyDescent="0.3">
      <c r="A693" t="s">
        <v>578</v>
      </c>
      <c r="B693">
        <v>101</v>
      </c>
      <c r="D693">
        <v>0</v>
      </c>
    </row>
    <row r="694" spans="1:6" x14ac:dyDescent="0.3">
      <c r="A694" t="s">
        <v>579</v>
      </c>
      <c r="B694">
        <v>101</v>
      </c>
      <c r="D694">
        <v>16</v>
      </c>
    </row>
    <row r="695" spans="1:6" x14ac:dyDescent="0.3">
      <c r="A695" t="s">
        <v>580</v>
      </c>
      <c r="B695">
        <v>101</v>
      </c>
      <c r="D695">
        <v>200</v>
      </c>
    </row>
    <row r="696" spans="1:6" x14ac:dyDescent="0.3">
      <c r="A696" t="s">
        <v>581</v>
      </c>
      <c r="B696">
        <v>101</v>
      </c>
      <c r="D696">
        <v>1320</v>
      </c>
    </row>
    <row r="697" spans="1:6" x14ac:dyDescent="0.3">
      <c r="A697" t="s">
        <v>582</v>
      </c>
      <c r="B697">
        <v>101</v>
      </c>
      <c r="D697">
        <v>880</v>
      </c>
    </row>
    <row r="698" spans="1:6" x14ac:dyDescent="0.3">
      <c r="A698" t="s">
        <v>583</v>
      </c>
      <c r="B698">
        <v>101</v>
      </c>
      <c r="D698">
        <v>1760</v>
      </c>
    </row>
    <row r="699" spans="1:6" x14ac:dyDescent="0.3">
      <c r="A699" t="s">
        <v>584</v>
      </c>
      <c r="B699">
        <v>101</v>
      </c>
    </row>
    <row r="700" spans="1:6" x14ac:dyDescent="0.3">
      <c r="A700" t="s">
        <v>585</v>
      </c>
      <c r="B700">
        <v>101</v>
      </c>
    </row>
    <row r="701" spans="1:6" x14ac:dyDescent="0.3">
      <c r="A701" t="s">
        <v>586</v>
      </c>
      <c r="B701">
        <v>101</v>
      </c>
    </row>
    <row r="702" spans="1:6" x14ac:dyDescent="0.3">
      <c r="A702" t="s">
        <v>587</v>
      </c>
      <c r="B702">
        <v>101</v>
      </c>
      <c r="D702" t="b">
        <v>0</v>
      </c>
    </row>
    <row r="703" spans="1:6" x14ac:dyDescent="0.3">
      <c r="A703" t="s">
        <v>588</v>
      </c>
      <c r="B703">
        <v>101</v>
      </c>
      <c r="D703" t="b">
        <v>0</v>
      </c>
    </row>
    <row r="704" spans="1:6" x14ac:dyDescent="0.3">
      <c r="A704" t="s">
        <v>570</v>
      </c>
      <c r="B704">
        <v>102</v>
      </c>
      <c r="F704">
        <v>1</v>
      </c>
    </row>
    <row r="705" spans="1:6" x14ac:dyDescent="0.3">
      <c r="A705" t="s">
        <v>36</v>
      </c>
      <c r="B705">
        <v>102</v>
      </c>
      <c r="F705">
        <v>1</v>
      </c>
    </row>
    <row r="706" spans="1:6" x14ac:dyDescent="0.3">
      <c r="A706" t="s">
        <v>506</v>
      </c>
      <c r="B706">
        <v>102</v>
      </c>
      <c r="F706" t="s">
        <v>572</v>
      </c>
    </row>
    <row r="707" spans="1:6" x14ac:dyDescent="0.3">
      <c r="A707" t="s">
        <v>574</v>
      </c>
      <c r="B707">
        <v>102</v>
      </c>
      <c r="F707">
        <v>980</v>
      </c>
    </row>
    <row r="708" spans="1:6" x14ac:dyDescent="0.3">
      <c r="A708" t="s">
        <v>42</v>
      </c>
      <c r="B708">
        <v>102</v>
      </c>
      <c r="F708">
        <v>30</v>
      </c>
    </row>
    <row r="709" spans="1:6" x14ac:dyDescent="0.3">
      <c r="A709" t="s">
        <v>575</v>
      </c>
      <c r="B709">
        <v>102</v>
      </c>
      <c r="F709">
        <v>22.3</v>
      </c>
    </row>
    <row r="710" spans="1:6" x14ac:dyDescent="0.3">
      <c r="A710" t="s">
        <v>41</v>
      </c>
      <c r="B710">
        <v>102</v>
      </c>
      <c r="F710">
        <v>0</v>
      </c>
    </row>
    <row r="711" spans="1:6" x14ac:dyDescent="0.3">
      <c r="A711" t="s">
        <v>576</v>
      </c>
      <c r="B711">
        <v>102</v>
      </c>
      <c r="F711">
        <v>0</v>
      </c>
    </row>
    <row r="712" spans="1:6" x14ac:dyDescent="0.3">
      <c r="A712" t="s">
        <v>577</v>
      </c>
      <c r="B712">
        <v>102</v>
      </c>
      <c r="F712">
        <v>0</v>
      </c>
    </row>
    <row r="713" spans="1:6" x14ac:dyDescent="0.3">
      <c r="A713" t="s">
        <v>578</v>
      </c>
      <c r="B713">
        <v>102</v>
      </c>
      <c r="F713">
        <v>0</v>
      </c>
    </row>
    <row r="714" spans="1:6" x14ac:dyDescent="0.3">
      <c r="A714" t="s">
        <v>579</v>
      </c>
      <c r="B714">
        <v>102</v>
      </c>
      <c r="F714">
        <v>16</v>
      </c>
    </row>
    <row r="715" spans="1:6" x14ac:dyDescent="0.3">
      <c r="A715" t="s">
        <v>580</v>
      </c>
      <c r="B715">
        <v>102</v>
      </c>
      <c r="F715">
        <v>200</v>
      </c>
    </row>
    <row r="716" spans="1:6" x14ac:dyDescent="0.3">
      <c r="A716" t="s">
        <v>581</v>
      </c>
      <c r="B716">
        <v>102</v>
      </c>
      <c r="F716">
        <v>1320</v>
      </c>
    </row>
    <row r="717" spans="1:6" x14ac:dyDescent="0.3">
      <c r="A717" t="s">
        <v>582</v>
      </c>
      <c r="B717">
        <v>102</v>
      </c>
      <c r="F717">
        <v>880</v>
      </c>
    </row>
    <row r="718" spans="1:6" x14ac:dyDescent="0.3">
      <c r="A718" t="s">
        <v>583</v>
      </c>
      <c r="B718">
        <v>102</v>
      </c>
      <c r="F718">
        <v>1760</v>
      </c>
    </row>
    <row r="719" spans="1:6" x14ac:dyDescent="0.3">
      <c r="A719" t="s">
        <v>584</v>
      </c>
      <c r="B719">
        <v>102</v>
      </c>
    </row>
    <row r="720" spans="1:6" x14ac:dyDescent="0.3">
      <c r="A720" t="s">
        <v>585</v>
      </c>
      <c r="B720">
        <v>102</v>
      </c>
    </row>
    <row r="721" spans="1:6" x14ac:dyDescent="0.3">
      <c r="A721" t="s">
        <v>586</v>
      </c>
      <c r="B721">
        <v>102</v>
      </c>
    </row>
    <row r="722" spans="1:6" x14ac:dyDescent="0.3">
      <c r="A722" t="s">
        <v>587</v>
      </c>
      <c r="B722">
        <v>102</v>
      </c>
      <c r="F722" t="b">
        <v>0</v>
      </c>
    </row>
    <row r="723" spans="1:6" x14ac:dyDescent="0.3">
      <c r="A723" t="s">
        <v>588</v>
      </c>
      <c r="B723">
        <v>102</v>
      </c>
      <c r="F723" t="b">
        <v>0</v>
      </c>
    </row>
    <row r="724" spans="1:6" x14ac:dyDescent="0.3">
      <c r="A724" t="s">
        <v>570</v>
      </c>
      <c r="B724">
        <v>103</v>
      </c>
      <c r="E724">
        <v>1</v>
      </c>
    </row>
    <row r="725" spans="1:6" x14ac:dyDescent="0.3">
      <c r="A725" t="s">
        <v>36</v>
      </c>
      <c r="B725">
        <v>103</v>
      </c>
      <c r="E725">
        <v>1</v>
      </c>
    </row>
    <row r="726" spans="1:6" x14ac:dyDescent="0.3">
      <c r="A726" t="s">
        <v>506</v>
      </c>
      <c r="B726">
        <v>103</v>
      </c>
      <c r="E726" t="s">
        <v>573</v>
      </c>
    </row>
    <row r="727" spans="1:6" x14ac:dyDescent="0.3">
      <c r="A727" t="s">
        <v>574</v>
      </c>
      <c r="B727">
        <v>103</v>
      </c>
      <c r="E727">
        <v>1124</v>
      </c>
    </row>
    <row r="728" spans="1:6" x14ac:dyDescent="0.3">
      <c r="A728" t="s">
        <v>42</v>
      </c>
      <c r="B728">
        <v>103</v>
      </c>
      <c r="E728">
        <v>30</v>
      </c>
    </row>
    <row r="729" spans="1:6" x14ac:dyDescent="0.3">
      <c r="A729" t="s">
        <v>575</v>
      </c>
      <c r="B729">
        <v>103</v>
      </c>
      <c r="E729">
        <v>25.5</v>
      </c>
    </row>
    <row r="730" spans="1:6" x14ac:dyDescent="0.3">
      <c r="A730" t="s">
        <v>41</v>
      </c>
      <c r="B730">
        <v>103</v>
      </c>
      <c r="E730">
        <v>0</v>
      </c>
    </row>
    <row r="731" spans="1:6" x14ac:dyDescent="0.3">
      <c r="A731" t="s">
        <v>576</v>
      </c>
      <c r="B731">
        <v>103</v>
      </c>
      <c r="E731">
        <v>12</v>
      </c>
    </row>
    <row r="732" spans="1:6" x14ac:dyDescent="0.3">
      <c r="A732" t="s">
        <v>577</v>
      </c>
      <c r="B732">
        <v>103</v>
      </c>
      <c r="E732">
        <v>0</v>
      </c>
    </row>
    <row r="733" spans="1:6" x14ac:dyDescent="0.3">
      <c r="A733" t="s">
        <v>578</v>
      </c>
      <c r="B733">
        <v>103</v>
      </c>
      <c r="E733">
        <v>0</v>
      </c>
    </row>
    <row r="734" spans="1:6" x14ac:dyDescent="0.3">
      <c r="A734" t="s">
        <v>579</v>
      </c>
      <c r="B734">
        <v>103</v>
      </c>
      <c r="E734">
        <v>16</v>
      </c>
    </row>
    <row r="735" spans="1:6" x14ac:dyDescent="0.3">
      <c r="A735" t="s">
        <v>580</v>
      </c>
      <c r="B735">
        <v>103</v>
      </c>
      <c r="E735">
        <v>200</v>
      </c>
    </row>
    <row r="736" spans="1:6" x14ac:dyDescent="0.3">
      <c r="A736" t="s">
        <v>581</v>
      </c>
      <c r="B736">
        <v>103</v>
      </c>
      <c r="E736">
        <v>1320</v>
      </c>
    </row>
    <row r="737" spans="1:6" x14ac:dyDescent="0.3">
      <c r="A737" t="s">
        <v>582</v>
      </c>
      <c r="B737">
        <v>103</v>
      </c>
      <c r="E737">
        <v>880</v>
      </c>
    </row>
    <row r="738" spans="1:6" x14ac:dyDescent="0.3">
      <c r="A738" t="s">
        <v>583</v>
      </c>
      <c r="B738">
        <v>103</v>
      </c>
      <c r="E738">
        <v>1760</v>
      </c>
    </row>
    <row r="739" spans="1:6" x14ac:dyDescent="0.3">
      <c r="A739" t="s">
        <v>584</v>
      </c>
      <c r="B739">
        <v>103</v>
      </c>
    </row>
    <row r="740" spans="1:6" x14ac:dyDescent="0.3">
      <c r="A740" t="s">
        <v>585</v>
      </c>
      <c r="B740">
        <v>103</v>
      </c>
    </row>
    <row r="741" spans="1:6" x14ac:dyDescent="0.3">
      <c r="A741" t="s">
        <v>586</v>
      </c>
      <c r="B741">
        <v>103</v>
      </c>
    </row>
    <row r="742" spans="1:6" x14ac:dyDescent="0.3">
      <c r="A742" t="s">
        <v>587</v>
      </c>
      <c r="B742">
        <v>103</v>
      </c>
      <c r="E742" t="b">
        <v>0</v>
      </c>
    </row>
    <row r="743" spans="1:6" x14ac:dyDescent="0.3">
      <c r="A743" t="s">
        <v>588</v>
      </c>
      <c r="B743">
        <v>103</v>
      </c>
      <c r="E743" t="b">
        <v>0</v>
      </c>
    </row>
    <row r="744" spans="1:6" x14ac:dyDescent="0.3">
      <c r="A744" t="s">
        <v>570</v>
      </c>
      <c r="B744">
        <v>104</v>
      </c>
      <c r="F744">
        <v>2</v>
      </c>
    </row>
    <row r="745" spans="1:6" x14ac:dyDescent="0.3">
      <c r="A745" t="s">
        <v>36</v>
      </c>
      <c r="B745">
        <v>104</v>
      </c>
      <c r="F745">
        <v>1</v>
      </c>
    </row>
    <row r="746" spans="1:6" x14ac:dyDescent="0.3">
      <c r="A746" t="s">
        <v>506</v>
      </c>
      <c r="B746">
        <v>104</v>
      </c>
      <c r="F746" t="s">
        <v>589</v>
      </c>
    </row>
    <row r="747" spans="1:6" x14ac:dyDescent="0.3">
      <c r="A747" t="s">
        <v>574</v>
      </c>
      <c r="B747">
        <v>104</v>
      </c>
      <c r="F747">
        <v>776</v>
      </c>
    </row>
    <row r="748" spans="1:6" x14ac:dyDescent="0.3">
      <c r="A748" t="s">
        <v>42</v>
      </c>
      <c r="B748">
        <v>104</v>
      </c>
      <c r="F748">
        <v>30</v>
      </c>
    </row>
    <row r="749" spans="1:6" x14ac:dyDescent="0.3">
      <c r="A749" t="s">
        <v>575</v>
      </c>
      <c r="B749">
        <v>104</v>
      </c>
      <c r="F749">
        <v>17.600000000000001</v>
      </c>
    </row>
    <row r="750" spans="1:6" x14ac:dyDescent="0.3">
      <c r="A750" t="s">
        <v>41</v>
      </c>
      <c r="B750">
        <v>104</v>
      </c>
      <c r="F750">
        <v>0</v>
      </c>
    </row>
    <row r="751" spans="1:6" x14ac:dyDescent="0.3">
      <c r="A751" t="s">
        <v>576</v>
      </c>
      <c r="B751">
        <v>104</v>
      </c>
      <c r="F751">
        <v>12</v>
      </c>
    </row>
    <row r="752" spans="1:6" x14ac:dyDescent="0.3">
      <c r="A752" t="s">
        <v>577</v>
      </c>
      <c r="B752">
        <v>104</v>
      </c>
      <c r="F752">
        <v>0</v>
      </c>
    </row>
    <row r="753" spans="1:6" x14ac:dyDescent="0.3">
      <c r="A753" t="s">
        <v>578</v>
      </c>
      <c r="B753">
        <v>104</v>
      </c>
      <c r="F753">
        <v>0</v>
      </c>
    </row>
    <row r="754" spans="1:6" x14ac:dyDescent="0.3">
      <c r="A754" t="s">
        <v>579</v>
      </c>
      <c r="B754">
        <v>104</v>
      </c>
      <c r="F754">
        <v>16</v>
      </c>
    </row>
    <row r="755" spans="1:6" x14ac:dyDescent="0.3">
      <c r="A755" t="s">
        <v>580</v>
      </c>
      <c r="B755">
        <v>104</v>
      </c>
      <c r="F755">
        <v>200</v>
      </c>
    </row>
    <row r="756" spans="1:6" x14ac:dyDescent="0.3">
      <c r="A756" t="s">
        <v>581</v>
      </c>
      <c r="B756">
        <v>104</v>
      </c>
      <c r="F756">
        <v>1320</v>
      </c>
    </row>
    <row r="757" spans="1:6" x14ac:dyDescent="0.3">
      <c r="A757" t="s">
        <v>582</v>
      </c>
      <c r="B757">
        <v>104</v>
      </c>
      <c r="F757">
        <v>880</v>
      </c>
    </row>
    <row r="758" spans="1:6" x14ac:dyDescent="0.3">
      <c r="A758" t="s">
        <v>583</v>
      </c>
      <c r="B758">
        <v>104</v>
      </c>
      <c r="F758">
        <v>1760</v>
      </c>
    </row>
    <row r="759" spans="1:6" x14ac:dyDescent="0.3">
      <c r="A759" t="s">
        <v>584</v>
      </c>
      <c r="B759">
        <v>104</v>
      </c>
    </row>
    <row r="760" spans="1:6" x14ac:dyDescent="0.3">
      <c r="A760" t="s">
        <v>585</v>
      </c>
      <c r="B760">
        <v>104</v>
      </c>
    </row>
    <row r="761" spans="1:6" x14ac:dyDescent="0.3">
      <c r="A761" t="s">
        <v>586</v>
      </c>
      <c r="B761">
        <v>104</v>
      </c>
    </row>
    <row r="762" spans="1:6" x14ac:dyDescent="0.3">
      <c r="A762" t="s">
        <v>587</v>
      </c>
      <c r="B762">
        <v>104</v>
      </c>
      <c r="F762" t="b">
        <v>0</v>
      </c>
    </row>
    <row r="763" spans="1:6" x14ac:dyDescent="0.3">
      <c r="A763" t="s">
        <v>588</v>
      </c>
      <c r="B763">
        <v>104</v>
      </c>
      <c r="F763" t="b">
        <v>0</v>
      </c>
    </row>
    <row r="764" spans="1:6" x14ac:dyDescent="0.3">
      <c r="A764" t="s">
        <v>570</v>
      </c>
      <c r="B764">
        <v>105</v>
      </c>
      <c r="E764">
        <v>2</v>
      </c>
    </row>
    <row r="765" spans="1:6" x14ac:dyDescent="0.3">
      <c r="A765" t="s">
        <v>36</v>
      </c>
      <c r="B765">
        <v>105</v>
      </c>
      <c r="E765">
        <v>1</v>
      </c>
    </row>
    <row r="766" spans="1:6" x14ac:dyDescent="0.3">
      <c r="A766" t="s">
        <v>506</v>
      </c>
      <c r="B766">
        <v>105</v>
      </c>
      <c r="E766" t="s">
        <v>589</v>
      </c>
    </row>
    <row r="767" spans="1:6" x14ac:dyDescent="0.3">
      <c r="A767" t="s">
        <v>574</v>
      </c>
      <c r="B767">
        <v>105</v>
      </c>
      <c r="E767">
        <v>828</v>
      </c>
    </row>
    <row r="768" spans="1:6" x14ac:dyDescent="0.3">
      <c r="A768" t="s">
        <v>42</v>
      </c>
      <c r="B768">
        <v>105</v>
      </c>
      <c r="E768">
        <v>30</v>
      </c>
    </row>
    <row r="769" spans="1:7" x14ac:dyDescent="0.3">
      <c r="A769" t="s">
        <v>575</v>
      </c>
      <c r="B769">
        <v>105</v>
      </c>
      <c r="E769">
        <v>18.8</v>
      </c>
    </row>
    <row r="770" spans="1:7" x14ac:dyDescent="0.3">
      <c r="A770" t="s">
        <v>41</v>
      </c>
      <c r="B770">
        <v>105</v>
      </c>
      <c r="E770">
        <v>0</v>
      </c>
    </row>
    <row r="771" spans="1:7" x14ac:dyDescent="0.3">
      <c r="A771" t="s">
        <v>576</v>
      </c>
      <c r="B771">
        <v>105</v>
      </c>
      <c r="E771">
        <v>12</v>
      </c>
    </row>
    <row r="772" spans="1:7" x14ac:dyDescent="0.3">
      <c r="A772" t="s">
        <v>577</v>
      </c>
      <c r="B772">
        <v>105</v>
      </c>
      <c r="E772">
        <v>0</v>
      </c>
    </row>
    <row r="773" spans="1:7" x14ac:dyDescent="0.3">
      <c r="A773" t="s">
        <v>578</v>
      </c>
      <c r="B773">
        <v>105</v>
      </c>
      <c r="E773">
        <v>0</v>
      </c>
    </row>
    <row r="774" spans="1:7" x14ac:dyDescent="0.3">
      <c r="A774" t="s">
        <v>579</v>
      </c>
      <c r="B774">
        <v>105</v>
      </c>
      <c r="E774">
        <v>16</v>
      </c>
    </row>
    <row r="775" spans="1:7" x14ac:dyDescent="0.3">
      <c r="A775" t="s">
        <v>580</v>
      </c>
      <c r="B775">
        <v>105</v>
      </c>
      <c r="E775">
        <v>200</v>
      </c>
    </row>
    <row r="776" spans="1:7" x14ac:dyDescent="0.3">
      <c r="A776" t="s">
        <v>581</v>
      </c>
      <c r="B776">
        <v>105</v>
      </c>
      <c r="E776">
        <v>1320</v>
      </c>
    </row>
    <row r="777" spans="1:7" x14ac:dyDescent="0.3">
      <c r="A777" t="s">
        <v>582</v>
      </c>
      <c r="B777">
        <v>105</v>
      </c>
      <c r="E777">
        <v>880</v>
      </c>
    </row>
    <row r="778" spans="1:7" x14ac:dyDescent="0.3">
      <c r="A778" t="s">
        <v>583</v>
      </c>
      <c r="B778">
        <v>105</v>
      </c>
      <c r="E778">
        <v>1760</v>
      </c>
    </row>
    <row r="779" spans="1:7" x14ac:dyDescent="0.3">
      <c r="A779" t="s">
        <v>584</v>
      </c>
      <c r="B779">
        <v>105</v>
      </c>
    </row>
    <row r="780" spans="1:7" x14ac:dyDescent="0.3">
      <c r="A780" t="s">
        <v>585</v>
      </c>
      <c r="B780">
        <v>105</v>
      </c>
    </row>
    <row r="781" spans="1:7" x14ac:dyDescent="0.3">
      <c r="A781" t="s">
        <v>586</v>
      </c>
      <c r="B781">
        <v>105</v>
      </c>
    </row>
    <row r="782" spans="1:7" x14ac:dyDescent="0.3">
      <c r="A782" t="s">
        <v>587</v>
      </c>
      <c r="B782">
        <v>105</v>
      </c>
      <c r="E782" t="b">
        <v>0</v>
      </c>
    </row>
    <row r="783" spans="1:7" x14ac:dyDescent="0.3">
      <c r="A783" t="s">
        <v>588</v>
      </c>
      <c r="B783">
        <v>105</v>
      </c>
      <c r="E783" t="b">
        <v>0</v>
      </c>
    </row>
    <row r="784" spans="1:7" x14ac:dyDescent="0.3">
      <c r="A784" t="s">
        <v>570</v>
      </c>
      <c r="B784">
        <v>106</v>
      </c>
      <c r="G784">
        <v>3</v>
      </c>
    </row>
    <row r="785" spans="1:7" x14ac:dyDescent="0.3">
      <c r="A785" t="s">
        <v>36</v>
      </c>
      <c r="B785">
        <v>106</v>
      </c>
      <c r="G785">
        <v>1</v>
      </c>
    </row>
    <row r="786" spans="1:7" x14ac:dyDescent="0.3">
      <c r="A786" t="s">
        <v>506</v>
      </c>
      <c r="B786">
        <v>106</v>
      </c>
      <c r="G786" t="s">
        <v>591</v>
      </c>
    </row>
    <row r="787" spans="1:7" x14ac:dyDescent="0.3">
      <c r="A787" t="s">
        <v>574</v>
      </c>
      <c r="B787">
        <v>106</v>
      </c>
      <c r="G787">
        <v>1438</v>
      </c>
    </row>
    <row r="788" spans="1:7" x14ac:dyDescent="0.3">
      <c r="A788" t="s">
        <v>42</v>
      </c>
      <c r="B788">
        <v>106</v>
      </c>
      <c r="G788">
        <v>30</v>
      </c>
    </row>
    <row r="789" spans="1:7" x14ac:dyDescent="0.3">
      <c r="A789" t="s">
        <v>575</v>
      </c>
      <c r="B789">
        <v>106</v>
      </c>
      <c r="G789">
        <v>32.700000000000003</v>
      </c>
    </row>
    <row r="790" spans="1:7" x14ac:dyDescent="0.3">
      <c r="A790" t="s">
        <v>41</v>
      </c>
      <c r="B790">
        <v>106</v>
      </c>
      <c r="G790">
        <v>0</v>
      </c>
    </row>
    <row r="791" spans="1:7" x14ac:dyDescent="0.3">
      <c r="A791" t="s">
        <v>576</v>
      </c>
      <c r="B791">
        <v>106</v>
      </c>
      <c r="G791">
        <v>12</v>
      </c>
    </row>
    <row r="792" spans="1:7" x14ac:dyDescent="0.3">
      <c r="A792" t="s">
        <v>577</v>
      </c>
      <c r="B792">
        <v>106</v>
      </c>
      <c r="G792">
        <v>0</v>
      </c>
    </row>
    <row r="793" spans="1:7" x14ac:dyDescent="0.3">
      <c r="A793" t="s">
        <v>578</v>
      </c>
      <c r="B793">
        <v>106</v>
      </c>
      <c r="G793">
        <v>0</v>
      </c>
    </row>
    <row r="794" spans="1:7" x14ac:dyDescent="0.3">
      <c r="A794" t="s">
        <v>579</v>
      </c>
      <c r="B794">
        <v>106</v>
      </c>
      <c r="G794">
        <v>16</v>
      </c>
    </row>
    <row r="795" spans="1:7" x14ac:dyDescent="0.3">
      <c r="A795" t="s">
        <v>580</v>
      </c>
      <c r="B795">
        <v>106</v>
      </c>
      <c r="G795">
        <v>200</v>
      </c>
    </row>
    <row r="796" spans="1:7" x14ac:dyDescent="0.3">
      <c r="A796" t="s">
        <v>581</v>
      </c>
      <c r="B796">
        <v>106</v>
      </c>
      <c r="G796">
        <v>1320</v>
      </c>
    </row>
    <row r="797" spans="1:7" x14ac:dyDescent="0.3">
      <c r="A797" t="s">
        <v>582</v>
      </c>
      <c r="B797">
        <v>106</v>
      </c>
      <c r="G797">
        <v>880</v>
      </c>
    </row>
    <row r="798" spans="1:7" x14ac:dyDescent="0.3">
      <c r="A798" t="s">
        <v>583</v>
      </c>
      <c r="B798">
        <v>106</v>
      </c>
      <c r="G798">
        <v>1760</v>
      </c>
    </row>
    <row r="799" spans="1:7" x14ac:dyDescent="0.3">
      <c r="A799" t="s">
        <v>584</v>
      </c>
      <c r="B799">
        <v>106</v>
      </c>
    </row>
    <row r="800" spans="1:7" x14ac:dyDescent="0.3">
      <c r="A800" t="s">
        <v>585</v>
      </c>
      <c r="B800">
        <v>106</v>
      </c>
    </row>
    <row r="801" spans="1:8" x14ac:dyDescent="0.3">
      <c r="A801" t="s">
        <v>586</v>
      </c>
      <c r="B801">
        <v>106</v>
      </c>
    </row>
    <row r="802" spans="1:8" x14ac:dyDescent="0.3">
      <c r="A802" t="s">
        <v>587</v>
      </c>
      <c r="B802">
        <v>106</v>
      </c>
      <c r="G802" t="b">
        <v>0</v>
      </c>
    </row>
    <row r="803" spans="1:8" x14ac:dyDescent="0.3">
      <c r="A803" t="s">
        <v>588</v>
      </c>
      <c r="B803">
        <v>106</v>
      </c>
      <c r="G803" t="b">
        <v>0</v>
      </c>
    </row>
    <row r="804" spans="1:8" x14ac:dyDescent="0.3">
      <c r="A804" t="s">
        <v>570</v>
      </c>
      <c r="B804">
        <v>107</v>
      </c>
      <c r="H804">
        <v>3</v>
      </c>
    </row>
    <row r="805" spans="1:8" x14ac:dyDescent="0.3">
      <c r="A805" t="s">
        <v>36</v>
      </c>
      <c r="B805">
        <v>107</v>
      </c>
      <c r="H805">
        <v>1</v>
      </c>
    </row>
    <row r="806" spans="1:8" x14ac:dyDescent="0.3">
      <c r="A806" t="s">
        <v>506</v>
      </c>
      <c r="B806">
        <v>107</v>
      </c>
      <c r="H806" t="s">
        <v>590</v>
      </c>
    </row>
    <row r="807" spans="1:8" x14ac:dyDescent="0.3">
      <c r="A807" t="s">
        <v>574</v>
      </c>
      <c r="B807">
        <v>107</v>
      </c>
      <c r="H807">
        <v>1381</v>
      </c>
    </row>
    <row r="808" spans="1:8" x14ac:dyDescent="0.3">
      <c r="A808" t="s">
        <v>42</v>
      </c>
      <c r="B808">
        <v>107</v>
      </c>
      <c r="H808">
        <v>30</v>
      </c>
    </row>
    <row r="809" spans="1:8" x14ac:dyDescent="0.3">
      <c r="A809" t="s">
        <v>575</v>
      </c>
      <c r="B809">
        <v>107</v>
      </c>
      <c r="H809">
        <v>31.4</v>
      </c>
    </row>
    <row r="810" spans="1:8" x14ac:dyDescent="0.3">
      <c r="A810" t="s">
        <v>41</v>
      </c>
      <c r="B810">
        <v>107</v>
      </c>
      <c r="H810">
        <v>0</v>
      </c>
    </row>
    <row r="811" spans="1:8" x14ac:dyDescent="0.3">
      <c r="A811" t="s">
        <v>576</v>
      </c>
      <c r="B811">
        <v>107</v>
      </c>
      <c r="H811">
        <v>12</v>
      </c>
    </row>
    <row r="812" spans="1:8" x14ac:dyDescent="0.3">
      <c r="A812" t="s">
        <v>577</v>
      </c>
      <c r="B812">
        <v>107</v>
      </c>
      <c r="H812">
        <v>0</v>
      </c>
    </row>
    <row r="813" spans="1:8" x14ac:dyDescent="0.3">
      <c r="A813" t="s">
        <v>578</v>
      </c>
      <c r="B813">
        <v>107</v>
      </c>
      <c r="H813">
        <v>0</v>
      </c>
    </row>
    <row r="814" spans="1:8" x14ac:dyDescent="0.3">
      <c r="A814" t="s">
        <v>579</v>
      </c>
      <c r="B814">
        <v>107</v>
      </c>
      <c r="H814">
        <v>16</v>
      </c>
    </row>
    <row r="815" spans="1:8" x14ac:dyDescent="0.3">
      <c r="A815" t="s">
        <v>580</v>
      </c>
      <c r="B815">
        <v>107</v>
      </c>
      <c r="H815">
        <v>200</v>
      </c>
    </row>
    <row r="816" spans="1:8" x14ac:dyDescent="0.3">
      <c r="A816" t="s">
        <v>581</v>
      </c>
      <c r="B816">
        <v>107</v>
      </c>
      <c r="H816">
        <v>1320</v>
      </c>
    </row>
    <row r="817" spans="1:8" x14ac:dyDescent="0.3">
      <c r="A817" t="s">
        <v>582</v>
      </c>
      <c r="B817">
        <v>107</v>
      </c>
      <c r="H817">
        <v>880</v>
      </c>
    </row>
    <row r="818" spans="1:8" x14ac:dyDescent="0.3">
      <c r="A818" t="s">
        <v>583</v>
      </c>
      <c r="B818">
        <v>107</v>
      </c>
      <c r="H818">
        <v>1760</v>
      </c>
    </row>
    <row r="819" spans="1:8" x14ac:dyDescent="0.3">
      <c r="A819" t="s">
        <v>584</v>
      </c>
      <c r="B819">
        <v>107</v>
      </c>
    </row>
    <row r="820" spans="1:8" x14ac:dyDescent="0.3">
      <c r="A820" t="s">
        <v>585</v>
      </c>
      <c r="B820">
        <v>107</v>
      </c>
    </row>
    <row r="821" spans="1:8" x14ac:dyDescent="0.3">
      <c r="A821" t="s">
        <v>586</v>
      </c>
      <c r="B821">
        <v>107</v>
      </c>
    </row>
    <row r="822" spans="1:8" x14ac:dyDescent="0.3">
      <c r="A822" t="s">
        <v>587</v>
      </c>
      <c r="B822">
        <v>107</v>
      </c>
      <c r="H822" t="b">
        <v>0</v>
      </c>
    </row>
    <row r="823" spans="1:8" x14ac:dyDescent="0.3">
      <c r="A823" t="s">
        <v>588</v>
      </c>
      <c r="B823">
        <v>107</v>
      </c>
      <c r="H823" t="b">
        <v>0</v>
      </c>
    </row>
    <row r="824" spans="1:8" x14ac:dyDescent="0.3">
      <c r="A824" t="s">
        <v>570</v>
      </c>
      <c r="B824">
        <v>108</v>
      </c>
      <c r="F824">
        <v>4</v>
      </c>
    </row>
    <row r="825" spans="1:8" x14ac:dyDescent="0.3">
      <c r="A825" t="s">
        <v>36</v>
      </c>
      <c r="B825">
        <v>108</v>
      </c>
      <c r="F825">
        <v>0</v>
      </c>
    </row>
    <row r="826" spans="1:8" x14ac:dyDescent="0.3">
      <c r="A826" t="s">
        <v>506</v>
      </c>
      <c r="B826">
        <v>108</v>
      </c>
      <c r="F826" t="s">
        <v>592</v>
      </c>
    </row>
    <row r="827" spans="1:8" x14ac:dyDescent="0.3">
      <c r="A827" t="s">
        <v>574</v>
      </c>
      <c r="B827">
        <v>108</v>
      </c>
      <c r="F827">
        <v>955</v>
      </c>
    </row>
    <row r="828" spans="1:8" x14ac:dyDescent="0.3">
      <c r="A828" t="s">
        <v>42</v>
      </c>
      <c r="B828">
        <v>108</v>
      </c>
      <c r="F828">
        <v>30</v>
      </c>
    </row>
    <row r="829" spans="1:8" x14ac:dyDescent="0.3">
      <c r="A829" t="s">
        <v>575</v>
      </c>
      <c r="B829">
        <v>108</v>
      </c>
      <c r="F829">
        <v>21.7</v>
      </c>
    </row>
    <row r="830" spans="1:8" x14ac:dyDescent="0.3">
      <c r="A830" t="s">
        <v>41</v>
      </c>
      <c r="B830">
        <v>108</v>
      </c>
      <c r="F830">
        <v>0</v>
      </c>
    </row>
    <row r="831" spans="1:8" x14ac:dyDescent="0.3">
      <c r="A831" t="s">
        <v>576</v>
      </c>
      <c r="B831">
        <v>108</v>
      </c>
      <c r="F831">
        <v>0</v>
      </c>
    </row>
    <row r="832" spans="1:8" x14ac:dyDescent="0.3">
      <c r="A832" t="s">
        <v>577</v>
      </c>
      <c r="B832">
        <v>108</v>
      </c>
      <c r="F832">
        <v>0</v>
      </c>
    </row>
    <row r="833" spans="1:6" x14ac:dyDescent="0.3">
      <c r="A833" t="s">
        <v>578</v>
      </c>
      <c r="B833">
        <v>108</v>
      </c>
      <c r="F833">
        <v>0</v>
      </c>
    </row>
    <row r="834" spans="1:6" x14ac:dyDescent="0.3">
      <c r="A834" t="s">
        <v>579</v>
      </c>
      <c r="B834">
        <v>108</v>
      </c>
      <c r="F834">
        <v>16</v>
      </c>
    </row>
    <row r="835" spans="1:6" x14ac:dyDescent="0.3">
      <c r="A835" t="s">
        <v>580</v>
      </c>
      <c r="B835">
        <v>108</v>
      </c>
      <c r="F835">
        <v>200</v>
      </c>
    </row>
    <row r="836" spans="1:6" x14ac:dyDescent="0.3">
      <c r="A836" t="s">
        <v>581</v>
      </c>
      <c r="B836">
        <v>108</v>
      </c>
      <c r="F836">
        <v>1320</v>
      </c>
    </row>
    <row r="837" spans="1:6" x14ac:dyDescent="0.3">
      <c r="A837" t="s">
        <v>582</v>
      </c>
      <c r="B837">
        <v>108</v>
      </c>
      <c r="F837">
        <v>880</v>
      </c>
    </row>
    <row r="838" spans="1:6" x14ac:dyDescent="0.3">
      <c r="A838" t="s">
        <v>583</v>
      </c>
      <c r="B838">
        <v>108</v>
      </c>
      <c r="F838">
        <v>1760</v>
      </c>
    </row>
    <row r="839" spans="1:6" x14ac:dyDescent="0.3">
      <c r="A839" t="s">
        <v>584</v>
      </c>
      <c r="B839">
        <v>108</v>
      </c>
    </row>
    <row r="840" spans="1:6" x14ac:dyDescent="0.3">
      <c r="A840" t="s">
        <v>585</v>
      </c>
      <c r="B840">
        <v>108</v>
      </c>
    </row>
    <row r="841" spans="1:6" x14ac:dyDescent="0.3">
      <c r="A841" t="s">
        <v>586</v>
      </c>
      <c r="B841">
        <v>108</v>
      </c>
    </row>
    <row r="842" spans="1:6" x14ac:dyDescent="0.3">
      <c r="A842" t="s">
        <v>587</v>
      </c>
      <c r="B842">
        <v>108</v>
      </c>
      <c r="F842" t="b">
        <v>0</v>
      </c>
    </row>
    <row r="843" spans="1:6" x14ac:dyDescent="0.3">
      <c r="A843" t="s">
        <v>588</v>
      </c>
      <c r="B843">
        <v>108</v>
      </c>
      <c r="F843" t="b">
        <v>0</v>
      </c>
    </row>
    <row r="844" spans="1:6" x14ac:dyDescent="0.3">
      <c r="A844" t="s">
        <v>570</v>
      </c>
      <c r="B844">
        <v>109</v>
      </c>
      <c r="F844">
        <v>5</v>
      </c>
    </row>
    <row r="845" spans="1:6" x14ac:dyDescent="0.3">
      <c r="A845" t="s">
        <v>36</v>
      </c>
      <c r="B845">
        <v>109</v>
      </c>
      <c r="F845">
        <v>2</v>
      </c>
    </row>
    <row r="846" spans="1:6" x14ac:dyDescent="0.3">
      <c r="A846" t="s">
        <v>506</v>
      </c>
      <c r="B846">
        <v>109</v>
      </c>
      <c r="F846" t="s">
        <v>593</v>
      </c>
    </row>
    <row r="847" spans="1:6" x14ac:dyDescent="0.3">
      <c r="A847" t="s">
        <v>574</v>
      </c>
      <c r="B847">
        <v>109</v>
      </c>
      <c r="F847">
        <v>693</v>
      </c>
    </row>
    <row r="848" spans="1:6" x14ac:dyDescent="0.3">
      <c r="A848" t="s">
        <v>42</v>
      </c>
      <c r="B848">
        <v>109</v>
      </c>
      <c r="F848">
        <v>30</v>
      </c>
    </row>
    <row r="849" spans="1:6" x14ac:dyDescent="0.3">
      <c r="A849" t="s">
        <v>575</v>
      </c>
      <c r="B849">
        <v>109</v>
      </c>
      <c r="F849">
        <v>15.8</v>
      </c>
    </row>
    <row r="850" spans="1:6" x14ac:dyDescent="0.3">
      <c r="A850" t="s">
        <v>41</v>
      </c>
      <c r="B850">
        <v>109</v>
      </c>
      <c r="F850">
        <v>0</v>
      </c>
    </row>
    <row r="851" spans="1:6" x14ac:dyDescent="0.3">
      <c r="A851" t="s">
        <v>576</v>
      </c>
      <c r="B851">
        <v>109</v>
      </c>
      <c r="F851">
        <v>0</v>
      </c>
    </row>
    <row r="852" spans="1:6" x14ac:dyDescent="0.3">
      <c r="A852" t="s">
        <v>577</v>
      </c>
      <c r="B852">
        <v>109</v>
      </c>
      <c r="F852">
        <v>0</v>
      </c>
    </row>
    <row r="853" spans="1:6" x14ac:dyDescent="0.3">
      <c r="A853" t="s">
        <v>578</v>
      </c>
      <c r="B853">
        <v>109</v>
      </c>
      <c r="F853">
        <v>0</v>
      </c>
    </row>
    <row r="854" spans="1:6" x14ac:dyDescent="0.3">
      <c r="A854" t="s">
        <v>579</v>
      </c>
      <c r="B854">
        <v>109</v>
      </c>
      <c r="F854">
        <v>16</v>
      </c>
    </row>
    <row r="855" spans="1:6" x14ac:dyDescent="0.3">
      <c r="A855" t="s">
        <v>580</v>
      </c>
      <c r="B855">
        <v>109</v>
      </c>
      <c r="F855">
        <v>200</v>
      </c>
    </row>
    <row r="856" spans="1:6" x14ac:dyDescent="0.3">
      <c r="A856" t="s">
        <v>581</v>
      </c>
      <c r="B856">
        <v>109</v>
      </c>
      <c r="F856">
        <v>1320</v>
      </c>
    </row>
    <row r="857" spans="1:6" x14ac:dyDescent="0.3">
      <c r="A857" t="s">
        <v>582</v>
      </c>
      <c r="B857">
        <v>109</v>
      </c>
      <c r="F857">
        <v>880</v>
      </c>
    </row>
    <row r="858" spans="1:6" x14ac:dyDescent="0.3">
      <c r="A858" t="s">
        <v>583</v>
      </c>
      <c r="B858">
        <v>109</v>
      </c>
      <c r="F858">
        <v>1760</v>
      </c>
    </row>
    <row r="859" spans="1:6" x14ac:dyDescent="0.3">
      <c r="A859" t="s">
        <v>584</v>
      </c>
      <c r="B859">
        <v>109</v>
      </c>
    </row>
    <row r="860" spans="1:6" x14ac:dyDescent="0.3">
      <c r="A860" t="s">
        <v>585</v>
      </c>
      <c r="B860">
        <v>109</v>
      </c>
    </row>
    <row r="861" spans="1:6" x14ac:dyDescent="0.3">
      <c r="A861" t="s">
        <v>586</v>
      </c>
      <c r="B861">
        <v>109</v>
      </c>
    </row>
    <row r="862" spans="1:6" x14ac:dyDescent="0.3">
      <c r="A862" t="s">
        <v>587</v>
      </c>
      <c r="B862">
        <v>109</v>
      </c>
      <c r="F862" t="b">
        <v>0</v>
      </c>
    </row>
    <row r="863" spans="1:6" x14ac:dyDescent="0.3">
      <c r="A863" t="s">
        <v>588</v>
      </c>
      <c r="B863">
        <v>109</v>
      </c>
      <c r="F863" t="b">
        <v>0</v>
      </c>
    </row>
    <row r="864" spans="1:6" x14ac:dyDescent="0.3">
      <c r="A864" t="s">
        <v>570</v>
      </c>
      <c r="B864">
        <v>110</v>
      </c>
      <c r="D864">
        <v>6</v>
      </c>
    </row>
    <row r="865" spans="1:4" x14ac:dyDescent="0.3">
      <c r="A865" t="s">
        <v>36</v>
      </c>
      <c r="B865">
        <v>110</v>
      </c>
      <c r="D865">
        <v>2</v>
      </c>
    </row>
    <row r="866" spans="1:4" x14ac:dyDescent="0.3">
      <c r="A866" t="s">
        <v>506</v>
      </c>
      <c r="B866">
        <v>110</v>
      </c>
      <c r="D866" t="s">
        <v>594</v>
      </c>
    </row>
    <row r="867" spans="1:4" x14ac:dyDescent="0.3">
      <c r="A867" t="s">
        <v>574</v>
      </c>
      <c r="B867">
        <v>110</v>
      </c>
      <c r="D867">
        <v>738</v>
      </c>
    </row>
    <row r="868" spans="1:4" x14ac:dyDescent="0.3">
      <c r="A868" t="s">
        <v>42</v>
      </c>
      <c r="B868">
        <v>110</v>
      </c>
      <c r="D868">
        <v>30</v>
      </c>
    </row>
    <row r="869" spans="1:4" x14ac:dyDescent="0.3">
      <c r="A869" t="s">
        <v>575</v>
      </c>
      <c r="B869">
        <v>110</v>
      </c>
      <c r="D869">
        <v>16.8</v>
      </c>
    </row>
    <row r="870" spans="1:4" x14ac:dyDescent="0.3">
      <c r="A870" t="s">
        <v>41</v>
      </c>
      <c r="B870">
        <v>110</v>
      </c>
      <c r="D870">
        <v>0</v>
      </c>
    </row>
    <row r="871" spans="1:4" x14ac:dyDescent="0.3">
      <c r="A871" t="s">
        <v>576</v>
      </c>
      <c r="B871">
        <v>110</v>
      </c>
      <c r="D871">
        <v>0</v>
      </c>
    </row>
    <row r="872" spans="1:4" x14ac:dyDescent="0.3">
      <c r="A872" t="s">
        <v>577</v>
      </c>
      <c r="B872">
        <v>110</v>
      </c>
      <c r="D872">
        <v>0</v>
      </c>
    </row>
    <row r="873" spans="1:4" x14ac:dyDescent="0.3">
      <c r="A873" t="s">
        <v>578</v>
      </c>
      <c r="B873">
        <v>110</v>
      </c>
      <c r="D873">
        <v>0</v>
      </c>
    </row>
    <row r="874" spans="1:4" x14ac:dyDescent="0.3">
      <c r="A874" t="s">
        <v>579</v>
      </c>
      <c r="B874">
        <v>110</v>
      </c>
      <c r="D874">
        <v>16</v>
      </c>
    </row>
    <row r="875" spans="1:4" x14ac:dyDescent="0.3">
      <c r="A875" t="s">
        <v>580</v>
      </c>
      <c r="B875">
        <v>110</v>
      </c>
      <c r="D875">
        <v>200</v>
      </c>
    </row>
    <row r="876" spans="1:4" x14ac:dyDescent="0.3">
      <c r="A876" t="s">
        <v>581</v>
      </c>
      <c r="B876">
        <v>110</v>
      </c>
      <c r="D876">
        <v>1320</v>
      </c>
    </row>
    <row r="877" spans="1:4" x14ac:dyDescent="0.3">
      <c r="A877" t="s">
        <v>582</v>
      </c>
      <c r="B877">
        <v>110</v>
      </c>
      <c r="D877">
        <v>880</v>
      </c>
    </row>
    <row r="878" spans="1:4" x14ac:dyDescent="0.3">
      <c r="A878" t="s">
        <v>583</v>
      </c>
      <c r="B878">
        <v>110</v>
      </c>
      <c r="D878">
        <v>1760</v>
      </c>
    </row>
    <row r="879" spans="1:4" x14ac:dyDescent="0.3">
      <c r="A879" t="s">
        <v>584</v>
      </c>
      <c r="B879">
        <v>110</v>
      </c>
    </row>
    <row r="880" spans="1:4" x14ac:dyDescent="0.3">
      <c r="A880" t="s">
        <v>585</v>
      </c>
      <c r="B880">
        <v>110</v>
      </c>
    </row>
    <row r="881" spans="1:5" x14ac:dyDescent="0.3">
      <c r="A881" t="s">
        <v>586</v>
      </c>
      <c r="B881">
        <v>110</v>
      </c>
    </row>
    <row r="882" spans="1:5" x14ac:dyDescent="0.3">
      <c r="A882" t="s">
        <v>587</v>
      </c>
      <c r="B882">
        <v>110</v>
      </c>
      <c r="D882" t="b">
        <v>0</v>
      </c>
    </row>
    <row r="883" spans="1:5" x14ac:dyDescent="0.3">
      <c r="A883" t="s">
        <v>588</v>
      </c>
      <c r="B883">
        <v>110</v>
      </c>
      <c r="D883" t="b">
        <v>0</v>
      </c>
    </row>
    <row r="884" spans="1:5" x14ac:dyDescent="0.3">
      <c r="A884" t="s">
        <v>570</v>
      </c>
      <c r="B884">
        <v>111</v>
      </c>
      <c r="E884">
        <v>6</v>
      </c>
    </row>
    <row r="885" spans="1:5" x14ac:dyDescent="0.3">
      <c r="A885" t="s">
        <v>36</v>
      </c>
      <c r="B885">
        <v>111</v>
      </c>
      <c r="E885" t="s">
        <v>595</v>
      </c>
    </row>
    <row r="886" spans="1:5" x14ac:dyDescent="0.3">
      <c r="A886" t="s">
        <v>506</v>
      </c>
      <c r="B886">
        <v>111</v>
      </c>
      <c r="E886" t="s">
        <v>592</v>
      </c>
    </row>
    <row r="887" spans="1:5" x14ac:dyDescent="0.3">
      <c r="A887" t="s">
        <v>574</v>
      </c>
      <c r="B887">
        <v>111</v>
      </c>
      <c r="E887">
        <v>708</v>
      </c>
    </row>
    <row r="888" spans="1:5" x14ac:dyDescent="0.3">
      <c r="A888" t="s">
        <v>42</v>
      </c>
      <c r="B888">
        <v>111</v>
      </c>
      <c r="E888">
        <v>30</v>
      </c>
    </row>
    <row r="889" spans="1:5" x14ac:dyDescent="0.3">
      <c r="A889" t="s">
        <v>575</v>
      </c>
      <c r="B889">
        <v>111</v>
      </c>
      <c r="E889">
        <v>16.100000000000001</v>
      </c>
    </row>
    <row r="890" spans="1:5" x14ac:dyDescent="0.3">
      <c r="A890" t="s">
        <v>41</v>
      </c>
      <c r="B890">
        <v>111</v>
      </c>
      <c r="E890">
        <v>0</v>
      </c>
    </row>
    <row r="891" spans="1:5" x14ac:dyDescent="0.3">
      <c r="A891" t="s">
        <v>576</v>
      </c>
      <c r="B891">
        <v>111</v>
      </c>
      <c r="E891">
        <v>0</v>
      </c>
    </row>
    <row r="892" spans="1:5" x14ac:dyDescent="0.3">
      <c r="A892" t="s">
        <v>577</v>
      </c>
      <c r="B892">
        <v>111</v>
      </c>
      <c r="E892">
        <v>0</v>
      </c>
    </row>
    <row r="893" spans="1:5" x14ac:dyDescent="0.3">
      <c r="A893" t="s">
        <v>578</v>
      </c>
      <c r="B893">
        <v>111</v>
      </c>
      <c r="E893">
        <v>0</v>
      </c>
    </row>
    <row r="894" spans="1:5" x14ac:dyDescent="0.3">
      <c r="A894" t="s">
        <v>579</v>
      </c>
      <c r="B894">
        <v>111</v>
      </c>
      <c r="E894">
        <v>16</v>
      </c>
    </row>
    <row r="895" spans="1:5" x14ac:dyDescent="0.3">
      <c r="A895" t="s">
        <v>580</v>
      </c>
      <c r="B895">
        <v>111</v>
      </c>
      <c r="E895">
        <v>200</v>
      </c>
    </row>
    <row r="896" spans="1:5" x14ac:dyDescent="0.3">
      <c r="A896" t="s">
        <v>581</v>
      </c>
      <c r="B896">
        <v>111</v>
      </c>
      <c r="E896">
        <v>1320</v>
      </c>
    </row>
    <row r="897" spans="1:5" x14ac:dyDescent="0.3">
      <c r="A897" t="s">
        <v>582</v>
      </c>
      <c r="B897">
        <v>111</v>
      </c>
      <c r="E897">
        <v>880</v>
      </c>
    </row>
    <row r="898" spans="1:5" x14ac:dyDescent="0.3">
      <c r="A898" t="s">
        <v>583</v>
      </c>
      <c r="B898">
        <v>111</v>
      </c>
      <c r="E898">
        <v>1760</v>
      </c>
    </row>
    <row r="899" spans="1:5" x14ac:dyDescent="0.3">
      <c r="A899" t="s">
        <v>584</v>
      </c>
      <c r="B899">
        <v>111</v>
      </c>
    </row>
    <row r="900" spans="1:5" x14ac:dyDescent="0.3">
      <c r="A900" t="s">
        <v>585</v>
      </c>
      <c r="B900">
        <v>111</v>
      </c>
    </row>
    <row r="901" spans="1:5" x14ac:dyDescent="0.3">
      <c r="A901" t="s">
        <v>586</v>
      </c>
      <c r="B901">
        <v>111</v>
      </c>
    </row>
    <row r="902" spans="1:5" x14ac:dyDescent="0.3">
      <c r="A902" t="s">
        <v>587</v>
      </c>
      <c r="B902">
        <v>111</v>
      </c>
      <c r="E902" t="b">
        <v>0</v>
      </c>
    </row>
    <row r="903" spans="1:5" x14ac:dyDescent="0.3">
      <c r="A903" t="s">
        <v>588</v>
      </c>
      <c r="B903">
        <v>111</v>
      </c>
      <c r="E903" t="b">
        <v>0</v>
      </c>
    </row>
    <row r="904" spans="1:5" x14ac:dyDescent="0.3">
      <c r="A904" t="s">
        <v>570</v>
      </c>
      <c r="B904">
        <v>112</v>
      </c>
      <c r="E904">
        <v>7</v>
      </c>
    </row>
    <row r="905" spans="1:5" x14ac:dyDescent="0.3">
      <c r="A905" t="s">
        <v>36</v>
      </c>
      <c r="B905">
        <v>112</v>
      </c>
      <c r="E905">
        <v>0</v>
      </c>
    </row>
    <row r="906" spans="1:5" x14ac:dyDescent="0.3">
      <c r="A906" t="s">
        <v>506</v>
      </c>
      <c r="B906">
        <v>112</v>
      </c>
      <c r="E906" t="s">
        <v>593</v>
      </c>
    </row>
    <row r="907" spans="1:5" x14ac:dyDescent="0.3">
      <c r="A907" t="s">
        <v>574</v>
      </c>
      <c r="B907">
        <v>112</v>
      </c>
      <c r="E907">
        <v>794</v>
      </c>
    </row>
    <row r="908" spans="1:5" x14ac:dyDescent="0.3">
      <c r="A908" t="s">
        <v>42</v>
      </c>
      <c r="B908">
        <v>112</v>
      </c>
      <c r="E908">
        <v>30</v>
      </c>
    </row>
    <row r="909" spans="1:5" x14ac:dyDescent="0.3">
      <c r="A909" t="s">
        <v>575</v>
      </c>
      <c r="B909">
        <v>112</v>
      </c>
      <c r="E909">
        <v>18</v>
      </c>
    </row>
    <row r="910" spans="1:5" x14ac:dyDescent="0.3">
      <c r="A910" t="s">
        <v>41</v>
      </c>
      <c r="B910">
        <v>112</v>
      </c>
      <c r="E910">
        <v>0</v>
      </c>
    </row>
    <row r="911" spans="1:5" x14ac:dyDescent="0.3">
      <c r="A911" t="s">
        <v>576</v>
      </c>
      <c r="B911">
        <v>112</v>
      </c>
      <c r="E911">
        <v>0</v>
      </c>
    </row>
    <row r="912" spans="1:5" x14ac:dyDescent="0.3">
      <c r="A912" t="s">
        <v>577</v>
      </c>
      <c r="B912">
        <v>112</v>
      </c>
      <c r="E912">
        <v>0</v>
      </c>
    </row>
    <row r="913" spans="1:6" x14ac:dyDescent="0.3">
      <c r="A913" t="s">
        <v>578</v>
      </c>
      <c r="B913">
        <v>112</v>
      </c>
      <c r="E913">
        <v>0</v>
      </c>
    </row>
    <row r="914" spans="1:6" x14ac:dyDescent="0.3">
      <c r="A914" t="s">
        <v>579</v>
      </c>
      <c r="B914">
        <v>112</v>
      </c>
      <c r="E914">
        <v>16</v>
      </c>
    </row>
    <row r="915" spans="1:6" x14ac:dyDescent="0.3">
      <c r="A915" t="s">
        <v>580</v>
      </c>
      <c r="B915">
        <v>112</v>
      </c>
      <c r="E915">
        <v>200</v>
      </c>
    </row>
    <row r="916" spans="1:6" x14ac:dyDescent="0.3">
      <c r="A916" t="s">
        <v>581</v>
      </c>
      <c r="B916">
        <v>112</v>
      </c>
      <c r="E916">
        <v>1320</v>
      </c>
    </row>
    <row r="917" spans="1:6" x14ac:dyDescent="0.3">
      <c r="A917" t="s">
        <v>582</v>
      </c>
      <c r="B917">
        <v>112</v>
      </c>
      <c r="E917">
        <v>880</v>
      </c>
    </row>
    <row r="918" spans="1:6" x14ac:dyDescent="0.3">
      <c r="A918" t="s">
        <v>583</v>
      </c>
      <c r="B918">
        <v>112</v>
      </c>
      <c r="E918">
        <v>1760</v>
      </c>
    </row>
    <row r="919" spans="1:6" x14ac:dyDescent="0.3">
      <c r="A919" t="s">
        <v>584</v>
      </c>
      <c r="B919">
        <v>112</v>
      </c>
    </row>
    <row r="920" spans="1:6" x14ac:dyDescent="0.3">
      <c r="A920" t="s">
        <v>585</v>
      </c>
      <c r="B920">
        <v>112</v>
      </c>
    </row>
    <row r="921" spans="1:6" x14ac:dyDescent="0.3">
      <c r="A921" t="s">
        <v>586</v>
      </c>
      <c r="B921">
        <v>112</v>
      </c>
    </row>
    <row r="922" spans="1:6" x14ac:dyDescent="0.3">
      <c r="A922" t="s">
        <v>587</v>
      </c>
      <c r="B922">
        <v>112</v>
      </c>
      <c r="E922" t="b">
        <v>0</v>
      </c>
    </row>
    <row r="923" spans="1:6" x14ac:dyDescent="0.3">
      <c r="A923" t="s">
        <v>588</v>
      </c>
      <c r="B923">
        <v>112</v>
      </c>
      <c r="E923" t="b">
        <v>0</v>
      </c>
    </row>
    <row r="924" spans="1:6" x14ac:dyDescent="0.3">
      <c r="A924" t="s">
        <v>570</v>
      </c>
      <c r="B924">
        <v>113</v>
      </c>
      <c r="F924">
        <v>9</v>
      </c>
    </row>
    <row r="925" spans="1:6" x14ac:dyDescent="0.3">
      <c r="A925" t="s">
        <v>36</v>
      </c>
      <c r="B925">
        <v>113</v>
      </c>
      <c r="F925">
        <v>1</v>
      </c>
    </row>
    <row r="926" spans="1:6" x14ac:dyDescent="0.3">
      <c r="A926" t="s">
        <v>506</v>
      </c>
      <c r="B926">
        <v>113</v>
      </c>
      <c r="F926" t="s">
        <v>596</v>
      </c>
    </row>
    <row r="927" spans="1:6" x14ac:dyDescent="0.3">
      <c r="A927" t="s">
        <v>574</v>
      </c>
      <c r="B927">
        <v>113</v>
      </c>
      <c r="F927">
        <v>714</v>
      </c>
    </row>
    <row r="928" spans="1:6" x14ac:dyDescent="0.3">
      <c r="A928" t="s">
        <v>42</v>
      </c>
      <c r="B928">
        <v>113</v>
      </c>
      <c r="F928">
        <v>30</v>
      </c>
    </row>
    <row r="929" spans="1:6" x14ac:dyDescent="0.3">
      <c r="A929" t="s">
        <v>575</v>
      </c>
      <c r="B929">
        <v>113</v>
      </c>
      <c r="F929">
        <v>16.2</v>
      </c>
    </row>
    <row r="930" spans="1:6" x14ac:dyDescent="0.3">
      <c r="A930" t="s">
        <v>41</v>
      </c>
      <c r="B930">
        <v>113</v>
      </c>
      <c r="F930">
        <v>0</v>
      </c>
    </row>
    <row r="931" spans="1:6" x14ac:dyDescent="0.3">
      <c r="A931" t="s">
        <v>576</v>
      </c>
      <c r="B931">
        <v>113</v>
      </c>
      <c r="F931">
        <v>12</v>
      </c>
    </row>
    <row r="932" spans="1:6" x14ac:dyDescent="0.3">
      <c r="A932" t="s">
        <v>577</v>
      </c>
      <c r="B932">
        <v>113</v>
      </c>
      <c r="F932">
        <v>0</v>
      </c>
    </row>
    <row r="933" spans="1:6" x14ac:dyDescent="0.3">
      <c r="A933" t="s">
        <v>578</v>
      </c>
      <c r="B933">
        <v>113</v>
      </c>
      <c r="F933">
        <v>0</v>
      </c>
    </row>
    <row r="934" spans="1:6" x14ac:dyDescent="0.3">
      <c r="A934" t="s">
        <v>579</v>
      </c>
      <c r="B934">
        <v>113</v>
      </c>
      <c r="F934">
        <v>16</v>
      </c>
    </row>
    <row r="935" spans="1:6" x14ac:dyDescent="0.3">
      <c r="A935" t="s">
        <v>580</v>
      </c>
      <c r="B935">
        <v>113</v>
      </c>
      <c r="F935">
        <v>200</v>
      </c>
    </row>
    <row r="936" spans="1:6" x14ac:dyDescent="0.3">
      <c r="A936" t="s">
        <v>581</v>
      </c>
      <c r="B936">
        <v>113</v>
      </c>
      <c r="F936">
        <v>1320</v>
      </c>
    </row>
    <row r="937" spans="1:6" x14ac:dyDescent="0.3">
      <c r="A937" t="s">
        <v>582</v>
      </c>
      <c r="B937">
        <v>113</v>
      </c>
      <c r="F937">
        <v>880</v>
      </c>
    </row>
    <row r="938" spans="1:6" x14ac:dyDescent="0.3">
      <c r="A938" t="s">
        <v>583</v>
      </c>
      <c r="B938">
        <v>113</v>
      </c>
      <c r="F938">
        <v>1760</v>
      </c>
    </row>
    <row r="939" spans="1:6" x14ac:dyDescent="0.3">
      <c r="A939" t="s">
        <v>584</v>
      </c>
      <c r="B939">
        <v>113</v>
      </c>
    </row>
    <row r="940" spans="1:6" x14ac:dyDescent="0.3">
      <c r="A940" t="s">
        <v>585</v>
      </c>
      <c r="B940">
        <v>113</v>
      </c>
    </row>
    <row r="941" spans="1:6" x14ac:dyDescent="0.3">
      <c r="A941" t="s">
        <v>586</v>
      </c>
      <c r="B941">
        <v>113</v>
      </c>
    </row>
    <row r="942" spans="1:6" x14ac:dyDescent="0.3">
      <c r="A942" t="s">
        <v>587</v>
      </c>
      <c r="B942">
        <v>113</v>
      </c>
      <c r="F942" t="b">
        <v>0</v>
      </c>
    </row>
    <row r="943" spans="1:6" x14ac:dyDescent="0.3">
      <c r="A943" t="s">
        <v>588</v>
      </c>
      <c r="B943">
        <v>113</v>
      </c>
      <c r="F943" t="b">
        <v>0</v>
      </c>
    </row>
    <row r="944" spans="1:6" x14ac:dyDescent="0.3">
      <c r="A944" t="s">
        <v>570</v>
      </c>
      <c r="B944">
        <v>114</v>
      </c>
      <c r="E944">
        <v>9</v>
      </c>
    </row>
    <row r="945" spans="1:5" x14ac:dyDescent="0.3">
      <c r="A945" t="s">
        <v>36</v>
      </c>
      <c r="B945">
        <v>114</v>
      </c>
      <c r="E945">
        <v>1</v>
      </c>
    </row>
    <row r="946" spans="1:5" x14ac:dyDescent="0.3">
      <c r="A946" t="s">
        <v>506</v>
      </c>
      <c r="B946">
        <v>114</v>
      </c>
      <c r="E946" t="s">
        <v>731</v>
      </c>
    </row>
    <row r="947" spans="1:5" x14ac:dyDescent="0.3">
      <c r="A947" t="s">
        <v>574</v>
      </c>
      <c r="B947">
        <v>114</v>
      </c>
      <c r="E947">
        <v>597</v>
      </c>
    </row>
    <row r="948" spans="1:5" x14ac:dyDescent="0.3">
      <c r="A948" t="s">
        <v>42</v>
      </c>
      <c r="B948">
        <v>114</v>
      </c>
      <c r="E948">
        <v>30</v>
      </c>
    </row>
    <row r="949" spans="1:5" x14ac:dyDescent="0.3">
      <c r="A949" t="s">
        <v>575</v>
      </c>
      <c r="B949">
        <v>114</v>
      </c>
      <c r="E949">
        <v>13.6</v>
      </c>
    </row>
    <row r="950" spans="1:5" x14ac:dyDescent="0.3">
      <c r="A950" t="s">
        <v>41</v>
      </c>
      <c r="B950">
        <v>114</v>
      </c>
      <c r="E950">
        <v>0</v>
      </c>
    </row>
    <row r="951" spans="1:5" x14ac:dyDescent="0.3">
      <c r="A951" t="s">
        <v>576</v>
      </c>
      <c r="B951">
        <v>114</v>
      </c>
      <c r="E951">
        <v>0</v>
      </c>
    </row>
    <row r="952" spans="1:5" x14ac:dyDescent="0.3">
      <c r="A952" t="s">
        <v>577</v>
      </c>
      <c r="B952">
        <v>114</v>
      </c>
      <c r="E952">
        <v>0</v>
      </c>
    </row>
    <row r="953" spans="1:5" x14ac:dyDescent="0.3">
      <c r="A953" t="s">
        <v>578</v>
      </c>
      <c r="B953">
        <v>114</v>
      </c>
      <c r="E953">
        <v>0</v>
      </c>
    </row>
    <row r="954" spans="1:5" x14ac:dyDescent="0.3">
      <c r="A954" t="s">
        <v>579</v>
      </c>
      <c r="B954">
        <v>114</v>
      </c>
      <c r="E954">
        <v>16</v>
      </c>
    </row>
    <row r="955" spans="1:5" x14ac:dyDescent="0.3">
      <c r="A955" t="s">
        <v>580</v>
      </c>
      <c r="B955">
        <v>114</v>
      </c>
      <c r="E955">
        <v>200</v>
      </c>
    </row>
    <row r="956" spans="1:5" x14ac:dyDescent="0.3">
      <c r="A956" t="s">
        <v>581</v>
      </c>
      <c r="B956">
        <v>114</v>
      </c>
      <c r="E956">
        <v>1320</v>
      </c>
    </row>
    <row r="957" spans="1:5" x14ac:dyDescent="0.3">
      <c r="A957" t="s">
        <v>582</v>
      </c>
      <c r="B957">
        <v>114</v>
      </c>
      <c r="E957">
        <v>880</v>
      </c>
    </row>
    <row r="958" spans="1:5" x14ac:dyDescent="0.3">
      <c r="A958" t="s">
        <v>583</v>
      </c>
      <c r="B958">
        <v>114</v>
      </c>
      <c r="E958">
        <v>1760</v>
      </c>
    </row>
    <row r="959" spans="1:5" x14ac:dyDescent="0.3">
      <c r="A959" t="s">
        <v>584</v>
      </c>
      <c r="B959">
        <v>114</v>
      </c>
    </row>
    <row r="960" spans="1:5" x14ac:dyDescent="0.3">
      <c r="A960" t="s">
        <v>585</v>
      </c>
      <c r="B960">
        <v>114</v>
      </c>
    </row>
    <row r="961" spans="1:6" x14ac:dyDescent="0.3">
      <c r="A961" t="s">
        <v>586</v>
      </c>
      <c r="B961">
        <v>114</v>
      </c>
    </row>
    <row r="962" spans="1:6" x14ac:dyDescent="0.3">
      <c r="A962" t="s">
        <v>587</v>
      </c>
      <c r="B962">
        <v>114</v>
      </c>
      <c r="E962" t="b">
        <v>0</v>
      </c>
    </row>
    <row r="963" spans="1:6" x14ac:dyDescent="0.3">
      <c r="A963" t="s">
        <v>588</v>
      </c>
      <c r="B963">
        <v>114</v>
      </c>
      <c r="E963" t="b">
        <v>0</v>
      </c>
    </row>
    <row r="964" spans="1:6" x14ac:dyDescent="0.3">
      <c r="A964" t="s">
        <v>570</v>
      </c>
      <c r="B964">
        <v>115</v>
      </c>
      <c r="F964">
        <v>22</v>
      </c>
    </row>
    <row r="965" spans="1:6" x14ac:dyDescent="0.3">
      <c r="A965" t="s">
        <v>36</v>
      </c>
      <c r="B965">
        <v>115</v>
      </c>
      <c r="F965">
        <v>1</v>
      </c>
    </row>
    <row r="966" spans="1:6" x14ac:dyDescent="0.3">
      <c r="A966" t="s">
        <v>506</v>
      </c>
      <c r="B966">
        <v>115</v>
      </c>
      <c r="F966" t="s">
        <v>599</v>
      </c>
    </row>
    <row r="967" spans="1:6" x14ac:dyDescent="0.3">
      <c r="A967" t="s">
        <v>574</v>
      </c>
      <c r="B967">
        <v>115</v>
      </c>
      <c r="F967">
        <v>931</v>
      </c>
    </row>
    <row r="968" spans="1:6" x14ac:dyDescent="0.3">
      <c r="A968" t="s">
        <v>42</v>
      </c>
      <c r="B968">
        <v>115</v>
      </c>
      <c r="F968">
        <v>30</v>
      </c>
    </row>
    <row r="969" spans="1:6" x14ac:dyDescent="0.3">
      <c r="A969" t="s">
        <v>575</v>
      </c>
      <c r="B969">
        <v>115</v>
      </c>
      <c r="F969">
        <v>21.2</v>
      </c>
    </row>
    <row r="970" spans="1:6" x14ac:dyDescent="0.3">
      <c r="A970" t="s">
        <v>41</v>
      </c>
      <c r="B970">
        <v>115</v>
      </c>
      <c r="F970">
        <v>0</v>
      </c>
    </row>
    <row r="971" spans="1:6" x14ac:dyDescent="0.3">
      <c r="A971" t="s">
        <v>576</v>
      </c>
      <c r="B971">
        <v>115</v>
      </c>
      <c r="F971">
        <v>0</v>
      </c>
    </row>
    <row r="972" spans="1:6" x14ac:dyDescent="0.3">
      <c r="A972" t="s">
        <v>577</v>
      </c>
      <c r="B972">
        <v>115</v>
      </c>
      <c r="F972">
        <v>0</v>
      </c>
    </row>
    <row r="973" spans="1:6" x14ac:dyDescent="0.3">
      <c r="A973" t="s">
        <v>578</v>
      </c>
      <c r="B973">
        <v>115</v>
      </c>
      <c r="F973">
        <v>0</v>
      </c>
    </row>
    <row r="974" spans="1:6" x14ac:dyDescent="0.3">
      <c r="A974" t="s">
        <v>579</v>
      </c>
      <c r="B974">
        <v>115</v>
      </c>
      <c r="F974">
        <v>16</v>
      </c>
    </row>
    <row r="975" spans="1:6" x14ac:dyDescent="0.3">
      <c r="A975" t="s">
        <v>580</v>
      </c>
      <c r="B975">
        <v>115</v>
      </c>
      <c r="F975">
        <v>200</v>
      </c>
    </row>
    <row r="976" spans="1:6" x14ac:dyDescent="0.3">
      <c r="A976" t="s">
        <v>581</v>
      </c>
      <c r="B976">
        <v>115</v>
      </c>
      <c r="F976">
        <v>1320</v>
      </c>
    </row>
    <row r="977" spans="1:6" x14ac:dyDescent="0.3">
      <c r="A977" t="s">
        <v>582</v>
      </c>
      <c r="B977">
        <v>115</v>
      </c>
      <c r="F977">
        <v>880</v>
      </c>
    </row>
    <row r="978" spans="1:6" x14ac:dyDescent="0.3">
      <c r="A978" t="s">
        <v>583</v>
      </c>
      <c r="B978">
        <v>115</v>
      </c>
      <c r="F978">
        <v>1760</v>
      </c>
    </row>
    <row r="979" spans="1:6" x14ac:dyDescent="0.3">
      <c r="A979" t="s">
        <v>584</v>
      </c>
      <c r="B979">
        <v>115</v>
      </c>
    </row>
    <row r="980" spans="1:6" x14ac:dyDescent="0.3">
      <c r="A980" t="s">
        <v>585</v>
      </c>
      <c r="B980">
        <v>115</v>
      </c>
    </row>
    <row r="981" spans="1:6" x14ac:dyDescent="0.3">
      <c r="A981" t="s">
        <v>586</v>
      </c>
      <c r="B981">
        <v>115</v>
      </c>
    </row>
    <row r="982" spans="1:6" x14ac:dyDescent="0.3">
      <c r="A982" t="s">
        <v>587</v>
      </c>
      <c r="B982">
        <v>115</v>
      </c>
      <c r="F982" t="b">
        <v>0</v>
      </c>
    </row>
    <row r="983" spans="1:6" x14ac:dyDescent="0.3">
      <c r="A983" t="s">
        <v>588</v>
      </c>
      <c r="B983">
        <v>115</v>
      </c>
      <c r="F983" t="b">
        <v>0</v>
      </c>
    </row>
    <row r="984" spans="1:6" x14ac:dyDescent="0.3">
      <c r="A984" t="s">
        <v>570</v>
      </c>
      <c r="B984">
        <v>116</v>
      </c>
      <c r="E984">
        <v>11</v>
      </c>
    </row>
    <row r="985" spans="1:6" x14ac:dyDescent="0.3">
      <c r="A985" t="s">
        <v>36</v>
      </c>
      <c r="B985">
        <v>116</v>
      </c>
      <c r="E985">
        <v>1</v>
      </c>
    </row>
    <row r="986" spans="1:6" x14ac:dyDescent="0.3">
      <c r="A986" t="s">
        <v>506</v>
      </c>
      <c r="B986">
        <v>116</v>
      </c>
      <c r="E986" t="s">
        <v>599</v>
      </c>
    </row>
    <row r="987" spans="1:6" x14ac:dyDescent="0.3">
      <c r="A987" t="s">
        <v>574</v>
      </c>
      <c r="B987">
        <v>116</v>
      </c>
      <c r="E987">
        <v>764</v>
      </c>
    </row>
    <row r="988" spans="1:6" x14ac:dyDescent="0.3">
      <c r="A988" t="s">
        <v>42</v>
      </c>
      <c r="B988">
        <v>116</v>
      </c>
      <c r="E988">
        <v>30</v>
      </c>
    </row>
    <row r="989" spans="1:6" x14ac:dyDescent="0.3">
      <c r="A989" t="s">
        <v>575</v>
      </c>
      <c r="B989">
        <v>116</v>
      </c>
      <c r="E989">
        <v>17.399999999999999</v>
      </c>
    </row>
    <row r="990" spans="1:6" x14ac:dyDescent="0.3">
      <c r="A990" t="s">
        <v>41</v>
      </c>
      <c r="B990">
        <v>116</v>
      </c>
      <c r="E990">
        <v>0</v>
      </c>
    </row>
    <row r="991" spans="1:6" x14ac:dyDescent="0.3">
      <c r="A991" t="s">
        <v>576</v>
      </c>
      <c r="B991">
        <v>116</v>
      </c>
      <c r="E991">
        <v>12</v>
      </c>
    </row>
    <row r="992" spans="1:6" x14ac:dyDescent="0.3">
      <c r="A992" t="s">
        <v>577</v>
      </c>
      <c r="B992">
        <v>116</v>
      </c>
      <c r="E992">
        <v>0</v>
      </c>
    </row>
    <row r="993" spans="1:6" x14ac:dyDescent="0.3">
      <c r="A993" t="s">
        <v>578</v>
      </c>
      <c r="B993">
        <v>116</v>
      </c>
      <c r="E993">
        <v>0</v>
      </c>
    </row>
    <row r="994" spans="1:6" x14ac:dyDescent="0.3">
      <c r="A994" t="s">
        <v>579</v>
      </c>
      <c r="B994">
        <v>116</v>
      </c>
      <c r="E994">
        <v>16</v>
      </c>
    </row>
    <row r="995" spans="1:6" x14ac:dyDescent="0.3">
      <c r="A995" t="s">
        <v>580</v>
      </c>
      <c r="B995">
        <v>116</v>
      </c>
      <c r="E995">
        <v>200</v>
      </c>
    </row>
    <row r="996" spans="1:6" x14ac:dyDescent="0.3">
      <c r="A996" t="s">
        <v>581</v>
      </c>
      <c r="B996">
        <v>116</v>
      </c>
      <c r="E996">
        <v>1320</v>
      </c>
    </row>
    <row r="997" spans="1:6" x14ac:dyDescent="0.3">
      <c r="A997" t="s">
        <v>582</v>
      </c>
      <c r="B997">
        <v>116</v>
      </c>
      <c r="E997">
        <v>880</v>
      </c>
    </row>
    <row r="998" spans="1:6" x14ac:dyDescent="0.3">
      <c r="A998" t="s">
        <v>583</v>
      </c>
      <c r="B998">
        <v>116</v>
      </c>
      <c r="E998">
        <v>1760</v>
      </c>
    </row>
    <row r="999" spans="1:6" x14ac:dyDescent="0.3">
      <c r="A999" t="s">
        <v>584</v>
      </c>
      <c r="B999">
        <v>116</v>
      </c>
    </row>
    <row r="1000" spans="1:6" x14ac:dyDescent="0.3">
      <c r="A1000" t="s">
        <v>585</v>
      </c>
      <c r="B1000">
        <v>116</v>
      </c>
    </row>
    <row r="1001" spans="1:6" x14ac:dyDescent="0.3">
      <c r="A1001" t="s">
        <v>586</v>
      </c>
      <c r="B1001">
        <v>116</v>
      </c>
    </row>
    <row r="1002" spans="1:6" x14ac:dyDescent="0.3">
      <c r="A1002" t="s">
        <v>587</v>
      </c>
      <c r="B1002">
        <v>116</v>
      </c>
      <c r="E1002" t="b">
        <v>0</v>
      </c>
    </row>
    <row r="1003" spans="1:6" x14ac:dyDescent="0.3">
      <c r="A1003" t="s">
        <v>588</v>
      </c>
      <c r="B1003">
        <v>116</v>
      </c>
      <c r="E1003" t="b">
        <v>0</v>
      </c>
    </row>
    <row r="1004" spans="1:6" x14ac:dyDescent="0.3">
      <c r="A1004" t="s">
        <v>570</v>
      </c>
      <c r="B1004">
        <v>117</v>
      </c>
      <c r="F1004">
        <v>23</v>
      </c>
    </row>
    <row r="1005" spans="1:6" x14ac:dyDescent="0.3">
      <c r="A1005" t="s">
        <v>36</v>
      </c>
      <c r="B1005">
        <v>117</v>
      </c>
      <c r="F1005">
        <v>1</v>
      </c>
    </row>
    <row r="1006" spans="1:6" x14ac:dyDescent="0.3">
      <c r="A1006" t="s">
        <v>506</v>
      </c>
      <c r="B1006">
        <v>117</v>
      </c>
      <c r="F1006" t="s">
        <v>600</v>
      </c>
    </row>
    <row r="1007" spans="1:6" x14ac:dyDescent="0.3">
      <c r="A1007" t="s">
        <v>574</v>
      </c>
      <c r="B1007">
        <v>117</v>
      </c>
      <c r="F1007">
        <v>1131</v>
      </c>
    </row>
    <row r="1008" spans="1:6" x14ac:dyDescent="0.3">
      <c r="A1008" t="s">
        <v>42</v>
      </c>
      <c r="B1008">
        <v>117</v>
      </c>
      <c r="F1008">
        <v>30</v>
      </c>
    </row>
    <row r="1009" spans="1:6" x14ac:dyDescent="0.3">
      <c r="A1009" t="s">
        <v>575</v>
      </c>
      <c r="B1009">
        <v>117</v>
      </c>
      <c r="F1009">
        <v>25.7</v>
      </c>
    </row>
    <row r="1010" spans="1:6" x14ac:dyDescent="0.3">
      <c r="A1010" t="s">
        <v>41</v>
      </c>
      <c r="B1010">
        <v>117</v>
      </c>
      <c r="F1010">
        <v>0</v>
      </c>
    </row>
    <row r="1011" spans="1:6" x14ac:dyDescent="0.3">
      <c r="A1011" t="s">
        <v>576</v>
      </c>
      <c r="B1011">
        <v>117</v>
      </c>
      <c r="F1011">
        <v>0</v>
      </c>
    </row>
    <row r="1012" spans="1:6" x14ac:dyDescent="0.3">
      <c r="A1012" t="s">
        <v>577</v>
      </c>
      <c r="B1012">
        <v>117</v>
      </c>
      <c r="F1012">
        <v>0</v>
      </c>
    </row>
    <row r="1013" spans="1:6" x14ac:dyDescent="0.3">
      <c r="A1013" t="s">
        <v>578</v>
      </c>
      <c r="B1013">
        <v>117</v>
      </c>
      <c r="F1013">
        <v>0</v>
      </c>
    </row>
    <row r="1014" spans="1:6" x14ac:dyDescent="0.3">
      <c r="A1014" t="s">
        <v>579</v>
      </c>
      <c r="B1014">
        <v>117</v>
      </c>
      <c r="F1014">
        <v>16</v>
      </c>
    </row>
    <row r="1015" spans="1:6" x14ac:dyDescent="0.3">
      <c r="A1015" t="s">
        <v>580</v>
      </c>
      <c r="B1015">
        <v>117</v>
      </c>
      <c r="F1015">
        <v>200</v>
      </c>
    </row>
    <row r="1016" spans="1:6" x14ac:dyDescent="0.3">
      <c r="A1016" t="s">
        <v>581</v>
      </c>
      <c r="B1016">
        <v>117</v>
      </c>
      <c r="F1016">
        <v>1320</v>
      </c>
    </row>
    <row r="1017" spans="1:6" x14ac:dyDescent="0.3">
      <c r="A1017" t="s">
        <v>582</v>
      </c>
      <c r="B1017">
        <v>117</v>
      </c>
      <c r="F1017">
        <v>880</v>
      </c>
    </row>
    <row r="1018" spans="1:6" x14ac:dyDescent="0.3">
      <c r="A1018" t="s">
        <v>583</v>
      </c>
      <c r="B1018">
        <v>117</v>
      </c>
      <c r="F1018">
        <v>1760</v>
      </c>
    </row>
    <row r="1019" spans="1:6" x14ac:dyDescent="0.3">
      <c r="A1019" t="s">
        <v>584</v>
      </c>
      <c r="B1019">
        <v>117</v>
      </c>
    </row>
    <row r="1020" spans="1:6" x14ac:dyDescent="0.3">
      <c r="A1020" t="s">
        <v>585</v>
      </c>
      <c r="B1020">
        <v>117</v>
      </c>
    </row>
    <row r="1021" spans="1:6" x14ac:dyDescent="0.3">
      <c r="A1021" t="s">
        <v>586</v>
      </c>
      <c r="B1021">
        <v>117</v>
      </c>
    </row>
    <row r="1022" spans="1:6" x14ac:dyDescent="0.3">
      <c r="A1022" t="s">
        <v>587</v>
      </c>
      <c r="B1022">
        <v>117</v>
      </c>
      <c r="F1022" t="b">
        <v>0</v>
      </c>
    </row>
    <row r="1023" spans="1:6" x14ac:dyDescent="0.3">
      <c r="A1023" t="s">
        <v>588</v>
      </c>
      <c r="B1023">
        <v>117</v>
      </c>
      <c r="F1023" t="b">
        <v>0</v>
      </c>
    </row>
    <row r="1024" spans="1:6" x14ac:dyDescent="0.3">
      <c r="A1024" t="s">
        <v>570</v>
      </c>
      <c r="B1024">
        <v>118</v>
      </c>
      <c r="E1024">
        <v>12</v>
      </c>
    </row>
    <row r="1025" spans="1:5" x14ac:dyDescent="0.3">
      <c r="A1025" t="s">
        <v>36</v>
      </c>
      <c r="B1025">
        <v>118</v>
      </c>
      <c r="E1025">
        <v>1</v>
      </c>
    </row>
    <row r="1026" spans="1:5" x14ac:dyDescent="0.3">
      <c r="A1026" t="s">
        <v>506</v>
      </c>
      <c r="B1026">
        <v>118</v>
      </c>
      <c r="E1026" t="s">
        <v>600</v>
      </c>
    </row>
    <row r="1027" spans="1:5" x14ac:dyDescent="0.3">
      <c r="A1027" t="s">
        <v>574</v>
      </c>
      <c r="B1027">
        <v>118</v>
      </c>
      <c r="E1027">
        <v>732</v>
      </c>
    </row>
    <row r="1028" spans="1:5" x14ac:dyDescent="0.3">
      <c r="A1028" t="s">
        <v>42</v>
      </c>
      <c r="B1028">
        <v>118</v>
      </c>
      <c r="E1028">
        <v>30</v>
      </c>
    </row>
    <row r="1029" spans="1:5" x14ac:dyDescent="0.3">
      <c r="A1029" t="s">
        <v>575</v>
      </c>
      <c r="B1029">
        <v>118</v>
      </c>
      <c r="E1029">
        <v>16.600000000000001</v>
      </c>
    </row>
    <row r="1030" spans="1:5" x14ac:dyDescent="0.3">
      <c r="A1030" t="s">
        <v>41</v>
      </c>
      <c r="B1030">
        <v>118</v>
      </c>
      <c r="E1030">
        <v>0</v>
      </c>
    </row>
    <row r="1031" spans="1:5" x14ac:dyDescent="0.3">
      <c r="A1031" t="s">
        <v>576</v>
      </c>
      <c r="B1031">
        <v>118</v>
      </c>
      <c r="E1031">
        <v>12</v>
      </c>
    </row>
    <row r="1032" spans="1:5" x14ac:dyDescent="0.3">
      <c r="A1032" t="s">
        <v>577</v>
      </c>
      <c r="B1032">
        <v>118</v>
      </c>
      <c r="E1032">
        <v>0</v>
      </c>
    </row>
    <row r="1033" spans="1:5" x14ac:dyDescent="0.3">
      <c r="A1033" t="s">
        <v>578</v>
      </c>
      <c r="B1033">
        <v>118</v>
      </c>
      <c r="E1033">
        <v>0</v>
      </c>
    </row>
    <row r="1034" spans="1:5" x14ac:dyDescent="0.3">
      <c r="A1034" t="s">
        <v>579</v>
      </c>
      <c r="B1034">
        <v>118</v>
      </c>
      <c r="E1034">
        <v>16</v>
      </c>
    </row>
    <row r="1035" spans="1:5" x14ac:dyDescent="0.3">
      <c r="A1035" t="s">
        <v>580</v>
      </c>
      <c r="B1035">
        <v>118</v>
      </c>
      <c r="E1035">
        <v>200</v>
      </c>
    </row>
    <row r="1036" spans="1:5" x14ac:dyDescent="0.3">
      <c r="A1036" t="s">
        <v>581</v>
      </c>
      <c r="B1036">
        <v>118</v>
      </c>
      <c r="E1036">
        <v>1320</v>
      </c>
    </row>
    <row r="1037" spans="1:5" x14ac:dyDescent="0.3">
      <c r="A1037" t="s">
        <v>582</v>
      </c>
      <c r="B1037">
        <v>118</v>
      </c>
      <c r="E1037">
        <v>880</v>
      </c>
    </row>
    <row r="1038" spans="1:5" x14ac:dyDescent="0.3">
      <c r="A1038" t="s">
        <v>583</v>
      </c>
      <c r="B1038">
        <v>118</v>
      </c>
      <c r="E1038">
        <v>1760</v>
      </c>
    </row>
    <row r="1039" spans="1:5" x14ac:dyDescent="0.3">
      <c r="A1039" t="s">
        <v>584</v>
      </c>
      <c r="B1039">
        <v>118</v>
      </c>
    </row>
    <row r="1040" spans="1:5" x14ac:dyDescent="0.3">
      <c r="A1040" t="s">
        <v>585</v>
      </c>
      <c r="B1040">
        <v>118</v>
      </c>
    </row>
    <row r="1041" spans="1:6" x14ac:dyDescent="0.3">
      <c r="A1041" t="s">
        <v>586</v>
      </c>
      <c r="B1041">
        <v>118</v>
      </c>
    </row>
    <row r="1042" spans="1:6" x14ac:dyDescent="0.3">
      <c r="A1042" t="s">
        <v>587</v>
      </c>
      <c r="B1042">
        <v>118</v>
      </c>
      <c r="E1042" t="b">
        <v>0</v>
      </c>
    </row>
    <row r="1043" spans="1:6" x14ac:dyDescent="0.3">
      <c r="A1043" t="s">
        <v>588</v>
      </c>
      <c r="B1043">
        <v>118</v>
      </c>
      <c r="E1043" t="b">
        <v>0</v>
      </c>
    </row>
    <row r="1044" spans="1:6" x14ac:dyDescent="0.3">
      <c r="A1044" t="s">
        <v>570</v>
      </c>
      <c r="B1044">
        <v>119</v>
      </c>
      <c r="F1044">
        <v>24</v>
      </c>
    </row>
    <row r="1045" spans="1:6" x14ac:dyDescent="0.3">
      <c r="A1045" t="s">
        <v>36</v>
      </c>
      <c r="B1045">
        <v>119</v>
      </c>
      <c r="F1045">
        <v>1</v>
      </c>
    </row>
    <row r="1046" spans="1:6" x14ac:dyDescent="0.3">
      <c r="A1046" t="s">
        <v>506</v>
      </c>
      <c r="B1046">
        <v>119</v>
      </c>
      <c r="F1046" t="s">
        <v>612</v>
      </c>
    </row>
    <row r="1047" spans="1:6" x14ac:dyDescent="0.3">
      <c r="A1047" t="s">
        <v>574</v>
      </c>
      <c r="B1047">
        <v>119</v>
      </c>
      <c r="F1047">
        <v>787</v>
      </c>
    </row>
    <row r="1048" spans="1:6" x14ac:dyDescent="0.3">
      <c r="A1048" t="s">
        <v>42</v>
      </c>
      <c r="B1048">
        <v>119</v>
      </c>
      <c r="F1048">
        <v>30</v>
      </c>
    </row>
    <row r="1049" spans="1:6" x14ac:dyDescent="0.3">
      <c r="A1049" t="s">
        <v>575</v>
      </c>
      <c r="B1049">
        <v>119</v>
      </c>
      <c r="F1049">
        <v>17.899999999999999</v>
      </c>
    </row>
    <row r="1050" spans="1:6" x14ac:dyDescent="0.3">
      <c r="A1050" t="s">
        <v>41</v>
      </c>
      <c r="B1050">
        <v>119</v>
      </c>
      <c r="F1050">
        <v>0</v>
      </c>
    </row>
    <row r="1051" spans="1:6" x14ac:dyDescent="0.3">
      <c r="A1051" t="s">
        <v>576</v>
      </c>
      <c r="B1051">
        <v>119</v>
      </c>
      <c r="F1051">
        <v>0</v>
      </c>
    </row>
    <row r="1052" spans="1:6" x14ac:dyDescent="0.3">
      <c r="A1052" t="s">
        <v>577</v>
      </c>
      <c r="B1052">
        <v>119</v>
      </c>
      <c r="F1052">
        <v>0</v>
      </c>
    </row>
    <row r="1053" spans="1:6" x14ac:dyDescent="0.3">
      <c r="A1053" t="s">
        <v>578</v>
      </c>
      <c r="B1053">
        <v>119</v>
      </c>
      <c r="F1053">
        <v>0</v>
      </c>
    </row>
    <row r="1054" spans="1:6" x14ac:dyDescent="0.3">
      <c r="A1054" t="s">
        <v>579</v>
      </c>
      <c r="B1054">
        <v>119</v>
      </c>
      <c r="F1054">
        <v>16</v>
      </c>
    </row>
    <row r="1055" spans="1:6" x14ac:dyDescent="0.3">
      <c r="A1055" t="s">
        <v>580</v>
      </c>
      <c r="B1055">
        <v>119</v>
      </c>
      <c r="F1055">
        <v>200</v>
      </c>
    </row>
    <row r="1056" spans="1:6" x14ac:dyDescent="0.3">
      <c r="A1056" t="s">
        <v>581</v>
      </c>
      <c r="B1056">
        <v>119</v>
      </c>
      <c r="F1056">
        <v>1320</v>
      </c>
    </row>
    <row r="1057" spans="1:6" x14ac:dyDescent="0.3">
      <c r="A1057" t="s">
        <v>582</v>
      </c>
      <c r="B1057">
        <v>119</v>
      </c>
      <c r="F1057">
        <v>880</v>
      </c>
    </row>
    <row r="1058" spans="1:6" x14ac:dyDescent="0.3">
      <c r="A1058" t="s">
        <v>583</v>
      </c>
      <c r="B1058">
        <v>119</v>
      </c>
      <c r="F1058">
        <v>1760</v>
      </c>
    </row>
    <row r="1059" spans="1:6" x14ac:dyDescent="0.3">
      <c r="A1059" t="s">
        <v>584</v>
      </c>
      <c r="B1059">
        <v>119</v>
      </c>
    </row>
    <row r="1060" spans="1:6" x14ac:dyDescent="0.3">
      <c r="A1060" t="s">
        <v>585</v>
      </c>
      <c r="B1060">
        <v>119</v>
      </c>
    </row>
    <row r="1061" spans="1:6" x14ac:dyDescent="0.3">
      <c r="A1061" t="s">
        <v>586</v>
      </c>
      <c r="B1061">
        <v>119</v>
      </c>
    </row>
    <row r="1062" spans="1:6" x14ac:dyDescent="0.3">
      <c r="A1062" t="s">
        <v>587</v>
      </c>
      <c r="B1062">
        <v>119</v>
      </c>
      <c r="F1062" t="b">
        <v>0</v>
      </c>
    </row>
    <row r="1063" spans="1:6" x14ac:dyDescent="0.3">
      <c r="A1063" t="s">
        <v>588</v>
      </c>
      <c r="B1063">
        <v>119</v>
      </c>
      <c r="F1063" t="b">
        <v>0</v>
      </c>
    </row>
    <row r="1064" spans="1:6" x14ac:dyDescent="0.3">
      <c r="A1064" t="s">
        <v>570</v>
      </c>
      <c r="B1064">
        <v>120</v>
      </c>
      <c r="E1064">
        <v>13</v>
      </c>
    </row>
    <row r="1065" spans="1:6" x14ac:dyDescent="0.3">
      <c r="A1065" t="s">
        <v>36</v>
      </c>
      <c r="B1065">
        <v>120</v>
      </c>
      <c r="E1065">
        <v>1</v>
      </c>
    </row>
    <row r="1066" spans="1:6" x14ac:dyDescent="0.3">
      <c r="A1066" t="s">
        <v>506</v>
      </c>
      <c r="B1066">
        <v>120</v>
      </c>
      <c r="E1066" t="s">
        <v>731</v>
      </c>
    </row>
    <row r="1067" spans="1:6" x14ac:dyDescent="0.3">
      <c r="A1067" t="s">
        <v>574</v>
      </c>
      <c r="B1067">
        <v>120</v>
      </c>
      <c r="E1067">
        <v>731</v>
      </c>
    </row>
    <row r="1068" spans="1:6" x14ac:dyDescent="0.3">
      <c r="A1068" t="s">
        <v>42</v>
      </c>
      <c r="B1068">
        <v>120</v>
      </c>
      <c r="E1068">
        <v>30</v>
      </c>
    </row>
    <row r="1069" spans="1:6" x14ac:dyDescent="0.3">
      <c r="A1069" t="s">
        <v>575</v>
      </c>
      <c r="B1069">
        <v>120</v>
      </c>
      <c r="E1069">
        <v>16.600000000000001</v>
      </c>
    </row>
    <row r="1070" spans="1:6" x14ac:dyDescent="0.3">
      <c r="A1070" t="s">
        <v>41</v>
      </c>
      <c r="B1070">
        <v>120</v>
      </c>
      <c r="E1070">
        <v>0</v>
      </c>
    </row>
    <row r="1071" spans="1:6" x14ac:dyDescent="0.3">
      <c r="A1071" t="s">
        <v>576</v>
      </c>
      <c r="B1071">
        <v>120</v>
      </c>
      <c r="E1071">
        <v>0</v>
      </c>
    </row>
    <row r="1072" spans="1:6" x14ac:dyDescent="0.3">
      <c r="A1072" t="s">
        <v>577</v>
      </c>
      <c r="B1072">
        <v>120</v>
      </c>
      <c r="E1072">
        <v>0</v>
      </c>
    </row>
    <row r="1073" spans="1:6" x14ac:dyDescent="0.3">
      <c r="A1073" t="s">
        <v>578</v>
      </c>
      <c r="B1073">
        <v>120</v>
      </c>
      <c r="E1073">
        <v>0</v>
      </c>
    </row>
    <row r="1074" spans="1:6" x14ac:dyDescent="0.3">
      <c r="A1074" t="s">
        <v>579</v>
      </c>
      <c r="B1074">
        <v>120</v>
      </c>
      <c r="E1074">
        <v>16</v>
      </c>
    </row>
    <row r="1075" spans="1:6" x14ac:dyDescent="0.3">
      <c r="A1075" t="s">
        <v>580</v>
      </c>
      <c r="B1075">
        <v>120</v>
      </c>
      <c r="E1075">
        <v>200</v>
      </c>
    </row>
    <row r="1076" spans="1:6" x14ac:dyDescent="0.3">
      <c r="A1076" t="s">
        <v>581</v>
      </c>
      <c r="B1076">
        <v>120</v>
      </c>
      <c r="E1076">
        <v>1320</v>
      </c>
    </row>
    <row r="1077" spans="1:6" x14ac:dyDescent="0.3">
      <c r="A1077" t="s">
        <v>582</v>
      </c>
      <c r="B1077">
        <v>120</v>
      </c>
      <c r="E1077">
        <v>880</v>
      </c>
    </row>
    <row r="1078" spans="1:6" x14ac:dyDescent="0.3">
      <c r="A1078" t="s">
        <v>583</v>
      </c>
      <c r="B1078">
        <v>120</v>
      </c>
      <c r="E1078">
        <v>1760</v>
      </c>
    </row>
    <row r="1079" spans="1:6" x14ac:dyDescent="0.3">
      <c r="A1079" t="s">
        <v>584</v>
      </c>
      <c r="B1079">
        <v>120</v>
      </c>
    </row>
    <row r="1080" spans="1:6" x14ac:dyDescent="0.3">
      <c r="A1080" t="s">
        <v>585</v>
      </c>
      <c r="B1080">
        <v>120</v>
      </c>
    </row>
    <row r="1081" spans="1:6" x14ac:dyDescent="0.3">
      <c r="A1081" t="s">
        <v>586</v>
      </c>
      <c r="B1081">
        <v>120</v>
      </c>
    </row>
    <row r="1082" spans="1:6" x14ac:dyDescent="0.3">
      <c r="A1082" t="s">
        <v>587</v>
      </c>
      <c r="B1082">
        <v>120</v>
      </c>
      <c r="E1082" t="b">
        <v>0</v>
      </c>
    </row>
    <row r="1083" spans="1:6" x14ac:dyDescent="0.3">
      <c r="A1083" t="s">
        <v>588</v>
      </c>
      <c r="B1083">
        <v>120</v>
      </c>
      <c r="E1083" t="b">
        <v>0</v>
      </c>
    </row>
    <row r="1084" spans="1:6" x14ac:dyDescent="0.3">
      <c r="A1084" t="s">
        <v>570</v>
      </c>
      <c r="B1084">
        <v>121</v>
      </c>
      <c r="F1084">
        <v>25</v>
      </c>
    </row>
    <row r="1085" spans="1:6" x14ac:dyDescent="0.3">
      <c r="A1085" t="s">
        <v>36</v>
      </c>
      <c r="B1085">
        <v>121</v>
      </c>
      <c r="F1085">
        <v>1</v>
      </c>
    </row>
    <row r="1086" spans="1:6" x14ac:dyDescent="0.3">
      <c r="A1086" t="s">
        <v>506</v>
      </c>
      <c r="B1086">
        <v>121</v>
      </c>
      <c r="F1086" t="s">
        <v>614</v>
      </c>
    </row>
    <row r="1087" spans="1:6" x14ac:dyDescent="0.3">
      <c r="A1087" t="s">
        <v>574</v>
      </c>
      <c r="B1087">
        <v>121</v>
      </c>
      <c r="F1087">
        <v>1101</v>
      </c>
    </row>
    <row r="1088" spans="1:6" x14ac:dyDescent="0.3">
      <c r="A1088" t="s">
        <v>42</v>
      </c>
      <c r="B1088">
        <v>121</v>
      </c>
      <c r="F1088">
        <v>30</v>
      </c>
    </row>
    <row r="1089" spans="1:6" x14ac:dyDescent="0.3">
      <c r="A1089" t="s">
        <v>575</v>
      </c>
      <c r="B1089">
        <v>121</v>
      </c>
      <c r="F1089">
        <v>25</v>
      </c>
    </row>
    <row r="1090" spans="1:6" x14ac:dyDescent="0.3">
      <c r="A1090" t="s">
        <v>41</v>
      </c>
      <c r="B1090">
        <v>121</v>
      </c>
      <c r="F1090">
        <v>0</v>
      </c>
    </row>
    <row r="1091" spans="1:6" x14ac:dyDescent="0.3">
      <c r="A1091" t="s">
        <v>576</v>
      </c>
      <c r="B1091">
        <v>121</v>
      </c>
      <c r="F1091">
        <v>0</v>
      </c>
    </row>
    <row r="1092" spans="1:6" x14ac:dyDescent="0.3">
      <c r="A1092" t="s">
        <v>577</v>
      </c>
      <c r="B1092">
        <v>121</v>
      </c>
      <c r="F1092">
        <v>0</v>
      </c>
    </row>
    <row r="1093" spans="1:6" x14ac:dyDescent="0.3">
      <c r="A1093" t="s">
        <v>578</v>
      </c>
      <c r="B1093">
        <v>121</v>
      </c>
      <c r="F1093">
        <v>0</v>
      </c>
    </row>
    <row r="1094" spans="1:6" x14ac:dyDescent="0.3">
      <c r="A1094" t="s">
        <v>579</v>
      </c>
      <c r="B1094">
        <v>121</v>
      </c>
      <c r="F1094">
        <v>16</v>
      </c>
    </row>
    <row r="1095" spans="1:6" x14ac:dyDescent="0.3">
      <c r="A1095" t="s">
        <v>580</v>
      </c>
      <c r="B1095">
        <v>121</v>
      </c>
      <c r="F1095">
        <v>200</v>
      </c>
    </row>
    <row r="1096" spans="1:6" x14ac:dyDescent="0.3">
      <c r="A1096" t="s">
        <v>581</v>
      </c>
      <c r="B1096">
        <v>121</v>
      </c>
      <c r="F1096">
        <v>1320</v>
      </c>
    </row>
    <row r="1097" spans="1:6" x14ac:dyDescent="0.3">
      <c r="A1097" t="s">
        <v>582</v>
      </c>
      <c r="B1097">
        <v>121</v>
      </c>
      <c r="F1097">
        <v>880</v>
      </c>
    </row>
    <row r="1098" spans="1:6" x14ac:dyDescent="0.3">
      <c r="A1098" t="s">
        <v>583</v>
      </c>
      <c r="B1098">
        <v>121</v>
      </c>
      <c r="F1098">
        <v>1760</v>
      </c>
    </row>
    <row r="1099" spans="1:6" x14ac:dyDescent="0.3">
      <c r="A1099" t="s">
        <v>584</v>
      </c>
      <c r="B1099">
        <v>121</v>
      </c>
    </row>
    <row r="1100" spans="1:6" x14ac:dyDescent="0.3">
      <c r="A1100" t="s">
        <v>585</v>
      </c>
      <c r="B1100">
        <v>121</v>
      </c>
    </row>
    <row r="1101" spans="1:6" x14ac:dyDescent="0.3">
      <c r="A1101" t="s">
        <v>586</v>
      </c>
      <c r="B1101">
        <v>121</v>
      </c>
    </row>
    <row r="1102" spans="1:6" x14ac:dyDescent="0.3">
      <c r="A1102" t="s">
        <v>587</v>
      </c>
      <c r="B1102">
        <v>121</v>
      </c>
      <c r="F1102" t="b">
        <v>0</v>
      </c>
    </row>
    <row r="1103" spans="1:6" x14ac:dyDescent="0.3">
      <c r="A1103" t="s">
        <v>588</v>
      </c>
      <c r="B1103">
        <v>121</v>
      </c>
      <c r="F1103" t="b">
        <v>0</v>
      </c>
    </row>
    <row r="1104" spans="1:6" x14ac:dyDescent="0.3">
      <c r="A1104" t="s">
        <v>570</v>
      </c>
      <c r="B1104">
        <v>122</v>
      </c>
      <c r="E1104">
        <v>25</v>
      </c>
    </row>
    <row r="1105" spans="1:5" x14ac:dyDescent="0.3">
      <c r="A1105" t="s">
        <v>36</v>
      </c>
      <c r="B1105">
        <v>122</v>
      </c>
      <c r="E1105">
        <v>1</v>
      </c>
    </row>
    <row r="1106" spans="1:5" x14ac:dyDescent="0.3">
      <c r="A1106" t="s">
        <v>506</v>
      </c>
      <c r="B1106">
        <v>122</v>
      </c>
      <c r="E1106" t="s">
        <v>614</v>
      </c>
    </row>
    <row r="1107" spans="1:5" x14ac:dyDescent="0.3">
      <c r="A1107" t="s">
        <v>574</v>
      </c>
      <c r="B1107">
        <v>122</v>
      </c>
      <c r="E1107">
        <v>919</v>
      </c>
    </row>
    <row r="1108" spans="1:5" x14ac:dyDescent="0.3">
      <c r="A1108" t="s">
        <v>42</v>
      </c>
      <c r="B1108">
        <v>122</v>
      </c>
      <c r="E1108">
        <v>30</v>
      </c>
    </row>
    <row r="1109" spans="1:5" x14ac:dyDescent="0.3">
      <c r="A1109" t="s">
        <v>575</v>
      </c>
      <c r="B1109">
        <v>122</v>
      </c>
      <c r="E1109">
        <v>20.9</v>
      </c>
    </row>
    <row r="1110" spans="1:5" x14ac:dyDescent="0.3">
      <c r="A1110" t="s">
        <v>41</v>
      </c>
      <c r="B1110">
        <v>122</v>
      </c>
      <c r="E1110">
        <v>0</v>
      </c>
    </row>
    <row r="1111" spans="1:5" x14ac:dyDescent="0.3">
      <c r="A1111" t="s">
        <v>576</v>
      </c>
      <c r="B1111">
        <v>122</v>
      </c>
      <c r="E1111">
        <v>0</v>
      </c>
    </row>
    <row r="1112" spans="1:5" x14ac:dyDescent="0.3">
      <c r="A1112" t="s">
        <v>577</v>
      </c>
      <c r="B1112">
        <v>122</v>
      </c>
      <c r="E1112">
        <v>0</v>
      </c>
    </row>
    <row r="1113" spans="1:5" x14ac:dyDescent="0.3">
      <c r="A1113" t="s">
        <v>578</v>
      </c>
      <c r="B1113">
        <v>122</v>
      </c>
      <c r="E1113">
        <v>0</v>
      </c>
    </row>
    <row r="1114" spans="1:5" x14ac:dyDescent="0.3">
      <c r="A1114" t="s">
        <v>579</v>
      </c>
      <c r="B1114">
        <v>122</v>
      </c>
      <c r="E1114">
        <v>16</v>
      </c>
    </row>
    <row r="1115" spans="1:5" x14ac:dyDescent="0.3">
      <c r="A1115" t="s">
        <v>580</v>
      </c>
      <c r="B1115">
        <v>122</v>
      </c>
      <c r="E1115">
        <v>200</v>
      </c>
    </row>
    <row r="1116" spans="1:5" x14ac:dyDescent="0.3">
      <c r="A1116" t="s">
        <v>581</v>
      </c>
      <c r="B1116">
        <v>122</v>
      </c>
      <c r="E1116">
        <v>1320</v>
      </c>
    </row>
    <row r="1117" spans="1:5" x14ac:dyDescent="0.3">
      <c r="A1117" t="s">
        <v>582</v>
      </c>
      <c r="B1117">
        <v>122</v>
      </c>
      <c r="E1117">
        <v>880</v>
      </c>
    </row>
    <row r="1118" spans="1:5" x14ac:dyDescent="0.3">
      <c r="A1118" t="s">
        <v>583</v>
      </c>
      <c r="B1118">
        <v>122</v>
      </c>
      <c r="E1118">
        <v>1760</v>
      </c>
    </row>
    <row r="1119" spans="1:5" x14ac:dyDescent="0.3">
      <c r="A1119" t="s">
        <v>584</v>
      </c>
      <c r="B1119">
        <v>122</v>
      </c>
    </row>
    <row r="1120" spans="1:5" x14ac:dyDescent="0.3">
      <c r="A1120" t="s">
        <v>585</v>
      </c>
      <c r="B1120">
        <v>122</v>
      </c>
    </row>
    <row r="1121" spans="1:6" x14ac:dyDescent="0.3">
      <c r="A1121" t="s">
        <v>586</v>
      </c>
      <c r="B1121">
        <v>122</v>
      </c>
    </row>
    <row r="1122" spans="1:6" x14ac:dyDescent="0.3">
      <c r="A1122" t="s">
        <v>587</v>
      </c>
      <c r="B1122">
        <v>122</v>
      </c>
      <c r="E1122" t="b">
        <v>0</v>
      </c>
    </row>
    <row r="1123" spans="1:6" x14ac:dyDescent="0.3">
      <c r="A1123" t="s">
        <v>588</v>
      </c>
      <c r="B1123">
        <v>122</v>
      </c>
      <c r="E1123" t="b">
        <v>0</v>
      </c>
    </row>
    <row r="1124" spans="1:6" x14ac:dyDescent="0.3">
      <c r="A1124" t="s">
        <v>570</v>
      </c>
      <c r="B1124">
        <v>123</v>
      </c>
      <c r="F1124">
        <v>14</v>
      </c>
    </row>
    <row r="1125" spans="1:6" x14ac:dyDescent="0.3">
      <c r="A1125" t="s">
        <v>36</v>
      </c>
      <c r="B1125">
        <v>123</v>
      </c>
      <c r="F1125">
        <v>1</v>
      </c>
    </row>
    <row r="1126" spans="1:6" x14ac:dyDescent="0.3">
      <c r="A1126" t="s">
        <v>506</v>
      </c>
      <c r="B1126">
        <v>123</v>
      </c>
      <c r="F1126" t="s">
        <v>602</v>
      </c>
    </row>
    <row r="1127" spans="1:6" x14ac:dyDescent="0.3">
      <c r="A1127" t="s">
        <v>574</v>
      </c>
      <c r="B1127">
        <v>123</v>
      </c>
      <c r="F1127">
        <v>667</v>
      </c>
    </row>
    <row r="1128" spans="1:6" x14ac:dyDescent="0.3">
      <c r="A1128" t="s">
        <v>42</v>
      </c>
      <c r="B1128">
        <v>123</v>
      </c>
      <c r="F1128">
        <v>30</v>
      </c>
    </row>
    <row r="1129" spans="1:6" x14ac:dyDescent="0.3">
      <c r="A1129" t="s">
        <v>575</v>
      </c>
      <c r="B1129">
        <v>123</v>
      </c>
      <c r="F1129">
        <v>15.2</v>
      </c>
    </row>
    <row r="1130" spans="1:6" x14ac:dyDescent="0.3">
      <c r="A1130" t="s">
        <v>41</v>
      </c>
      <c r="B1130">
        <v>123</v>
      </c>
      <c r="F1130">
        <v>0</v>
      </c>
    </row>
    <row r="1131" spans="1:6" x14ac:dyDescent="0.3">
      <c r="A1131" t="s">
        <v>576</v>
      </c>
      <c r="B1131">
        <v>123</v>
      </c>
      <c r="F1131">
        <v>0</v>
      </c>
    </row>
    <row r="1132" spans="1:6" x14ac:dyDescent="0.3">
      <c r="A1132" t="s">
        <v>577</v>
      </c>
      <c r="B1132">
        <v>123</v>
      </c>
      <c r="F1132">
        <v>0</v>
      </c>
    </row>
    <row r="1133" spans="1:6" x14ac:dyDescent="0.3">
      <c r="A1133" t="s">
        <v>578</v>
      </c>
      <c r="B1133">
        <v>123</v>
      </c>
      <c r="F1133">
        <v>0</v>
      </c>
    </row>
    <row r="1134" spans="1:6" x14ac:dyDescent="0.3">
      <c r="A1134" t="s">
        <v>579</v>
      </c>
      <c r="B1134">
        <v>123</v>
      </c>
      <c r="F1134">
        <v>16</v>
      </c>
    </row>
    <row r="1135" spans="1:6" x14ac:dyDescent="0.3">
      <c r="A1135" t="s">
        <v>580</v>
      </c>
      <c r="B1135">
        <v>123</v>
      </c>
      <c r="F1135">
        <v>200</v>
      </c>
    </row>
    <row r="1136" spans="1:6" x14ac:dyDescent="0.3">
      <c r="A1136" t="s">
        <v>581</v>
      </c>
      <c r="B1136">
        <v>123</v>
      </c>
      <c r="F1136">
        <v>1320</v>
      </c>
    </row>
    <row r="1137" spans="1:6" x14ac:dyDescent="0.3">
      <c r="A1137" t="s">
        <v>582</v>
      </c>
      <c r="B1137">
        <v>123</v>
      </c>
      <c r="F1137">
        <v>880</v>
      </c>
    </row>
    <row r="1138" spans="1:6" x14ac:dyDescent="0.3">
      <c r="A1138" t="s">
        <v>583</v>
      </c>
      <c r="B1138">
        <v>123</v>
      </c>
      <c r="F1138">
        <v>1760</v>
      </c>
    </row>
    <row r="1139" spans="1:6" x14ac:dyDescent="0.3">
      <c r="A1139" t="s">
        <v>584</v>
      </c>
      <c r="B1139">
        <v>123</v>
      </c>
    </row>
    <row r="1140" spans="1:6" x14ac:dyDescent="0.3">
      <c r="A1140" t="s">
        <v>585</v>
      </c>
      <c r="B1140">
        <v>123</v>
      </c>
    </row>
    <row r="1141" spans="1:6" x14ac:dyDescent="0.3">
      <c r="A1141" t="s">
        <v>586</v>
      </c>
      <c r="B1141">
        <v>123</v>
      </c>
    </row>
    <row r="1142" spans="1:6" x14ac:dyDescent="0.3">
      <c r="A1142" t="s">
        <v>587</v>
      </c>
      <c r="B1142">
        <v>123</v>
      </c>
      <c r="F1142" t="b">
        <v>0</v>
      </c>
    </row>
    <row r="1143" spans="1:6" x14ac:dyDescent="0.3">
      <c r="A1143" t="s">
        <v>588</v>
      </c>
      <c r="B1143">
        <v>123</v>
      </c>
      <c r="F1143" t="b">
        <v>0</v>
      </c>
    </row>
    <row r="1144" spans="1:6" x14ac:dyDescent="0.3">
      <c r="A1144" t="s">
        <v>570</v>
      </c>
      <c r="B1144">
        <v>124</v>
      </c>
      <c r="E1144">
        <v>14</v>
      </c>
    </row>
    <row r="1145" spans="1:6" x14ac:dyDescent="0.3">
      <c r="A1145" t="s">
        <v>36</v>
      </c>
      <c r="B1145">
        <v>124</v>
      </c>
      <c r="E1145">
        <v>1</v>
      </c>
    </row>
    <row r="1146" spans="1:6" x14ac:dyDescent="0.3">
      <c r="A1146" t="s">
        <v>506</v>
      </c>
      <c r="B1146">
        <v>124</v>
      </c>
      <c r="E1146" t="s">
        <v>602</v>
      </c>
    </row>
    <row r="1147" spans="1:6" x14ac:dyDescent="0.3">
      <c r="A1147" t="s">
        <v>574</v>
      </c>
      <c r="B1147">
        <v>124</v>
      </c>
      <c r="E1147">
        <v>1308</v>
      </c>
    </row>
    <row r="1148" spans="1:6" x14ac:dyDescent="0.3">
      <c r="A1148" t="s">
        <v>42</v>
      </c>
      <c r="B1148">
        <v>124</v>
      </c>
      <c r="E1148">
        <v>30</v>
      </c>
    </row>
    <row r="1149" spans="1:6" x14ac:dyDescent="0.3">
      <c r="A1149" t="s">
        <v>575</v>
      </c>
      <c r="B1149">
        <v>124</v>
      </c>
      <c r="E1149">
        <v>29.7</v>
      </c>
    </row>
    <row r="1150" spans="1:6" x14ac:dyDescent="0.3">
      <c r="A1150" t="s">
        <v>41</v>
      </c>
      <c r="B1150">
        <v>124</v>
      </c>
      <c r="E1150">
        <v>0</v>
      </c>
    </row>
    <row r="1151" spans="1:6" x14ac:dyDescent="0.3">
      <c r="A1151" t="s">
        <v>576</v>
      </c>
      <c r="B1151">
        <v>124</v>
      </c>
      <c r="E1151">
        <v>0</v>
      </c>
    </row>
    <row r="1152" spans="1:6" x14ac:dyDescent="0.3">
      <c r="A1152" t="s">
        <v>577</v>
      </c>
      <c r="B1152">
        <v>124</v>
      </c>
      <c r="E1152">
        <v>0</v>
      </c>
    </row>
    <row r="1153" spans="1:6" x14ac:dyDescent="0.3">
      <c r="A1153" t="s">
        <v>578</v>
      </c>
      <c r="B1153">
        <v>124</v>
      </c>
      <c r="E1153">
        <v>0</v>
      </c>
    </row>
    <row r="1154" spans="1:6" x14ac:dyDescent="0.3">
      <c r="A1154" t="s">
        <v>579</v>
      </c>
      <c r="B1154">
        <v>124</v>
      </c>
      <c r="E1154">
        <v>16</v>
      </c>
    </row>
    <row r="1155" spans="1:6" x14ac:dyDescent="0.3">
      <c r="A1155" t="s">
        <v>580</v>
      </c>
      <c r="B1155">
        <v>124</v>
      </c>
      <c r="E1155">
        <v>200</v>
      </c>
    </row>
    <row r="1156" spans="1:6" x14ac:dyDescent="0.3">
      <c r="A1156" t="s">
        <v>581</v>
      </c>
      <c r="B1156">
        <v>124</v>
      </c>
      <c r="E1156">
        <v>1320</v>
      </c>
    </row>
    <row r="1157" spans="1:6" x14ac:dyDescent="0.3">
      <c r="A1157" t="s">
        <v>582</v>
      </c>
      <c r="B1157">
        <v>124</v>
      </c>
      <c r="E1157">
        <v>880</v>
      </c>
    </row>
    <row r="1158" spans="1:6" x14ac:dyDescent="0.3">
      <c r="A1158" t="s">
        <v>583</v>
      </c>
      <c r="B1158">
        <v>124</v>
      </c>
      <c r="E1158">
        <v>1760</v>
      </c>
    </row>
    <row r="1159" spans="1:6" x14ac:dyDescent="0.3">
      <c r="A1159" t="s">
        <v>584</v>
      </c>
      <c r="B1159">
        <v>124</v>
      </c>
    </row>
    <row r="1160" spans="1:6" x14ac:dyDescent="0.3">
      <c r="A1160" t="s">
        <v>585</v>
      </c>
      <c r="B1160">
        <v>124</v>
      </c>
    </row>
    <row r="1161" spans="1:6" x14ac:dyDescent="0.3">
      <c r="A1161" t="s">
        <v>586</v>
      </c>
      <c r="B1161">
        <v>124</v>
      </c>
    </row>
    <row r="1162" spans="1:6" x14ac:dyDescent="0.3">
      <c r="A1162" t="s">
        <v>587</v>
      </c>
      <c r="B1162">
        <v>124</v>
      </c>
      <c r="E1162" t="b">
        <v>0</v>
      </c>
    </row>
    <row r="1163" spans="1:6" x14ac:dyDescent="0.3">
      <c r="A1163" t="s">
        <v>588</v>
      </c>
      <c r="B1163">
        <v>124</v>
      </c>
      <c r="E1163" t="b">
        <v>0</v>
      </c>
    </row>
    <row r="1164" spans="1:6" x14ac:dyDescent="0.3">
      <c r="A1164" t="s">
        <v>570</v>
      </c>
      <c r="B1164">
        <v>125</v>
      </c>
      <c r="F1164">
        <v>26</v>
      </c>
    </row>
    <row r="1165" spans="1:6" x14ac:dyDescent="0.3">
      <c r="A1165" t="s">
        <v>36</v>
      </c>
      <c r="B1165">
        <v>125</v>
      </c>
      <c r="F1165">
        <v>1</v>
      </c>
    </row>
    <row r="1166" spans="1:6" x14ac:dyDescent="0.3">
      <c r="A1166" t="s">
        <v>506</v>
      </c>
      <c r="B1166">
        <v>125</v>
      </c>
      <c r="F1166" t="s">
        <v>615</v>
      </c>
    </row>
    <row r="1167" spans="1:6" x14ac:dyDescent="0.3">
      <c r="A1167" t="s">
        <v>574</v>
      </c>
      <c r="B1167">
        <v>125</v>
      </c>
      <c r="F1167">
        <v>424</v>
      </c>
    </row>
    <row r="1168" spans="1:6" x14ac:dyDescent="0.3">
      <c r="A1168" t="s">
        <v>42</v>
      </c>
      <c r="B1168">
        <v>125</v>
      </c>
      <c r="F1168">
        <v>30</v>
      </c>
    </row>
    <row r="1169" spans="1:6" x14ac:dyDescent="0.3">
      <c r="A1169" t="s">
        <v>575</v>
      </c>
      <c r="B1169">
        <v>125</v>
      </c>
      <c r="F1169">
        <v>9.6</v>
      </c>
    </row>
    <row r="1170" spans="1:6" x14ac:dyDescent="0.3">
      <c r="A1170" t="s">
        <v>41</v>
      </c>
      <c r="B1170">
        <v>125</v>
      </c>
      <c r="F1170">
        <v>0</v>
      </c>
    </row>
    <row r="1171" spans="1:6" x14ac:dyDescent="0.3">
      <c r="A1171" t="s">
        <v>576</v>
      </c>
      <c r="B1171">
        <v>125</v>
      </c>
      <c r="F1171">
        <v>0</v>
      </c>
    </row>
    <row r="1172" spans="1:6" x14ac:dyDescent="0.3">
      <c r="A1172" t="s">
        <v>577</v>
      </c>
      <c r="B1172">
        <v>125</v>
      </c>
      <c r="F1172">
        <v>0</v>
      </c>
    </row>
    <row r="1173" spans="1:6" x14ac:dyDescent="0.3">
      <c r="A1173" t="s">
        <v>578</v>
      </c>
      <c r="B1173">
        <v>125</v>
      </c>
      <c r="F1173">
        <v>0</v>
      </c>
    </row>
    <row r="1174" spans="1:6" x14ac:dyDescent="0.3">
      <c r="A1174" t="s">
        <v>579</v>
      </c>
      <c r="B1174">
        <v>125</v>
      </c>
      <c r="F1174">
        <v>16</v>
      </c>
    </row>
    <row r="1175" spans="1:6" x14ac:dyDescent="0.3">
      <c r="A1175" t="s">
        <v>580</v>
      </c>
      <c r="B1175">
        <v>125</v>
      </c>
      <c r="F1175">
        <v>200</v>
      </c>
    </row>
    <row r="1176" spans="1:6" x14ac:dyDescent="0.3">
      <c r="A1176" t="s">
        <v>581</v>
      </c>
      <c r="B1176">
        <v>125</v>
      </c>
      <c r="F1176">
        <v>1320</v>
      </c>
    </row>
    <row r="1177" spans="1:6" x14ac:dyDescent="0.3">
      <c r="A1177" t="s">
        <v>582</v>
      </c>
      <c r="B1177">
        <v>125</v>
      </c>
      <c r="F1177">
        <v>880</v>
      </c>
    </row>
    <row r="1178" spans="1:6" x14ac:dyDescent="0.3">
      <c r="A1178" t="s">
        <v>583</v>
      </c>
      <c r="B1178">
        <v>125</v>
      </c>
      <c r="F1178">
        <v>1760</v>
      </c>
    </row>
    <row r="1179" spans="1:6" x14ac:dyDescent="0.3">
      <c r="A1179" t="s">
        <v>584</v>
      </c>
      <c r="B1179">
        <v>125</v>
      </c>
    </row>
    <row r="1180" spans="1:6" x14ac:dyDescent="0.3">
      <c r="A1180" t="s">
        <v>585</v>
      </c>
      <c r="B1180">
        <v>125</v>
      </c>
    </row>
    <row r="1181" spans="1:6" x14ac:dyDescent="0.3">
      <c r="A1181" t="s">
        <v>586</v>
      </c>
      <c r="B1181">
        <v>125</v>
      </c>
    </row>
    <row r="1182" spans="1:6" x14ac:dyDescent="0.3">
      <c r="A1182" t="s">
        <v>587</v>
      </c>
      <c r="B1182">
        <v>125</v>
      </c>
      <c r="F1182" t="b">
        <v>0</v>
      </c>
    </row>
    <row r="1183" spans="1:6" x14ac:dyDescent="0.3">
      <c r="A1183" t="s">
        <v>588</v>
      </c>
      <c r="B1183">
        <v>125</v>
      </c>
      <c r="F1183" t="b">
        <v>0</v>
      </c>
    </row>
    <row r="1184" spans="1:6" x14ac:dyDescent="0.3">
      <c r="A1184" t="s">
        <v>570</v>
      </c>
      <c r="B1184">
        <v>126</v>
      </c>
      <c r="E1184">
        <v>26</v>
      </c>
    </row>
    <row r="1185" spans="1:5" x14ac:dyDescent="0.3">
      <c r="A1185" t="s">
        <v>36</v>
      </c>
      <c r="B1185">
        <v>126</v>
      </c>
      <c r="E1185">
        <v>1</v>
      </c>
    </row>
    <row r="1186" spans="1:5" x14ac:dyDescent="0.3">
      <c r="A1186" t="s">
        <v>506</v>
      </c>
      <c r="B1186">
        <v>126</v>
      </c>
      <c r="E1186" t="s">
        <v>603</v>
      </c>
    </row>
    <row r="1187" spans="1:5" x14ac:dyDescent="0.3">
      <c r="A1187" t="s">
        <v>574</v>
      </c>
      <c r="B1187">
        <v>126</v>
      </c>
      <c r="E1187">
        <v>581</v>
      </c>
    </row>
    <row r="1188" spans="1:5" x14ac:dyDescent="0.3">
      <c r="A1188" t="s">
        <v>42</v>
      </c>
      <c r="B1188">
        <v>126</v>
      </c>
      <c r="E1188">
        <v>30</v>
      </c>
    </row>
    <row r="1189" spans="1:5" x14ac:dyDescent="0.3">
      <c r="A1189" t="s">
        <v>575</v>
      </c>
      <c r="B1189">
        <v>126</v>
      </c>
      <c r="E1189">
        <v>13.2</v>
      </c>
    </row>
    <row r="1190" spans="1:5" x14ac:dyDescent="0.3">
      <c r="A1190" t="s">
        <v>41</v>
      </c>
      <c r="B1190">
        <v>126</v>
      </c>
      <c r="E1190">
        <v>0</v>
      </c>
    </row>
    <row r="1191" spans="1:5" x14ac:dyDescent="0.3">
      <c r="A1191" t="s">
        <v>576</v>
      </c>
      <c r="B1191">
        <v>126</v>
      </c>
      <c r="E1191">
        <v>0</v>
      </c>
    </row>
    <row r="1192" spans="1:5" x14ac:dyDescent="0.3">
      <c r="A1192" t="s">
        <v>577</v>
      </c>
      <c r="B1192">
        <v>126</v>
      </c>
      <c r="E1192">
        <v>0</v>
      </c>
    </row>
    <row r="1193" spans="1:5" x14ac:dyDescent="0.3">
      <c r="A1193" t="s">
        <v>578</v>
      </c>
      <c r="B1193">
        <v>126</v>
      </c>
      <c r="E1193">
        <v>0</v>
      </c>
    </row>
    <row r="1194" spans="1:5" x14ac:dyDescent="0.3">
      <c r="A1194" t="s">
        <v>579</v>
      </c>
      <c r="B1194">
        <v>126</v>
      </c>
      <c r="E1194">
        <v>16</v>
      </c>
    </row>
    <row r="1195" spans="1:5" x14ac:dyDescent="0.3">
      <c r="A1195" t="s">
        <v>580</v>
      </c>
      <c r="B1195">
        <v>126</v>
      </c>
      <c r="E1195">
        <v>200</v>
      </c>
    </row>
    <row r="1196" spans="1:5" x14ac:dyDescent="0.3">
      <c r="A1196" t="s">
        <v>581</v>
      </c>
      <c r="B1196">
        <v>126</v>
      </c>
      <c r="E1196">
        <v>1320</v>
      </c>
    </row>
    <row r="1197" spans="1:5" x14ac:dyDescent="0.3">
      <c r="A1197" t="s">
        <v>582</v>
      </c>
      <c r="B1197">
        <v>126</v>
      </c>
      <c r="E1197">
        <v>880</v>
      </c>
    </row>
    <row r="1198" spans="1:5" x14ac:dyDescent="0.3">
      <c r="A1198" t="s">
        <v>583</v>
      </c>
      <c r="B1198">
        <v>126</v>
      </c>
      <c r="E1198">
        <v>1760</v>
      </c>
    </row>
    <row r="1199" spans="1:5" x14ac:dyDescent="0.3">
      <c r="A1199" t="s">
        <v>584</v>
      </c>
      <c r="B1199">
        <v>126</v>
      </c>
    </row>
    <row r="1200" spans="1:5" x14ac:dyDescent="0.3">
      <c r="A1200" t="s">
        <v>585</v>
      </c>
      <c r="B1200">
        <v>126</v>
      </c>
    </row>
    <row r="1201" spans="1:5" x14ac:dyDescent="0.3">
      <c r="A1201" t="s">
        <v>586</v>
      </c>
      <c r="B1201">
        <v>126</v>
      </c>
    </row>
    <row r="1202" spans="1:5" x14ac:dyDescent="0.3">
      <c r="A1202" t="s">
        <v>587</v>
      </c>
      <c r="B1202">
        <v>126</v>
      </c>
      <c r="E1202" t="b">
        <v>0</v>
      </c>
    </row>
    <row r="1203" spans="1:5" x14ac:dyDescent="0.3">
      <c r="A1203" t="s">
        <v>588</v>
      </c>
      <c r="B1203">
        <v>126</v>
      </c>
      <c r="E1203" t="b">
        <v>0</v>
      </c>
    </row>
    <row r="1204" spans="1:5" x14ac:dyDescent="0.3">
      <c r="A1204" t="s">
        <v>570</v>
      </c>
      <c r="B1204">
        <v>127</v>
      </c>
      <c r="C1204">
        <v>26</v>
      </c>
    </row>
    <row r="1205" spans="1:5" x14ac:dyDescent="0.3">
      <c r="A1205" t="s">
        <v>36</v>
      </c>
      <c r="B1205">
        <v>127</v>
      </c>
      <c r="C1205">
        <v>2</v>
      </c>
    </row>
    <row r="1206" spans="1:5" x14ac:dyDescent="0.3">
      <c r="A1206" t="s">
        <v>506</v>
      </c>
      <c r="B1206">
        <v>127</v>
      </c>
      <c r="C1206" t="s">
        <v>598</v>
      </c>
    </row>
    <row r="1207" spans="1:5" x14ac:dyDescent="0.3">
      <c r="A1207" t="s">
        <v>574</v>
      </c>
      <c r="B1207">
        <v>127</v>
      </c>
      <c r="C1207">
        <v>830</v>
      </c>
    </row>
    <row r="1208" spans="1:5" x14ac:dyDescent="0.3">
      <c r="A1208" t="s">
        <v>42</v>
      </c>
      <c r="B1208">
        <v>127</v>
      </c>
      <c r="C1208">
        <v>30</v>
      </c>
    </row>
    <row r="1209" spans="1:5" x14ac:dyDescent="0.3">
      <c r="A1209" t="s">
        <v>575</v>
      </c>
      <c r="B1209">
        <v>127</v>
      </c>
      <c r="C1209">
        <v>18.899999999999999</v>
      </c>
    </row>
    <row r="1210" spans="1:5" x14ac:dyDescent="0.3">
      <c r="A1210" t="s">
        <v>41</v>
      </c>
      <c r="B1210">
        <v>127</v>
      </c>
      <c r="C1210">
        <v>0</v>
      </c>
    </row>
    <row r="1211" spans="1:5" x14ac:dyDescent="0.3">
      <c r="A1211" t="s">
        <v>576</v>
      </c>
      <c r="B1211">
        <v>127</v>
      </c>
      <c r="C1211">
        <v>12</v>
      </c>
    </row>
    <row r="1212" spans="1:5" x14ac:dyDescent="0.3">
      <c r="A1212" t="s">
        <v>577</v>
      </c>
      <c r="B1212">
        <v>127</v>
      </c>
      <c r="C1212">
        <v>0</v>
      </c>
    </row>
    <row r="1213" spans="1:5" x14ac:dyDescent="0.3">
      <c r="A1213" t="s">
        <v>578</v>
      </c>
      <c r="B1213">
        <v>127</v>
      </c>
      <c r="C1213">
        <v>0</v>
      </c>
    </row>
    <row r="1214" spans="1:5" x14ac:dyDescent="0.3">
      <c r="A1214" t="s">
        <v>579</v>
      </c>
      <c r="B1214">
        <v>127</v>
      </c>
      <c r="C1214">
        <v>16</v>
      </c>
    </row>
    <row r="1215" spans="1:5" x14ac:dyDescent="0.3">
      <c r="A1215" t="s">
        <v>580</v>
      </c>
      <c r="B1215">
        <v>127</v>
      </c>
      <c r="C1215">
        <v>200</v>
      </c>
    </row>
    <row r="1216" spans="1:5" x14ac:dyDescent="0.3">
      <c r="A1216" t="s">
        <v>581</v>
      </c>
      <c r="B1216">
        <v>127</v>
      </c>
      <c r="C1216">
        <v>1320</v>
      </c>
    </row>
    <row r="1217" spans="1:6" x14ac:dyDescent="0.3">
      <c r="A1217" t="s">
        <v>582</v>
      </c>
      <c r="B1217">
        <v>127</v>
      </c>
      <c r="C1217">
        <v>880</v>
      </c>
    </row>
    <row r="1218" spans="1:6" x14ac:dyDescent="0.3">
      <c r="A1218" t="s">
        <v>583</v>
      </c>
      <c r="B1218">
        <v>127</v>
      </c>
      <c r="C1218">
        <v>1760</v>
      </c>
    </row>
    <row r="1219" spans="1:6" x14ac:dyDescent="0.3">
      <c r="A1219" t="s">
        <v>584</v>
      </c>
      <c r="B1219">
        <v>127</v>
      </c>
    </row>
    <row r="1220" spans="1:6" x14ac:dyDescent="0.3">
      <c r="A1220" t="s">
        <v>585</v>
      </c>
      <c r="B1220">
        <v>127</v>
      </c>
    </row>
    <row r="1221" spans="1:6" x14ac:dyDescent="0.3">
      <c r="A1221" t="s">
        <v>586</v>
      </c>
      <c r="B1221">
        <v>127</v>
      </c>
    </row>
    <row r="1222" spans="1:6" x14ac:dyDescent="0.3">
      <c r="A1222" t="s">
        <v>587</v>
      </c>
      <c r="B1222">
        <v>127</v>
      </c>
      <c r="C1222" t="b">
        <v>0</v>
      </c>
    </row>
    <row r="1223" spans="1:6" x14ac:dyDescent="0.3">
      <c r="A1223" t="s">
        <v>588</v>
      </c>
      <c r="B1223">
        <v>127</v>
      </c>
      <c r="C1223" t="b">
        <v>0</v>
      </c>
    </row>
    <row r="1224" spans="1:6" x14ac:dyDescent="0.3">
      <c r="A1224" t="s">
        <v>570</v>
      </c>
      <c r="B1224">
        <v>128</v>
      </c>
      <c r="F1224">
        <v>15</v>
      </c>
    </row>
    <row r="1225" spans="1:6" x14ac:dyDescent="0.3">
      <c r="A1225" t="s">
        <v>36</v>
      </c>
      <c r="B1225">
        <v>128</v>
      </c>
      <c r="F1225">
        <v>2</v>
      </c>
    </row>
    <row r="1226" spans="1:6" x14ac:dyDescent="0.3">
      <c r="A1226" t="s">
        <v>506</v>
      </c>
      <c r="B1226">
        <v>128</v>
      </c>
      <c r="F1226" t="s">
        <v>603</v>
      </c>
    </row>
    <row r="1227" spans="1:6" x14ac:dyDescent="0.3">
      <c r="A1227" t="s">
        <v>574</v>
      </c>
      <c r="B1227">
        <v>128</v>
      </c>
      <c r="F1227">
        <v>1000</v>
      </c>
    </row>
    <row r="1228" spans="1:6" x14ac:dyDescent="0.3">
      <c r="A1228" t="s">
        <v>42</v>
      </c>
      <c r="B1228">
        <v>128</v>
      </c>
      <c r="F1228">
        <v>30</v>
      </c>
    </row>
    <row r="1229" spans="1:6" x14ac:dyDescent="0.3">
      <c r="A1229" t="s">
        <v>575</v>
      </c>
      <c r="B1229">
        <v>128</v>
      </c>
      <c r="F1229">
        <v>22.7</v>
      </c>
    </row>
    <row r="1230" spans="1:6" x14ac:dyDescent="0.3">
      <c r="A1230" t="s">
        <v>41</v>
      </c>
      <c r="B1230">
        <v>128</v>
      </c>
      <c r="F1230">
        <v>0</v>
      </c>
    </row>
    <row r="1231" spans="1:6" x14ac:dyDescent="0.3">
      <c r="A1231" t="s">
        <v>576</v>
      </c>
      <c r="B1231">
        <v>128</v>
      </c>
      <c r="F1231">
        <v>12</v>
      </c>
    </row>
    <row r="1232" spans="1:6" x14ac:dyDescent="0.3">
      <c r="A1232" t="s">
        <v>577</v>
      </c>
      <c r="B1232">
        <v>128</v>
      </c>
      <c r="F1232">
        <v>0</v>
      </c>
    </row>
    <row r="1233" spans="1:6" x14ac:dyDescent="0.3">
      <c r="A1233" t="s">
        <v>578</v>
      </c>
      <c r="B1233">
        <v>128</v>
      </c>
      <c r="F1233">
        <v>0</v>
      </c>
    </row>
    <row r="1234" spans="1:6" x14ac:dyDescent="0.3">
      <c r="A1234" t="s">
        <v>579</v>
      </c>
      <c r="B1234">
        <v>128</v>
      </c>
      <c r="F1234">
        <v>16</v>
      </c>
    </row>
    <row r="1235" spans="1:6" x14ac:dyDescent="0.3">
      <c r="A1235" t="s">
        <v>580</v>
      </c>
      <c r="B1235">
        <v>128</v>
      </c>
      <c r="F1235">
        <v>200</v>
      </c>
    </row>
    <row r="1236" spans="1:6" x14ac:dyDescent="0.3">
      <c r="A1236" t="s">
        <v>581</v>
      </c>
      <c r="B1236">
        <v>128</v>
      </c>
      <c r="F1236">
        <v>1320</v>
      </c>
    </row>
    <row r="1237" spans="1:6" x14ac:dyDescent="0.3">
      <c r="A1237" t="s">
        <v>582</v>
      </c>
      <c r="B1237">
        <v>128</v>
      </c>
      <c r="F1237">
        <v>880</v>
      </c>
    </row>
    <row r="1238" spans="1:6" x14ac:dyDescent="0.3">
      <c r="A1238" t="s">
        <v>583</v>
      </c>
      <c r="B1238">
        <v>128</v>
      </c>
      <c r="F1238">
        <v>1760</v>
      </c>
    </row>
    <row r="1239" spans="1:6" x14ac:dyDescent="0.3">
      <c r="A1239" t="s">
        <v>584</v>
      </c>
      <c r="B1239">
        <v>128</v>
      </c>
    </row>
    <row r="1240" spans="1:6" x14ac:dyDescent="0.3">
      <c r="A1240" t="s">
        <v>585</v>
      </c>
      <c r="B1240">
        <v>128</v>
      </c>
    </row>
    <row r="1241" spans="1:6" x14ac:dyDescent="0.3">
      <c r="A1241" t="s">
        <v>586</v>
      </c>
      <c r="B1241">
        <v>128</v>
      </c>
    </row>
    <row r="1242" spans="1:6" x14ac:dyDescent="0.3">
      <c r="A1242" t="s">
        <v>587</v>
      </c>
      <c r="B1242">
        <v>128</v>
      </c>
      <c r="F1242" t="b">
        <v>0</v>
      </c>
    </row>
    <row r="1243" spans="1:6" x14ac:dyDescent="0.3">
      <c r="A1243" t="s">
        <v>588</v>
      </c>
      <c r="B1243">
        <v>128</v>
      </c>
      <c r="F1243" t="b">
        <v>0</v>
      </c>
    </row>
    <row r="1244" spans="1:6" x14ac:dyDescent="0.3">
      <c r="A1244" t="s">
        <v>570</v>
      </c>
      <c r="B1244">
        <v>129</v>
      </c>
      <c r="E1244">
        <v>15</v>
      </c>
    </row>
    <row r="1245" spans="1:6" x14ac:dyDescent="0.3">
      <c r="A1245" t="s">
        <v>36</v>
      </c>
      <c r="B1245">
        <v>129</v>
      </c>
      <c r="E1245">
        <v>1</v>
      </c>
    </row>
    <row r="1246" spans="1:6" x14ac:dyDescent="0.3">
      <c r="A1246" t="s">
        <v>506</v>
      </c>
      <c r="B1246">
        <v>129</v>
      </c>
      <c r="E1246" t="s">
        <v>604</v>
      </c>
    </row>
    <row r="1247" spans="1:6" x14ac:dyDescent="0.3">
      <c r="A1247" t="s">
        <v>574</v>
      </c>
      <c r="B1247">
        <v>129</v>
      </c>
      <c r="E1247">
        <v>1155</v>
      </c>
    </row>
    <row r="1248" spans="1:6" x14ac:dyDescent="0.3">
      <c r="A1248" t="s">
        <v>42</v>
      </c>
      <c r="B1248">
        <v>129</v>
      </c>
      <c r="E1248">
        <v>30</v>
      </c>
    </row>
    <row r="1249" spans="1:6" x14ac:dyDescent="0.3">
      <c r="A1249" t="s">
        <v>575</v>
      </c>
      <c r="B1249">
        <v>129</v>
      </c>
      <c r="E1249">
        <v>26.3</v>
      </c>
    </row>
    <row r="1250" spans="1:6" x14ac:dyDescent="0.3">
      <c r="A1250" t="s">
        <v>41</v>
      </c>
      <c r="B1250">
        <v>129</v>
      </c>
      <c r="E1250">
        <v>0</v>
      </c>
    </row>
    <row r="1251" spans="1:6" x14ac:dyDescent="0.3">
      <c r="A1251" t="s">
        <v>576</v>
      </c>
      <c r="B1251">
        <v>129</v>
      </c>
      <c r="E1251">
        <v>12</v>
      </c>
    </row>
    <row r="1252" spans="1:6" x14ac:dyDescent="0.3">
      <c r="A1252" t="s">
        <v>577</v>
      </c>
      <c r="B1252">
        <v>129</v>
      </c>
      <c r="E1252">
        <v>0</v>
      </c>
    </row>
    <row r="1253" spans="1:6" x14ac:dyDescent="0.3">
      <c r="A1253" t="s">
        <v>578</v>
      </c>
      <c r="B1253">
        <v>129</v>
      </c>
      <c r="E1253">
        <v>0</v>
      </c>
    </row>
    <row r="1254" spans="1:6" x14ac:dyDescent="0.3">
      <c r="A1254" t="s">
        <v>579</v>
      </c>
      <c r="B1254">
        <v>129</v>
      </c>
      <c r="E1254">
        <v>16</v>
      </c>
    </row>
    <row r="1255" spans="1:6" x14ac:dyDescent="0.3">
      <c r="A1255" t="s">
        <v>580</v>
      </c>
      <c r="B1255">
        <v>129</v>
      </c>
      <c r="E1255">
        <v>200</v>
      </c>
    </row>
    <row r="1256" spans="1:6" x14ac:dyDescent="0.3">
      <c r="A1256" t="s">
        <v>581</v>
      </c>
      <c r="B1256">
        <v>129</v>
      </c>
      <c r="E1256">
        <v>1320</v>
      </c>
    </row>
    <row r="1257" spans="1:6" x14ac:dyDescent="0.3">
      <c r="A1257" t="s">
        <v>582</v>
      </c>
      <c r="B1257">
        <v>129</v>
      </c>
      <c r="E1257">
        <v>880</v>
      </c>
    </row>
    <row r="1258" spans="1:6" x14ac:dyDescent="0.3">
      <c r="A1258" t="s">
        <v>583</v>
      </c>
      <c r="B1258">
        <v>129</v>
      </c>
      <c r="E1258">
        <v>1760</v>
      </c>
    </row>
    <row r="1259" spans="1:6" x14ac:dyDescent="0.3">
      <c r="A1259" t="s">
        <v>584</v>
      </c>
      <c r="B1259">
        <v>129</v>
      </c>
    </row>
    <row r="1260" spans="1:6" x14ac:dyDescent="0.3">
      <c r="A1260" t="s">
        <v>585</v>
      </c>
      <c r="B1260">
        <v>129</v>
      </c>
    </row>
    <row r="1261" spans="1:6" x14ac:dyDescent="0.3">
      <c r="A1261" t="s">
        <v>586</v>
      </c>
      <c r="B1261">
        <v>129</v>
      </c>
    </row>
    <row r="1262" spans="1:6" x14ac:dyDescent="0.3">
      <c r="A1262" t="s">
        <v>587</v>
      </c>
      <c r="B1262">
        <v>129</v>
      </c>
      <c r="E1262" t="b">
        <v>0</v>
      </c>
    </row>
    <row r="1263" spans="1:6" x14ac:dyDescent="0.3">
      <c r="A1263" t="s">
        <v>588</v>
      </c>
      <c r="B1263">
        <v>129</v>
      </c>
      <c r="E1263" t="b">
        <v>0</v>
      </c>
    </row>
    <row r="1264" spans="1:6" x14ac:dyDescent="0.3">
      <c r="A1264" t="s">
        <v>570</v>
      </c>
      <c r="B1264">
        <v>130</v>
      </c>
      <c r="F1264">
        <v>16</v>
      </c>
    </row>
    <row r="1265" spans="1:6" x14ac:dyDescent="0.3">
      <c r="A1265" t="s">
        <v>36</v>
      </c>
      <c r="B1265">
        <v>130</v>
      </c>
      <c r="F1265">
        <v>1</v>
      </c>
    </row>
    <row r="1266" spans="1:6" x14ac:dyDescent="0.3">
      <c r="A1266" t="s">
        <v>506</v>
      </c>
      <c r="B1266">
        <v>130</v>
      </c>
      <c r="F1266" t="s">
        <v>732</v>
      </c>
    </row>
    <row r="1267" spans="1:6" x14ac:dyDescent="0.3">
      <c r="A1267" t="s">
        <v>574</v>
      </c>
      <c r="B1267">
        <v>130</v>
      </c>
      <c r="F1267">
        <v>832</v>
      </c>
    </row>
    <row r="1268" spans="1:6" x14ac:dyDescent="0.3">
      <c r="A1268" t="s">
        <v>42</v>
      </c>
      <c r="B1268">
        <v>130</v>
      </c>
      <c r="F1268">
        <v>30</v>
      </c>
    </row>
    <row r="1269" spans="1:6" x14ac:dyDescent="0.3">
      <c r="A1269" t="s">
        <v>575</v>
      </c>
      <c r="B1269">
        <v>130</v>
      </c>
      <c r="F1269">
        <v>18.899999999999999</v>
      </c>
    </row>
    <row r="1270" spans="1:6" x14ac:dyDescent="0.3">
      <c r="A1270" t="s">
        <v>41</v>
      </c>
      <c r="B1270">
        <v>130</v>
      </c>
      <c r="F1270">
        <v>0</v>
      </c>
    </row>
    <row r="1271" spans="1:6" x14ac:dyDescent="0.3">
      <c r="A1271" t="s">
        <v>576</v>
      </c>
      <c r="B1271">
        <v>130</v>
      </c>
      <c r="F1271">
        <v>0</v>
      </c>
    </row>
    <row r="1272" spans="1:6" x14ac:dyDescent="0.3">
      <c r="A1272" t="s">
        <v>577</v>
      </c>
      <c r="B1272">
        <v>130</v>
      </c>
      <c r="F1272">
        <v>0</v>
      </c>
    </row>
    <row r="1273" spans="1:6" x14ac:dyDescent="0.3">
      <c r="A1273" t="s">
        <v>578</v>
      </c>
      <c r="B1273">
        <v>130</v>
      </c>
      <c r="F1273">
        <v>0</v>
      </c>
    </row>
    <row r="1274" spans="1:6" x14ac:dyDescent="0.3">
      <c r="A1274" t="s">
        <v>579</v>
      </c>
      <c r="B1274">
        <v>130</v>
      </c>
      <c r="F1274">
        <v>16</v>
      </c>
    </row>
    <row r="1275" spans="1:6" x14ac:dyDescent="0.3">
      <c r="A1275" t="s">
        <v>580</v>
      </c>
      <c r="B1275">
        <v>130</v>
      </c>
      <c r="F1275">
        <v>200</v>
      </c>
    </row>
    <row r="1276" spans="1:6" x14ac:dyDescent="0.3">
      <c r="A1276" t="s">
        <v>581</v>
      </c>
      <c r="B1276">
        <v>130</v>
      </c>
      <c r="F1276">
        <v>1320</v>
      </c>
    </row>
    <row r="1277" spans="1:6" x14ac:dyDescent="0.3">
      <c r="A1277" t="s">
        <v>582</v>
      </c>
      <c r="B1277">
        <v>130</v>
      </c>
      <c r="F1277">
        <v>880</v>
      </c>
    </row>
    <row r="1278" spans="1:6" x14ac:dyDescent="0.3">
      <c r="A1278" t="s">
        <v>583</v>
      </c>
      <c r="B1278">
        <v>130</v>
      </c>
      <c r="F1278">
        <v>1760</v>
      </c>
    </row>
    <row r="1279" spans="1:6" x14ac:dyDescent="0.3">
      <c r="A1279" t="s">
        <v>584</v>
      </c>
      <c r="B1279">
        <v>130</v>
      </c>
    </row>
    <row r="1280" spans="1:6" x14ac:dyDescent="0.3">
      <c r="A1280" t="s">
        <v>585</v>
      </c>
      <c r="B1280">
        <v>130</v>
      </c>
    </row>
    <row r="1281" spans="1:6" x14ac:dyDescent="0.3">
      <c r="A1281" t="s">
        <v>586</v>
      </c>
      <c r="B1281">
        <v>130</v>
      </c>
    </row>
    <row r="1282" spans="1:6" x14ac:dyDescent="0.3">
      <c r="A1282" t="s">
        <v>587</v>
      </c>
      <c r="B1282">
        <v>130</v>
      </c>
      <c r="F1282" t="b">
        <v>0</v>
      </c>
    </row>
    <row r="1283" spans="1:6" x14ac:dyDescent="0.3">
      <c r="A1283" t="s">
        <v>588</v>
      </c>
      <c r="B1283">
        <v>130</v>
      </c>
      <c r="F1283" t="b">
        <v>0</v>
      </c>
    </row>
    <row r="1284" spans="1:6" x14ac:dyDescent="0.3">
      <c r="A1284" t="s">
        <v>570</v>
      </c>
      <c r="B1284">
        <v>131</v>
      </c>
      <c r="E1284">
        <v>16</v>
      </c>
    </row>
    <row r="1285" spans="1:6" x14ac:dyDescent="0.3">
      <c r="A1285" t="s">
        <v>36</v>
      </c>
      <c r="B1285">
        <v>131</v>
      </c>
      <c r="E1285">
        <v>1</v>
      </c>
    </row>
    <row r="1286" spans="1:6" x14ac:dyDescent="0.3">
      <c r="A1286" t="s">
        <v>506</v>
      </c>
      <c r="B1286">
        <v>131</v>
      </c>
      <c r="E1286" t="s">
        <v>606</v>
      </c>
    </row>
    <row r="1287" spans="1:6" x14ac:dyDescent="0.3">
      <c r="A1287" t="s">
        <v>574</v>
      </c>
      <c r="B1287">
        <v>131</v>
      </c>
      <c r="E1287">
        <v>1238</v>
      </c>
    </row>
    <row r="1288" spans="1:6" x14ac:dyDescent="0.3">
      <c r="A1288" t="s">
        <v>42</v>
      </c>
      <c r="B1288">
        <v>131</v>
      </c>
      <c r="E1288">
        <v>30</v>
      </c>
    </row>
    <row r="1289" spans="1:6" x14ac:dyDescent="0.3">
      <c r="A1289" t="s">
        <v>575</v>
      </c>
      <c r="B1289">
        <v>131</v>
      </c>
      <c r="E1289">
        <v>28.1</v>
      </c>
    </row>
    <row r="1290" spans="1:6" x14ac:dyDescent="0.3">
      <c r="A1290" t="s">
        <v>41</v>
      </c>
      <c r="B1290">
        <v>131</v>
      </c>
      <c r="E1290">
        <v>0</v>
      </c>
    </row>
    <row r="1291" spans="1:6" x14ac:dyDescent="0.3">
      <c r="A1291" t="s">
        <v>576</v>
      </c>
      <c r="B1291">
        <v>131</v>
      </c>
      <c r="E1291">
        <v>0</v>
      </c>
    </row>
    <row r="1292" spans="1:6" x14ac:dyDescent="0.3">
      <c r="A1292" t="s">
        <v>577</v>
      </c>
      <c r="B1292">
        <v>131</v>
      </c>
      <c r="E1292">
        <v>0</v>
      </c>
    </row>
    <row r="1293" spans="1:6" x14ac:dyDescent="0.3">
      <c r="A1293" t="s">
        <v>578</v>
      </c>
      <c r="B1293">
        <v>131</v>
      </c>
      <c r="E1293">
        <v>0</v>
      </c>
    </row>
    <row r="1294" spans="1:6" x14ac:dyDescent="0.3">
      <c r="A1294" t="s">
        <v>579</v>
      </c>
      <c r="B1294">
        <v>131</v>
      </c>
      <c r="E1294">
        <v>16</v>
      </c>
    </row>
    <row r="1295" spans="1:6" x14ac:dyDescent="0.3">
      <c r="A1295" t="s">
        <v>580</v>
      </c>
      <c r="B1295">
        <v>131</v>
      </c>
      <c r="E1295">
        <v>200</v>
      </c>
    </row>
    <row r="1296" spans="1:6" x14ac:dyDescent="0.3">
      <c r="A1296" t="s">
        <v>581</v>
      </c>
      <c r="B1296">
        <v>131</v>
      </c>
      <c r="E1296">
        <v>1320</v>
      </c>
    </row>
    <row r="1297" spans="1:5" x14ac:dyDescent="0.3">
      <c r="A1297" t="s">
        <v>582</v>
      </c>
      <c r="B1297">
        <v>131</v>
      </c>
      <c r="E1297">
        <v>880</v>
      </c>
    </row>
    <row r="1298" spans="1:5" x14ac:dyDescent="0.3">
      <c r="A1298" t="s">
        <v>583</v>
      </c>
      <c r="B1298">
        <v>131</v>
      </c>
      <c r="E1298">
        <v>1760</v>
      </c>
    </row>
    <row r="1299" spans="1:5" x14ac:dyDescent="0.3">
      <c r="A1299" t="s">
        <v>584</v>
      </c>
      <c r="B1299">
        <v>131</v>
      </c>
    </row>
    <row r="1300" spans="1:5" x14ac:dyDescent="0.3">
      <c r="A1300" t="s">
        <v>585</v>
      </c>
      <c r="B1300">
        <v>131</v>
      </c>
    </row>
    <row r="1301" spans="1:5" x14ac:dyDescent="0.3">
      <c r="A1301" t="s">
        <v>586</v>
      </c>
      <c r="B1301">
        <v>131</v>
      </c>
    </row>
    <row r="1302" spans="1:5" x14ac:dyDescent="0.3">
      <c r="A1302" t="s">
        <v>587</v>
      </c>
      <c r="B1302">
        <v>131</v>
      </c>
      <c r="E1302" t="b">
        <v>0</v>
      </c>
    </row>
    <row r="1303" spans="1:5" x14ac:dyDescent="0.3">
      <c r="A1303" t="s">
        <v>588</v>
      </c>
      <c r="B1303">
        <v>131</v>
      </c>
      <c r="E1303" t="b">
        <v>0</v>
      </c>
    </row>
    <row r="1304" spans="1:5" x14ac:dyDescent="0.3">
      <c r="A1304" t="s">
        <v>570</v>
      </c>
      <c r="B1304">
        <v>132</v>
      </c>
      <c r="E1304">
        <v>19</v>
      </c>
    </row>
    <row r="1305" spans="1:5" x14ac:dyDescent="0.3">
      <c r="A1305" t="s">
        <v>36</v>
      </c>
      <c r="B1305">
        <v>132</v>
      </c>
      <c r="E1305">
        <v>1</v>
      </c>
    </row>
    <row r="1306" spans="1:5" x14ac:dyDescent="0.3">
      <c r="A1306" t="s">
        <v>506</v>
      </c>
      <c r="B1306">
        <v>132</v>
      </c>
      <c r="E1306" t="s">
        <v>609</v>
      </c>
    </row>
    <row r="1307" spans="1:5" x14ac:dyDescent="0.3">
      <c r="A1307" t="s">
        <v>574</v>
      </c>
      <c r="B1307">
        <v>132</v>
      </c>
      <c r="E1307">
        <v>1265</v>
      </c>
    </row>
    <row r="1308" spans="1:5" x14ac:dyDescent="0.3">
      <c r="A1308" t="s">
        <v>42</v>
      </c>
      <c r="B1308">
        <v>132</v>
      </c>
      <c r="E1308">
        <v>30</v>
      </c>
    </row>
    <row r="1309" spans="1:5" x14ac:dyDescent="0.3">
      <c r="A1309" t="s">
        <v>575</v>
      </c>
      <c r="B1309">
        <v>132</v>
      </c>
      <c r="E1309">
        <v>28.8</v>
      </c>
    </row>
    <row r="1310" spans="1:5" x14ac:dyDescent="0.3">
      <c r="A1310" t="s">
        <v>41</v>
      </c>
      <c r="B1310">
        <v>132</v>
      </c>
      <c r="E1310">
        <v>0</v>
      </c>
    </row>
    <row r="1311" spans="1:5" x14ac:dyDescent="0.3">
      <c r="A1311" t="s">
        <v>576</v>
      </c>
      <c r="B1311">
        <v>132</v>
      </c>
      <c r="E1311">
        <v>0</v>
      </c>
    </row>
    <row r="1312" spans="1:5" x14ac:dyDescent="0.3">
      <c r="A1312" t="s">
        <v>577</v>
      </c>
      <c r="B1312">
        <v>132</v>
      </c>
      <c r="E1312">
        <v>0</v>
      </c>
    </row>
    <row r="1313" spans="1:6" x14ac:dyDescent="0.3">
      <c r="A1313" t="s">
        <v>578</v>
      </c>
      <c r="B1313">
        <v>132</v>
      </c>
      <c r="E1313">
        <v>0</v>
      </c>
    </row>
    <row r="1314" spans="1:6" x14ac:dyDescent="0.3">
      <c r="A1314" t="s">
        <v>579</v>
      </c>
      <c r="B1314">
        <v>132</v>
      </c>
      <c r="E1314">
        <v>16</v>
      </c>
    </row>
    <row r="1315" spans="1:6" x14ac:dyDescent="0.3">
      <c r="A1315" t="s">
        <v>580</v>
      </c>
      <c r="B1315">
        <v>132</v>
      </c>
      <c r="E1315">
        <v>200</v>
      </c>
    </row>
    <row r="1316" spans="1:6" x14ac:dyDescent="0.3">
      <c r="A1316" t="s">
        <v>581</v>
      </c>
      <c r="B1316">
        <v>132</v>
      </c>
      <c r="E1316">
        <v>1320</v>
      </c>
    </row>
    <row r="1317" spans="1:6" x14ac:dyDescent="0.3">
      <c r="A1317" t="s">
        <v>582</v>
      </c>
      <c r="B1317">
        <v>132</v>
      </c>
      <c r="E1317">
        <v>880</v>
      </c>
    </row>
    <row r="1318" spans="1:6" x14ac:dyDescent="0.3">
      <c r="A1318" t="s">
        <v>583</v>
      </c>
      <c r="B1318">
        <v>132</v>
      </c>
      <c r="E1318">
        <v>1760</v>
      </c>
    </row>
    <row r="1319" spans="1:6" x14ac:dyDescent="0.3">
      <c r="A1319" t="s">
        <v>584</v>
      </c>
      <c r="B1319">
        <v>132</v>
      </c>
    </row>
    <row r="1320" spans="1:6" x14ac:dyDescent="0.3">
      <c r="A1320" t="s">
        <v>585</v>
      </c>
      <c r="B1320">
        <v>132</v>
      </c>
    </row>
    <row r="1321" spans="1:6" x14ac:dyDescent="0.3">
      <c r="A1321" t="s">
        <v>586</v>
      </c>
      <c r="B1321">
        <v>132</v>
      </c>
    </row>
    <row r="1322" spans="1:6" x14ac:dyDescent="0.3">
      <c r="A1322" t="s">
        <v>587</v>
      </c>
      <c r="B1322">
        <v>132</v>
      </c>
      <c r="E1322" t="b">
        <v>0</v>
      </c>
    </row>
    <row r="1323" spans="1:6" x14ac:dyDescent="0.3">
      <c r="A1323" t="s">
        <v>588</v>
      </c>
      <c r="B1323">
        <v>132</v>
      </c>
      <c r="E1323" t="b">
        <v>0</v>
      </c>
    </row>
    <row r="1324" spans="1:6" x14ac:dyDescent="0.3">
      <c r="A1324" t="s">
        <v>570</v>
      </c>
      <c r="B1324">
        <v>133</v>
      </c>
      <c r="F1324">
        <v>21</v>
      </c>
    </row>
    <row r="1325" spans="1:6" x14ac:dyDescent="0.3">
      <c r="A1325" t="s">
        <v>36</v>
      </c>
      <c r="B1325">
        <v>133</v>
      </c>
      <c r="F1325">
        <v>1</v>
      </c>
    </row>
    <row r="1326" spans="1:6" x14ac:dyDescent="0.3">
      <c r="A1326" t="s">
        <v>506</v>
      </c>
      <c r="B1326">
        <v>133</v>
      </c>
      <c r="F1326" t="s">
        <v>610</v>
      </c>
    </row>
    <row r="1327" spans="1:6" x14ac:dyDescent="0.3">
      <c r="A1327" t="s">
        <v>574</v>
      </c>
      <c r="B1327">
        <v>133</v>
      </c>
      <c r="F1327">
        <v>1474</v>
      </c>
    </row>
    <row r="1328" spans="1:6" x14ac:dyDescent="0.3">
      <c r="A1328" t="s">
        <v>42</v>
      </c>
      <c r="B1328">
        <v>133</v>
      </c>
      <c r="F1328">
        <v>30</v>
      </c>
    </row>
    <row r="1329" spans="1:6" x14ac:dyDescent="0.3">
      <c r="A1329" t="s">
        <v>575</v>
      </c>
      <c r="B1329">
        <v>133</v>
      </c>
      <c r="F1329">
        <v>33.5</v>
      </c>
    </row>
    <row r="1330" spans="1:6" x14ac:dyDescent="0.3">
      <c r="A1330" t="s">
        <v>41</v>
      </c>
      <c r="B1330">
        <v>133</v>
      </c>
      <c r="F1330">
        <v>0</v>
      </c>
    </row>
    <row r="1331" spans="1:6" x14ac:dyDescent="0.3">
      <c r="A1331" t="s">
        <v>576</v>
      </c>
      <c r="B1331">
        <v>133</v>
      </c>
      <c r="F1331">
        <v>0</v>
      </c>
    </row>
    <row r="1332" spans="1:6" x14ac:dyDescent="0.3">
      <c r="A1332" t="s">
        <v>577</v>
      </c>
      <c r="B1332">
        <v>133</v>
      </c>
      <c r="F1332">
        <v>0</v>
      </c>
    </row>
    <row r="1333" spans="1:6" x14ac:dyDescent="0.3">
      <c r="A1333" t="s">
        <v>578</v>
      </c>
      <c r="B1333">
        <v>133</v>
      </c>
      <c r="F1333">
        <v>0</v>
      </c>
    </row>
    <row r="1334" spans="1:6" x14ac:dyDescent="0.3">
      <c r="A1334" t="s">
        <v>579</v>
      </c>
      <c r="B1334">
        <v>133</v>
      </c>
      <c r="F1334">
        <v>16</v>
      </c>
    </row>
    <row r="1335" spans="1:6" x14ac:dyDescent="0.3">
      <c r="A1335" t="s">
        <v>580</v>
      </c>
      <c r="B1335">
        <v>133</v>
      </c>
      <c r="F1335">
        <v>200</v>
      </c>
    </row>
    <row r="1336" spans="1:6" x14ac:dyDescent="0.3">
      <c r="A1336" t="s">
        <v>581</v>
      </c>
      <c r="B1336">
        <v>133</v>
      </c>
      <c r="F1336">
        <v>1320</v>
      </c>
    </row>
    <row r="1337" spans="1:6" x14ac:dyDescent="0.3">
      <c r="A1337" t="s">
        <v>582</v>
      </c>
      <c r="B1337">
        <v>133</v>
      </c>
      <c r="F1337">
        <v>880</v>
      </c>
    </row>
    <row r="1338" spans="1:6" x14ac:dyDescent="0.3">
      <c r="A1338" t="s">
        <v>583</v>
      </c>
      <c r="B1338">
        <v>133</v>
      </c>
      <c r="F1338">
        <v>1760</v>
      </c>
    </row>
    <row r="1339" spans="1:6" x14ac:dyDescent="0.3">
      <c r="A1339" t="s">
        <v>584</v>
      </c>
      <c r="B1339">
        <v>133</v>
      </c>
    </row>
    <row r="1340" spans="1:6" x14ac:dyDescent="0.3">
      <c r="A1340" t="s">
        <v>585</v>
      </c>
      <c r="B1340">
        <v>133</v>
      </c>
    </row>
    <row r="1341" spans="1:6" x14ac:dyDescent="0.3">
      <c r="A1341" t="s">
        <v>586</v>
      </c>
      <c r="B1341">
        <v>133</v>
      </c>
    </row>
    <row r="1342" spans="1:6" x14ac:dyDescent="0.3">
      <c r="A1342" t="s">
        <v>587</v>
      </c>
      <c r="B1342">
        <v>133</v>
      </c>
      <c r="F1342" t="b">
        <v>0</v>
      </c>
    </row>
    <row r="1343" spans="1:6" x14ac:dyDescent="0.3">
      <c r="A1343" t="s">
        <v>588</v>
      </c>
      <c r="B1343">
        <v>133</v>
      </c>
      <c r="F1343" t="b">
        <v>0</v>
      </c>
    </row>
    <row r="1344" spans="1:6" x14ac:dyDescent="0.3">
      <c r="A1344" t="s">
        <v>570</v>
      </c>
      <c r="B1344">
        <v>134</v>
      </c>
      <c r="E1344">
        <v>21</v>
      </c>
    </row>
    <row r="1345" spans="1:5" x14ac:dyDescent="0.3">
      <c r="A1345" t="s">
        <v>36</v>
      </c>
      <c r="B1345">
        <v>134</v>
      </c>
      <c r="E1345">
        <v>1</v>
      </c>
    </row>
    <row r="1346" spans="1:5" x14ac:dyDescent="0.3">
      <c r="A1346" t="s">
        <v>506</v>
      </c>
      <c r="B1346">
        <v>134</v>
      </c>
      <c r="E1346" t="s">
        <v>611</v>
      </c>
    </row>
    <row r="1347" spans="1:5" x14ac:dyDescent="0.3">
      <c r="A1347" t="s">
        <v>574</v>
      </c>
      <c r="B1347">
        <v>134</v>
      </c>
      <c r="E1347">
        <v>760</v>
      </c>
    </row>
    <row r="1348" spans="1:5" x14ac:dyDescent="0.3">
      <c r="A1348" t="s">
        <v>42</v>
      </c>
      <c r="B1348">
        <v>134</v>
      </c>
      <c r="E1348">
        <v>30</v>
      </c>
    </row>
    <row r="1349" spans="1:5" x14ac:dyDescent="0.3">
      <c r="A1349" t="s">
        <v>575</v>
      </c>
      <c r="B1349">
        <v>134</v>
      </c>
      <c r="E1349">
        <v>17.3</v>
      </c>
    </row>
    <row r="1350" spans="1:5" x14ac:dyDescent="0.3">
      <c r="A1350" t="s">
        <v>41</v>
      </c>
      <c r="B1350">
        <v>134</v>
      </c>
      <c r="E1350">
        <v>0</v>
      </c>
    </row>
    <row r="1351" spans="1:5" x14ac:dyDescent="0.3">
      <c r="A1351" t="s">
        <v>576</v>
      </c>
      <c r="B1351">
        <v>134</v>
      </c>
      <c r="E1351">
        <v>0</v>
      </c>
    </row>
    <row r="1352" spans="1:5" x14ac:dyDescent="0.3">
      <c r="A1352" t="s">
        <v>577</v>
      </c>
      <c r="B1352">
        <v>134</v>
      </c>
      <c r="E1352">
        <v>0</v>
      </c>
    </row>
    <row r="1353" spans="1:5" x14ac:dyDescent="0.3">
      <c r="A1353" t="s">
        <v>578</v>
      </c>
      <c r="B1353">
        <v>134</v>
      </c>
      <c r="E1353">
        <v>0</v>
      </c>
    </row>
    <row r="1354" spans="1:5" x14ac:dyDescent="0.3">
      <c r="A1354" t="s">
        <v>579</v>
      </c>
      <c r="B1354">
        <v>134</v>
      </c>
      <c r="E1354">
        <v>16</v>
      </c>
    </row>
    <row r="1355" spans="1:5" x14ac:dyDescent="0.3">
      <c r="A1355" t="s">
        <v>580</v>
      </c>
      <c r="B1355">
        <v>134</v>
      </c>
      <c r="E1355">
        <v>200</v>
      </c>
    </row>
    <row r="1356" spans="1:5" x14ac:dyDescent="0.3">
      <c r="A1356" t="s">
        <v>581</v>
      </c>
      <c r="B1356">
        <v>134</v>
      </c>
      <c r="E1356">
        <v>1320</v>
      </c>
    </row>
    <row r="1357" spans="1:5" x14ac:dyDescent="0.3">
      <c r="A1357" t="s">
        <v>582</v>
      </c>
      <c r="B1357">
        <v>134</v>
      </c>
      <c r="E1357">
        <v>880</v>
      </c>
    </row>
    <row r="1358" spans="1:5" x14ac:dyDescent="0.3">
      <c r="A1358" t="s">
        <v>583</v>
      </c>
      <c r="B1358">
        <v>134</v>
      </c>
      <c r="E1358">
        <v>1760</v>
      </c>
    </row>
    <row r="1359" spans="1:5" x14ac:dyDescent="0.3">
      <c r="A1359" t="s">
        <v>584</v>
      </c>
      <c r="B1359">
        <v>134</v>
      </c>
    </row>
    <row r="1360" spans="1:5" x14ac:dyDescent="0.3">
      <c r="A1360" t="s">
        <v>585</v>
      </c>
      <c r="B1360">
        <v>134</v>
      </c>
    </row>
    <row r="1361" spans="1:5" x14ac:dyDescent="0.3">
      <c r="A1361" t="s">
        <v>586</v>
      </c>
      <c r="B1361">
        <v>134</v>
      </c>
    </row>
    <row r="1362" spans="1:5" x14ac:dyDescent="0.3">
      <c r="A1362" t="s">
        <v>587</v>
      </c>
      <c r="B1362">
        <v>134</v>
      </c>
      <c r="E1362" t="b">
        <v>0</v>
      </c>
    </row>
    <row r="1363" spans="1:5" x14ac:dyDescent="0.3">
      <c r="A1363" t="s">
        <v>588</v>
      </c>
      <c r="B1363">
        <v>134</v>
      </c>
      <c r="E1363" t="b">
        <v>0</v>
      </c>
    </row>
    <row r="1364" spans="1:5" x14ac:dyDescent="0.3">
      <c r="A1364" t="s">
        <v>570</v>
      </c>
      <c r="B1364">
        <v>135</v>
      </c>
      <c r="E1364">
        <v>30</v>
      </c>
    </row>
    <row r="1365" spans="1:5" x14ac:dyDescent="0.3">
      <c r="A1365" t="s">
        <v>36</v>
      </c>
      <c r="B1365">
        <v>135</v>
      </c>
      <c r="E1365">
        <v>1</v>
      </c>
    </row>
    <row r="1366" spans="1:5" x14ac:dyDescent="0.3">
      <c r="A1366" t="s">
        <v>506</v>
      </c>
      <c r="B1366">
        <v>135</v>
      </c>
      <c r="E1366" t="s">
        <v>616</v>
      </c>
    </row>
    <row r="1367" spans="1:5" x14ac:dyDescent="0.3">
      <c r="A1367" t="s">
        <v>574</v>
      </c>
      <c r="B1367">
        <v>135</v>
      </c>
      <c r="E1367">
        <v>618</v>
      </c>
    </row>
    <row r="1368" spans="1:5" x14ac:dyDescent="0.3">
      <c r="A1368" t="s">
        <v>42</v>
      </c>
      <c r="B1368">
        <v>135</v>
      </c>
      <c r="E1368">
        <v>30</v>
      </c>
    </row>
    <row r="1369" spans="1:5" x14ac:dyDescent="0.3">
      <c r="A1369" t="s">
        <v>575</v>
      </c>
      <c r="B1369">
        <v>135</v>
      </c>
      <c r="E1369">
        <v>14</v>
      </c>
    </row>
    <row r="1370" spans="1:5" x14ac:dyDescent="0.3">
      <c r="A1370" t="s">
        <v>41</v>
      </c>
      <c r="B1370">
        <v>135</v>
      </c>
      <c r="E1370">
        <v>0</v>
      </c>
    </row>
    <row r="1371" spans="1:5" x14ac:dyDescent="0.3">
      <c r="A1371" t="s">
        <v>576</v>
      </c>
      <c r="B1371">
        <v>135</v>
      </c>
      <c r="E1371">
        <v>0</v>
      </c>
    </row>
    <row r="1372" spans="1:5" x14ac:dyDescent="0.3">
      <c r="A1372" t="s">
        <v>577</v>
      </c>
      <c r="B1372">
        <v>135</v>
      </c>
      <c r="E1372">
        <v>0</v>
      </c>
    </row>
    <row r="1373" spans="1:5" x14ac:dyDescent="0.3">
      <c r="A1373" t="s">
        <v>578</v>
      </c>
      <c r="B1373">
        <v>135</v>
      </c>
      <c r="E1373">
        <v>0</v>
      </c>
    </row>
    <row r="1374" spans="1:5" x14ac:dyDescent="0.3">
      <c r="A1374" t="s">
        <v>579</v>
      </c>
      <c r="B1374">
        <v>135</v>
      </c>
      <c r="E1374">
        <v>16</v>
      </c>
    </row>
    <row r="1375" spans="1:5" x14ac:dyDescent="0.3">
      <c r="A1375" t="s">
        <v>580</v>
      </c>
      <c r="B1375">
        <v>135</v>
      </c>
      <c r="E1375">
        <v>200</v>
      </c>
    </row>
    <row r="1376" spans="1:5" x14ac:dyDescent="0.3">
      <c r="A1376" t="s">
        <v>581</v>
      </c>
      <c r="B1376">
        <v>135</v>
      </c>
      <c r="E1376">
        <v>1320</v>
      </c>
    </row>
    <row r="1377" spans="1:6" x14ac:dyDescent="0.3">
      <c r="A1377" t="s">
        <v>582</v>
      </c>
      <c r="B1377">
        <v>135</v>
      </c>
      <c r="E1377">
        <v>880</v>
      </c>
    </row>
    <row r="1378" spans="1:6" x14ac:dyDescent="0.3">
      <c r="A1378" t="s">
        <v>583</v>
      </c>
      <c r="B1378">
        <v>135</v>
      </c>
      <c r="E1378">
        <v>1760</v>
      </c>
    </row>
    <row r="1379" spans="1:6" x14ac:dyDescent="0.3">
      <c r="A1379" t="s">
        <v>584</v>
      </c>
      <c r="B1379">
        <v>135</v>
      </c>
    </row>
    <row r="1380" spans="1:6" x14ac:dyDescent="0.3">
      <c r="A1380" t="s">
        <v>585</v>
      </c>
      <c r="B1380">
        <v>135</v>
      </c>
    </row>
    <row r="1381" spans="1:6" x14ac:dyDescent="0.3">
      <c r="A1381" t="s">
        <v>586</v>
      </c>
      <c r="B1381">
        <v>135</v>
      </c>
    </row>
    <row r="1382" spans="1:6" x14ac:dyDescent="0.3">
      <c r="A1382" t="s">
        <v>587</v>
      </c>
      <c r="B1382">
        <v>135</v>
      </c>
      <c r="E1382" t="b">
        <v>0</v>
      </c>
    </row>
    <row r="1383" spans="1:6" x14ac:dyDescent="0.3">
      <c r="A1383" t="s">
        <v>588</v>
      </c>
      <c r="B1383">
        <v>135</v>
      </c>
      <c r="E1383" t="b">
        <v>0</v>
      </c>
    </row>
    <row r="1384" spans="1:6" x14ac:dyDescent="0.3">
      <c r="A1384" t="s">
        <v>570</v>
      </c>
      <c r="B1384">
        <v>136</v>
      </c>
      <c r="F1384">
        <v>31</v>
      </c>
    </row>
    <row r="1385" spans="1:6" x14ac:dyDescent="0.3">
      <c r="A1385" t="s">
        <v>36</v>
      </c>
      <c r="B1385">
        <v>136</v>
      </c>
      <c r="F1385">
        <v>1</v>
      </c>
    </row>
    <row r="1386" spans="1:6" x14ac:dyDescent="0.3">
      <c r="A1386" t="s">
        <v>506</v>
      </c>
      <c r="B1386">
        <v>136</v>
      </c>
      <c r="F1386" t="s">
        <v>617</v>
      </c>
    </row>
    <row r="1387" spans="1:6" x14ac:dyDescent="0.3">
      <c r="A1387" t="s">
        <v>574</v>
      </c>
      <c r="B1387">
        <v>136</v>
      </c>
      <c r="F1387">
        <v>329</v>
      </c>
    </row>
    <row r="1388" spans="1:6" x14ac:dyDescent="0.3">
      <c r="A1388" t="s">
        <v>42</v>
      </c>
      <c r="B1388">
        <v>136</v>
      </c>
      <c r="F1388">
        <v>30</v>
      </c>
    </row>
    <row r="1389" spans="1:6" x14ac:dyDescent="0.3">
      <c r="A1389" t="s">
        <v>575</v>
      </c>
      <c r="B1389">
        <v>136</v>
      </c>
      <c r="F1389">
        <v>7.5</v>
      </c>
    </row>
    <row r="1390" spans="1:6" x14ac:dyDescent="0.3">
      <c r="A1390" t="s">
        <v>41</v>
      </c>
      <c r="B1390">
        <v>136</v>
      </c>
      <c r="F1390">
        <v>0</v>
      </c>
    </row>
    <row r="1391" spans="1:6" x14ac:dyDescent="0.3">
      <c r="A1391" t="s">
        <v>576</v>
      </c>
      <c r="B1391">
        <v>136</v>
      </c>
      <c r="F1391">
        <v>0</v>
      </c>
    </row>
    <row r="1392" spans="1:6" x14ac:dyDescent="0.3">
      <c r="A1392" t="s">
        <v>577</v>
      </c>
      <c r="B1392">
        <v>136</v>
      </c>
      <c r="F1392">
        <v>0</v>
      </c>
    </row>
    <row r="1393" spans="1:6" x14ac:dyDescent="0.3">
      <c r="A1393" t="s">
        <v>578</v>
      </c>
      <c r="B1393">
        <v>136</v>
      </c>
      <c r="F1393">
        <v>0</v>
      </c>
    </row>
    <row r="1394" spans="1:6" x14ac:dyDescent="0.3">
      <c r="A1394" t="s">
        <v>579</v>
      </c>
      <c r="B1394">
        <v>136</v>
      </c>
      <c r="F1394">
        <v>16</v>
      </c>
    </row>
    <row r="1395" spans="1:6" x14ac:dyDescent="0.3">
      <c r="A1395" t="s">
        <v>580</v>
      </c>
      <c r="B1395">
        <v>136</v>
      </c>
      <c r="F1395">
        <v>200</v>
      </c>
    </row>
    <row r="1396" spans="1:6" x14ac:dyDescent="0.3">
      <c r="A1396" t="s">
        <v>581</v>
      </c>
      <c r="B1396">
        <v>136</v>
      </c>
      <c r="F1396">
        <v>1320</v>
      </c>
    </row>
    <row r="1397" spans="1:6" x14ac:dyDescent="0.3">
      <c r="A1397" t="s">
        <v>582</v>
      </c>
      <c r="B1397">
        <v>136</v>
      </c>
      <c r="F1397">
        <v>880</v>
      </c>
    </row>
    <row r="1398" spans="1:6" x14ac:dyDescent="0.3">
      <c r="A1398" t="s">
        <v>583</v>
      </c>
      <c r="B1398">
        <v>136</v>
      </c>
      <c r="F1398">
        <v>1760</v>
      </c>
    </row>
    <row r="1399" spans="1:6" x14ac:dyDescent="0.3">
      <c r="A1399" t="s">
        <v>584</v>
      </c>
      <c r="B1399">
        <v>136</v>
      </c>
    </row>
    <row r="1400" spans="1:6" x14ac:dyDescent="0.3">
      <c r="A1400" t="s">
        <v>585</v>
      </c>
      <c r="B1400">
        <v>136</v>
      </c>
    </row>
    <row r="1401" spans="1:6" x14ac:dyDescent="0.3">
      <c r="A1401" t="s">
        <v>586</v>
      </c>
      <c r="B1401">
        <v>136</v>
      </c>
    </row>
    <row r="1402" spans="1:6" x14ac:dyDescent="0.3">
      <c r="A1402" t="s">
        <v>587</v>
      </c>
      <c r="B1402">
        <v>136</v>
      </c>
      <c r="F1402" t="b">
        <v>0</v>
      </c>
    </row>
    <row r="1403" spans="1:6" x14ac:dyDescent="0.3">
      <c r="A1403" t="s">
        <v>588</v>
      </c>
      <c r="B1403">
        <v>136</v>
      </c>
      <c r="F1403" t="b">
        <v>0</v>
      </c>
    </row>
    <row r="1404" spans="1:6" x14ac:dyDescent="0.3">
      <c r="A1404" t="s">
        <v>570</v>
      </c>
      <c r="B1404">
        <v>137</v>
      </c>
      <c r="E1404">
        <v>31</v>
      </c>
      <c r="F1404">
        <v>138</v>
      </c>
    </row>
    <row r="1405" spans="1:6" x14ac:dyDescent="0.3">
      <c r="A1405" t="s">
        <v>36</v>
      </c>
      <c r="B1405">
        <v>137</v>
      </c>
      <c r="E1405">
        <v>3</v>
      </c>
      <c r="F1405">
        <v>2</v>
      </c>
    </row>
    <row r="1406" spans="1:6" x14ac:dyDescent="0.3">
      <c r="A1406" t="s">
        <v>506</v>
      </c>
      <c r="B1406">
        <v>137</v>
      </c>
      <c r="E1406" t="s">
        <v>617</v>
      </c>
      <c r="F1406" t="s">
        <v>617</v>
      </c>
    </row>
    <row r="1407" spans="1:6" x14ac:dyDescent="0.3">
      <c r="A1407" t="s">
        <v>574</v>
      </c>
      <c r="B1407">
        <v>137</v>
      </c>
      <c r="E1407">
        <v>264</v>
      </c>
      <c r="F1407">
        <v>534</v>
      </c>
    </row>
    <row r="1408" spans="1:6" x14ac:dyDescent="0.3">
      <c r="A1408" t="s">
        <v>42</v>
      </c>
      <c r="B1408">
        <v>137</v>
      </c>
      <c r="E1408">
        <v>30</v>
      </c>
      <c r="F1408">
        <v>35</v>
      </c>
    </row>
    <row r="1409" spans="1:6" x14ac:dyDescent="0.3">
      <c r="A1409" t="s">
        <v>575</v>
      </c>
      <c r="B1409">
        <v>137</v>
      </c>
      <c r="E1409">
        <v>6</v>
      </c>
      <c r="F1409">
        <v>10.4</v>
      </c>
    </row>
    <row r="1410" spans="1:6" x14ac:dyDescent="0.3">
      <c r="A1410" t="s">
        <v>41</v>
      </c>
      <c r="B1410">
        <v>137</v>
      </c>
      <c r="E1410">
        <v>0</v>
      </c>
      <c r="F1410">
        <v>5</v>
      </c>
    </row>
    <row r="1411" spans="1:6" x14ac:dyDescent="0.3">
      <c r="A1411" t="s">
        <v>576</v>
      </c>
      <c r="B1411">
        <v>137</v>
      </c>
      <c r="E1411">
        <v>0</v>
      </c>
      <c r="F1411">
        <v>0</v>
      </c>
    </row>
    <row r="1412" spans="1:6" x14ac:dyDescent="0.3">
      <c r="A1412" t="s">
        <v>577</v>
      </c>
      <c r="B1412">
        <v>137</v>
      </c>
      <c r="E1412">
        <v>0</v>
      </c>
      <c r="F1412">
        <v>0</v>
      </c>
    </row>
    <row r="1413" spans="1:6" x14ac:dyDescent="0.3">
      <c r="A1413" t="s">
        <v>578</v>
      </c>
      <c r="B1413">
        <v>137</v>
      </c>
      <c r="E1413">
        <v>0</v>
      </c>
      <c r="F1413">
        <v>0</v>
      </c>
    </row>
    <row r="1414" spans="1:6" x14ac:dyDescent="0.3">
      <c r="A1414" t="s">
        <v>579</v>
      </c>
      <c r="B1414">
        <v>137</v>
      </c>
      <c r="E1414">
        <v>16</v>
      </c>
      <c r="F1414">
        <v>16</v>
      </c>
    </row>
    <row r="1415" spans="1:6" x14ac:dyDescent="0.3">
      <c r="A1415" t="s">
        <v>580</v>
      </c>
      <c r="B1415">
        <v>137</v>
      </c>
      <c r="E1415">
        <v>100</v>
      </c>
      <c r="F1415">
        <v>100</v>
      </c>
    </row>
    <row r="1416" spans="1:6" x14ac:dyDescent="0.3">
      <c r="A1416" t="s">
        <v>581</v>
      </c>
      <c r="B1416">
        <v>137</v>
      </c>
      <c r="E1416">
        <v>1320</v>
      </c>
      <c r="F1416">
        <v>1539</v>
      </c>
    </row>
    <row r="1417" spans="1:6" x14ac:dyDescent="0.3">
      <c r="A1417" t="s">
        <v>582</v>
      </c>
      <c r="B1417">
        <v>137</v>
      </c>
      <c r="E1417">
        <v>880</v>
      </c>
      <c r="F1417">
        <v>1026</v>
      </c>
    </row>
    <row r="1418" spans="1:6" x14ac:dyDescent="0.3">
      <c r="A1418" t="s">
        <v>583</v>
      </c>
      <c r="B1418">
        <v>137</v>
      </c>
      <c r="E1418">
        <v>1760</v>
      </c>
      <c r="F1418">
        <v>2052</v>
      </c>
    </row>
    <row r="1419" spans="1:6" x14ac:dyDescent="0.3">
      <c r="A1419" t="s">
        <v>584</v>
      </c>
      <c r="B1419">
        <v>137</v>
      </c>
    </row>
    <row r="1420" spans="1:6" x14ac:dyDescent="0.3">
      <c r="A1420" t="s">
        <v>585</v>
      </c>
      <c r="B1420">
        <v>137</v>
      </c>
    </row>
    <row r="1421" spans="1:6" x14ac:dyDescent="0.3">
      <c r="A1421" t="s">
        <v>586</v>
      </c>
      <c r="B1421">
        <v>137</v>
      </c>
    </row>
    <row r="1422" spans="1:6" x14ac:dyDescent="0.3">
      <c r="A1422" t="s">
        <v>587</v>
      </c>
      <c r="B1422">
        <v>137</v>
      </c>
      <c r="E1422" t="b">
        <v>0</v>
      </c>
      <c r="F1422" t="b">
        <v>0</v>
      </c>
    </row>
    <row r="1423" spans="1:6" x14ac:dyDescent="0.3">
      <c r="A1423" t="s">
        <v>588</v>
      </c>
      <c r="B1423">
        <v>137</v>
      </c>
      <c r="E1423" t="b">
        <v>0</v>
      </c>
      <c r="F1423" t="b">
        <v>0</v>
      </c>
    </row>
    <row r="1424" spans="1:6" x14ac:dyDescent="0.3">
      <c r="A1424" t="s">
        <v>570</v>
      </c>
      <c r="B1424">
        <v>138</v>
      </c>
      <c r="E1424">
        <v>137</v>
      </c>
    </row>
    <row r="1425" spans="1:5" x14ac:dyDescent="0.3">
      <c r="A1425" t="s">
        <v>36</v>
      </c>
      <c r="B1425">
        <v>138</v>
      </c>
      <c r="E1425" t="s">
        <v>607</v>
      </c>
    </row>
    <row r="1426" spans="1:5" x14ac:dyDescent="0.3">
      <c r="A1426" t="s">
        <v>506</v>
      </c>
      <c r="B1426">
        <v>138</v>
      </c>
      <c r="E1426" t="s">
        <v>617</v>
      </c>
    </row>
    <row r="1427" spans="1:5" x14ac:dyDescent="0.3">
      <c r="A1427" t="s">
        <v>574</v>
      </c>
      <c r="B1427">
        <v>138</v>
      </c>
      <c r="E1427">
        <v>534</v>
      </c>
    </row>
    <row r="1428" spans="1:5" x14ac:dyDescent="0.3">
      <c r="A1428" t="s">
        <v>42</v>
      </c>
      <c r="B1428">
        <v>138</v>
      </c>
      <c r="E1428">
        <v>30</v>
      </c>
    </row>
    <row r="1429" spans="1:5" x14ac:dyDescent="0.3">
      <c r="A1429" t="s">
        <v>575</v>
      </c>
      <c r="B1429">
        <v>138</v>
      </c>
      <c r="E1429">
        <v>12.1</v>
      </c>
    </row>
    <row r="1430" spans="1:5" x14ac:dyDescent="0.3">
      <c r="A1430" t="s">
        <v>41</v>
      </c>
      <c r="B1430">
        <v>138</v>
      </c>
      <c r="E1430">
        <v>0</v>
      </c>
    </row>
    <row r="1431" spans="1:5" x14ac:dyDescent="0.3">
      <c r="A1431" t="s">
        <v>576</v>
      </c>
      <c r="B1431">
        <v>138</v>
      </c>
      <c r="E1431">
        <v>0</v>
      </c>
    </row>
    <row r="1432" spans="1:5" x14ac:dyDescent="0.3">
      <c r="A1432" t="s">
        <v>577</v>
      </c>
      <c r="B1432">
        <v>138</v>
      </c>
      <c r="E1432">
        <v>0</v>
      </c>
    </row>
    <row r="1433" spans="1:5" x14ac:dyDescent="0.3">
      <c r="A1433" t="s">
        <v>578</v>
      </c>
      <c r="B1433">
        <v>138</v>
      </c>
      <c r="E1433">
        <v>0</v>
      </c>
    </row>
    <row r="1434" spans="1:5" x14ac:dyDescent="0.3">
      <c r="A1434" t="s">
        <v>579</v>
      </c>
      <c r="B1434">
        <v>138</v>
      </c>
      <c r="E1434">
        <v>16</v>
      </c>
    </row>
    <row r="1435" spans="1:5" x14ac:dyDescent="0.3">
      <c r="A1435" t="s">
        <v>580</v>
      </c>
      <c r="B1435">
        <v>138</v>
      </c>
      <c r="E1435">
        <v>200</v>
      </c>
    </row>
    <row r="1436" spans="1:5" x14ac:dyDescent="0.3">
      <c r="A1436" t="s">
        <v>581</v>
      </c>
      <c r="B1436">
        <v>138</v>
      </c>
      <c r="E1436">
        <v>1320</v>
      </c>
    </row>
    <row r="1437" spans="1:5" x14ac:dyDescent="0.3">
      <c r="A1437" t="s">
        <v>582</v>
      </c>
      <c r="B1437">
        <v>138</v>
      </c>
      <c r="E1437">
        <v>880</v>
      </c>
    </row>
    <row r="1438" spans="1:5" x14ac:dyDescent="0.3">
      <c r="A1438" t="s">
        <v>583</v>
      </c>
      <c r="B1438">
        <v>138</v>
      </c>
      <c r="E1438">
        <v>1760</v>
      </c>
    </row>
    <row r="1439" spans="1:5" x14ac:dyDescent="0.3">
      <c r="A1439" t="s">
        <v>584</v>
      </c>
      <c r="B1439">
        <v>138</v>
      </c>
    </row>
    <row r="1440" spans="1:5" x14ac:dyDescent="0.3">
      <c r="A1440" t="s">
        <v>585</v>
      </c>
      <c r="B1440">
        <v>138</v>
      </c>
    </row>
    <row r="1441" spans="1:6" x14ac:dyDescent="0.3">
      <c r="A1441" t="s">
        <v>586</v>
      </c>
      <c r="B1441">
        <v>138</v>
      </c>
    </row>
    <row r="1442" spans="1:6" x14ac:dyDescent="0.3">
      <c r="A1442" t="s">
        <v>587</v>
      </c>
      <c r="B1442">
        <v>138</v>
      </c>
      <c r="E1442" t="b">
        <v>0</v>
      </c>
    </row>
    <row r="1443" spans="1:6" x14ac:dyDescent="0.3">
      <c r="A1443" t="s">
        <v>588</v>
      </c>
      <c r="B1443">
        <v>138</v>
      </c>
      <c r="E1443" t="b">
        <v>0</v>
      </c>
    </row>
    <row r="1444" spans="1:6" x14ac:dyDescent="0.3">
      <c r="A1444" t="s">
        <v>570</v>
      </c>
      <c r="B1444">
        <v>139</v>
      </c>
      <c r="F1444">
        <v>32</v>
      </c>
    </row>
    <row r="1445" spans="1:6" x14ac:dyDescent="0.3">
      <c r="A1445" t="s">
        <v>36</v>
      </c>
      <c r="B1445">
        <v>139</v>
      </c>
      <c r="F1445">
        <v>2</v>
      </c>
    </row>
    <row r="1446" spans="1:6" x14ac:dyDescent="0.3">
      <c r="A1446" t="s">
        <v>506</v>
      </c>
      <c r="B1446">
        <v>139</v>
      </c>
      <c r="F1446" t="s">
        <v>618</v>
      </c>
    </row>
    <row r="1447" spans="1:6" x14ac:dyDescent="0.3">
      <c r="A1447" t="s">
        <v>574</v>
      </c>
      <c r="B1447">
        <v>139</v>
      </c>
      <c r="F1447">
        <v>380</v>
      </c>
    </row>
    <row r="1448" spans="1:6" x14ac:dyDescent="0.3">
      <c r="A1448" t="s">
        <v>42</v>
      </c>
      <c r="B1448">
        <v>139</v>
      </c>
      <c r="F1448">
        <v>30</v>
      </c>
    </row>
    <row r="1449" spans="1:6" x14ac:dyDescent="0.3">
      <c r="A1449" t="s">
        <v>575</v>
      </c>
      <c r="B1449">
        <v>139</v>
      </c>
      <c r="F1449">
        <v>8.6</v>
      </c>
    </row>
    <row r="1450" spans="1:6" x14ac:dyDescent="0.3">
      <c r="A1450" t="s">
        <v>41</v>
      </c>
      <c r="B1450">
        <v>139</v>
      </c>
      <c r="F1450">
        <v>0</v>
      </c>
    </row>
    <row r="1451" spans="1:6" x14ac:dyDescent="0.3">
      <c r="A1451" t="s">
        <v>576</v>
      </c>
      <c r="B1451">
        <v>139</v>
      </c>
      <c r="F1451">
        <v>0</v>
      </c>
    </row>
    <row r="1452" spans="1:6" x14ac:dyDescent="0.3">
      <c r="A1452" t="s">
        <v>577</v>
      </c>
      <c r="B1452">
        <v>139</v>
      </c>
      <c r="F1452">
        <v>0</v>
      </c>
    </row>
    <row r="1453" spans="1:6" x14ac:dyDescent="0.3">
      <c r="A1453" t="s">
        <v>578</v>
      </c>
      <c r="B1453">
        <v>139</v>
      </c>
      <c r="F1453">
        <v>0</v>
      </c>
    </row>
    <row r="1454" spans="1:6" x14ac:dyDescent="0.3">
      <c r="A1454" t="s">
        <v>579</v>
      </c>
      <c r="B1454">
        <v>139</v>
      </c>
      <c r="F1454">
        <v>16</v>
      </c>
    </row>
    <row r="1455" spans="1:6" x14ac:dyDescent="0.3">
      <c r="A1455" t="s">
        <v>580</v>
      </c>
      <c r="B1455">
        <v>139</v>
      </c>
      <c r="F1455">
        <v>200</v>
      </c>
    </row>
    <row r="1456" spans="1:6" x14ac:dyDescent="0.3">
      <c r="A1456" t="s">
        <v>581</v>
      </c>
      <c r="B1456">
        <v>139</v>
      </c>
      <c r="F1456">
        <v>1320</v>
      </c>
    </row>
    <row r="1457" spans="1:6" x14ac:dyDescent="0.3">
      <c r="A1457" t="s">
        <v>582</v>
      </c>
      <c r="B1457">
        <v>139</v>
      </c>
      <c r="F1457">
        <v>880</v>
      </c>
    </row>
    <row r="1458" spans="1:6" x14ac:dyDescent="0.3">
      <c r="A1458" t="s">
        <v>583</v>
      </c>
      <c r="B1458">
        <v>139</v>
      </c>
      <c r="F1458">
        <v>1760</v>
      </c>
    </row>
    <row r="1459" spans="1:6" x14ac:dyDescent="0.3">
      <c r="A1459" t="s">
        <v>584</v>
      </c>
      <c r="B1459">
        <v>139</v>
      </c>
    </row>
    <row r="1460" spans="1:6" x14ac:dyDescent="0.3">
      <c r="A1460" t="s">
        <v>585</v>
      </c>
      <c r="B1460">
        <v>139</v>
      </c>
    </row>
    <row r="1461" spans="1:6" x14ac:dyDescent="0.3">
      <c r="A1461" t="s">
        <v>586</v>
      </c>
      <c r="B1461">
        <v>139</v>
      </c>
    </row>
    <row r="1462" spans="1:6" x14ac:dyDescent="0.3">
      <c r="A1462" t="s">
        <v>587</v>
      </c>
      <c r="B1462">
        <v>139</v>
      </c>
      <c r="F1462" t="b">
        <v>0</v>
      </c>
    </row>
    <row r="1463" spans="1:6" x14ac:dyDescent="0.3">
      <c r="A1463" t="s">
        <v>588</v>
      </c>
      <c r="B1463">
        <v>139</v>
      </c>
      <c r="F1463" t="b">
        <v>0</v>
      </c>
    </row>
    <row r="1464" spans="1:6" x14ac:dyDescent="0.3">
      <c r="A1464" t="s">
        <v>570</v>
      </c>
      <c r="B1464">
        <v>140</v>
      </c>
      <c r="E1464">
        <v>32</v>
      </c>
    </row>
    <row r="1465" spans="1:6" x14ac:dyDescent="0.3">
      <c r="A1465" t="s">
        <v>36</v>
      </c>
      <c r="B1465">
        <v>140</v>
      </c>
      <c r="E1465">
        <v>1</v>
      </c>
    </row>
    <row r="1466" spans="1:6" x14ac:dyDescent="0.3">
      <c r="A1466" t="s">
        <v>506</v>
      </c>
      <c r="B1466">
        <v>140</v>
      </c>
      <c r="E1466" t="s">
        <v>619</v>
      </c>
    </row>
    <row r="1467" spans="1:6" x14ac:dyDescent="0.3">
      <c r="A1467" t="s">
        <v>574</v>
      </c>
      <c r="B1467">
        <v>140</v>
      </c>
      <c r="E1467">
        <v>418</v>
      </c>
    </row>
    <row r="1468" spans="1:6" x14ac:dyDescent="0.3">
      <c r="A1468" t="s">
        <v>42</v>
      </c>
      <c r="B1468">
        <v>140</v>
      </c>
      <c r="E1468">
        <v>30</v>
      </c>
    </row>
    <row r="1469" spans="1:6" x14ac:dyDescent="0.3">
      <c r="A1469" t="s">
        <v>575</v>
      </c>
      <c r="B1469">
        <v>140</v>
      </c>
      <c r="E1469">
        <v>9.5</v>
      </c>
    </row>
    <row r="1470" spans="1:6" x14ac:dyDescent="0.3">
      <c r="A1470" t="s">
        <v>41</v>
      </c>
      <c r="B1470">
        <v>140</v>
      </c>
      <c r="E1470">
        <v>0</v>
      </c>
    </row>
    <row r="1471" spans="1:6" x14ac:dyDescent="0.3">
      <c r="A1471" t="s">
        <v>576</v>
      </c>
      <c r="B1471">
        <v>140</v>
      </c>
      <c r="E1471">
        <v>12</v>
      </c>
    </row>
    <row r="1472" spans="1:6" x14ac:dyDescent="0.3">
      <c r="A1472" t="s">
        <v>577</v>
      </c>
      <c r="B1472">
        <v>140</v>
      </c>
      <c r="E1472">
        <v>0</v>
      </c>
    </row>
    <row r="1473" spans="1:5" x14ac:dyDescent="0.3">
      <c r="A1473" t="s">
        <v>578</v>
      </c>
      <c r="B1473">
        <v>140</v>
      </c>
      <c r="E1473">
        <v>0</v>
      </c>
    </row>
    <row r="1474" spans="1:5" x14ac:dyDescent="0.3">
      <c r="A1474" t="s">
        <v>579</v>
      </c>
      <c r="B1474">
        <v>140</v>
      </c>
      <c r="E1474">
        <v>16</v>
      </c>
    </row>
    <row r="1475" spans="1:5" x14ac:dyDescent="0.3">
      <c r="A1475" t="s">
        <v>580</v>
      </c>
      <c r="B1475">
        <v>140</v>
      </c>
      <c r="E1475">
        <v>200</v>
      </c>
    </row>
    <row r="1476" spans="1:5" x14ac:dyDescent="0.3">
      <c r="A1476" t="s">
        <v>581</v>
      </c>
      <c r="B1476">
        <v>140</v>
      </c>
      <c r="E1476">
        <v>1320</v>
      </c>
    </row>
    <row r="1477" spans="1:5" x14ac:dyDescent="0.3">
      <c r="A1477" t="s">
        <v>582</v>
      </c>
      <c r="B1477">
        <v>140</v>
      </c>
      <c r="E1477">
        <v>880</v>
      </c>
    </row>
    <row r="1478" spans="1:5" x14ac:dyDescent="0.3">
      <c r="A1478" t="s">
        <v>583</v>
      </c>
      <c r="B1478">
        <v>140</v>
      </c>
      <c r="E1478">
        <v>1760</v>
      </c>
    </row>
    <row r="1479" spans="1:5" x14ac:dyDescent="0.3">
      <c r="A1479" t="s">
        <v>584</v>
      </c>
      <c r="B1479">
        <v>140</v>
      </c>
    </row>
    <row r="1480" spans="1:5" x14ac:dyDescent="0.3">
      <c r="A1480" t="s">
        <v>585</v>
      </c>
      <c r="B1480">
        <v>140</v>
      </c>
    </row>
    <row r="1481" spans="1:5" x14ac:dyDescent="0.3">
      <c r="A1481" t="s">
        <v>586</v>
      </c>
      <c r="B1481">
        <v>140</v>
      </c>
    </row>
    <row r="1482" spans="1:5" x14ac:dyDescent="0.3">
      <c r="A1482" t="s">
        <v>587</v>
      </c>
      <c r="B1482">
        <v>140</v>
      </c>
      <c r="E1482" t="b">
        <v>0</v>
      </c>
    </row>
    <row r="1483" spans="1:5" x14ac:dyDescent="0.3">
      <c r="A1483" t="s">
        <v>588</v>
      </c>
      <c r="B1483">
        <v>140</v>
      </c>
      <c r="E1483" t="b">
        <v>0</v>
      </c>
    </row>
    <row r="1484" spans="1:5" x14ac:dyDescent="0.3">
      <c r="A1484" t="s">
        <v>570</v>
      </c>
      <c r="B1484">
        <v>210</v>
      </c>
      <c r="E1484">
        <v>34</v>
      </c>
    </row>
    <row r="1485" spans="1:5" x14ac:dyDescent="0.3">
      <c r="A1485" t="s">
        <v>36</v>
      </c>
      <c r="B1485">
        <v>210</v>
      </c>
      <c r="E1485">
        <v>1</v>
      </c>
    </row>
    <row r="1486" spans="1:5" x14ac:dyDescent="0.3">
      <c r="A1486" t="s">
        <v>506</v>
      </c>
      <c r="B1486">
        <v>210</v>
      </c>
      <c r="E1486" t="s">
        <v>624</v>
      </c>
    </row>
    <row r="1487" spans="1:5" x14ac:dyDescent="0.3">
      <c r="A1487" t="s">
        <v>574</v>
      </c>
      <c r="B1487">
        <v>210</v>
      </c>
      <c r="E1487">
        <v>703</v>
      </c>
    </row>
    <row r="1488" spans="1:5" x14ac:dyDescent="0.3">
      <c r="A1488" t="s">
        <v>42</v>
      </c>
      <c r="B1488">
        <v>210</v>
      </c>
      <c r="E1488">
        <v>30</v>
      </c>
    </row>
    <row r="1489" spans="1:6" x14ac:dyDescent="0.3">
      <c r="A1489" t="s">
        <v>575</v>
      </c>
      <c r="B1489">
        <v>210</v>
      </c>
      <c r="E1489">
        <v>16</v>
      </c>
    </row>
    <row r="1490" spans="1:6" x14ac:dyDescent="0.3">
      <c r="A1490" t="s">
        <v>41</v>
      </c>
      <c r="B1490">
        <v>210</v>
      </c>
      <c r="E1490">
        <v>0</v>
      </c>
    </row>
    <row r="1491" spans="1:6" x14ac:dyDescent="0.3">
      <c r="A1491" t="s">
        <v>576</v>
      </c>
      <c r="B1491">
        <v>210</v>
      </c>
      <c r="E1491">
        <v>0</v>
      </c>
    </row>
    <row r="1492" spans="1:6" x14ac:dyDescent="0.3">
      <c r="A1492" t="s">
        <v>577</v>
      </c>
      <c r="B1492">
        <v>210</v>
      </c>
      <c r="E1492">
        <v>0</v>
      </c>
    </row>
    <row r="1493" spans="1:6" x14ac:dyDescent="0.3">
      <c r="A1493" t="s">
        <v>578</v>
      </c>
      <c r="B1493">
        <v>210</v>
      </c>
      <c r="E1493">
        <v>0</v>
      </c>
    </row>
    <row r="1494" spans="1:6" x14ac:dyDescent="0.3">
      <c r="A1494" t="s">
        <v>579</v>
      </c>
      <c r="B1494">
        <v>210</v>
      </c>
      <c r="E1494">
        <v>16</v>
      </c>
    </row>
    <row r="1495" spans="1:6" x14ac:dyDescent="0.3">
      <c r="A1495" t="s">
        <v>580</v>
      </c>
      <c r="B1495">
        <v>210</v>
      </c>
      <c r="E1495">
        <v>200</v>
      </c>
    </row>
    <row r="1496" spans="1:6" x14ac:dyDescent="0.3">
      <c r="A1496" t="s">
        <v>581</v>
      </c>
      <c r="B1496">
        <v>210</v>
      </c>
      <c r="E1496">
        <v>1320</v>
      </c>
    </row>
    <row r="1497" spans="1:6" x14ac:dyDescent="0.3">
      <c r="A1497" t="s">
        <v>582</v>
      </c>
      <c r="B1497">
        <v>210</v>
      </c>
      <c r="E1497">
        <v>880</v>
      </c>
    </row>
    <row r="1498" spans="1:6" x14ac:dyDescent="0.3">
      <c r="A1498" t="s">
        <v>583</v>
      </c>
      <c r="B1498">
        <v>210</v>
      </c>
      <c r="E1498">
        <v>1760</v>
      </c>
    </row>
    <row r="1499" spans="1:6" x14ac:dyDescent="0.3">
      <c r="A1499" t="s">
        <v>584</v>
      </c>
      <c r="B1499">
        <v>210</v>
      </c>
    </row>
    <row r="1500" spans="1:6" x14ac:dyDescent="0.3">
      <c r="A1500" t="s">
        <v>585</v>
      </c>
      <c r="B1500">
        <v>210</v>
      </c>
    </row>
    <row r="1501" spans="1:6" x14ac:dyDescent="0.3">
      <c r="A1501" t="s">
        <v>586</v>
      </c>
      <c r="B1501">
        <v>210</v>
      </c>
    </row>
    <row r="1502" spans="1:6" x14ac:dyDescent="0.3">
      <c r="A1502" t="s">
        <v>587</v>
      </c>
      <c r="B1502">
        <v>210</v>
      </c>
      <c r="E1502" t="b">
        <v>0</v>
      </c>
    </row>
    <row r="1503" spans="1:6" x14ac:dyDescent="0.3">
      <c r="A1503" t="s">
        <v>588</v>
      </c>
      <c r="B1503">
        <v>210</v>
      </c>
      <c r="E1503" t="b">
        <v>0</v>
      </c>
    </row>
    <row r="1504" spans="1:6" x14ac:dyDescent="0.3">
      <c r="A1504" t="s">
        <v>570</v>
      </c>
      <c r="B1504">
        <v>211</v>
      </c>
      <c r="F1504">
        <v>34</v>
      </c>
    </row>
    <row r="1505" spans="1:6" x14ac:dyDescent="0.3">
      <c r="A1505" t="s">
        <v>36</v>
      </c>
      <c r="B1505">
        <v>211</v>
      </c>
      <c r="F1505">
        <v>1</v>
      </c>
    </row>
    <row r="1506" spans="1:6" x14ac:dyDescent="0.3">
      <c r="A1506" t="s">
        <v>506</v>
      </c>
      <c r="B1506">
        <v>211</v>
      </c>
      <c r="F1506" t="s">
        <v>624</v>
      </c>
    </row>
    <row r="1507" spans="1:6" x14ac:dyDescent="0.3">
      <c r="A1507" t="s">
        <v>574</v>
      </c>
      <c r="B1507">
        <v>211</v>
      </c>
      <c r="F1507">
        <v>505</v>
      </c>
    </row>
    <row r="1508" spans="1:6" x14ac:dyDescent="0.3">
      <c r="A1508" t="s">
        <v>42</v>
      </c>
      <c r="B1508">
        <v>211</v>
      </c>
      <c r="F1508">
        <v>30</v>
      </c>
    </row>
    <row r="1509" spans="1:6" x14ac:dyDescent="0.3">
      <c r="A1509" t="s">
        <v>575</v>
      </c>
      <c r="B1509">
        <v>211</v>
      </c>
      <c r="F1509">
        <v>11.5</v>
      </c>
    </row>
    <row r="1510" spans="1:6" x14ac:dyDescent="0.3">
      <c r="A1510" t="s">
        <v>41</v>
      </c>
      <c r="B1510">
        <v>211</v>
      </c>
      <c r="F1510">
        <v>0</v>
      </c>
    </row>
    <row r="1511" spans="1:6" x14ac:dyDescent="0.3">
      <c r="A1511" t="s">
        <v>576</v>
      </c>
      <c r="B1511">
        <v>211</v>
      </c>
      <c r="F1511">
        <v>0</v>
      </c>
    </row>
    <row r="1512" spans="1:6" x14ac:dyDescent="0.3">
      <c r="A1512" t="s">
        <v>577</v>
      </c>
      <c r="B1512">
        <v>211</v>
      </c>
      <c r="F1512">
        <v>0</v>
      </c>
    </row>
    <row r="1513" spans="1:6" x14ac:dyDescent="0.3">
      <c r="A1513" t="s">
        <v>578</v>
      </c>
      <c r="B1513">
        <v>211</v>
      </c>
      <c r="F1513">
        <v>0</v>
      </c>
    </row>
    <row r="1514" spans="1:6" x14ac:dyDescent="0.3">
      <c r="A1514" t="s">
        <v>579</v>
      </c>
      <c r="B1514">
        <v>211</v>
      </c>
      <c r="F1514">
        <v>16</v>
      </c>
    </row>
    <row r="1515" spans="1:6" x14ac:dyDescent="0.3">
      <c r="A1515" t="s">
        <v>580</v>
      </c>
      <c r="B1515">
        <v>211</v>
      </c>
      <c r="F1515">
        <v>200</v>
      </c>
    </row>
    <row r="1516" spans="1:6" x14ac:dyDescent="0.3">
      <c r="A1516" t="s">
        <v>581</v>
      </c>
      <c r="B1516">
        <v>211</v>
      </c>
      <c r="F1516">
        <v>1320</v>
      </c>
    </row>
    <row r="1517" spans="1:6" x14ac:dyDescent="0.3">
      <c r="A1517" t="s">
        <v>582</v>
      </c>
      <c r="B1517">
        <v>211</v>
      </c>
      <c r="F1517">
        <v>880</v>
      </c>
    </row>
    <row r="1518" spans="1:6" x14ac:dyDescent="0.3">
      <c r="A1518" t="s">
        <v>583</v>
      </c>
      <c r="B1518">
        <v>211</v>
      </c>
      <c r="F1518">
        <v>1760</v>
      </c>
    </row>
    <row r="1519" spans="1:6" x14ac:dyDescent="0.3">
      <c r="A1519" t="s">
        <v>584</v>
      </c>
      <c r="B1519">
        <v>211</v>
      </c>
    </row>
    <row r="1520" spans="1:6" x14ac:dyDescent="0.3">
      <c r="A1520" t="s">
        <v>585</v>
      </c>
      <c r="B1520">
        <v>211</v>
      </c>
    </row>
    <row r="1521" spans="1:6" x14ac:dyDescent="0.3">
      <c r="A1521" t="s">
        <v>586</v>
      </c>
      <c r="B1521">
        <v>211</v>
      </c>
    </row>
    <row r="1522" spans="1:6" x14ac:dyDescent="0.3">
      <c r="A1522" t="s">
        <v>587</v>
      </c>
      <c r="B1522">
        <v>211</v>
      </c>
      <c r="F1522" t="b">
        <v>0</v>
      </c>
    </row>
    <row r="1523" spans="1:6" x14ac:dyDescent="0.3">
      <c r="A1523" t="s">
        <v>588</v>
      </c>
      <c r="B1523">
        <v>211</v>
      </c>
      <c r="F1523" t="b">
        <v>0</v>
      </c>
    </row>
    <row r="1524" spans="1:6" x14ac:dyDescent="0.3">
      <c r="A1524" t="s">
        <v>570</v>
      </c>
      <c r="B1524">
        <v>212</v>
      </c>
      <c r="F1524">
        <v>33</v>
      </c>
    </row>
    <row r="1525" spans="1:6" x14ac:dyDescent="0.3">
      <c r="A1525" t="s">
        <v>36</v>
      </c>
      <c r="B1525">
        <v>212</v>
      </c>
      <c r="F1525">
        <v>1</v>
      </c>
    </row>
    <row r="1526" spans="1:6" x14ac:dyDescent="0.3">
      <c r="A1526" t="s">
        <v>506</v>
      </c>
      <c r="B1526">
        <v>212</v>
      </c>
      <c r="F1526" t="s">
        <v>621</v>
      </c>
    </row>
    <row r="1527" spans="1:6" x14ac:dyDescent="0.3">
      <c r="A1527" t="s">
        <v>574</v>
      </c>
      <c r="B1527">
        <v>212</v>
      </c>
      <c r="F1527">
        <v>622</v>
      </c>
    </row>
    <row r="1528" spans="1:6" x14ac:dyDescent="0.3">
      <c r="A1528" t="s">
        <v>42</v>
      </c>
      <c r="B1528">
        <v>212</v>
      </c>
      <c r="F1528">
        <v>30</v>
      </c>
    </row>
    <row r="1529" spans="1:6" x14ac:dyDescent="0.3">
      <c r="A1529" t="s">
        <v>575</v>
      </c>
      <c r="B1529">
        <v>212</v>
      </c>
      <c r="F1529">
        <v>14.1</v>
      </c>
    </row>
    <row r="1530" spans="1:6" x14ac:dyDescent="0.3">
      <c r="A1530" t="s">
        <v>41</v>
      </c>
      <c r="B1530">
        <v>212</v>
      </c>
      <c r="F1530">
        <v>0</v>
      </c>
    </row>
    <row r="1531" spans="1:6" x14ac:dyDescent="0.3">
      <c r="A1531" t="s">
        <v>576</v>
      </c>
      <c r="B1531">
        <v>212</v>
      </c>
      <c r="F1531">
        <v>12</v>
      </c>
    </row>
    <row r="1532" spans="1:6" x14ac:dyDescent="0.3">
      <c r="A1532" t="s">
        <v>577</v>
      </c>
      <c r="B1532">
        <v>212</v>
      </c>
      <c r="F1532">
        <v>0</v>
      </c>
    </row>
    <row r="1533" spans="1:6" x14ac:dyDescent="0.3">
      <c r="A1533" t="s">
        <v>578</v>
      </c>
      <c r="B1533">
        <v>212</v>
      </c>
      <c r="F1533">
        <v>0</v>
      </c>
    </row>
    <row r="1534" spans="1:6" x14ac:dyDescent="0.3">
      <c r="A1534" t="s">
        <v>579</v>
      </c>
      <c r="B1534">
        <v>212</v>
      </c>
      <c r="F1534">
        <v>16</v>
      </c>
    </row>
    <row r="1535" spans="1:6" x14ac:dyDescent="0.3">
      <c r="A1535" t="s">
        <v>580</v>
      </c>
      <c r="B1535">
        <v>212</v>
      </c>
      <c r="F1535">
        <v>200</v>
      </c>
    </row>
    <row r="1536" spans="1:6" x14ac:dyDescent="0.3">
      <c r="A1536" t="s">
        <v>581</v>
      </c>
      <c r="B1536">
        <v>212</v>
      </c>
      <c r="F1536">
        <v>1320</v>
      </c>
    </row>
    <row r="1537" spans="1:6" x14ac:dyDescent="0.3">
      <c r="A1537" t="s">
        <v>582</v>
      </c>
      <c r="B1537">
        <v>212</v>
      </c>
      <c r="F1537">
        <v>880</v>
      </c>
    </row>
    <row r="1538" spans="1:6" x14ac:dyDescent="0.3">
      <c r="A1538" t="s">
        <v>583</v>
      </c>
      <c r="B1538">
        <v>212</v>
      </c>
      <c r="F1538">
        <v>1760</v>
      </c>
    </row>
    <row r="1539" spans="1:6" x14ac:dyDescent="0.3">
      <c r="A1539" t="s">
        <v>584</v>
      </c>
      <c r="B1539">
        <v>212</v>
      </c>
    </row>
    <row r="1540" spans="1:6" x14ac:dyDescent="0.3">
      <c r="A1540" t="s">
        <v>585</v>
      </c>
      <c r="B1540">
        <v>212</v>
      </c>
    </row>
    <row r="1541" spans="1:6" x14ac:dyDescent="0.3">
      <c r="A1541" t="s">
        <v>586</v>
      </c>
      <c r="B1541">
        <v>212</v>
      </c>
    </row>
    <row r="1542" spans="1:6" x14ac:dyDescent="0.3">
      <c r="A1542" t="s">
        <v>587</v>
      </c>
      <c r="B1542">
        <v>212</v>
      </c>
      <c r="F1542" t="b">
        <v>0</v>
      </c>
    </row>
    <row r="1543" spans="1:6" x14ac:dyDescent="0.3">
      <c r="A1543" t="s">
        <v>588</v>
      </c>
      <c r="B1543">
        <v>212</v>
      </c>
      <c r="F1543" t="b">
        <v>0</v>
      </c>
    </row>
    <row r="1544" spans="1:6" x14ac:dyDescent="0.3">
      <c r="A1544" t="s">
        <v>570</v>
      </c>
      <c r="B1544">
        <v>213</v>
      </c>
      <c r="E1544">
        <v>33</v>
      </c>
    </row>
    <row r="1545" spans="1:6" x14ac:dyDescent="0.3">
      <c r="A1545" t="s">
        <v>36</v>
      </c>
      <c r="B1545">
        <v>213</v>
      </c>
      <c r="E1545">
        <v>1</v>
      </c>
    </row>
    <row r="1546" spans="1:6" x14ac:dyDescent="0.3">
      <c r="A1546" t="s">
        <v>506</v>
      </c>
      <c r="B1546">
        <v>213</v>
      </c>
      <c r="E1546" t="s">
        <v>622</v>
      </c>
    </row>
    <row r="1547" spans="1:6" x14ac:dyDescent="0.3">
      <c r="A1547" t="s">
        <v>574</v>
      </c>
      <c r="B1547">
        <v>213</v>
      </c>
      <c r="E1547">
        <v>1097</v>
      </c>
    </row>
    <row r="1548" spans="1:6" x14ac:dyDescent="0.3">
      <c r="A1548" t="s">
        <v>42</v>
      </c>
      <c r="B1548">
        <v>213</v>
      </c>
      <c r="E1548">
        <v>30</v>
      </c>
    </row>
    <row r="1549" spans="1:6" x14ac:dyDescent="0.3">
      <c r="A1549" t="s">
        <v>575</v>
      </c>
      <c r="B1549">
        <v>213</v>
      </c>
      <c r="E1549">
        <v>24.9</v>
      </c>
    </row>
    <row r="1550" spans="1:6" x14ac:dyDescent="0.3">
      <c r="A1550" t="s">
        <v>41</v>
      </c>
      <c r="B1550">
        <v>213</v>
      </c>
      <c r="E1550">
        <v>0</v>
      </c>
    </row>
    <row r="1551" spans="1:6" x14ac:dyDescent="0.3">
      <c r="A1551" t="s">
        <v>576</v>
      </c>
      <c r="B1551">
        <v>213</v>
      </c>
      <c r="E1551">
        <v>0</v>
      </c>
    </row>
    <row r="1552" spans="1:6" x14ac:dyDescent="0.3">
      <c r="A1552" t="s">
        <v>577</v>
      </c>
      <c r="B1552">
        <v>213</v>
      </c>
      <c r="E1552">
        <v>0</v>
      </c>
    </row>
    <row r="1553" spans="1:5" x14ac:dyDescent="0.3">
      <c r="A1553" t="s">
        <v>578</v>
      </c>
      <c r="B1553">
        <v>213</v>
      </c>
      <c r="E1553">
        <v>0</v>
      </c>
    </row>
    <row r="1554" spans="1:5" x14ac:dyDescent="0.3">
      <c r="A1554" t="s">
        <v>579</v>
      </c>
      <c r="B1554">
        <v>213</v>
      </c>
      <c r="E1554">
        <v>16</v>
      </c>
    </row>
    <row r="1555" spans="1:5" x14ac:dyDescent="0.3">
      <c r="A1555" t="s">
        <v>580</v>
      </c>
      <c r="B1555">
        <v>213</v>
      </c>
      <c r="E1555">
        <v>200</v>
      </c>
    </row>
    <row r="1556" spans="1:5" x14ac:dyDescent="0.3">
      <c r="A1556" t="s">
        <v>581</v>
      </c>
      <c r="B1556">
        <v>213</v>
      </c>
      <c r="E1556">
        <v>1320</v>
      </c>
    </row>
    <row r="1557" spans="1:5" x14ac:dyDescent="0.3">
      <c r="A1557" t="s">
        <v>582</v>
      </c>
      <c r="B1557">
        <v>213</v>
      </c>
      <c r="E1557">
        <v>880</v>
      </c>
    </row>
    <row r="1558" spans="1:5" x14ac:dyDescent="0.3">
      <c r="A1558" t="s">
        <v>583</v>
      </c>
      <c r="B1558">
        <v>213</v>
      </c>
      <c r="E1558">
        <v>1760</v>
      </c>
    </row>
    <row r="1559" spans="1:5" x14ac:dyDescent="0.3">
      <c r="A1559" t="s">
        <v>584</v>
      </c>
      <c r="B1559">
        <v>213</v>
      </c>
    </row>
    <row r="1560" spans="1:5" x14ac:dyDescent="0.3">
      <c r="A1560" t="s">
        <v>585</v>
      </c>
      <c r="B1560">
        <v>213</v>
      </c>
    </row>
    <row r="1561" spans="1:5" x14ac:dyDescent="0.3">
      <c r="A1561" t="s">
        <v>586</v>
      </c>
      <c r="B1561">
        <v>213</v>
      </c>
    </row>
    <row r="1562" spans="1:5" x14ac:dyDescent="0.3">
      <c r="A1562" t="s">
        <v>587</v>
      </c>
      <c r="B1562">
        <v>213</v>
      </c>
      <c r="E1562" t="b">
        <v>0</v>
      </c>
    </row>
    <row r="1563" spans="1:5" x14ac:dyDescent="0.3">
      <c r="A1563" t="s">
        <v>588</v>
      </c>
      <c r="B1563">
        <v>213</v>
      </c>
      <c r="E15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530"/>
  <sheetViews>
    <sheetView workbookViewId="0">
      <selection activeCell="A4" sqref="A4:X60"/>
    </sheetView>
  </sheetViews>
  <sheetFormatPr defaultRowHeight="14.4" x14ac:dyDescent="0.3"/>
  <sheetData>
    <row r="1" spans="1:24" x14ac:dyDescent="0.3">
      <c r="A1" t="s">
        <v>625</v>
      </c>
    </row>
    <row r="2" spans="1:24" x14ac:dyDescent="0.3">
      <c r="A2" t="s">
        <v>626</v>
      </c>
    </row>
    <row r="3" spans="1:24" x14ac:dyDescent="0.3">
      <c r="A3" t="s">
        <v>0</v>
      </c>
      <c r="B3" t="s">
        <v>1</v>
      </c>
      <c r="C3" t="s">
        <v>627</v>
      </c>
      <c r="D3" t="s">
        <v>3</v>
      </c>
      <c r="E3" t="s">
        <v>4</v>
      </c>
      <c r="F3" t="s">
        <v>5</v>
      </c>
      <c r="G3" t="s">
        <v>628</v>
      </c>
      <c r="H3" t="s">
        <v>8</v>
      </c>
      <c r="I3" t="s">
        <v>9</v>
      </c>
      <c r="J3" t="s">
        <v>10</v>
      </c>
      <c r="K3" t="s">
        <v>13</v>
      </c>
      <c r="L3" t="s">
        <v>14</v>
      </c>
      <c r="M3" t="s">
        <v>15</v>
      </c>
      <c r="N3" t="s">
        <v>18</v>
      </c>
      <c r="O3" t="s">
        <v>19</v>
      </c>
      <c r="P3" t="s">
        <v>20</v>
      </c>
      <c r="Q3" t="s">
        <v>25</v>
      </c>
      <c r="R3" t="s">
        <v>26</v>
      </c>
      <c r="S3" t="s">
        <v>27</v>
      </c>
      <c r="T3" t="s">
        <v>28</v>
      </c>
      <c r="U3" t="s">
        <v>29</v>
      </c>
      <c r="V3" t="s">
        <v>30</v>
      </c>
      <c r="W3" t="s">
        <v>629</v>
      </c>
      <c r="X3" t="s">
        <v>630</v>
      </c>
    </row>
    <row r="4" spans="1:24" x14ac:dyDescent="0.3">
      <c r="A4" t="s">
        <v>34</v>
      </c>
      <c r="B4">
        <v>1</v>
      </c>
      <c r="C4">
        <v>101</v>
      </c>
      <c r="D4">
        <v>101</v>
      </c>
      <c r="E4">
        <v>101</v>
      </c>
      <c r="F4">
        <v>101</v>
      </c>
      <c r="G4">
        <v>2</v>
      </c>
      <c r="H4">
        <v>2</v>
      </c>
      <c r="I4">
        <v>2</v>
      </c>
      <c r="J4">
        <v>2</v>
      </c>
      <c r="K4">
        <v>102</v>
      </c>
      <c r="L4">
        <v>102</v>
      </c>
      <c r="M4">
        <v>102</v>
      </c>
      <c r="N4">
        <v>103</v>
      </c>
      <c r="O4">
        <v>103</v>
      </c>
      <c r="P4">
        <v>103</v>
      </c>
    </row>
    <row r="5" spans="1:24" x14ac:dyDescent="0.3">
      <c r="A5" t="s">
        <v>35</v>
      </c>
      <c r="B5">
        <v>1</v>
      </c>
      <c r="C5">
        <v>101</v>
      </c>
      <c r="D5">
        <v>102</v>
      </c>
      <c r="E5">
        <v>2</v>
      </c>
      <c r="F5">
        <v>103</v>
      </c>
      <c r="G5">
        <v>2</v>
      </c>
      <c r="H5">
        <v>103</v>
      </c>
      <c r="I5">
        <v>101</v>
      </c>
      <c r="J5">
        <v>102</v>
      </c>
      <c r="K5">
        <v>2</v>
      </c>
      <c r="L5">
        <v>103</v>
      </c>
      <c r="M5">
        <v>101</v>
      </c>
      <c r="N5">
        <v>101</v>
      </c>
      <c r="O5">
        <v>102</v>
      </c>
      <c r="P5">
        <v>2</v>
      </c>
    </row>
    <row r="6" spans="1:24" x14ac:dyDescent="0.3">
      <c r="A6" t="s">
        <v>36</v>
      </c>
      <c r="B6">
        <v>1</v>
      </c>
      <c r="C6">
        <v>0</v>
      </c>
      <c r="D6">
        <v>1</v>
      </c>
      <c r="E6">
        <v>1</v>
      </c>
      <c r="F6">
        <v>1</v>
      </c>
      <c r="G6">
        <v>0</v>
      </c>
      <c r="H6">
        <v>1</v>
      </c>
      <c r="I6">
        <v>1</v>
      </c>
      <c r="J6">
        <v>1</v>
      </c>
      <c r="K6">
        <v>1</v>
      </c>
      <c r="L6">
        <v>1</v>
      </c>
      <c r="M6">
        <v>0</v>
      </c>
      <c r="N6">
        <v>1</v>
      </c>
      <c r="O6">
        <v>1</v>
      </c>
      <c r="P6">
        <v>1</v>
      </c>
    </row>
    <row r="7" spans="1:24" x14ac:dyDescent="0.3">
      <c r="A7" t="s">
        <v>37</v>
      </c>
      <c r="B7">
        <v>1</v>
      </c>
      <c r="D7">
        <v>0</v>
      </c>
      <c r="E7">
        <v>0</v>
      </c>
      <c r="H7">
        <v>0</v>
      </c>
      <c r="I7">
        <v>0</v>
      </c>
      <c r="K7">
        <v>0</v>
      </c>
      <c r="L7">
        <v>2</v>
      </c>
      <c r="N7">
        <v>0</v>
      </c>
      <c r="O7">
        <v>0</v>
      </c>
    </row>
    <row r="8" spans="1:24" x14ac:dyDescent="0.3">
      <c r="A8" t="s">
        <v>38</v>
      </c>
      <c r="B8">
        <v>1</v>
      </c>
      <c r="C8">
        <v>12</v>
      </c>
      <c r="D8">
        <v>12</v>
      </c>
      <c r="E8">
        <v>12</v>
      </c>
      <c r="F8">
        <v>12</v>
      </c>
      <c r="G8">
        <v>12</v>
      </c>
      <c r="H8">
        <v>12</v>
      </c>
      <c r="I8">
        <v>12</v>
      </c>
      <c r="J8">
        <v>12</v>
      </c>
      <c r="K8">
        <v>12</v>
      </c>
      <c r="L8">
        <v>12</v>
      </c>
      <c r="M8">
        <v>12</v>
      </c>
      <c r="N8">
        <v>12</v>
      </c>
      <c r="O8">
        <v>12</v>
      </c>
      <c r="P8">
        <v>12</v>
      </c>
    </row>
    <row r="9" spans="1:24" x14ac:dyDescent="0.3">
      <c r="A9" t="s">
        <v>39</v>
      </c>
      <c r="B9">
        <v>1</v>
      </c>
      <c r="D9">
        <v>200</v>
      </c>
      <c r="F9">
        <v>200</v>
      </c>
      <c r="H9">
        <v>500</v>
      </c>
      <c r="J9">
        <v>250</v>
      </c>
      <c r="N9">
        <v>250</v>
      </c>
      <c r="P9">
        <v>500</v>
      </c>
    </row>
    <row r="10" spans="1:24" x14ac:dyDescent="0.3">
      <c r="A10" t="s">
        <v>631</v>
      </c>
      <c r="B10">
        <v>1</v>
      </c>
      <c r="D10">
        <v>25</v>
      </c>
      <c r="F10">
        <v>25</v>
      </c>
      <c r="H10">
        <v>25</v>
      </c>
      <c r="J10">
        <v>25</v>
      </c>
      <c r="N10">
        <v>25</v>
      </c>
      <c r="P10">
        <v>25</v>
      </c>
    </row>
    <row r="11" spans="1:24" x14ac:dyDescent="0.3">
      <c r="A11" t="s">
        <v>40</v>
      </c>
      <c r="B11">
        <v>1</v>
      </c>
      <c r="D11">
        <v>1</v>
      </c>
      <c r="F11">
        <v>1</v>
      </c>
      <c r="H11">
        <v>1</v>
      </c>
      <c r="J11">
        <v>1</v>
      </c>
      <c r="N11">
        <v>1</v>
      </c>
      <c r="P11">
        <v>1</v>
      </c>
    </row>
    <row r="12" spans="1:24" x14ac:dyDescent="0.3">
      <c r="A12" t="s">
        <v>41</v>
      </c>
      <c r="B12">
        <v>1</v>
      </c>
    </row>
    <row r="13" spans="1:24" x14ac:dyDescent="0.3">
      <c r="A13" t="s">
        <v>42</v>
      </c>
      <c r="B13">
        <v>1</v>
      </c>
      <c r="E13">
        <v>45</v>
      </c>
      <c r="I13">
        <v>45</v>
      </c>
      <c r="L13">
        <v>30</v>
      </c>
      <c r="O13">
        <v>30</v>
      </c>
    </row>
    <row r="14" spans="1:24" x14ac:dyDescent="0.3">
      <c r="A14" t="s">
        <v>45</v>
      </c>
      <c r="B14">
        <v>1</v>
      </c>
      <c r="D14">
        <v>5</v>
      </c>
      <c r="E14">
        <v>2</v>
      </c>
      <c r="H14">
        <v>1</v>
      </c>
      <c r="I14">
        <v>6</v>
      </c>
      <c r="K14">
        <v>7</v>
      </c>
      <c r="L14">
        <v>4</v>
      </c>
      <c r="N14">
        <v>3</v>
      </c>
      <c r="O14">
        <v>8</v>
      </c>
    </row>
    <row r="15" spans="1:24" x14ac:dyDescent="0.3">
      <c r="A15" t="s">
        <v>46</v>
      </c>
      <c r="B15">
        <v>1</v>
      </c>
      <c r="D15">
        <v>2</v>
      </c>
      <c r="F15">
        <v>2</v>
      </c>
      <c r="H15">
        <v>6</v>
      </c>
      <c r="J15">
        <v>6</v>
      </c>
      <c r="K15">
        <v>4</v>
      </c>
      <c r="N15">
        <v>8</v>
      </c>
      <c r="P15">
        <v>8</v>
      </c>
    </row>
    <row r="16" spans="1:24" x14ac:dyDescent="0.3">
      <c r="A16" t="s">
        <v>49</v>
      </c>
      <c r="B16">
        <v>1</v>
      </c>
      <c r="C16">
        <v>4</v>
      </c>
      <c r="D16">
        <v>6</v>
      </c>
      <c r="E16">
        <v>7</v>
      </c>
      <c r="F16">
        <v>7</v>
      </c>
      <c r="G16">
        <v>4</v>
      </c>
      <c r="H16">
        <v>6</v>
      </c>
      <c r="I16">
        <v>7</v>
      </c>
      <c r="J16">
        <v>7</v>
      </c>
      <c r="K16">
        <v>6</v>
      </c>
      <c r="L16">
        <v>7</v>
      </c>
      <c r="M16">
        <v>4</v>
      </c>
      <c r="N16">
        <v>6</v>
      </c>
      <c r="O16">
        <v>7</v>
      </c>
      <c r="P16">
        <v>7</v>
      </c>
    </row>
    <row r="17" spans="1:16" x14ac:dyDescent="0.3">
      <c r="A17" t="s">
        <v>632</v>
      </c>
      <c r="B17">
        <v>1</v>
      </c>
      <c r="C17">
        <v>0</v>
      </c>
      <c r="D17">
        <v>0</v>
      </c>
      <c r="E17">
        <v>0</v>
      </c>
      <c r="F17">
        <v>0</v>
      </c>
      <c r="G17">
        <v>0</v>
      </c>
      <c r="H17">
        <v>0</v>
      </c>
      <c r="I17">
        <v>0</v>
      </c>
      <c r="J17">
        <v>0</v>
      </c>
      <c r="K17">
        <v>0</v>
      </c>
      <c r="L17">
        <v>0</v>
      </c>
      <c r="M17">
        <v>0</v>
      </c>
      <c r="N17">
        <v>0</v>
      </c>
      <c r="O17">
        <v>0</v>
      </c>
      <c r="P17">
        <v>0</v>
      </c>
    </row>
    <row r="18" spans="1:16" x14ac:dyDescent="0.3">
      <c r="A18" t="s">
        <v>48</v>
      </c>
      <c r="B18">
        <v>1</v>
      </c>
      <c r="C18">
        <v>1900</v>
      </c>
      <c r="D18">
        <v>1900</v>
      </c>
      <c r="E18">
        <v>1900</v>
      </c>
      <c r="F18">
        <v>1900</v>
      </c>
      <c r="G18">
        <v>1900</v>
      </c>
      <c r="H18">
        <v>1900</v>
      </c>
      <c r="I18">
        <v>1900</v>
      </c>
      <c r="J18">
        <v>1900</v>
      </c>
      <c r="K18">
        <v>1900</v>
      </c>
      <c r="L18">
        <v>1900</v>
      </c>
      <c r="M18">
        <v>1900</v>
      </c>
      <c r="N18">
        <v>1900</v>
      </c>
      <c r="O18">
        <v>1900</v>
      </c>
      <c r="P18">
        <v>1900</v>
      </c>
    </row>
    <row r="19" spans="1:16" x14ac:dyDescent="0.3">
      <c r="A19" t="s">
        <v>633</v>
      </c>
      <c r="B19">
        <v>1</v>
      </c>
      <c r="C19">
        <v>0</v>
      </c>
      <c r="D19">
        <v>1593</v>
      </c>
      <c r="E19">
        <v>1676</v>
      </c>
      <c r="F19">
        <v>1425</v>
      </c>
      <c r="G19">
        <v>0</v>
      </c>
      <c r="H19">
        <v>1593</v>
      </c>
      <c r="I19">
        <v>1676</v>
      </c>
      <c r="J19">
        <v>1425</v>
      </c>
      <c r="K19">
        <v>1593</v>
      </c>
      <c r="L19">
        <v>1569</v>
      </c>
      <c r="M19">
        <v>0</v>
      </c>
      <c r="N19">
        <v>1593</v>
      </c>
      <c r="O19">
        <v>1676</v>
      </c>
      <c r="P19">
        <v>1425</v>
      </c>
    </row>
    <row r="20" spans="1:16" x14ac:dyDescent="0.3">
      <c r="A20" t="s">
        <v>50</v>
      </c>
      <c r="B20">
        <v>1</v>
      </c>
      <c r="C20">
        <v>0</v>
      </c>
      <c r="D20">
        <v>686</v>
      </c>
      <c r="E20">
        <v>1676</v>
      </c>
      <c r="F20">
        <v>1425</v>
      </c>
      <c r="G20">
        <v>0</v>
      </c>
      <c r="H20">
        <v>134</v>
      </c>
      <c r="I20">
        <v>1676</v>
      </c>
      <c r="J20">
        <v>1425</v>
      </c>
      <c r="K20">
        <v>607</v>
      </c>
      <c r="L20">
        <v>1569</v>
      </c>
      <c r="M20">
        <v>0</v>
      </c>
      <c r="N20">
        <v>1068</v>
      </c>
      <c r="O20">
        <v>1676</v>
      </c>
      <c r="P20">
        <v>1425</v>
      </c>
    </row>
    <row r="21" spans="1:16" x14ac:dyDescent="0.3">
      <c r="A21" t="s">
        <v>634</v>
      </c>
      <c r="B21">
        <v>1</v>
      </c>
      <c r="C21">
        <v>1</v>
      </c>
      <c r="D21">
        <v>1</v>
      </c>
      <c r="E21">
        <v>1</v>
      </c>
      <c r="F21">
        <v>1</v>
      </c>
      <c r="G21">
        <v>1</v>
      </c>
      <c r="H21">
        <v>1</v>
      </c>
      <c r="I21">
        <v>1</v>
      </c>
      <c r="J21">
        <v>1</v>
      </c>
      <c r="K21">
        <v>1</v>
      </c>
      <c r="L21">
        <v>1</v>
      </c>
      <c r="M21">
        <v>1</v>
      </c>
      <c r="N21">
        <v>1</v>
      </c>
      <c r="O21">
        <v>1</v>
      </c>
      <c r="P21">
        <v>1</v>
      </c>
    </row>
    <row r="22" spans="1:16" x14ac:dyDescent="0.3">
      <c r="A22" t="s">
        <v>51</v>
      </c>
      <c r="B22">
        <v>1</v>
      </c>
      <c r="C22">
        <v>0</v>
      </c>
      <c r="D22">
        <v>0</v>
      </c>
      <c r="E22">
        <v>0</v>
      </c>
      <c r="F22">
        <v>200</v>
      </c>
      <c r="G22">
        <v>0</v>
      </c>
      <c r="H22">
        <v>0</v>
      </c>
      <c r="I22">
        <v>0</v>
      </c>
      <c r="J22">
        <v>200</v>
      </c>
      <c r="K22">
        <v>0</v>
      </c>
      <c r="L22">
        <v>24</v>
      </c>
      <c r="M22">
        <v>0</v>
      </c>
      <c r="N22">
        <v>0</v>
      </c>
      <c r="O22">
        <v>0</v>
      </c>
      <c r="P22">
        <v>163</v>
      </c>
    </row>
    <row r="23" spans="1:16" x14ac:dyDescent="0.3">
      <c r="A23" t="s">
        <v>53</v>
      </c>
      <c r="B23">
        <v>1</v>
      </c>
      <c r="C23">
        <v>0</v>
      </c>
      <c r="D23">
        <v>100</v>
      </c>
      <c r="E23">
        <v>750</v>
      </c>
      <c r="F23">
        <v>130</v>
      </c>
      <c r="G23">
        <v>0</v>
      </c>
      <c r="H23">
        <v>150</v>
      </c>
      <c r="I23">
        <v>350</v>
      </c>
      <c r="J23">
        <v>100</v>
      </c>
      <c r="K23">
        <v>150</v>
      </c>
      <c r="L23">
        <v>100</v>
      </c>
      <c r="M23">
        <v>75</v>
      </c>
      <c r="N23">
        <v>75</v>
      </c>
      <c r="O23">
        <v>200</v>
      </c>
      <c r="P23">
        <v>150</v>
      </c>
    </row>
    <row r="24" spans="1:16" x14ac:dyDescent="0.3">
      <c r="A24" t="s">
        <v>54</v>
      </c>
      <c r="B24">
        <v>1</v>
      </c>
      <c r="C24">
        <v>0</v>
      </c>
      <c r="D24">
        <v>0</v>
      </c>
      <c r="E24">
        <v>0</v>
      </c>
      <c r="F24">
        <v>0</v>
      </c>
      <c r="G24">
        <v>0</v>
      </c>
      <c r="H24">
        <v>0</v>
      </c>
      <c r="I24">
        <v>0</v>
      </c>
      <c r="J24">
        <v>0</v>
      </c>
      <c r="K24">
        <v>0</v>
      </c>
      <c r="L24">
        <v>0</v>
      </c>
      <c r="M24">
        <v>0</v>
      </c>
      <c r="N24">
        <v>0</v>
      </c>
      <c r="O24">
        <v>0</v>
      </c>
      <c r="P24">
        <v>0</v>
      </c>
    </row>
    <row r="25" spans="1:16" x14ac:dyDescent="0.3">
      <c r="A25" t="s">
        <v>55</v>
      </c>
      <c r="B25">
        <v>1</v>
      </c>
      <c r="C25">
        <v>0</v>
      </c>
      <c r="D25">
        <v>0</v>
      </c>
      <c r="E25">
        <v>0</v>
      </c>
      <c r="F25">
        <v>0</v>
      </c>
      <c r="G25">
        <v>0</v>
      </c>
      <c r="H25">
        <v>0</v>
      </c>
      <c r="I25">
        <v>0</v>
      </c>
      <c r="J25">
        <v>0</v>
      </c>
      <c r="K25">
        <v>0</v>
      </c>
      <c r="L25">
        <v>0</v>
      </c>
      <c r="M25">
        <v>0</v>
      </c>
      <c r="N25">
        <v>0</v>
      </c>
      <c r="O25">
        <v>0</v>
      </c>
      <c r="P25">
        <v>0</v>
      </c>
    </row>
    <row r="26" spans="1:16" x14ac:dyDescent="0.3">
      <c r="A26" t="s">
        <v>56</v>
      </c>
      <c r="B26">
        <v>1</v>
      </c>
      <c r="C26">
        <v>0.92</v>
      </c>
      <c r="D26">
        <v>0.92</v>
      </c>
      <c r="E26">
        <v>0.92</v>
      </c>
      <c r="F26">
        <v>0.92</v>
      </c>
      <c r="G26">
        <v>0.92</v>
      </c>
      <c r="H26">
        <v>0.92</v>
      </c>
      <c r="I26">
        <v>0.92</v>
      </c>
      <c r="J26">
        <v>0.92</v>
      </c>
      <c r="K26">
        <v>0.92</v>
      </c>
      <c r="L26">
        <v>0.92</v>
      </c>
      <c r="M26">
        <v>0.92</v>
      </c>
      <c r="N26">
        <v>0.92</v>
      </c>
      <c r="O26">
        <v>0.92</v>
      </c>
      <c r="P26">
        <v>0.92</v>
      </c>
    </row>
    <row r="27" spans="1:16" x14ac:dyDescent="0.3">
      <c r="A27" t="s">
        <v>57</v>
      </c>
      <c r="B27">
        <v>1</v>
      </c>
      <c r="C27">
        <v>100</v>
      </c>
      <c r="D27">
        <v>100</v>
      </c>
      <c r="E27">
        <v>100</v>
      </c>
      <c r="F27">
        <v>100</v>
      </c>
      <c r="G27">
        <v>100</v>
      </c>
      <c r="H27">
        <v>100</v>
      </c>
      <c r="I27">
        <v>100</v>
      </c>
      <c r="J27">
        <v>100</v>
      </c>
      <c r="K27">
        <v>100</v>
      </c>
      <c r="L27">
        <v>100</v>
      </c>
      <c r="M27">
        <v>100</v>
      </c>
      <c r="N27">
        <v>100</v>
      </c>
      <c r="O27">
        <v>100</v>
      </c>
      <c r="P27">
        <v>100</v>
      </c>
    </row>
    <row r="28" spans="1:16" x14ac:dyDescent="0.3">
      <c r="A28" t="s">
        <v>58</v>
      </c>
      <c r="B28">
        <v>1</v>
      </c>
      <c r="C28">
        <v>2</v>
      </c>
      <c r="D28">
        <v>2</v>
      </c>
      <c r="E28">
        <v>2</v>
      </c>
      <c r="F28">
        <v>2</v>
      </c>
      <c r="G28">
        <v>2</v>
      </c>
      <c r="H28">
        <v>2</v>
      </c>
      <c r="I28">
        <v>2</v>
      </c>
      <c r="J28">
        <v>2</v>
      </c>
      <c r="K28">
        <v>2</v>
      </c>
      <c r="L28">
        <v>2</v>
      </c>
      <c r="M28">
        <v>2</v>
      </c>
      <c r="N28">
        <v>2</v>
      </c>
      <c r="O28">
        <v>2</v>
      </c>
      <c r="P28">
        <v>2</v>
      </c>
    </row>
    <row r="29" spans="1:16" x14ac:dyDescent="0.3">
      <c r="A29" t="s">
        <v>59</v>
      </c>
      <c r="B29">
        <v>1</v>
      </c>
      <c r="C29">
        <v>0</v>
      </c>
      <c r="D29">
        <v>0</v>
      </c>
      <c r="E29">
        <v>0</v>
      </c>
      <c r="F29">
        <v>0</v>
      </c>
      <c r="G29">
        <v>0</v>
      </c>
      <c r="H29">
        <v>0</v>
      </c>
      <c r="I29">
        <v>0</v>
      </c>
      <c r="J29">
        <v>0</v>
      </c>
      <c r="K29">
        <v>0</v>
      </c>
      <c r="L29">
        <v>0</v>
      </c>
      <c r="M29">
        <v>0</v>
      </c>
      <c r="N29">
        <v>0</v>
      </c>
      <c r="O29">
        <v>0</v>
      </c>
      <c r="P29">
        <v>0</v>
      </c>
    </row>
    <row r="30" spans="1:16" x14ac:dyDescent="0.3">
      <c r="A30" t="s">
        <v>635</v>
      </c>
      <c r="B30">
        <v>1</v>
      </c>
      <c r="E30">
        <v>0</v>
      </c>
      <c r="I30">
        <v>0</v>
      </c>
      <c r="L30">
        <v>0</v>
      </c>
      <c r="O30">
        <v>0</v>
      </c>
    </row>
    <row r="31" spans="1:16" x14ac:dyDescent="0.3">
      <c r="A31" t="s">
        <v>574</v>
      </c>
      <c r="B31">
        <v>1</v>
      </c>
      <c r="E31">
        <v>620</v>
      </c>
      <c r="I31">
        <v>1609</v>
      </c>
      <c r="L31">
        <v>980</v>
      </c>
      <c r="O31">
        <v>1124</v>
      </c>
    </row>
    <row r="32" spans="1:16" x14ac:dyDescent="0.3">
      <c r="A32" t="s">
        <v>78</v>
      </c>
      <c r="B32">
        <v>1</v>
      </c>
      <c r="E32">
        <v>9.4</v>
      </c>
      <c r="I32">
        <v>24.4</v>
      </c>
      <c r="L32">
        <v>22.3</v>
      </c>
      <c r="O32">
        <v>25.5</v>
      </c>
    </row>
    <row r="33" spans="1:16" x14ac:dyDescent="0.3">
      <c r="A33" t="s">
        <v>636</v>
      </c>
      <c r="B33">
        <v>1</v>
      </c>
      <c r="F33">
        <v>1</v>
      </c>
      <c r="J33">
        <v>1</v>
      </c>
      <c r="M33">
        <v>0</v>
      </c>
      <c r="P33">
        <v>1</v>
      </c>
    </row>
    <row r="34" spans="1:16" x14ac:dyDescent="0.3">
      <c r="A34" t="s">
        <v>637</v>
      </c>
      <c r="B34">
        <v>1</v>
      </c>
      <c r="F34">
        <v>50</v>
      </c>
      <c r="J34">
        <v>50</v>
      </c>
      <c r="P34">
        <v>50</v>
      </c>
    </row>
    <row r="35" spans="1:16" x14ac:dyDescent="0.3">
      <c r="A35" t="s">
        <v>638</v>
      </c>
      <c r="B35">
        <v>1</v>
      </c>
      <c r="F35">
        <v>0</v>
      </c>
      <c r="J35">
        <v>0</v>
      </c>
      <c r="P35">
        <v>0</v>
      </c>
    </row>
    <row r="36" spans="1:16" x14ac:dyDescent="0.3">
      <c r="A36" t="s">
        <v>639</v>
      </c>
      <c r="B36">
        <v>1</v>
      </c>
      <c r="C36">
        <v>3</v>
      </c>
      <c r="D36">
        <v>0</v>
      </c>
      <c r="E36">
        <v>0</v>
      </c>
      <c r="F36">
        <v>1</v>
      </c>
      <c r="G36">
        <v>3</v>
      </c>
      <c r="H36">
        <v>0</v>
      </c>
      <c r="I36">
        <v>0</v>
      </c>
      <c r="J36">
        <v>1</v>
      </c>
      <c r="K36">
        <v>0</v>
      </c>
      <c r="L36">
        <v>0</v>
      </c>
      <c r="M36">
        <v>1</v>
      </c>
      <c r="N36">
        <v>0</v>
      </c>
      <c r="O36">
        <v>0</v>
      </c>
      <c r="P36">
        <v>1</v>
      </c>
    </row>
    <row r="37" spans="1:16" x14ac:dyDescent="0.3">
      <c r="A37" t="s">
        <v>640</v>
      </c>
      <c r="B37">
        <v>1</v>
      </c>
      <c r="C37">
        <v>0</v>
      </c>
      <c r="D37">
        <v>0</v>
      </c>
      <c r="E37">
        <v>0</v>
      </c>
      <c r="F37">
        <v>0</v>
      </c>
      <c r="G37">
        <v>0</v>
      </c>
      <c r="H37">
        <v>0</v>
      </c>
      <c r="I37">
        <v>0</v>
      </c>
      <c r="J37">
        <v>0</v>
      </c>
      <c r="K37">
        <v>0</v>
      </c>
      <c r="L37">
        <v>0</v>
      </c>
      <c r="M37">
        <v>0</v>
      </c>
      <c r="N37">
        <v>0</v>
      </c>
      <c r="O37">
        <v>0</v>
      </c>
      <c r="P37">
        <v>0</v>
      </c>
    </row>
    <row r="38" spans="1:16" x14ac:dyDescent="0.3">
      <c r="A38" t="s">
        <v>52</v>
      </c>
      <c r="B38">
        <v>1</v>
      </c>
      <c r="C38">
        <v>1.1399999999999999</v>
      </c>
      <c r="D38">
        <v>1.1399999999999999</v>
      </c>
      <c r="E38">
        <v>1.1399999999999999</v>
      </c>
      <c r="F38">
        <v>1.1399999999999999</v>
      </c>
      <c r="G38">
        <v>1.1399999999999999</v>
      </c>
      <c r="H38">
        <v>1.1399999999999999</v>
      </c>
      <c r="I38">
        <v>1.1399999999999999</v>
      </c>
      <c r="J38">
        <v>1.1399999999999999</v>
      </c>
      <c r="K38">
        <v>1.1399999999999999</v>
      </c>
      <c r="L38">
        <v>1.1399999999999999</v>
      </c>
      <c r="M38">
        <v>1.1399999999999999</v>
      </c>
      <c r="N38">
        <v>1.1399999999999999</v>
      </c>
      <c r="O38">
        <v>1.1399999999999999</v>
      </c>
      <c r="P38">
        <v>1.1399999999999999</v>
      </c>
    </row>
    <row r="39" spans="1:16" x14ac:dyDescent="0.3">
      <c r="A39" t="s">
        <v>641</v>
      </c>
      <c r="B39">
        <v>1</v>
      </c>
      <c r="C39">
        <v>9</v>
      </c>
      <c r="D39">
        <v>15</v>
      </c>
      <c r="E39">
        <v>60</v>
      </c>
      <c r="F39">
        <v>9</v>
      </c>
      <c r="G39">
        <v>9</v>
      </c>
      <c r="H39">
        <v>15</v>
      </c>
      <c r="I39">
        <v>60</v>
      </c>
      <c r="J39">
        <v>9</v>
      </c>
      <c r="K39">
        <v>15</v>
      </c>
      <c r="L39">
        <v>60</v>
      </c>
      <c r="M39">
        <v>9</v>
      </c>
      <c r="N39">
        <v>15</v>
      </c>
      <c r="O39">
        <v>60</v>
      </c>
      <c r="P39">
        <v>9</v>
      </c>
    </row>
    <row r="40" spans="1:16" x14ac:dyDescent="0.3">
      <c r="A40" t="s">
        <v>43</v>
      </c>
      <c r="B40">
        <v>1</v>
      </c>
      <c r="D40">
        <v>40</v>
      </c>
      <c r="E40">
        <v>336</v>
      </c>
      <c r="F40">
        <v>0</v>
      </c>
      <c r="H40">
        <v>40</v>
      </c>
      <c r="I40">
        <v>336</v>
      </c>
      <c r="J40">
        <v>0</v>
      </c>
      <c r="K40">
        <v>40</v>
      </c>
      <c r="L40">
        <v>40</v>
      </c>
      <c r="N40">
        <v>40</v>
      </c>
      <c r="O40">
        <v>40</v>
      </c>
      <c r="P40">
        <v>0</v>
      </c>
    </row>
    <row r="41" spans="1:16" x14ac:dyDescent="0.3">
      <c r="A41" t="s">
        <v>44</v>
      </c>
      <c r="B41">
        <v>1</v>
      </c>
      <c r="D41">
        <v>0</v>
      </c>
      <c r="E41">
        <v>0</v>
      </c>
      <c r="F41">
        <v>0</v>
      </c>
      <c r="H41">
        <v>0</v>
      </c>
      <c r="I41">
        <v>0</v>
      </c>
      <c r="J41">
        <v>0</v>
      </c>
      <c r="K41">
        <v>0</v>
      </c>
      <c r="L41">
        <v>0</v>
      </c>
      <c r="N41">
        <v>0</v>
      </c>
      <c r="O41">
        <v>0</v>
      </c>
      <c r="P41">
        <v>0</v>
      </c>
    </row>
    <row r="42" spans="1:16" x14ac:dyDescent="0.3">
      <c r="A42" t="s">
        <v>47</v>
      </c>
      <c r="B42">
        <v>1</v>
      </c>
      <c r="D42">
        <v>5</v>
      </c>
      <c r="E42">
        <v>2</v>
      </c>
      <c r="F42">
        <v>2</v>
      </c>
      <c r="H42">
        <v>1</v>
      </c>
      <c r="I42">
        <v>6</v>
      </c>
      <c r="J42">
        <v>6</v>
      </c>
      <c r="K42">
        <v>7</v>
      </c>
      <c r="L42">
        <v>4</v>
      </c>
      <c r="N42">
        <v>3</v>
      </c>
      <c r="O42">
        <v>8</v>
      </c>
      <c r="P42">
        <v>8</v>
      </c>
    </row>
    <row r="43" spans="1:16" x14ac:dyDescent="0.3">
      <c r="A43" t="s">
        <v>642</v>
      </c>
      <c r="B43">
        <v>1</v>
      </c>
      <c r="D43">
        <v>0</v>
      </c>
      <c r="E43">
        <v>0</v>
      </c>
      <c r="F43">
        <v>0</v>
      </c>
      <c r="H43">
        <v>0</v>
      </c>
      <c r="I43">
        <v>0</v>
      </c>
      <c r="J43">
        <v>0</v>
      </c>
      <c r="K43">
        <v>0</v>
      </c>
      <c r="L43">
        <v>0</v>
      </c>
      <c r="N43">
        <v>0</v>
      </c>
      <c r="O43">
        <v>0</v>
      </c>
      <c r="P43">
        <v>0</v>
      </c>
    </row>
    <row r="44" spans="1:16" x14ac:dyDescent="0.3">
      <c r="A44" t="s">
        <v>643</v>
      </c>
      <c r="B44">
        <v>1</v>
      </c>
      <c r="D44">
        <v>0</v>
      </c>
      <c r="E44">
        <v>0</v>
      </c>
      <c r="F44">
        <v>0</v>
      </c>
      <c r="H44">
        <v>0</v>
      </c>
      <c r="I44">
        <v>0</v>
      </c>
      <c r="J44">
        <v>0</v>
      </c>
      <c r="K44">
        <v>0</v>
      </c>
      <c r="L44">
        <v>0</v>
      </c>
      <c r="N44">
        <v>0</v>
      </c>
      <c r="O44">
        <v>0</v>
      </c>
      <c r="P44">
        <v>0</v>
      </c>
    </row>
    <row r="45" spans="1:16" x14ac:dyDescent="0.3">
      <c r="A45" t="s">
        <v>644</v>
      </c>
      <c r="B45">
        <v>1</v>
      </c>
      <c r="D45">
        <v>0</v>
      </c>
      <c r="E45">
        <v>0</v>
      </c>
      <c r="F45">
        <v>0</v>
      </c>
      <c r="H45">
        <v>0</v>
      </c>
      <c r="I45">
        <v>0</v>
      </c>
      <c r="J45">
        <v>0</v>
      </c>
      <c r="K45">
        <v>0</v>
      </c>
      <c r="L45">
        <v>0</v>
      </c>
      <c r="N45">
        <v>0</v>
      </c>
      <c r="O45">
        <v>0</v>
      </c>
      <c r="P45">
        <v>0</v>
      </c>
    </row>
    <row r="46" spans="1:16" x14ac:dyDescent="0.3">
      <c r="A46" t="s">
        <v>645</v>
      </c>
      <c r="B46">
        <v>1</v>
      </c>
      <c r="D46">
        <v>0</v>
      </c>
      <c r="E46">
        <v>0</v>
      </c>
      <c r="F46">
        <v>0</v>
      </c>
      <c r="H46">
        <v>0</v>
      </c>
      <c r="I46">
        <v>0</v>
      </c>
      <c r="J46">
        <v>0</v>
      </c>
      <c r="K46">
        <v>0</v>
      </c>
      <c r="L46">
        <v>0</v>
      </c>
      <c r="N46">
        <v>0</v>
      </c>
      <c r="O46">
        <v>0</v>
      </c>
      <c r="P46">
        <v>0</v>
      </c>
    </row>
    <row r="47" spans="1:16" x14ac:dyDescent="0.3">
      <c r="A47" t="s">
        <v>646</v>
      </c>
      <c r="B47">
        <v>1</v>
      </c>
      <c r="D47">
        <v>1</v>
      </c>
      <c r="E47">
        <v>2</v>
      </c>
      <c r="F47">
        <v>1</v>
      </c>
      <c r="H47">
        <v>1</v>
      </c>
      <c r="I47">
        <v>2</v>
      </c>
      <c r="J47">
        <v>1</v>
      </c>
      <c r="K47">
        <v>1</v>
      </c>
      <c r="L47">
        <v>1</v>
      </c>
      <c r="N47">
        <v>1</v>
      </c>
      <c r="O47">
        <v>1</v>
      </c>
      <c r="P47">
        <v>1</v>
      </c>
    </row>
    <row r="48" spans="1:16" x14ac:dyDescent="0.3">
      <c r="A48" t="s">
        <v>647</v>
      </c>
      <c r="B48">
        <v>1</v>
      </c>
      <c r="D48">
        <v>0</v>
      </c>
      <c r="E48">
        <v>330</v>
      </c>
      <c r="F48">
        <v>0</v>
      </c>
      <c r="H48">
        <v>0</v>
      </c>
      <c r="I48">
        <v>330</v>
      </c>
      <c r="J48">
        <v>0</v>
      </c>
      <c r="K48">
        <v>0</v>
      </c>
      <c r="L48">
        <v>0</v>
      </c>
      <c r="N48">
        <v>0</v>
      </c>
      <c r="O48">
        <v>0</v>
      </c>
      <c r="P48">
        <v>0</v>
      </c>
    </row>
    <row r="49" spans="1:16" x14ac:dyDescent="0.3">
      <c r="A49" t="s">
        <v>648</v>
      </c>
      <c r="B49">
        <v>1</v>
      </c>
      <c r="D49">
        <v>40</v>
      </c>
      <c r="E49">
        <v>6</v>
      </c>
      <c r="F49">
        <v>0</v>
      </c>
      <c r="H49">
        <v>40</v>
      </c>
      <c r="I49">
        <v>6</v>
      </c>
      <c r="J49">
        <v>0</v>
      </c>
      <c r="K49">
        <v>40</v>
      </c>
      <c r="L49">
        <v>40</v>
      </c>
      <c r="N49">
        <v>40</v>
      </c>
      <c r="O49">
        <v>40</v>
      </c>
      <c r="P49">
        <v>0</v>
      </c>
    </row>
    <row r="50" spans="1:16" x14ac:dyDescent="0.3">
      <c r="A50" t="s">
        <v>649</v>
      </c>
      <c r="B50">
        <v>1</v>
      </c>
      <c r="D50">
        <v>3</v>
      </c>
      <c r="E50">
        <v>3</v>
      </c>
      <c r="F50">
        <v>3</v>
      </c>
      <c r="H50">
        <v>3</v>
      </c>
      <c r="I50">
        <v>3</v>
      </c>
      <c r="J50">
        <v>3</v>
      </c>
      <c r="K50">
        <v>3</v>
      </c>
      <c r="L50">
        <v>3</v>
      </c>
      <c r="N50">
        <v>3</v>
      </c>
      <c r="O50">
        <v>3</v>
      </c>
      <c r="P50">
        <v>3</v>
      </c>
    </row>
    <row r="51" spans="1:16" x14ac:dyDescent="0.3">
      <c r="A51" t="s">
        <v>650</v>
      </c>
      <c r="B51">
        <v>1</v>
      </c>
      <c r="D51">
        <v>0</v>
      </c>
      <c r="E51">
        <v>0</v>
      </c>
      <c r="F51">
        <v>0</v>
      </c>
      <c r="H51">
        <v>0</v>
      </c>
      <c r="I51">
        <v>0</v>
      </c>
      <c r="J51">
        <v>0</v>
      </c>
      <c r="K51">
        <v>0</v>
      </c>
      <c r="L51">
        <v>0</v>
      </c>
      <c r="N51">
        <v>0</v>
      </c>
      <c r="O51">
        <v>0</v>
      </c>
      <c r="P51">
        <v>0</v>
      </c>
    </row>
    <row r="52" spans="1:16" x14ac:dyDescent="0.3">
      <c r="A52" t="s">
        <v>651</v>
      </c>
      <c r="B52">
        <v>1</v>
      </c>
      <c r="D52">
        <v>0</v>
      </c>
      <c r="E52">
        <v>0</v>
      </c>
      <c r="F52">
        <v>0</v>
      </c>
      <c r="H52">
        <v>0</v>
      </c>
      <c r="I52">
        <v>0</v>
      </c>
      <c r="J52">
        <v>0</v>
      </c>
      <c r="K52">
        <v>0</v>
      </c>
      <c r="L52">
        <v>0</v>
      </c>
      <c r="N52">
        <v>0</v>
      </c>
      <c r="O52">
        <v>0</v>
      </c>
      <c r="P52">
        <v>0</v>
      </c>
    </row>
    <row r="53" spans="1:16" x14ac:dyDescent="0.3">
      <c r="A53" t="s">
        <v>652</v>
      </c>
      <c r="B53">
        <v>1</v>
      </c>
      <c r="D53">
        <v>0</v>
      </c>
      <c r="E53">
        <v>0</v>
      </c>
      <c r="F53">
        <v>0</v>
      </c>
      <c r="H53">
        <v>0</v>
      </c>
      <c r="I53">
        <v>0</v>
      </c>
      <c r="J53">
        <v>0</v>
      </c>
      <c r="K53">
        <v>0</v>
      </c>
      <c r="L53">
        <v>0</v>
      </c>
      <c r="N53">
        <v>0</v>
      </c>
      <c r="O53">
        <v>0</v>
      </c>
      <c r="P53">
        <v>0</v>
      </c>
    </row>
    <row r="54" spans="1:16" x14ac:dyDescent="0.3">
      <c r="A54" t="s">
        <v>653</v>
      </c>
      <c r="B54">
        <v>1</v>
      </c>
      <c r="E54">
        <v>0</v>
      </c>
      <c r="I54">
        <v>0</v>
      </c>
    </row>
    <row r="55" spans="1:16" x14ac:dyDescent="0.3">
      <c r="A55" t="s">
        <v>654</v>
      </c>
      <c r="B55">
        <v>1</v>
      </c>
      <c r="E55">
        <v>0</v>
      </c>
      <c r="I55">
        <v>0</v>
      </c>
    </row>
    <row r="56" spans="1:16" x14ac:dyDescent="0.3">
      <c r="A56" t="s">
        <v>655</v>
      </c>
      <c r="B56">
        <v>1</v>
      </c>
      <c r="E56">
        <v>3</v>
      </c>
      <c r="I56">
        <v>3</v>
      </c>
    </row>
    <row r="57" spans="1:16" x14ac:dyDescent="0.3">
      <c r="A57" t="s">
        <v>656</v>
      </c>
      <c r="B57">
        <v>1</v>
      </c>
      <c r="E57">
        <v>0</v>
      </c>
      <c r="I57">
        <v>0</v>
      </c>
    </row>
    <row r="58" spans="1:16" x14ac:dyDescent="0.3">
      <c r="A58" t="s">
        <v>657</v>
      </c>
      <c r="B58">
        <v>1</v>
      </c>
      <c r="E58">
        <v>0</v>
      </c>
      <c r="I58">
        <v>0</v>
      </c>
      <c r="L58">
        <v>0</v>
      </c>
      <c r="O58">
        <v>0</v>
      </c>
    </row>
    <row r="59" spans="1:16" x14ac:dyDescent="0.3">
      <c r="A59" t="s">
        <v>408</v>
      </c>
      <c r="B59">
        <v>1</v>
      </c>
      <c r="E59">
        <v>1</v>
      </c>
    </row>
    <row r="60" spans="1:16" x14ac:dyDescent="0.3">
      <c r="A60" t="s">
        <v>658</v>
      </c>
      <c r="B60">
        <v>1</v>
      </c>
      <c r="C60">
        <v>0</v>
      </c>
      <c r="D60">
        <v>109</v>
      </c>
      <c r="E60">
        <v>815</v>
      </c>
      <c r="F60">
        <v>141</v>
      </c>
      <c r="G60">
        <v>0</v>
      </c>
      <c r="H60">
        <v>163</v>
      </c>
      <c r="I60">
        <v>380</v>
      </c>
      <c r="J60">
        <v>109</v>
      </c>
      <c r="K60">
        <v>163</v>
      </c>
      <c r="L60">
        <v>191</v>
      </c>
      <c r="M60">
        <v>0</v>
      </c>
      <c r="N60">
        <v>82</v>
      </c>
      <c r="O60">
        <v>217</v>
      </c>
      <c r="P60">
        <v>163</v>
      </c>
    </row>
    <row r="61" spans="1:16" x14ac:dyDescent="0.3">
      <c r="A61" t="s">
        <v>34</v>
      </c>
      <c r="B61">
        <v>2</v>
      </c>
      <c r="C61">
        <v>1</v>
      </c>
      <c r="D61">
        <v>1</v>
      </c>
      <c r="E61">
        <v>1</v>
      </c>
      <c r="F61">
        <v>1</v>
      </c>
      <c r="G61">
        <v>18</v>
      </c>
      <c r="H61">
        <v>18</v>
      </c>
      <c r="I61">
        <v>18</v>
      </c>
      <c r="J61">
        <v>18</v>
      </c>
      <c r="K61">
        <v>104</v>
      </c>
      <c r="L61">
        <v>104</v>
      </c>
      <c r="M61">
        <v>104</v>
      </c>
      <c r="N61">
        <v>105</v>
      </c>
      <c r="O61">
        <v>105</v>
      </c>
      <c r="P61">
        <v>105</v>
      </c>
    </row>
    <row r="62" spans="1:16" x14ac:dyDescent="0.3">
      <c r="A62" t="s">
        <v>35</v>
      </c>
      <c r="B62">
        <v>2</v>
      </c>
      <c r="C62">
        <v>1</v>
      </c>
      <c r="D62">
        <v>104</v>
      </c>
      <c r="E62">
        <v>18</v>
      </c>
      <c r="F62">
        <v>105</v>
      </c>
      <c r="G62">
        <v>18</v>
      </c>
      <c r="H62">
        <v>105</v>
      </c>
      <c r="I62">
        <v>1</v>
      </c>
      <c r="J62">
        <v>104</v>
      </c>
      <c r="K62">
        <v>18</v>
      </c>
      <c r="L62">
        <v>105</v>
      </c>
      <c r="M62">
        <v>1</v>
      </c>
      <c r="N62">
        <v>1</v>
      </c>
      <c r="O62">
        <v>104</v>
      </c>
      <c r="P62">
        <v>18</v>
      </c>
    </row>
    <row r="63" spans="1:16" x14ac:dyDescent="0.3">
      <c r="A63" t="s">
        <v>36</v>
      </c>
      <c r="B63">
        <v>2</v>
      </c>
      <c r="C63">
        <v>0</v>
      </c>
      <c r="D63">
        <v>1</v>
      </c>
      <c r="E63">
        <v>1</v>
      </c>
      <c r="F63">
        <v>1</v>
      </c>
      <c r="G63">
        <v>0</v>
      </c>
      <c r="H63">
        <v>1</v>
      </c>
      <c r="I63">
        <v>1</v>
      </c>
      <c r="J63">
        <v>1</v>
      </c>
      <c r="K63">
        <v>1</v>
      </c>
      <c r="L63">
        <v>1</v>
      </c>
      <c r="M63">
        <v>0</v>
      </c>
      <c r="N63">
        <v>1</v>
      </c>
      <c r="O63">
        <v>1</v>
      </c>
      <c r="P63">
        <v>0</v>
      </c>
    </row>
    <row r="64" spans="1:16" x14ac:dyDescent="0.3">
      <c r="A64" t="s">
        <v>37</v>
      </c>
      <c r="B64">
        <v>2</v>
      </c>
      <c r="D64">
        <v>0</v>
      </c>
      <c r="E64">
        <v>0</v>
      </c>
      <c r="H64">
        <v>0</v>
      </c>
      <c r="I64">
        <v>0</v>
      </c>
      <c r="K64">
        <v>0</v>
      </c>
      <c r="L64">
        <v>2</v>
      </c>
      <c r="N64">
        <v>0</v>
      </c>
      <c r="O64">
        <v>2</v>
      </c>
    </row>
    <row r="65" spans="1:16" x14ac:dyDescent="0.3">
      <c r="A65" t="s">
        <v>38</v>
      </c>
      <c r="B65">
        <v>2</v>
      </c>
      <c r="C65">
        <v>12</v>
      </c>
      <c r="D65">
        <v>12</v>
      </c>
      <c r="E65">
        <v>12</v>
      </c>
      <c r="F65">
        <v>12</v>
      </c>
      <c r="G65">
        <v>12</v>
      </c>
      <c r="H65">
        <v>12</v>
      </c>
      <c r="I65">
        <v>12</v>
      </c>
      <c r="J65">
        <v>12</v>
      </c>
      <c r="K65">
        <v>12</v>
      </c>
      <c r="L65">
        <v>12</v>
      </c>
      <c r="M65">
        <v>12</v>
      </c>
      <c r="N65">
        <v>12</v>
      </c>
      <c r="O65">
        <v>12</v>
      </c>
      <c r="P65">
        <v>12</v>
      </c>
    </row>
    <row r="66" spans="1:16" x14ac:dyDescent="0.3">
      <c r="A66" t="s">
        <v>39</v>
      </c>
      <c r="B66">
        <v>2</v>
      </c>
      <c r="D66">
        <v>250</v>
      </c>
      <c r="F66">
        <v>250</v>
      </c>
      <c r="H66">
        <v>250</v>
      </c>
      <c r="J66">
        <v>250</v>
      </c>
      <c r="K66">
        <v>150</v>
      </c>
      <c r="N66">
        <v>150</v>
      </c>
    </row>
    <row r="67" spans="1:16" x14ac:dyDescent="0.3">
      <c r="A67" t="s">
        <v>631</v>
      </c>
      <c r="B67">
        <v>2</v>
      </c>
      <c r="D67">
        <v>25</v>
      </c>
      <c r="F67">
        <v>25</v>
      </c>
      <c r="H67">
        <v>25</v>
      </c>
      <c r="J67">
        <v>25</v>
      </c>
      <c r="K67">
        <v>25</v>
      </c>
      <c r="N67">
        <v>25</v>
      </c>
    </row>
    <row r="68" spans="1:16" x14ac:dyDescent="0.3">
      <c r="A68" t="s">
        <v>40</v>
      </c>
      <c r="B68">
        <v>2</v>
      </c>
      <c r="D68">
        <v>1</v>
      </c>
      <c r="F68">
        <v>1</v>
      </c>
      <c r="H68">
        <v>1</v>
      </c>
      <c r="J68">
        <v>1</v>
      </c>
      <c r="K68">
        <v>1</v>
      </c>
      <c r="N68">
        <v>1</v>
      </c>
    </row>
    <row r="69" spans="1:16" x14ac:dyDescent="0.3">
      <c r="A69" t="s">
        <v>41</v>
      </c>
      <c r="B69">
        <v>2</v>
      </c>
    </row>
    <row r="70" spans="1:16" x14ac:dyDescent="0.3">
      <c r="A70" t="s">
        <v>42</v>
      </c>
      <c r="B70">
        <v>2</v>
      </c>
      <c r="E70">
        <v>45</v>
      </c>
      <c r="I70">
        <v>45</v>
      </c>
      <c r="L70">
        <v>30</v>
      </c>
      <c r="O70">
        <v>30</v>
      </c>
    </row>
    <row r="71" spans="1:16" x14ac:dyDescent="0.3">
      <c r="A71" t="s">
        <v>45</v>
      </c>
      <c r="B71">
        <v>2</v>
      </c>
      <c r="D71">
        <v>5</v>
      </c>
      <c r="E71">
        <v>2</v>
      </c>
      <c r="H71">
        <v>1</v>
      </c>
      <c r="I71">
        <v>6</v>
      </c>
      <c r="L71">
        <v>4</v>
      </c>
      <c r="O71">
        <v>8</v>
      </c>
    </row>
    <row r="72" spans="1:16" x14ac:dyDescent="0.3">
      <c r="A72" t="s">
        <v>46</v>
      </c>
      <c r="B72">
        <v>2</v>
      </c>
      <c r="D72">
        <v>2</v>
      </c>
      <c r="F72">
        <v>2</v>
      </c>
      <c r="H72">
        <v>6</v>
      </c>
      <c r="J72">
        <v>6</v>
      </c>
      <c r="K72">
        <v>4</v>
      </c>
      <c r="N72">
        <v>8</v>
      </c>
    </row>
    <row r="73" spans="1:16" x14ac:dyDescent="0.3">
      <c r="A73" t="s">
        <v>49</v>
      </c>
      <c r="B73">
        <v>2</v>
      </c>
      <c r="C73">
        <v>4</v>
      </c>
      <c r="D73">
        <v>6</v>
      </c>
      <c r="E73">
        <v>7</v>
      </c>
      <c r="F73">
        <v>7</v>
      </c>
      <c r="G73">
        <v>4</v>
      </c>
      <c r="H73">
        <v>6</v>
      </c>
      <c r="I73">
        <v>7</v>
      </c>
      <c r="J73">
        <v>7</v>
      </c>
      <c r="K73">
        <v>6</v>
      </c>
      <c r="L73">
        <v>6</v>
      </c>
      <c r="M73">
        <v>4</v>
      </c>
      <c r="N73">
        <v>6</v>
      </c>
      <c r="O73">
        <v>6</v>
      </c>
      <c r="P73">
        <v>4</v>
      </c>
    </row>
    <row r="74" spans="1:16" x14ac:dyDescent="0.3">
      <c r="A74" t="s">
        <v>632</v>
      </c>
      <c r="B74">
        <v>2</v>
      </c>
      <c r="C74">
        <v>0</v>
      </c>
      <c r="D74">
        <v>0</v>
      </c>
      <c r="E74">
        <v>0</v>
      </c>
      <c r="F74">
        <v>0</v>
      </c>
      <c r="G74">
        <v>0</v>
      </c>
      <c r="H74">
        <v>0</v>
      </c>
      <c r="I74">
        <v>0</v>
      </c>
      <c r="J74">
        <v>0</v>
      </c>
      <c r="K74">
        <v>0</v>
      </c>
      <c r="L74">
        <v>0</v>
      </c>
      <c r="M74">
        <v>0</v>
      </c>
      <c r="N74">
        <v>0</v>
      </c>
      <c r="O74">
        <v>0</v>
      </c>
      <c r="P74">
        <v>0</v>
      </c>
    </row>
    <row r="75" spans="1:16" x14ac:dyDescent="0.3">
      <c r="A75" t="s">
        <v>48</v>
      </c>
      <c r="B75">
        <v>2</v>
      </c>
      <c r="C75">
        <v>1900</v>
      </c>
      <c r="D75">
        <v>1900</v>
      </c>
      <c r="E75">
        <v>1900</v>
      </c>
      <c r="F75">
        <v>1900</v>
      </c>
      <c r="G75">
        <v>1900</v>
      </c>
      <c r="H75">
        <v>1900</v>
      </c>
      <c r="I75">
        <v>1900</v>
      </c>
      <c r="J75">
        <v>1900</v>
      </c>
      <c r="K75">
        <v>1900</v>
      </c>
      <c r="L75">
        <v>1900</v>
      </c>
      <c r="M75">
        <v>1900</v>
      </c>
      <c r="N75">
        <v>1900</v>
      </c>
      <c r="O75">
        <v>1900</v>
      </c>
      <c r="P75">
        <v>1900</v>
      </c>
    </row>
    <row r="76" spans="1:16" x14ac:dyDescent="0.3">
      <c r="A76" t="s">
        <v>633</v>
      </c>
      <c r="B76">
        <v>2</v>
      </c>
      <c r="C76">
        <v>0</v>
      </c>
      <c r="D76">
        <v>1770</v>
      </c>
      <c r="E76">
        <v>1863</v>
      </c>
      <c r="F76">
        <v>1583</v>
      </c>
      <c r="G76">
        <v>0</v>
      </c>
      <c r="H76">
        <v>1770</v>
      </c>
      <c r="I76">
        <v>1863</v>
      </c>
      <c r="J76">
        <v>1583</v>
      </c>
      <c r="K76">
        <v>1770</v>
      </c>
      <c r="L76">
        <v>1719</v>
      </c>
      <c r="M76">
        <v>0</v>
      </c>
      <c r="N76">
        <v>1770</v>
      </c>
      <c r="O76">
        <v>1729</v>
      </c>
      <c r="P76">
        <v>0</v>
      </c>
    </row>
    <row r="77" spans="1:16" x14ac:dyDescent="0.3">
      <c r="A77" t="s">
        <v>50</v>
      </c>
      <c r="B77">
        <v>2</v>
      </c>
      <c r="C77">
        <v>0</v>
      </c>
      <c r="D77">
        <v>780</v>
      </c>
      <c r="E77">
        <v>1863</v>
      </c>
      <c r="F77">
        <v>1583</v>
      </c>
      <c r="G77">
        <v>0</v>
      </c>
      <c r="H77">
        <v>216</v>
      </c>
      <c r="I77">
        <v>1863</v>
      </c>
      <c r="J77">
        <v>1583</v>
      </c>
      <c r="K77">
        <v>887</v>
      </c>
      <c r="L77">
        <v>1719</v>
      </c>
      <c r="M77">
        <v>0</v>
      </c>
      <c r="N77">
        <v>814</v>
      </c>
      <c r="O77">
        <v>1729</v>
      </c>
      <c r="P77">
        <v>0</v>
      </c>
    </row>
    <row r="78" spans="1:16" x14ac:dyDescent="0.3">
      <c r="A78" t="s">
        <v>634</v>
      </c>
      <c r="B78">
        <v>2</v>
      </c>
      <c r="C78">
        <v>1</v>
      </c>
      <c r="D78">
        <v>1</v>
      </c>
      <c r="E78">
        <v>1</v>
      </c>
      <c r="F78">
        <v>1</v>
      </c>
      <c r="G78">
        <v>1</v>
      </c>
      <c r="H78">
        <v>1</v>
      </c>
      <c r="I78">
        <v>1</v>
      </c>
      <c r="J78">
        <v>1</v>
      </c>
      <c r="K78">
        <v>1</v>
      </c>
      <c r="L78">
        <v>1</v>
      </c>
      <c r="M78">
        <v>1</v>
      </c>
      <c r="N78">
        <v>1</v>
      </c>
      <c r="O78">
        <v>1</v>
      </c>
      <c r="P78">
        <v>1</v>
      </c>
    </row>
    <row r="79" spans="1:16" x14ac:dyDescent="0.3">
      <c r="A79" t="s">
        <v>51</v>
      </c>
      <c r="B79">
        <v>2</v>
      </c>
      <c r="C79">
        <v>0</v>
      </c>
      <c r="D79">
        <v>0</v>
      </c>
      <c r="E79">
        <v>0</v>
      </c>
      <c r="F79">
        <v>82</v>
      </c>
      <c r="G79">
        <v>0</v>
      </c>
      <c r="H79">
        <v>0</v>
      </c>
      <c r="I79">
        <v>0</v>
      </c>
      <c r="J79">
        <v>82</v>
      </c>
      <c r="K79">
        <v>0</v>
      </c>
      <c r="L79">
        <v>40</v>
      </c>
      <c r="M79">
        <v>0</v>
      </c>
      <c r="N79">
        <v>0</v>
      </c>
      <c r="O79">
        <v>35</v>
      </c>
      <c r="P79">
        <v>0</v>
      </c>
    </row>
    <row r="80" spans="1:16" x14ac:dyDescent="0.3">
      <c r="A80" t="s">
        <v>53</v>
      </c>
      <c r="B80">
        <v>2</v>
      </c>
      <c r="C80">
        <v>0</v>
      </c>
      <c r="D80">
        <v>65</v>
      </c>
      <c r="E80">
        <v>1000</v>
      </c>
      <c r="F80">
        <v>25</v>
      </c>
      <c r="G80">
        <v>0</v>
      </c>
      <c r="H80">
        <v>15</v>
      </c>
      <c r="I80">
        <v>450</v>
      </c>
      <c r="J80">
        <v>50</v>
      </c>
      <c r="K80">
        <v>65</v>
      </c>
      <c r="L80">
        <v>75</v>
      </c>
      <c r="M80">
        <v>80</v>
      </c>
      <c r="N80">
        <v>10</v>
      </c>
      <c r="O80">
        <v>75</v>
      </c>
      <c r="P80">
        <v>70</v>
      </c>
    </row>
    <row r="81" spans="1:16" x14ac:dyDescent="0.3">
      <c r="A81" t="s">
        <v>54</v>
      </c>
      <c r="B81">
        <v>2</v>
      </c>
      <c r="C81">
        <v>0</v>
      </c>
      <c r="D81">
        <v>0</v>
      </c>
      <c r="E81">
        <v>0</v>
      </c>
      <c r="F81">
        <v>0</v>
      </c>
      <c r="G81">
        <v>0</v>
      </c>
      <c r="H81">
        <v>0</v>
      </c>
      <c r="I81">
        <v>0</v>
      </c>
      <c r="J81">
        <v>0</v>
      </c>
      <c r="K81">
        <v>0</v>
      </c>
      <c r="L81">
        <v>0</v>
      </c>
      <c r="M81">
        <v>0</v>
      </c>
      <c r="N81">
        <v>0</v>
      </c>
      <c r="O81">
        <v>0</v>
      </c>
      <c r="P81">
        <v>0</v>
      </c>
    </row>
    <row r="82" spans="1:16" x14ac:dyDescent="0.3">
      <c r="A82" t="s">
        <v>55</v>
      </c>
      <c r="B82">
        <v>2</v>
      </c>
      <c r="C82">
        <v>0</v>
      </c>
      <c r="D82">
        <v>0</v>
      </c>
      <c r="E82">
        <v>0</v>
      </c>
      <c r="F82">
        <v>0</v>
      </c>
      <c r="G82">
        <v>0</v>
      </c>
      <c r="H82">
        <v>0</v>
      </c>
      <c r="I82">
        <v>0</v>
      </c>
      <c r="J82">
        <v>0</v>
      </c>
      <c r="K82">
        <v>0</v>
      </c>
      <c r="L82">
        <v>0</v>
      </c>
      <c r="M82">
        <v>0</v>
      </c>
      <c r="N82">
        <v>0</v>
      </c>
      <c r="O82">
        <v>0</v>
      </c>
      <c r="P82">
        <v>0</v>
      </c>
    </row>
    <row r="83" spans="1:16" x14ac:dyDescent="0.3">
      <c r="A83" t="s">
        <v>56</v>
      </c>
      <c r="B83">
        <v>2</v>
      </c>
      <c r="C83">
        <v>0.92</v>
      </c>
      <c r="D83">
        <v>0.92</v>
      </c>
      <c r="E83">
        <v>0.92</v>
      </c>
      <c r="F83">
        <v>0.92</v>
      </c>
      <c r="G83">
        <v>0.92</v>
      </c>
      <c r="H83">
        <v>0.92</v>
      </c>
      <c r="I83">
        <v>0.92</v>
      </c>
      <c r="J83">
        <v>0.92</v>
      </c>
      <c r="K83">
        <v>0.92</v>
      </c>
      <c r="L83">
        <v>0.92</v>
      </c>
      <c r="M83">
        <v>0.92</v>
      </c>
      <c r="N83">
        <v>0.92</v>
      </c>
      <c r="O83">
        <v>0.92</v>
      </c>
      <c r="P83">
        <v>0.92</v>
      </c>
    </row>
    <row r="84" spans="1:16" x14ac:dyDescent="0.3">
      <c r="A84" t="s">
        <v>57</v>
      </c>
      <c r="B84">
        <v>2</v>
      </c>
      <c r="C84">
        <v>100</v>
      </c>
      <c r="D84">
        <v>100</v>
      </c>
      <c r="E84">
        <v>100</v>
      </c>
      <c r="F84">
        <v>100</v>
      </c>
      <c r="G84">
        <v>100</v>
      </c>
      <c r="H84">
        <v>100</v>
      </c>
      <c r="I84">
        <v>100</v>
      </c>
      <c r="J84">
        <v>100</v>
      </c>
      <c r="K84">
        <v>100</v>
      </c>
      <c r="L84">
        <v>100</v>
      </c>
      <c r="M84">
        <v>100</v>
      </c>
      <c r="N84">
        <v>100</v>
      </c>
      <c r="O84">
        <v>100</v>
      </c>
      <c r="P84">
        <v>100</v>
      </c>
    </row>
    <row r="85" spans="1:16" x14ac:dyDescent="0.3">
      <c r="A85" t="s">
        <v>58</v>
      </c>
      <c r="B85">
        <v>2</v>
      </c>
      <c r="C85">
        <v>2</v>
      </c>
      <c r="D85">
        <v>2</v>
      </c>
      <c r="E85">
        <v>2</v>
      </c>
      <c r="F85">
        <v>2</v>
      </c>
      <c r="G85">
        <v>2</v>
      </c>
      <c r="H85">
        <v>2</v>
      </c>
      <c r="I85">
        <v>2</v>
      </c>
      <c r="J85">
        <v>2</v>
      </c>
      <c r="K85">
        <v>2</v>
      </c>
      <c r="L85">
        <v>2</v>
      </c>
      <c r="M85">
        <v>2</v>
      </c>
      <c r="N85">
        <v>2</v>
      </c>
      <c r="O85">
        <v>2</v>
      </c>
      <c r="P85">
        <v>2</v>
      </c>
    </row>
    <row r="86" spans="1:16" x14ac:dyDescent="0.3">
      <c r="A86" t="s">
        <v>59</v>
      </c>
      <c r="B86">
        <v>2</v>
      </c>
      <c r="C86">
        <v>0</v>
      </c>
      <c r="D86">
        <v>0</v>
      </c>
      <c r="E86">
        <v>0</v>
      </c>
      <c r="F86">
        <v>0</v>
      </c>
      <c r="G86">
        <v>0</v>
      </c>
      <c r="H86">
        <v>0</v>
      </c>
      <c r="I86">
        <v>0</v>
      </c>
      <c r="J86">
        <v>0</v>
      </c>
      <c r="K86">
        <v>0</v>
      </c>
      <c r="L86">
        <v>0</v>
      </c>
      <c r="M86">
        <v>0</v>
      </c>
      <c r="N86">
        <v>0</v>
      </c>
      <c r="O86">
        <v>0</v>
      </c>
      <c r="P86">
        <v>0</v>
      </c>
    </row>
    <row r="87" spans="1:16" x14ac:dyDescent="0.3">
      <c r="A87" t="s">
        <v>635</v>
      </c>
      <c r="B87">
        <v>2</v>
      </c>
      <c r="E87">
        <v>0</v>
      </c>
      <c r="I87">
        <v>0</v>
      </c>
      <c r="L87">
        <v>0</v>
      </c>
      <c r="O87">
        <v>0</v>
      </c>
    </row>
    <row r="88" spans="1:16" x14ac:dyDescent="0.3">
      <c r="A88" t="s">
        <v>574</v>
      </c>
      <c r="B88">
        <v>2</v>
      </c>
      <c r="E88">
        <v>1609</v>
      </c>
      <c r="I88">
        <v>1993</v>
      </c>
      <c r="L88">
        <v>776</v>
      </c>
      <c r="O88">
        <v>828</v>
      </c>
    </row>
    <row r="89" spans="1:16" x14ac:dyDescent="0.3">
      <c r="A89" t="s">
        <v>78</v>
      </c>
      <c r="B89">
        <v>2</v>
      </c>
      <c r="E89">
        <v>24.4</v>
      </c>
      <c r="I89">
        <v>30.2</v>
      </c>
      <c r="L89">
        <v>17.600000000000001</v>
      </c>
      <c r="O89">
        <v>18.8</v>
      </c>
    </row>
    <row r="90" spans="1:16" x14ac:dyDescent="0.3">
      <c r="A90" t="s">
        <v>636</v>
      </c>
      <c r="B90">
        <v>2</v>
      </c>
      <c r="F90">
        <v>1</v>
      </c>
      <c r="J90">
        <v>1</v>
      </c>
      <c r="M90">
        <v>1</v>
      </c>
      <c r="P90">
        <v>1</v>
      </c>
    </row>
    <row r="91" spans="1:16" x14ac:dyDescent="0.3">
      <c r="A91" t="s">
        <v>637</v>
      </c>
      <c r="B91">
        <v>2</v>
      </c>
      <c r="F91">
        <v>50</v>
      </c>
      <c r="J91">
        <v>50</v>
      </c>
      <c r="M91">
        <v>100</v>
      </c>
      <c r="P91">
        <v>100</v>
      </c>
    </row>
    <row r="92" spans="1:16" x14ac:dyDescent="0.3">
      <c r="A92" t="s">
        <v>638</v>
      </c>
      <c r="B92">
        <v>2</v>
      </c>
      <c r="F92">
        <v>0</v>
      </c>
      <c r="J92">
        <v>0</v>
      </c>
      <c r="M92">
        <v>0</v>
      </c>
      <c r="P92">
        <v>0</v>
      </c>
    </row>
    <row r="93" spans="1:16" x14ac:dyDescent="0.3">
      <c r="A93" t="s">
        <v>639</v>
      </c>
      <c r="B93">
        <v>2</v>
      </c>
      <c r="C93">
        <v>3</v>
      </c>
      <c r="D93">
        <v>0</v>
      </c>
      <c r="E93">
        <v>0</v>
      </c>
      <c r="F93">
        <v>1</v>
      </c>
      <c r="G93">
        <v>3</v>
      </c>
      <c r="H93">
        <v>0</v>
      </c>
      <c r="I93">
        <v>0</v>
      </c>
      <c r="J93">
        <v>1</v>
      </c>
      <c r="K93">
        <v>0</v>
      </c>
      <c r="L93">
        <v>0</v>
      </c>
      <c r="M93">
        <v>1</v>
      </c>
      <c r="N93">
        <v>0</v>
      </c>
      <c r="O93">
        <v>0</v>
      </c>
      <c r="P93">
        <v>1</v>
      </c>
    </row>
    <row r="94" spans="1:16" x14ac:dyDescent="0.3">
      <c r="A94" t="s">
        <v>640</v>
      </c>
      <c r="B94">
        <v>2</v>
      </c>
      <c r="C94">
        <v>0</v>
      </c>
      <c r="D94">
        <v>0</v>
      </c>
      <c r="E94">
        <v>0</v>
      </c>
      <c r="F94">
        <v>0</v>
      </c>
      <c r="G94">
        <v>0</v>
      </c>
      <c r="H94">
        <v>0</v>
      </c>
      <c r="I94">
        <v>0</v>
      </c>
      <c r="J94">
        <v>0</v>
      </c>
      <c r="K94">
        <v>0</v>
      </c>
      <c r="L94">
        <v>0</v>
      </c>
      <c r="M94">
        <v>0</v>
      </c>
      <c r="N94">
        <v>0</v>
      </c>
      <c r="O94">
        <v>0</v>
      </c>
      <c r="P94">
        <v>0</v>
      </c>
    </row>
    <row r="95" spans="1:16" x14ac:dyDescent="0.3">
      <c r="A95" t="s">
        <v>52</v>
      </c>
      <c r="B95">
        <v>2</v>
      </c>
      <c r="C95">
        <v>1</v>
      </c>
      <c r="D95">
        <v>1</v>
      </c>
      <c r="E95">
        <v>1</v>
      </c>
      <c r="F95">
        <v>1</v>
      </c>
      <c r="G95">
        <v>1</v>
      </c>
      <c r="H95">
        <v>1</v>
      </c>
      <c r="I95">
        <v>1</v>
      </c>
      <c r="J95">
        <v>1</v>
      </c>
      <c r="K95">
        <v>1</v>
      </c>
      <c r="L95">
        <v>1</v>
      </c>
      <c r="M95">
        <v>1</v>
      </c>
      <c r="N95">
        <v>1</v>
      </c>
      <c r="O95">
        <v>1</v>
      </c>
      <c r="P95">
        <v>1</v>
      </c>
    </row>
    <row r="96" spans="1:16" x14ac:dyDescent="0.3">
      <c r="A96" t="s">
        <v>641</v>
      </c>
      <c r="B96">
        <v>2</v>
      </c>
      <c r="C96">
        <v>9</v>
      </c>
      <c r="D96">
        <v>15</v>
      </c>
      <c r="E96">
        <v>60</v>
      </c>
      <c r="F96">
        <v>9</v>
      </c>
      <c r="G96">
        <v>9</v>
      </c>
      <c r="H96">
        <v>15</v>
      </c>
      <c r="I96">
        <v>60</v>
      </c>
      <c r="J96">
        <v>9</v>
      </c>
      <c r="K96">
        <v>15</v>
      </c>
      <c r="L96">
        <v>60</v>
      </c>
      <c r="M96">
        <v>9</v>
      </c>
      <c r="N96">
        <v>15</v>
      </c>
      <c r="O96">
        <v>60</v>
      </c>
      <c r="P96">
        <v>9</v>
      </c>
    </row>
    <row r="97" spans="1:15" x14ac:dyDescent="0.3">
      <c r="A97" t="s">
        <v>43</v>
      </c>
      <c r="B97">
        <v>2</v>
      </c>
      <c r="D97">
        <v>40</v>
      </c>
      <c r="E97">
        <v>336</v>
      </c>
      <c r="F97">
        <v>0</v>
      </c>
      <c r="H97">
        <v>40</v>
      </c>
      <c r="I97">
        <v>336</v>
      </c>
      <c r="J97">
        <v>0</v>
      </c>
      <c r="K97">
        <v>40</v>
      </c>
      <c r="L97">
        <v>40</v>
      </c>
      <c r="N97">
        <v>40</v>
      </c>
      <c r="O97">
        <v>40</v>
      </c>
    </row>
    <row r="98" spans="1:15" x14ac:dyDescent="0.3">
      <c r="A98" t="s">
        <v>44</v>
      </c>
      <c r="B98">
        <v>2</v>
      </c>
      <c r="D98">
        <v>0</v>
      </c>
      <c r="E98">
        <v>0</v>
      </c>
      <c r="F98">
        <v>0</v>
      </c>
      <c r="H98">
        <v>0</v>
      </c>
      <c r="I98">
        <v>0</v>
      </c>
      <c r="J98">
        <v>0</v>
      </c>
      <c r="K98">
        <v>0</v>
      </c>
      <c r="L98">
        <v>0</v>
      </c>
      <c r="N98">
        <v>0</v>
      </c>
      <c r="O98">
        <v>0</v>
      </c>
    </row>
    <row r="99" spans="1:15" x14ac:dyDescent="0.3">
      <c r="A99" t="s">
        <v>47</v>
      </c>
      <c r="B99">
        <v>2</v>
      </c>
      <c r="D99">
        <v>5</v>
      </c>
      <c r="E99">
        <v>2</v>
      </c>
      <c r="F99">
        <v>2</v>
      </c>
      <c r="H99">
        <v>1</v>
      </c>
      <c r="I99">
        <v>6</v>
      </c>
      <c r="J99">
        <v>6</v>
      </c>
      <c r="K99">
        <v>4</v>
      </c>
      <c r="L99">
        <v>4</v>
      </c>
      <c r="N99">
        <v>8</v>
      </c>
      <c r="O99">
        <v>8</v>
      </c>
    </row>
    <row r="100" spans="1:15" x14ac:dyDescent="0.3">
      <c r="A100" t="s">
        <v>642</v>
      </c>
      <c r="B100">
        <v>2</v>
      </c>
      <c r="D100">
        <v>0</v>
      </c>
      <c r="E100">
        <v>0</v>
      </c>
      <c r="F100">
        <v>0</v>
      </c>
      <c r="H100">
        <v>0</v>
      </c>
      <c r="I100">
        <v>0</v>
      </c>
      <c r="J100">
        <v>0</v>
      </c>
      <c r="K100">
        <v>0</v>
      </c>
      <c r="L100">
        <v>0</v>
      </c>
      <c r="N100">
        <v>0</v>
      </c>
      <c r="O100">
        <v>0</v>
      </c>
    </row>
    <row r="101" spans="1:15" x14ac:dyDescent="0.3">
      <c r="A101" t="s">
        <v>643</v>
      </c>
      <c r="B101">
        <v>2</v>
      </c>
      <c r="D101">
        <v>0</v>
      </c>
      <c r="E101">
        <v>0</v>
      </c>
      <c r="F101">
        <v>0</v>
      </c>
      <c r="H101">
        <v>0</v>
      </c>
      <c r="I101">
        <v>0</v>
      </c>
      <c r="J101">
        <v>0</v>
      </c>
      <c r="K101">
        <v>0</v>
      </c>
      <c r="L101">
        <v>0</v>
      </c>
      <c r="N101">
        <v>0</v>
      </c>
      <c r="O101">
        <v>0</v>
      </c>
    </row>
    <row r="102" spans="1:15" x14ac:dyDescent="0.3">
      <c r="A102" t="s">
        <v>644</v>
      </c>
      <c r="B102">
        <v>2</v>
      </c>
      <c r="D102">
        <v>0</v>
      </c>
      <c r="E102">
        <v>0</v>
      </c>
      <c r="F102">
        <v>0</v>
      </c>
      <c r="H102">
        <v>0</v>
      </c>
      <c r="I102">
        <v>0</v>
      </c>
      <c r="J102">
        <v>0</v>
      </c>
      <c r="K102">
        <v>0</v>
      </c>
      <c r="L102">
        <v>0</v>
      </c>
      <c r="N102">
        <v>0</v>
      </c>
      <c r="O102">
        <v>0</v>
      </c>
    </row>
    <row r="103" spans="1:15" x14ac:dyDescent="0.3">
      <c r="A103" t="s">
        <v>645</v>
      </c>
      <c r="B103">
        <v>2</v>
      </c>
      <c r="D103">
        <v>0</v>
      </c>
      <c r="E103">
        <v>0</v>
      </c>
      <c r="F103">
        <v>0</v>
      </c>
      <c r="H103">
        <v>0</v>
      </c>
      <c r="I103">
        <v>0</v>
      </c>
      <c r="J103">
        <v>0</v>
      </c>
      <c r="K103">
        <v>0</v>
      </c>
      <c r="L103">
        <v>0</v>
      </c>
      <c r="N103">
        <v>0</v>
      </c>
      <c r="O103">
        <v>0</v>
      </c>
    </row>
    <row r="104" spans="1:15" x14ac:dyDescent="0.3">
      <c r="A104" t="s">
        <v>646</v>
      </c>
      <c r="B104">
        <v>2</v>
      </c>
      <c r="D104">
        <v>1</v>
      </c>
      <c r="E104">
        <v>2</v>
      </c>
      <c r="F104">
        <v>1</v>
      </c>
      <c r="H104">
        <v>1</v>
      </c>
      <c r="I104">
        <v>2</v>
      </c>
      <c r="J104">
        <v>1</v>
      </c>
      <c r="K104">
        <v>1</v>
      </c>
      <c r="L104">
        <v>1</v>
      </c>
      <c r="N104">
        <v>1</v>
      </c>
      <c r="O104">
        <v>1</v>
      </c>
    </row>
    <row r="105" spans="1:15" x14ac:dyDescent="0.3">
      <c r="A105" t="s">
        <v>647</v>
      </c>
      <c r="B105">
        <v>2</v>
      </c>
      <c r="D105">
        <v>0</v>
      </c>
      <c r="E105">
        <v>330</v>
      </c>
      <c r="F105">
        <v>0</v>
      </c>
      <c r="H105">
        <v>0</v>
      </c>
      <c r="I105">
        <v>330</v>
      </c>
      <c r="J105">
        <v>0</v>
      </c>
      <c r="K105">
        <v>0</v>
      </c>
      <c r="L105">
        <v>0</v>
      </c>
      <c r="N105">
        <v>0</v>
      </c>
      <c r="O105">
        <v>0</v>
      </c>
    </row>
    <row r="106" spans="1:15" x14ac:dyDescent="0.3">
      <c r="A106" t="s">
        <v>648</v>
      </c>
      <c r="B106">
        <v>2</v>
      </c>
      <c r="D106">
        <v>40</v>
      </c>
      <c r="E106">
        <v>6</v>
      </c>
      <c r="F106">
        <v>0</v>
      </c>
      <c r="H106">
        <v>40</v>
      </c>
      <c r="I106">
        <v>6</v>
      </c>
      <c r="J106">
        <v>0</v>
      </c>
      <c r="K106">
        <v>40</v>
      </c>
      <c r="L106">
        <v>40</v>
      </c>
      <c r="N106">
        <v>40</v>
      </c>
      <c r="O106">
        <v>40</v>
      </c>
    </row>
    <row r="107" spans="1:15" x14ac:dyDescent="0.3">
      <c r="A107" t="s">
        <v>649</v>
      </c>
      <c r="B107">
        <v>2</v>
      </c>
      <c r="D107">
        <v>3</v>
      </c>
      <c r="E107">
        <v>3</v>
      </c>
      <c r="F107">
        <v>3</v>
      </c>
      <c r="H107">
        <v>3</v>
      </c>
      <c r="I107">
        <v>3</v>
      </c>
      <c r="J107">
        <v>3</v>
      </c>
      <c r="K107">
        <v>3</v>
      </c>
      <c r="L107">
        <v>3</v>
      </c>
      <c r="N107">
        <v>3</v>
      </c>
      <c r="O107">
        <v>3</v>
      </c>
    </row>
    <row r="108" spans="1:15" x14ac:dyDescent="0.3">
      <c r="A108" t="s">
        <v>650</v>
      </c>
      <c r="B108">
        <v>2</v>
      </c>
      <c r="D108">
        <v>0</v>
      </c>
      <c r="E108">
        <v>0</v>
      </c>
      <c r="F108">
        <v>0</v>
      </c>
      <c r="H108">
        <v>0</v>
      </c>
      <c r="I108">
        <v>0</v>
      </c>
      <c r="J108">
        <v>0</v>
      </c>
      <c r="K108">
        <v>0</v>
      </c>
      <c r="L108">
        <v>0</v>
      </c>
      <c r="N108">
        <v>0</v>
      </c>
      <c r="O108">
        <v>0</v>
      </c>
    </row>
    <row r="109" spans="1:15" x14ac:dyDescent="0.3">
      <c r="A109" t="s">
        <v>651</v>
      </c>
      <c r="B109">
        <v>2</v>
      </c>
      <c r="D109">
        <v>0</v>
      </c>
      <c r="E109">
        <v>0</v>
      </c>
      <c r="F109">
        <v>0</v>
      </c>
      <c r="H109">
        <v>0</v>
      </c>
      <c r="I109">
        <v>0</v>
      </c>
      <c r="J109">
        <v>0</v>
      </c>
      <c r="K109">
        <v>0</v>
      </c>
      <c r="L109">
        <v>0</v>
      </c>
      <c r="N109">
        <v>0</v>
      </c>
      <c r="O109">
        <v>0</v>
      </c>
    </row>
    <row r="110" spans="1:15" x14ac:dyDescent="0.3">
      <c r="A110" t="s">
        <v>652</v>
      </c>
      <c r="B110">
        <v>2</v>
      </c>
      <c r="D110">
        <v>0</v>
      </c>
      <c r="E110">
        <v>0</v>
      </c>
      <c r="F110">
        <v>0</v>
      </c>
      <c r="H110">
        <v>0</v>
      </c>
      <c r="I110">
        <v>0</v>
      </c>
      <c r="J110">
        <v>0</v>
      </c>
      <c r="K110">
        <v>0</v>
      </c>
      <c r="L110">
        <v>0</v>
      </c>
      <c r="N110">
        <v>0</v>
      </c>
      <c r="O110">
        <v>0</v>
      </c>
    </row>
    <row r="111" spans="1:15" x14ac:dyDescent="0.3">
      <c r="A111" t="s">
        <v>653</v>
      </c>
      <c r="B111">
        <v>2</v>
      </c>
      <c r="E111">
        <v>0</v>
      </c>
      <c r="I111">
        <v>0</v>
      </c>
    </row>
    <row r="112" spans="1:15" x14ac:dyDescent="0.3">
      <c r="A112" t="s">
        <v>654</v>
      </c>
      <c r="B112">
        <v>2</v>
      </c>
      <c r="E112">
        <v>0</v>
      </c>
      <c r="I112">
        <v>0</v>
      </c>
    </row>
    <row r="113" spans="1:22" x14ac:dyDescent="0.3">
      <c r="A113" t="s">
        <v>655</v>
      </c>
      <c r="B113">
        <v>2</v>
      </c>
      <c r="E113">
        <v>3</v>
      </c>
      <c r="I113">
        <v>3</v>
      </c>
    </row>
    <row r="114" spans="1:22" x14ac:dyDescent="0.3">
      <c r="A114" t="s">
        <v>656</v>
      </c>
      <c r="B114">
        <v>2</v>
      </c>
      <c r="E114">
        <v>0</v>
      </c>
      <c r="I114">
        <v>0</v>
      </c>
    </row>
    <row r="115" spans="1:22" x14ac:dyDescent="0.3">
      <c r="A115" t="s">
        <v>657</v>
      </c>
      <c r="B115">
        <v>2</v>
      </c>
      <c r="E115">
        <v>0</v>
      </c>
      <c r="I115">
        <v>0</v>
      </c>
      <c r="L115">
        <v>0</v>
      </c>
      <c r="O115">
        <v>0</v>
      </c>
    </row>
    <row r="116" spans="1:22" x14ac:dyDescent="0.3">
      <c r="A116" t="s">
        <v>408</v>
      </c>
      <c r="B116">
        <v>2</v>
      </c>
      <c r="E116">
        <v>0</v>
      </c>
    </row>
    <row r="117" spans="1:22" x14ac:dyDescent="0.3">
      <c r="A117" t="s">
        <v>658</v>
      </c>
      <c r="B117">
        <v>2</v>
      </c>
      <c r="C117">
        <v>0</v>
      </c>
      <c r="D117">
        <v>71</v>
      </c>
      <c r="E117">
        <v>1087</v>
      </c>
      <c r="F117">
        <v>27</v>
      </c>
      <c r="G117">
        <v>0</v>
      </c>
      <c r="H117">
        <v>16</v>
      </c>
      <c r="I117">
        <v>489</v>
      </c>
      <c r="J117">
        <v>54</v>
      </c>
      <c r="K117">
        <v>71</v>
      </c>
      <c r="L117">
        <v>169</v>
      </c>
      <c r="M117">
        <v>0</v>
      </c>
      <c r="N117">
        <v>11</v>
      </c>
      <c r="O117">
        <v>158</v>
      </c>
      <c r="P117">
        <v>0</v>
      </c>
    </row>
    <row r="118" spans="1:22" x14ac:dyDescent="0.3">
      <c r="A118" t="s">
        <v>34</v>
      </c>
      <c r="B118">
        <v>3</v>
      </c>
      <c r="C118">
        <v>18</v>
      </c>
      <c r="D118">
        <v>18</v>
      </c>
      <c r="E118">
        <v>18</v>
      </c>
      <c r="F118">
        <v>18</v>
      </c>
      <c r="G118">
        <v>4</v>
      </c>
      <c r="H118">
        <v>4</v>
      </c>
      <c r="I118">
        <v>4</v>
      </c>
      <c r="J118">
        <v>4</v>
      </c>
      <c r="Q118">
        <v>107</v>
      </c>
      <c r="R118">
        <v>107</v>
      </c>
      <c r="S118">
        <v>107</v>
      </c>
      <c r="T118">
        <v>106</v>
      </c>
      <c r="U118">
        <v>106</v>
      </c>
      <c r="V118">
        <v>106</v>
      </c>
    </row>
    <row r="119" spans="1:22" x14ac:dyDescent="0.3">
      <c r="A119" t="s">
        <v>35</v>
      </c>
      <c r="B119">
        <v>3</v>
      </c>
      <c r="C119">
        <v>18</v>
      </c>
      <c r="D119">
        <v>106</v>
      </c>
      <c r="E119">
        <v>4</v>
      </c>
      <c r="F119">
        <v>107</v>
      </c>
      <c r="G119">
        <v>4</v>
      </c>
      <c r="H119">
        <v>107</v>
      </c>
      <c r="I119">
        <v>18</v>
      </c>
      <c r="J119">
        <v>106</v>
      </c>
      <c r="Q119">
        <v>18</v>
      </c>
      <c r="R119">
        <v>106</v>
      </c>
      <c r="S119">
        <v>4</v>
      </c>
      <c r="T119">
        <v>4</v>
      </c>
      <c r="U119">
        <v>107</v>
      </c>
      <c r="V119">
        <v>18</v>
      </c>
    </row>
    <row r="120" spans="1:22" x14ac:dyDescent="0.3">
      <c r="A120" t="s">
        <v>36</v>
      </c>
      <c r="B120">
        <v>3</v>
      </c>
      <c r="C120">
        <v>0</v>
      </c>
      <c r="D120">
        <v>1</v>
      </c>
      <c r="E120">
        <v>2</v>
      </c>
      <c r="F120">
        <v>0</v>
      </c>
      <c r="G120">
        <v>0</v>
      </c>
      <c r="H120">
        <v>1</v>
      </c>
      <c r="I120">
        <v>2</v>
      </c>
      <c r="J120">
        <v>1</v>
      </c>
      <c r="Q120">
        <v>1</v>
      </c>
      <c r="R120">
        <v>1</v>
      </c>
      <c r="S120">
        <v>1</v>
      </c>
      <c r="T120">
        <v>1</v>
      </c>
      <c r="U120">
        <v>1</v>
      </c>
      <c r="V120">
        <v>0</v>
      </c>
    </row>
    <row r="121" spans="1:22" x14ac:dyDescent="0.3">
      <c r="A121" t="s">
        <v>37</v>
      </c>
      <c r="B121">
        <v>3</v>
      </c>
      <c r="D121">
        <v>0</v>
      </c>
      <c r="E121">
        <v>2</v>
      </c>
      <c r="H121">
        <v>0</v>
      </c>
      <c r="I121">
        <v>0</v>
      </c>
      <c r="Q121">
        <v>0</v>
      </c>
      <c r="R121">
        <v>0</v>
      </c>
      <c r="T121">
        <v>0</v>
      </c>
      <c r="U121">
        <v>2</v>
      </c>
    </row>
    <row r="122" spans="1:22" x14ac:dyDescent="0.3">
      <c r="A122" t="s">
        <v>38</v>
      </c>
      <c r="B122">
        <v>3</v>
      </c>
      <c r="C122">
        <v>12</v>
      </c>
      <c r="D122">
        <v>12</v>
      </c>
      <c r="E122">
        <v>12</v>
      </c>
      <c r="F122">
        <v>12</v>
      </c>
      <c r="G122">
        <v>12</v>
      </c>
      <c r="H122">
        <v>12</v>
      </c>
      <c r="I122">
        <v>12</v>
      </c>
      <c r="J122">
        <v>12</v>
      </c>
      <c r="Q122">
        <v>12</v>
      </c>
      <c r="R122">
        <v>12</v>
      </c>
      <c r="S122">
        <v>12</v>
      </c>
      <c r="T122">
        <v>12</v>
      </c>
      <c r="U122">
        <v>12</v>
      </c>
      <c r="V122">
        <v>12</v>
      </c>
    </row>
    <row r="123" spans="1:22" x14ac:dyDescent="0.3">
      <c r="A123" t="s">
        <v>39</v>
      </c>
      <c r="B123">
        <v>3</v>
      </c>
      <c r="D123">
        <v>200</v>
      </c>
      <c r="H123">
        <v>500</v>
      </c>
      <c r="J123">
        <v>250</v>
      </c>
      <c r="Q123">
        <v>100</v>
      </c>
      <c r="S123">
        <v>120</v>
      </c>
      <c r="T123">
        <v>100</v>
      </c>
    </row>
    <row r="124" spans="1:22" x14ac:dyDescent="0.3">
      <c r="A124" t="s">
        <v>631</v>
      </c>
      <c r="B124">
        <v>3</v>
      </c>
      <c r="D124">
        <v>25</v>
      </c>
      <c r="H124">
        <v>25</v>
      </c>
      <c r="J124">
        <v>25</v>
      </c>
      <c r="Q124">
        <v>25</v>
      </c>
      <c r="S124">
        <v>25</v>
      </c>
      <c r="T124">
        <v>25</v>
      </c>
    </row>
    <row r="125" spans="1:22" x14ac:dyDescent="0.3">
      <c r="A125" t="s">
        <v>40</v>
      </c>
      <c r="B125">
        <v>3</v>
      </c>
      <c r="D125">
        <v>1</v>
      </c>
      <c r="H125">
        <v>1</v>
      </c>
      <c r="J125">
        <v>1</v>
      </c>
      <c r="Q125">
        <v>1</v>
      </c>
      <c r="S125">
        <v>1</v>
      </c>
      <c r="T125">
        <v>1</v>
      </c>
    </row>
    <row r="126" spans="1:22" x14ac:dyDescent="0.3">
      <c r="A126" t="s">
        <v>41</v>
      </c>
      <c r="B126">
        <v>3</v>
      </c>
    </row>
    <row r="127" spans="1:22" x14ac:dyDescent="0.3">
      <c r="A127" t="s">
        <v>42</v>
      </c>
      <c r="B127">
        <v>3</v>
      </c>
      <c r="E127">
        <v>45</v>
      </c>
      <c r="I127">
        <v>45</v>
      </c>
      <c r="R127">
        <v>30</v>
      </c>
      <c r="U127">
        <v>30</v>
      </c>
    </row>
    <row r="128" spans="1:22" x14ac:dyDescent="0.3">
      <c r="A128" t="s">
        <v>45</v>
      </c>
      <c r="B128">
        <v>3</v>
      </c>
      <c r="D128">
        <v>5</v>
      </c>
      <c r="E128">
        <v>2</v>
      </c>
      <c r="H128">
        <v>1</v>
      </c>
      <c r="I128">
        <v>6</v>
      </c>
      <c r="R128">
        <v>8</v>
      </c>
      <c r="U128">
        <v>4</v>
      </c>
    </row>
    <row r="129" spans="1:22" x14ac:dyDescent="0.3">
      <c r="A129" t="s">
        <v>46</v>
      </c>
      <c r="B129">
        <v>3</v>
      </c>
      <c r="D129">
        <v>2</v>
      </c>
      <c r="H129">
        <v>6</v>
      </c>
      <c r="J129">
        <v>6</v>
      </c>
      <c r="Q129">
        <v>8</v>
      </c>
      <c r="S129">
        <v>8</v>
      </c>
      <c r="T129">
        <v>4</v>
      </c>
    </row>
    <row r="130" spans="1:22" x14ac:dyDescent="0.3">
      <c r="A130" t="s">
        <v>49</v>
      </c>
      <c r="B130">
        <v>3</v>
      </c>
      <c r="C130">
        <v>4</v>
      </c>
      <c r="D130">
        <v>6.4</v>
      </c>
      <c r="E130">
        <v>6.4</v>
      </c>
      <c r="F130">
        <v>4</v>
      </c>
      <c r="G130">
        <v>4</v>
      </c>
      <c r="H130">
        <v>6.4</v>
      </c>
      <c r="I130">
        <v>6.4</v>
      </c>
      <c r="J130">
        <v>6.4</v>
      </c>
      <c r="Q130">
        <v>6</v>
      </c>
      <c r="R130">
        <v>6</v>
      </c>
      <c r="S130">
        <v>6</v>
      </c>
      <c r="T130">
        <v>6</v>
      </c>
      <c r="U130">
        <v>6</v>
      </c>
      <c r="V130">
        <v>4</v>
      </c>
    </row>
    <row r="131" spans="1:22" x14ac:dyDescent="0.3">
      <c r="A131" t="s">
        <v>632</v>
      </c>
      <c r="B131">
        <v>3</v>
      </c>
      <c r="C131">
        <v>0</v>
      </c>
      <c r="D131">
        <v>0</v>
      </c>
      <c r="E131">
        <v>0</v>
      </c>
      <c r="F131">
        <v>0</v>
      </c>
      <c r="G131">
        <v>0</v>
      </c>
      <c r="H131">
        <v>0</v>
      </c>
      <c r="I131">
        <v>0</v>
      </c>
      <c r="J131">
        <v>0</v>
      </c>
      <c r="Q131">
        <v>0</v>
      </c>
      <c r="R131">
        <v>0</v>
      </c>
      <c r="S131">
        <v>0</v>
      </c>
      <c r="T131">
        <v>0</v>
      </c>
      <c r="U131">
        <v>0</v>
      </c>
      <c r="V131">
        <v>0</v>
      </c>
    </row>
    <row r="132" spans="1:22" x14ac:dyDescent="0.3">
      <c r="A132" t="s">
        <v>48</v>
      </c>
      <c r="B132">
        <v>3</v>
      </c>
      <c r="C132">
        <v>1900</v>
      </c>
      <c r="D132">
        <v>1900</v>
      </c>
      <c r="E132">
        <v>1900</v>
      </c>
      <c r="F132">
        <v>1900</v>
      </c>
      <c r="G132">
        <v>1900</v>
      </c>
      <c r="H132">
        <v>1900</v>
      </c>
      <c r="I132">
        <v>1900</v>
      </c>
      <c r="J132">
        <v>1900</v>
      </c>
      <c r="Q132">
        <v>1900</v>
      </c>
      <c r="R132">
        <v>1900</v>
      </c>
      <c r="S132">
        <v>1900</v>
      </c>
      <c r="T132">
        <v>1900</v>
      </c>
      <c r="U132">
        <v>1900</v>
      </c>
      <c r="V132">
        <v>1900</v>
      </c>
    </row>
    <row r="133" spans="1:22" x14ac:dyDescent="0.3">
      <c r="A133" t="s">
        <v>633</v>
      </c>
      <c r="B133">
        <v>3</v>
      </c>
      <c r="C133">
        <v>0</v>
      </c>
      <c r="D133">
        <v>1770</v>
      </c>
      <c r="E133">
        <v>3536</v>
      </c>
      <c r="F133">
        <v>0</v>
      </c>
      <c r="G133">
        <v>0</v>
      </c>
      <c r="H133">
        <v>1770</v>
      </c>
      <c r="I133">
        <v>3539</v>
      </c>
      <c r="J133">
        <v>1583</v>
      </c>
      <c r="Q133">
        <v>1770</v>
      </c>
      <c r="R133">
        <v>1863</v>
      </c>
      <c r="S133">
        <v>1583</v>
      </c>
      <c r="T133">
        <v>1770</v>
      </c>
      <c r="U133">
        <v>1716</v>
      </c>
      <c r="V133">
        <v>0</v>
      </c>
    </row>
    <row r="134" spans="1:22" x14ac:dyDescent="0.3">
      <c r="A134" t="s">
        <v>50</v>
      </c>
      <c r="B134">
        <v>3</v>
      </c>
      <c r="C134">
        <v>0</v>
      </c>
      <c r="D134">
        <v>859</v>
      </c>
      <c r="E134">
        <v>3536</v>
      </c>
      <c r="F134">
        <v>0</v>
      </c>
      <c r="G134">
        <v>0</v>
      </c>
      <c r="H134">
        <v>453</v>
      </c>
      <c r="I134">
        <v>3539</v>
      </c>
      <c r="J134">
        <v>1583</v>
      </c>
      <c r="Q134">
        <v>963</v>
      </c>
      <c r="R134">
        <v>1863</v>
      </c>
      <c r="S134">
        <v>1583</v>
      </c>
      <c r="T134">
        <v>682</v>
      </c>
      <c r="U134">
        <v>1716</v>
      </c>
      <c r="V134">
        <v>0</v>
      </c>
    </row>
    <row r="135" spans="1:22" x14ac:dyDescent="0.3">
      <c r="A135" t="s">
        <v>634</v>
      </c>
      <c r="B135">
        <v>3</v>
      </c>
      <c r="C135">
        <v>1</v>
      </c>
      <c r="D135">
        <v>1</v>
      </c>
      <c r="E135">
        <v>1</v>
      </c>
      <c r="F135">
        <v>1</v>
      </c>
      <c r="G135">
        <v>1</v>
      </c>
      <c r="H135">
        <v>1</v>
      </c>
      <c r="I135">
        <v>1</v>
      </c>
      <c r="J135">
        <v>1</v>
      </c>
      <c r="Q135">
        <v>1</v>
      </c>
      <c r="R135">
        <v>1</v>
      </c>
      <c r="S135">
        <v>1</v>
      </c>
      <c r="T135">
        <v>1</v>
      </c>
      <c r="U135">
        <v>1</v>
      </c>
      <c r="V135">
        <v>1</v>
      </c>
    </row>
    <row r="136" spans="1:22" x14ac:dyDescent="0.3">
      <c r="A136" t="s">
        <v>51</v>
      </c>
      <c r="B136">
        <v>3</v>
      </c>
      <c r="C136">
        <v>0</v>
      </c>
      <c r="D136">
        <v>0</v>
      </c>
      <c r="E136">
        <v>1</v>
      </c>
      <c r="F136">
        <v>0</v>
      </c>
      <c r="G136">
        <v>0</v>
      </c>
      <c r="H136">
        <v>0</v>
      </c>
      <c r="I136">
        <v>0</v>
      </c>
      <c r="J136">
        <v>85</v>
      </c>
      <c r="Q136">
        <v>0</v>
      </c>
      <c r="R136">
        <v>0</v>
      </c>
      <c r="S136">
        <v>137</v>
      </c>
      <c r="T136">
        <v>0</v>
      </c>
      <c r="U136">
        <v>46</v>
      </c>
      <c r="V136">
        <v>0</v>
      </c>
    </row>
    <row r="137" spans="1:22" x14ac:dyDescent="0.3">
      <c r="A137" t="s">
        <v>53</v>
      </c>
      <c r="B137">
        <v>3</v>
      </c>
      <c r="C137">
        <v>0</v>
      </c>
      <c r="D137">
        <v>124</v>
      </c>
      <c r="E137">
        <v>958</v>
      </c>
      <c r="F137">
        <v>6</v>
      </c>
      <c r="G137">
        <v>0</v>
      </c>
      <c r="H137">
        <v>33</v>
      </c>
      <c r="I137">
        <v>413</v>
      </c>
      <c r="J137">
        <v>7</v>
      </c>
      <c r="Q137">
        <v>6</v>
      </c>
      <c r="R137">
        <v>202</v>
      </c>
      <c r="S137">
        <v>126</v>
      </c>
      <c r="T137">
        <v>24</v>
      </c>
      <c r="U137">
        <v>72</v>
      </c>
      <c r="V137">
        <v>79</v>
      </c>
    </row>
    <row r="138" spans="1:22" x14ac:dyDescent="0.3">
      <c r="A138" t="s">
        <v>54</v>
      </c>
      <c r="B138">
        <v>3</v>
      </c>
      <c r="C138">
        <v>0</v>
      </c>
      <c r="D138">
        <v>0</v>
      </c>
      <c r="E138">
        <v>0</v>
      </c>
      <c r="F138">
        <v>0</v>
      </c>
      <c r="G138">
        <v>0</v>
      </c>
      <c r="H138">
        <v>0</v>
      </c>
      <c r="I138">
        <v>0</v>
      </c>
      <c r="J138">
        <v>0</v>
      </c>
      <c r="Q138">
        <v>0</v>
      </c>
      <c r="R138">
        <v>0</v>
      </c>
      <c r="S138">
        <v>0</v>
      </c>
      <c r="T138">
        <v>0</v>
      </c>
      <c r="U138">
        <v>0</v>
      </c>
      <c r="V138">
        <v>0</v>
      </c>
    </row>
    <row r="139" spans="1:22" x14ac:dyDescent="0.3">
      <c r="A139" t="s">
        <v>55</v>
      </c>
      <c r="B139">
        <v>3</v>
      </c>
      <c r="C139">
        <v>0</v>
      </c>
      <c r="D139">
        <v>0</v>
      </c>
      <c r="E139">
        <v>0</v>
      </c>
      <c r="F139">
        <v>0</v>
      </c>
      <c r="G139">
        <v>0</v>
      </c>
      <c r="H139">
        <v>0</v>
      </c>
      <c r="I139">
        <v>0</v>
      </c>
      <c r="J139">
        <v>0</v>
      </c>
      <c r="Q139">
        <v>0</v>
      </c>
      <c r="R139">
        <v>0</v>
      </c>
      <c r="S139">
        <v>0</v>
      </c>
      <c r="T139">
        <v>0</v>
      </c>
      <c r="U139">
        <v>0</v>
      </c>
      <c r="V139">
        <v>0</v>
      </c>
    </row>
    <row r="140" spans="1:22" x14ac:dyDescent="0.3">
      <c r="A140" t="s">
        <v>56</v>
      </c>
      <c r="B140">
        <v>3</v>
      </c>
      <c r="C140">
        <v>0.92</v>
      </c>
      <c r="D140">
        <v>0.92</v>
      </c>
      <c r="E140">
        <v>0.92</v>
      </c>
      <c r="F140">
        <v>0.92</v>
      </c>
      <c r="G140">
        <v>0.92</v>
      </c>
      <c r="H140">
        <v>0.92</v>
      </c>
      <c r="I140">
        <v>0.92</v>
      </c>
      <c r="J140">
        <v>0.92</v>
      </c>
      <c r="Q140">
        <v>0.92</v>
      </c>
      <c r="R140">
        <v>0.92</v>
      </c>
      <c r="S140">
        <v>0.92</v>
      </c>
      <c r="T140">
        <v>0.92</v>
      </c>
      <c r="U140">
        <v>0.92</v>
      </c>
      <c r="V140">
        <v>0.92</v>
      </c>
    </row>
    <row r="141" spans="1:22" x14ac:dyDescent="0.3">
      <c r="A141" t="s">
        <v>57</v>
      </c>
      <c r="B141">
        <v>3</v>
      </c>
      <c r="C141">
        <v>100</v>
      </c>
      <c r="D141">
        <v>100</v>
      </c>
      <c r="E141">
        <v>100</v>
      </c>
      <c r="F141">
        <v>100</v>
      </c>
      <c r="G141">
        <v>100</v>
      </c>
      <c r="H141">
        <v>100</v>
      </c>
      <c r="I141">
        <v>100</v>
      </c>
      <c r="J141">
        <v>100</v>
      </c>
      <c r="Q141">
        <v>100</v>
      </c>
      <c r="R141">
        <v>100</v>
      </c>
      <c r="S141">
        <v>100</v>
      </c>
      <c r="T141">
        <v>100</v>
      </c>
      <c r="U141">
        <v>100</v>
      </c>
      <c r="V141">
        <v>100</v>
      </c>
    </row>
    <row r="142" spans="1:22" x14ac:dyDescent="0.3">
      <c r="A142" t="s">
        <v>58</v>
      </c>
      <c r="B142">
        <v>3</v>
      </c>
      <c r="C142">
        <v>2</v>
      </c>
      <c r="D142">
        <v>2</v>
      </c>
      <c r="E142">
        <v>2</v>
      </c>
      <c r="F142">
        <v>2</v>
      </c>
      <c r="G142">
        <v>2</v>
      </c>
      <c r="H142">
        <v>2</v>
      </c>
      <c r="I142">
        <v>2</v>
      </c>
      <c r="J142">
        <v>2</v>
      </c>
      <c r="Q142">
        <v>2</v>
      </c>
      <c r="R142">
        <v>2</v>
      </c>
      <c r="S142">
        <v>2</v>
      </c>
      <c r="T142">
        <v>2</v>
      </c>
      <c r="U142">
        <v>2</v>
      </c>
      <c r="V142">
        <v>2</v>
      </c>
    </row>
    <row r="143" spans="1:22" x14ac:dyDescent="0.3">
      <c r="A143" t="s">
        <v>59</v>
      </c>
      <c r="B143">
        <v>3</v>
      </c>
      <c r="C143">
        <v>0</v>
      </c>
      <c r="D143">
        <v>0</v>
      </c>
      <c r="E143">
        <v>0</v>
      </c>
      <c r="F143">
        <v>0</v>
      </c>
      <c r="G143">
        <v>0</v>
      </c>
      <c r="H143">
        <v>0</v>
      </c>
      <c r="I143">
        <v>0</v>
      </c>
      <c r="J143">
        <v>0</v>
      </c>
      <c r="Q143">
        <v>0</v>
      </c>
      <c r="R143">
        <v>0</v>
      </c>
      <c r="S143">
        <v>0</v>
      </c>
      <c r="T143">
        <v>0</v>
      </c>
      <c r="U143">
        <v>0</v>
      </c>
      <c r="V143">
        <v>0</v>
      </c>
    </row>
    <row r="144" spans="1:22" x14ac:dyDescent="0.3">
      <c r="A144" t="s">
        <v>635</v>
      </c>
      <c r="B144">
        <v>3</v>
      </c>
      <c r="E144">
        <v>0</v>
      </c>
      <c r="I144">
        <v>0</v>
      </c>
      <c r="R144">
        <v>0</v>
      </c>
      <c r="U144">
        <v>0</v>
      </c>
    </row>
    <row r="145" spans="1:22" x14ac:dyDescent="0.3">
      <c r="A145" t="s">
        <v>574</v>
      </c>
      <c r="B145">
        <v>3</v>
      </c>
      <c r="E145">
        <v>434</v>
      </c>
      <c r="I145">
        <v>2890</v>
      </c>
      <c r="R145">
        <v>1381</v>
      </c>
      <c r="U145">
        <v>1438</v>
      </c>
    </row>
    <row r="146" spans="1:22" x14ac:dyDescent="0.3">
      <c r="A146" t="s">
        <v>78</v>
      </c>
      <c r="B146">
        <v>3</v>
      </c>
      <c r="E146">
        <v>6.6</v>
      </c>
      <c r="I146">
        <v>43.8</v>
      </c>
      <c r="R146">
        <v>31.4</v>
      </c>
      <c r="U146">
        <v>32.700000000000003</v>
      </c>
    </row>
    <row r="147" spans="1:22" x14ac:dyDescent="0.3">
      <c r="A147" t="s">
        <v>636</v>
      </c>
      <c r="B147">
        <v>3</v>
      </c>
      <c r="F147">
        <v>1</v>
      </c>
      <c r="J147">
        <v>0</v>
      </c>
      <c r="S147">
        <v>1</v>
      </c>
      <c r="V147">
        <v>0</v>
      </c>
    </row>
    <row r="148" spans="1:22" x14ac:dyDescent="0.3">
      <c r="A148" t="s">
        <v>637</v>
      </c>
      <c r="B148">
        <v>3</v>
      </c>
      <c r="F148">
        <v>50</v>
      </c>
      <c r="S148">
        <v>100</v>
      </c>
    </row>
    <row r="149" spans="1:22" x14ac:dyDescent="0.3">
      <c r="A149" t="s">
        <v>638</v>
      </c>
      <c r="B149">
        <v>3</v>
      </c>
      <c r="F149">
        <v>0</v>
      </c>
      <c r="S149">
        <v>0</v>
      </c>
    </row>
    <row r="150" spans="1:22" x14ac:dyDescent="0.3">
      <c r="A150" t="s">
        <v>639</v>
      </c>
      <c r="B150">
        <v>3</v>
      </c>
      <c r="C150">
        <v>3</v>
      </c>
      <c r="D150">
        <v>0</v>
      </c>
      <c r="E150">
        <v>0</v>
      </c>
      <c r="F150">
        <v>1</v>
      </c>
      <c r="G150">
        <v>3</v>
      </c>
      <c r="H150">
        <v>0</v>
      </c>
      <c r="I150">
        <v>0</v>
      </c>
      <c r="J150">
        <v>1</v>
      </c>
      <c r="Q150">
        <v>0</v>
      </c>
      <c r="R150">
        <v>0</v>
      </c>
      <c r="S150">
        <v>1</v>
      </c>
      <c r="T150">
        <v>0</v>
      </c>
      <c r="U150">
        <v>0</v>
      </c>
      <c r="V150">
        <v>1</v>
      </c>
    </row>
    <row r="151" spans="1:22" x14ac:dyDescent="0.3">
      <c r="A151" t="s">
        <v>640</v>
      </c>
      <c r="B151">
        <v>3</v>
      </c>
      <c r="C151">
        <v>0</v>
      </c>
      <c r="D151">
        <v>0</v>
      </c>
      <c r="E151">
        <v>0</v>
      </c>
      <c r="F151">
        <v>0</v>
      </c>
      <c r="G151">
        <v>0</v>
      </c>
      <c r="H151">
        <v>0</v>
      </c>
      <c r="I151">
        <v>0</v>
      </c>
      <c r="J151">
        <v>0</v>
      </c>
      <c r="Q151">
        <v>0</v>
      </c>
      <c r="R151">
        <v>0</v>
      </c>
      <c r="S151">
        <v>0</v>
      </c>
      <c r="T151">
        <v>0</v>
      </c>
      <c r="U151">
        <v>0</v>
      </c>
      <c r="V151">
        <v>0</v>
      </c>
    </row>
    <row r="152" spans="1:22" x14ac:dyDescent="0.3">
      <c r="A152" t="s">
        <v>52</v>
      </c>
      <c r="B152">
        <v>3</v>
      </c>
      <c r="C152">
        <v>1</v>
      </c>
      <c r="D152">
        <v>1</v>
      </c>
      <c r="E152">
        <v>1</v>
      </c>
      <c r="F152">
        <v>1</v>
      </c>
      <c r="G152">
        <v>1</v>
      </c>
      <c r="H152">
        <v>1</v>
      </c>
      <c r="I152">
        <v>1</v>
      </c>
      <c r="J152">
        <v>1</v>
      </c>
      <c r="Q152">
        <v>1</v>
      </c>
      <c r="R152">
        <v>1</v>
      </c>
      <c r="S152">
        <v>1</v>
      </c>
      <c r="T152">
        <v>1</v>
      </c>
      <c r="U152">
        <v>1</v>
      </c>
      <c r="V152">
        <v>1</v>
      </c>
    </row>
    <row r="153" spans="1:22" x14ac:dyDescent="0.3">
      <c r="A153" t="s">
        <v>641</v>
      </c>
      <c r="B153">
        <v>3</v>
      </c>
      <c r="C153">
        <v>9</v>
      </c>
      <c r="D153">
        <v>15</v>
      </c>
      <c r="E153">
        <v>60</v>
      </c>
      <c r="F153">
        <v>9</v>
      </c>
      <c r="G153">
        <v>9</v>
      </c>
      <c r="H153">
        <v>15</v>
      </c>
      <c r="I153">
        <v>60</v>
      </c>
      <c r="J153">
        <v>9</v>
      </c>
      <c r="Q153">
        <v>15</v>
      </c>
      <c r="R153">
        <v>60</v>
      </c>
      <c r="S153">
        <v>9</v>
      </c>
      <c r="T153">
        <v>15</v>
      </c>
      <c r="U153">
        <v>60</v>
      </c>
      <c r="V153">
        <v>9</v>
      </c>
    </row>
    <row r="154" spans="1:22" x14ac:dyDescent="0.3">
      <c r="A154" t="s">
        <v>43</v>
      </c>
      <c r="B154">
        <v>3</v>
      </c>
      <c r="D154">
        <v>40</v>
      </c>
      <c r="E154">
        <v>336</v>
      </c>
      <c r="H154">
        <v>40</v>
      </c>
      <c r="I154">
        <v>336</v>
      </c>
      <c r="J154">
        <v>0</v>
      </c>
      <c r="Q154">
        <v>40</v>
      </c>
      <c r="R154">
        <v>40</v>
      </c>
      <c r="S154">
        <v>0</v>
      </c>
      <c r="T154">
        <v>40</v>
      </c>
      <c r="U154">
        <v>40</v>
      </c>
    </row>
    <row r="155" spans="1:22" x14ac:dyDescent="0.3">
      <c r="A155" t="s">
        <v>44</v>
      </c>
      <c r="B155">
        <v>3</v>
      </c>
      <c r="D155">
        <v>0</v>
      </c>
      <c r="E155">
        <v>0</v>
      </c>
      <c r="H155">
        <v>0</v>
      </c>
      <c r="I155">
        <v>0</v>
      </c>
      <c r="J155">
        <v>0</v>
      </c>
      <c r="Q155">
        <v>0</v>
      </c>
      <c r="R155">
        <v>0</v>
      </c>
      <c r="S155">
        <v>0</v>
      </c>
      <c r="T155">
        <v>0</v>
      </c>
      <c r="U155">
        <v>0</v>
      </c>
    </row>
    <row r="156" spans="1:22" x14ac:dyDescent="0.3">
      <c r="A156" t="s">
        <v>47</v>
      </c>
      <c r="B156">
        <v>3</v>
      </c>
      <c r="D156">
        <v>5</v>
      </c>
      <c r="E156">
        <v>2</v>
      </c>
      <c r="H156">
        <v>1</v>
      </c>
      <c r="I156">
        <v>6</v>
      </c>
      <c r="J156">
        <v>6</v>
      </c>
      <c r="Q156">
        <v>8</v>
      </c>
      <c r="R156">
        <v>8</v>
      </c>
      <c r="S156">
        <v>8</v>
      </c>
      <c r="T156">
        <v>4</v>
      </c>
      <c r="U156">
        <v>4</v>
      </c>
    </row>
    <row r="157" spans="1:22" x14ac:dyDescent="0.3">
      <c r="A157" t="s">
        <v>642</v>
      </c>
      <c r="B157">
        <v>3</v>
      </c>
      <c r="D157">
        <v>0</v>
      </c>
      <c r="E157">
        <v>0</v>
      </c>
      <c r="H157">
        <v>0</v>
      </c>
      <c r="I157">
        <v>0</v>
      </c>
      <c r="J157">
        <v>0</v>
      </c>
      <c r="Q157">
        <v>0</v>
      </c>
      <c r="R157">
        <v>0</v>
      </c>
      <c r="S157">
        <v>0</v>
      </c>
      <c r="T157">
        <v>0</v>
      </c>
      <c r="U157">
        <v>0</v>
      </c>
    </row>
    <row r="158" spans="1:22" x14ac:dyDescent="0.3">
      <c r="A158" t="s">
        <v>643</v>
      </c>
      <c r="B158">
        <v>3</v>
      </c>
      <c r="D158">
        <v>0</v>
      </c>
      <c r="E158">
        <v>0</v>
      </c>
      <c r="H158">
        <v>0</v>
      </c>
      <c r="I158">
        <v>0</v>
      </c>
      <c r="J158">
        <v>0</v>
      </c>
      <c r="Q158">
        <v>0</v>
      </c>
      <c r="R158">
        <v>0</v>
      </c>
      <c r="S158">
        <v>0</v>
      </c>
      <c r="T158">
        <v>0</v>
      </c>
      <c r="U158">
        <v>0</v>
      </c>
    </row>
    <row r="159" spans="1:22" x14ac:dyDescent="0.3">
      <c r="A159" t="s">
        <v>644</v>
      </c>
      <c r="B159">
        <v>3</v>
      </c>
      <c r="D159">
        <v>0</v>
      </c>
      <c r="E159">
        <v>0</v>
      </c>
      <c r="H159">
        <v>0</v>
      </c>
      <c r="I159">
        <v>0</v>
      </c>
      <c r="J159">
        <v>0</v>
      </c>
      <c r="Q159">
        <v>0</v>
      </c>
      <c r="R159">
        <v>0</v>
      </c>
      <c r="S159">
        <v>0</v>
      </c>
      <c r="T159">
        <v>0</v>
      </c>
      <c r="U159">
        <v>0</v>
      </c>
    </row>
    <row r="160" spans="1:22" x14ac:dyDescent="0.3">
      <c r="A160" t="s">
        <v>645</v>
      </c>
      <c r="B160">
        <v>3</v>
      </c>
      <c r="D160">
        <v>0</v>
      </c>
      <c r="E160">
        <v>0</v>
      </c>
      <c r="H160">
        <v>0</v>
      </c>
      <c r="I160">
        <v>0</v>
      </c>
      <c r="J160">
        <v>0</v>
      </c>
      <c r="Q160">
        <v>0</v>
      </c>
      <c r="R160">
        <v>0</v>
      </c>
      <c r="S160">
        <v>0</v>
      </c>
      <c r="T160">
        <v>0</v>
      </c>
      <c r="U160">
        <v>0</v>
      </c>
    </row>
    <row r="161" spans="1:22" x14ac:dyDescent="0.3">
      <c r="A161" t="s">
        <v>646</v>
      </c>
      <c r="B161">
        <v>3</v>
      </c>
      <c r="D161">
        <v>1</v>
      </c>
      <c r="E161">
        <v>2</v>
      </c>
      <c r="H161">
        <v>1</v>
      </c>
      <c r="I161">
        <v>2</v>
      </c>
      <c r="J161">
        <v>1</v>
      </c>
      <c r="Q161">
        <v>1</v>
      </c>
      <c r="R161">
        <v>1</v>
      </c>
      <c r="S161">
        <v>1</v>
      </c>
      <c r="T161">
        <v>1</v>
      </c>
      <c r="U161">
        <v>1</v>
      </c>
    </row>
    <row r="162" spans="1:22" x14ac:dyDescent="0.3">
      <c r="A162" t="s">
        <v>647</v>
      </c>
      <c r="B162">
        <v>3</v>
      </c>
      <c r="D162">
        <v>0</v>
      </c>
      <c r="E162">
        <v>330</v>
      </c>
      <c r="H162">
        <v>0</v>
      </c>
      <c r="I162">
        <v>330</v>
      </c>
      <c r="J162">
        <v>0</v>
      </c>
      <c r="Q162">
        <v>0</v>
      </c>
      <c r="R162">
        <v>0</v>
      </c>
      <c r="S162">
        <v>0</v>
      </c>
      <c r="T162">
        <v>0</v>
      </c>
      <c r="U162">
        <v>0</v>
      </c>
    </row>
    <row r="163" spans="1:22" x14ac:dyDescent="0.3">
      <c r="A163" t="s">
        <v>648</v>
      </c>
      <c r="B163">
        <v>3</v>
      </c>
      <c r="D163">
        <v>40</v>
      </c>
      <c r="E163">
        <v>6</v>
      </c>
      <c r="H163">
        <v>40</v>
      </c>
      <c r="I163">
        <v>6</v>
      </c>
      <c r="J163">
        <v>0</v>
      </c>
      <c r="Q163">
        <v>40</v>
      </c>
      <c r="R163">
        <v>40</v>
      </c>
      <c r="S163">
        <v>0</v>
      </c>
      <c r="T163">
        <v>40</v>
      </c>
      <c r="U163">
        <v>40</v>
      </c>
    </row>
    <row r="164" spans="1:22" x14ac:dyDescent="0.3">
      <c r="A164" t="s">
        <v>649</v>
      </c>
      <c r="B164">
        <v>3</v>
      </c>
      <c r="D164">
        <v>3</v>
      </c>
      <c r="E164">
        <v>3</v>
      </c>
      <c r="H164">
        <v>3</v>
      </c>
      <c r="I164">
        <v>3</v>
      </c>
      <c r="J164">
        <v>3</v>
      </c>
      <c r="Q164">
        <v>3</v>
      </c>
      <c r="R164">
        <v>3</v>
      </c>
      <c r="S164">
        <v>3</v>
      </c>
      <c r="T164">
        <v>3</v>
      </c>
      <c r="U164">
        <v>3</v>
      </c>
    </row>
    <row r="165" spans="1:22" x14ac:dyDescent="0.3">
      <c r="A165" t="s">
        <v>650</v>
      </c>
      <c r="B165">
        <v>3</v>
      </c>
      <c r="D165">
        <v>0</v>
      </c>
      <c r="E165">
        <v>0</v>
      </c>
      <c r="H165">
        <v>0</v>
      </c>
      <c r="I165">
        <v>0</v>
      </c>
      <c r="J165">
        <v>0</v>
      </c>
      <c r="Q165">
        <v>0</v>
      </c>
      <c r="R165">
        <v>0</v>
      </c>
      <c r="S165">
        <v>0</v>
      </c>
      <c r="T165">
        <v>0</v>
      </c>
      <c r="U165">
        <v>0</v>
      </c>
    </row>
    <row r="166" spans="1:22" x14ac:dyDescent="0.3">
      <c r="A166" t="s">
        <v>651</v>
      </c>
      <c r="B166">
        <v>3</v>
      </c>
      <c r="D166">
        <v>0</v>
      </c>
      <c r="E166">
        <v>0</v>
      </c>
      <c r="H166">
        <v>0</v>
      </c>
      <c r="I166">
        <v>0</v>
      </c>
      <c r="J166">
        <v>0</v>
      </c>
      <c r="Q166">
        <v>0</v>
      </c>
      <c r="R166">
        <v>0</v>
      </c>
      <c r="S166">
        <v>0</v>
      </c>
      <c r="T166">
        <v>0</v>
      </c>
      <c r="U166">
        <v>0</v>
      </c>
    </row>
    <row r="167" spans="1:22" x14ac:dyDescent="0.3">
      <c r="A167" t="s">
        <v>652</v>
      </c>
      <c r="B167">
        <v>3</v>
      </c>
      <c r="D167">
        <v>0</v>
      </c>
      <c r="E167">
        <v>0</v>
      </c>
      <c r="H167">
        <v>0</v>
      </c>
      <c r="I167">
        <v>0</v>
      </c>
      <c r="J167">
        <v>0</v>
      </c>
      <c r="Q167">
        <v>0</v>
      </c>
      <c r="R167">
        <v>0</v>
      </c>
      <c r="S167">
        <v>0</v>
      </c>
      <c r="T167">
        <v>0</v>
      </c>
      <c r="U167">
        <v>0</v>
      </c>
    </row>
    <row r="168" spans="1:22" x14ac:dyDescent="0.3">
      <c r="A168" t="s">
        <v>653</v>
      </c>
      <c r="B168">
        <v>3</v>
      </c>
      <c r="E168">
        <v>0</v>
      </c>
      <c r="I168">
        <v>0</v>
      </c>
    </row>
    <row r="169" spans="1:22" x14ac:dyDescent="0.3">
      <c r="A169" t="s">
        <v>654</v>
      </c>
      <c r="B169">
        <v>3</v>
      </c>
      <c r="E169">
        <v>0</v>
      </c>
      <c r="I169">
        <v>0</v>
      </c>
    </row>
    <row r="170" spans="1:22" x14ac:dyDescent="0.3">
      <c r="A170" t="s">
        <v>655</v>
      </c>
      <c r="B170">
        <v>3</v>
      </c>
      <c r="E170">
        <v>3</v>
      </c>
      <c r="I170">
        <v>3</v>
      </c>
    </row>
    <row r="171" spans="1:22" x14ac:dyDescent="0.3">
      <c r="A171" t="s">
        <v>656</v>
      </c>
      <c r="B171">
        <v>3</v>
      </c>
      <c r="E171">
        <v>0</v>
      </c>
      <c r="I171">
        <v>0</v>
      </c>
    </row>
    <row r="172" spans="1:22" x14ac:dyDescent="0.3">
      <c r="A172" t="s">
        <v>657</v>
      </c>
      <c r="B172">
        <v>3</v>
      </c>
      <c r="E172">
        <v>0</v>
      </c>
      <c r="I172">
        <v>0</v>
      </c>
      <c r="R172">
        <v>0</v>
      </c>
      <c r="U172">
        <v>0</v>
      </c>
    </row>
    <row r="173" spans="1:22" x14ac:dyDescent="0.3">
      <c r="A173" t="s">
        <v>408</v>
      </c>
      <c r="B173">
        <v>3</v>
      </c>
      <c r="E173">
        <v>0</v>
      </c>
    </row>
    <row r="174" spans="1:22" x14ac:dyDescent="0.3">
      <c r="A174" t="s">
        <v>658</v>
      </c>
      <c r="B174">
        <v>3</v>
      </c>
      <c r="C174">
        <v>0</v>
      </c>
      <c r="D174">
        <v>135</v>
      </c>
      <c r="E174">
        <v>1048</v>
      </c>
      <c r="F174">
        <v>0</v>
      </c>
      <c r="G174">
        <v>0</v>
      </c>
      <c r="H174">
        <v>36</v>
      </c>
      <c r="I174">
        <v>449</v>
      </c>
      <c r="J174">
        <v>8</v>
      </c>
      <c r="Q174">
        <v>7</v>
      </c>
      <c r="R174">
        <v>220</v>
      </c>
      <c r="S174">
        <v>137</v>
      </c>
      <c r="T174">
        <v>26</v>
      </c>
      <c r="U174">
        <v>164</v>
      </c>
      <c r="V174">
        <v>0</v>
      </c>
    </row>
    <row r="175" spans="1:22" x14ac:dyDescent="0.3">
      <c r="A175" t="s">
        <v>34</v>
      </c>
      <c r="B175">
        <v>4</v>
      </c>
      <c r="C175">
        <v>3</v>
      </c>
      <c r="D175">
        <v>3</v>
      </c>
      <c r="E175">
        <v>3</v>
      </c>
      <c r="F175">
        <v>3</v>
      </c>
      <c r="G175">
        <v>5</v>
      </c>
      <c r="H175">
        <v>5</v>
      </c>
      <c r="I175">
        <v>5</v>
      </c>
      <c r="J175">
        <v>5</v>
      </c>
      <c r="K175">
        <v>108</v>
      </c>
      <c r="L175">
        <v>108</v>
      </c>
      <c r="M175">
        <v>108</v>
      </c>
      <c r="N175">
        <v>6</v>
      </c>
      <c r="O175">
        <v>6</v>
      </c>
      <c r="P175">
        <v>6</v>
      </c>
    </row>
    <row r="176" spans="1:22" x14ac:dyDescent="0.3">
      <c r="A176" t="s">
        <v>35</v>
      </c>
      <c r="B176">
        <v>4</v>
      </c>
      <c r="C176">
        <v>3</v>
      </c>
      <c r="D176">
        <v>108</v>
      </c>
      <c r="E176">
        <v>5</v>
      </c>
      <c r="F176">
        <v>6</v>
      </c>
      <c r="G176">
        <v>5</v>
      </c>
      <c r="H176">
        <v>6</v>
      </c>
      <c r="I176">
        <v>3</v>
      </c>
      <c r="J176">
        <v>108</v>
      </c>
      <c r="K176">
        <v>5</v>
      </c>
      <c r="L176">
        <v>6</v>
      </c>
      <c r="M176">
        <v>3</v>
      </c>
      <c r="N176">
        <v>3</v>
      </c>
      <c r="O176">
        <v>108</v>
      </c>
      <c r="P176">
        <v>5</v>
      </c>
    </row>
    <row r="177" spans="1:16" x14ac:dyDescent="0.3">
      <c r="A177" t="s">
        <v>36</v>
      </c>
      <c r="B177">
        <v>4</v>
      </c>
      <c r="C177">
        <v>0</v>
      </c>
      <c r="D177">
        <v>0</v>
      </c>
      <c r="E177">
        <v>2</v>
      </c>
      <c r="F177">
        <v>0</v>
      </c>
      <c r="G177">
        <v>0</v>
      </c>
      <c r="H177">
        <v>1</v>
      </c>
      <c r="I177">
        <v>2</v>
      </c>
      <c r="J177">
        <v>0</v>
      </c>
      <c r="K177">
        <v>1</v>
      </c>
      <c r="L177">
        <v>2</v>
      </c>
      <c r="M177">
        <v>0</v>
      </c>
      <c r="N177">
        <v>0</v>
      </c>
      <c r="O177">
        <v>0</v>
      </c>
      <c r="P177">
        <v>0</v>
      </c>
    </row>
    <row r="178" spans="1:16" x14ac:dyDescent="0.3">
      <c r="A178" t="s">
        <v>37</v>
      </c>
      <c r="B178">
        <v>4</v>
      </c>
      <c r="D178">
        <v>0</v>
      </c>
      <c r="E178">
        <v>2</v>
      </c>
      <c r="H178">
        <v>0</v>
      </c>
      <c r="I178">
        <v>0</v>
      </c>
      <c r="K178">
        <v>0</v>
      </c>
      <c r="L178">
        <v>3</v>
      </c>
      <c r="N178">
        <v>0</v>
      </c>
      <c r="O178">
        <v>0</v>
      </c>
    </row>
    <row r="179" spans="1:16" x14ac:dyDescent="0.3">
      <c r="A179" t="s">
        <v>38</v>
      </c>
      <c r="B179">
        <v>4</v>
      </c>
      <c r="C179">
        <v>12</v>
      </c>
      <c r="D179">
        <v>12</v>
      </c>
      <c r="E179">
        <v>12</v>
      </c>
      <c r="F179">
        <v>12</v>
      </c>
      <c r="G179">
        <v>12</v>
      </c>
      <c r="H179">
        <v>12</v>
      </c>
      <c r="I179">
        <v>12</v>
      </c>
      <c r="J179">
        <v>12</v>
      </c>
      <c r="K179">
        <v>12</v>
      </c>
      <c r="L179">
        <v>12</v>
      </c>
      <c r="M179">
        <v>12</v>
      </c>
      <c r="N179">
        <v>12</v>
      </c>
      <c r="O179">
        <v>12</v>
      </c>
      <c r="P179">
        <v>12</v>
      </c>
    </row>
    <row r="180" spans="1:16" x14ac:dyDescent="0.3">
      <c r="A180" t="s">
        <v>39</v>
      </c>
      <c r="B180">
        <v>4</v>
      </c>
      <c r="H180">
        <v>150</v>
      </c>
    </row>
    <row r="181" spans="1:16" x14ac:dyDescent="0.3">
      <c r="A181" t="s">
        <v>631</v>
      </c>
      <c r="B181">
        <v>4</v>
      </c>
      <c r="H181">
        <v>25</v>
      </c>
    </row>
    <row r="182" spans="1:16" x14ac:dyDescent="0.3">
      <c r="A182" t="s">
        <v>40</v>
      </c>
      <c r="B182">
        <v>4</v>
      </c>
      <c r="H182">
        <v>1</v>
      </c>
    </row>
    <row r="183" spans="1:16" x14ac:dyDescent="0.3">
      <c r="A183" t="s">
        <v>41</v>
      </c>
      <c r="B183">
        <v>4</v>
      </c>
    </row>
    <row r="184" spans="1:16" x14ac:dyDescent="0.3">
      <c r="A184" t="s">
        <v>42</v>
      </c>
      <c r="B184">
        <v>4</v>
      </c>
      <c r="E184">
        <v>45</v>
      </c>
      <c r="I184">
        <v>35</v>
      </c>
      <c r="L184">
        <v>30</v>
      </c>
      <c r="O184">
        <v>30</v>
      </c>
    </row>
    <row r="185" spans="1:16" x14ac:dyDescent="0.3">
      <c r="A185" t="s">
        <v>45</v>
      </c>
      <c r="B185">
        <v>4</v>
      </c>
      <c r="E185">
        <v>6</v>
      </c>
      <c r="H185">
        <v>5</v>
      </c>
      <c r="I185">
        <v>2</v>
      </c>
      <c r="K185">
        <v>4</v>
      </c>
      <c r="L185">
        <v>4</v>
      </c>
    </row>
    <row r="186" spans="1:16" x14ac:dyDescent="0.3">
      <c r="A186" t="s">
        <v>46</v>
      </c>
      <c r="B186">
        <v>4</v>
      </c>
      <c r="H186">
        <v>2</v>
      </c>
    </row>
    <row r="187" spans="1:16" x14ac:dyDescent="0.3">
      <c r="A187" t="s">
        <v>49</v>
      </c>
      <c r="B187">
        <v>4</v>
      </c>
      <c r="C187">
        <v>4</v>
      </c>
      <c r="D187">
        <v>4</v>
      </c>
      <c r="E187">
        <v>5.6</v>
      </c>
      <c r="F187">
        <v>4</v>
      </c>
      <c r="G187">
        <v>4</v>
      </c>
      <c r="H187">
        <v>5.6</v>
      </c>
      <c r="I187">
        <v>5.6</v>
      </c>
      <c r="J187">
        <v>4</v>
      </c>
      <c r="K187">
        <v>6.1</v>
      </c>
      <c r="L187">
        <v>6.1</v>
      </c>
      <c r="M187">
        <v>4</v>
      </c>
      <c r="N187">
        <v>4</v>
      </c>
      <c r="O187">
        <v>4</v>
      </c>
      <c r="P187">
        <v>4</v>
      </c>
    </row>
    <row r="188" spans="1:16" x14ac:dyDescent="0.3">
      <c r="A188" t="s">
        <v>632</v>
      </c>
      <c r="B188">
        <v>4</v>
      </c>
      <c r="C188">
        <v>0</v>
      </c>
      <c r="D188">
        <v>0</v>
      </c>
      <c r="E188">
        <v>0</v>
      </c>
      <c r="F188">
        <v>0</v>
      </c>
      <c r="G188">
        <v>0</v>
      </c>
      <c r="H188">
        <v>0</v>
      </c>
      <c r="I188">
        <v>0</v>
      </c>
      <c r="J188">
        <v>0</v>
      </c>
      <c r="K188">
        <v>0</v>
      </c>
      <c r="L188">
        <v>0</v>
      </c>
      <c r="M188">
        <v>0</v>
      </c>
      <c r="N188">
        <v>0</v>
      </c>
      <c r="O188">
        <v>0</v>
      </c>
      <c r="P188">
        <v>0</v>
      </c>
    </row>
    <row r="189" spans="1:16" x14ac:dyDescent="0.3">
      <c r="A189" t="s">
        <v>48</v>
      </c>
      <c r="B189">
        <v>4</v>
      </c>
      <c r="C189">
        <v>1900</v>
      </c>
      <c r="D189">
        <v>1900</v>
      </c>
      <c r="E189">
        <v>1900</v>
      </c>
      <c r="F189">
        <v>1900</v>
      </c>
      <c r="G189">
        <v>1900</v>
      </c>
      <c r="H189">
        <v>1900</v>
      </c>
      <c r="I189">
        <v>1900</v>
      </c>
      <c r="J189">
        <v>1900</v>
      </c>
      <c r="K189">
        <v>1900</v>
      </c>
      <c r="L189">
        <v>1900</v>
      </c>
      <c r="M189">
        <v>1900</v>
      </c>
      <c r="N189">
        <v>1900</v>
      </c>
      <c r="O189">
        <v>1900</v>
      </c>
      <c r="P189">
        <v>1900</v>
      </c>
    </row>
    <row r="190" spans="1:16" x14ac:dyDescent="0.3">
      <c r="A190" t="s">
        <v>633</v>
      </c>
      <c r="B190">
        <v>4</v>
      </c>
      <c r="C190">
        <v>0</v>
      </c>
      <c r="D190">
        <v>0</v>
      </c>
      <c r="E190">
        <v>3486</v>
      </c>
      <c r="F190">
        <v>0</v>
      </c>
      <c r="G190">
        <v>0</v>
      </c>
      <c r="H190">
        <v>1770</v>
      </c>
      <c r="I190">
        <v>3539</v>
      </c>
      <c r="J190">
        <v>0</v>
      </c>
      <c r="K190">
        <v>1610</v>
      </c>
      <c r="L190">
        <v>3333</v>
      </c>
      <c r="M190">
        <v>0</v>
      </c>
      <c r="N190">
        <v>0</v>
      </c>
      <c r="O190">
        <v>0</v>
      </c>
      <c r="P190">
        <v>0</v>
      </c>
    </row>
    <row r="191" spans="1:16" x14ac:dyDescent="0.3">
      <c r="A191" t="s">
        <v>50</v>
      </c>
      <c r="B191">
        <v>4</v>
      </c>
      <c r="C191">
        <v>0</v>
      </c>
      <c r="D191">
        <v>0</v>
      </c>
      <c r="E191">
        <v>3486</v>
      </c>
      <c r="F191">
        <v>0</v>
      </c>
      <c r="G191">
        <v>0</v>
      </c>
      <c r="H191">
        <v>177</v>
      </c>
      <c r="I191">
        <v>3539</v>
      </c>
      <c r="J191">
        <v>0</v>
      </c>
      <c r="K191">
        <v>1610</v>
      </c>
      <c r="L191">
        <v>3333</v>
      </c>
      <c r="M191">
        <v>0</v>
      </c>
      <c r="N191">
        <v>0</v>
      </c>
      <c r="O191">
        <v>0</v>
      </c>
      <c r="P191">
        <v>0</v>
      </c>
    </row>
    <row r="192" spans="1:16" x14ac:dyDescent="0.3">
      <c r="A192" t="s">
        <v>634</v>
      </c>
      <c r="B192">
        <v>4</v>
      </c>
      <c r="C192">
        <v>1</v>
      </c>
      <c r="D192">
        <v>1</v>
      </c>
      <c r="E192">
        <v>1</v>
      </c>
      <c r="F192">
        <v>1</v>
      </c>
      <c r="G192">
        <v>1</v>
      </c>
      <c r="H192">
        <v>1</v>
      </c>
      <c r="I192">
        <v>1</v>
      </c>
      <c r="J192">
        <v>1</v>
      </c>
      <c r="K192">
        <v>1</v>
      </c>
      <c r="L192">
        <v>1</v>
      </c>
      <c r="M192">
        <v>1</v>
      </c>
      <c r="N192">
        <v>1</v>
      </c>
      <c r="O192">
        <v>1</v>
      </c>
      <c r="P192">
        <v>1</v>
      </c>
    </row>
    <row r="193" spans="1:16" x14ac:dyDescent="0.3">
      <c r="A193" t="s">
        <v>51</v>
      </c>
      <c r="B193">
        <v>4</v>
      </c>
      <c r="C193">
        <v>0</v>
      </c>
      <c r="D193">
        <v>0</v>
      </c>
      <c r="E193">
        <v>13</v>
      </c>
      <c r="F193">
        <v>0</v>
      </c>
      <c r="G193">
        <v>0</v>
      </c>
      <c r="H193">
        <v>0</v>
      </c>
      <c r="I193">
        <v>0</v>
      </c>
      <c r="J193">
        <v>0</v>
      </c>
      <c r="K193">
        <v>0</v>
      </c>
      <c r="L193">
        <v>5</v>
      </c>
      <c r="M193">
        <v>0</v>
      </c>
      <c r="N193">
        <v>0</v>
      </c>
      <c r="O193">
        <v>0</v>
      </c>
      <c r="P193">
        <v>0</v>
      </c>
    </row>
    <row r="194" spans="1:16" x14ac:dyDescent="0.3">
      <c r="A194" t="s">
        <v>53</v>
      </c>
      <c r="B194">
        <v>4</v>
      </c>
      <c r="C194">
        <v>0</v>
      </c>
      <c r="D194">
        <v>0</v>
      </c>
      <c r="E194">
        <v>1160</v>
      </c>
      <c r="F194">
        <v>124</v>
      </c>
      <c r="G194">
        <v>0</v>
      </c>
      <c r="H194">
        <v>80</v>
      </c>
      <c r="I194">
        <v>565</v>
      </c>
      <c r="J194">
        <v>0</v>
      </c>
      <c r="K194">
        <v>396</v>
      </c>
      <c r="L194">
        <v>490</v>
      </c>
      <c r="M194">
        <v>39</v>
      </c>
      <c r="N194">
        <v>0</v>
      </c>
      <c r="O194">
        <v>0</v>
      </c>
      <c r="P194">
        <v>0</v>
      </c>
    </row>
    <row r="195" spans="1:16" x14ac:dyDescent="0.3">
      <c r="A195" t="s">
        <v>54</v>
      </c>
      <c r="B195">
        <v>4</v>
      </c>
      <c r="C195">
        <v>0</v>
      </c>
      <c r="D195">
        <v>0</v>
      </c>
      <c r="E195">
        <v>0</v>
      </c>
      <c r="F195">
        <v>0</v>
      </c>
      <c r="G195">
        <v>0</v>
      </c>
      <c r="H195">
        <v>0</v>
      </c>
      <c r="I195">
        <v>0</v>
      </c>
      <c r="J195">
        <v>0</v>
      </c>
      <c r="K195">
        <v>0</v>
      </c>
      <c r="L195">
        <v>0</v>
      </c>
      <c r="M195">
        <v>0</v>
      </c>
      <c r="N195">
        <v>0</v>
      </c>
      <c r="O195">
        <v>0</v>
      </c>
      <c r="P195">
        <v>0</v>
      </c>
    </row>
    <row r="196" spans="1:16" x14ac:dyDescent="0.3">
      <c r="A196" t="s">
        <v>55</v>
      </c>
      <c r="B196">
        <v>4</v>
      </c>
      <c r="C196">
        <v>0</v>
      </c>
      <c r="D196">
        <v>0</v>
      </c>
      <c r="E196">
        <v>0</v>
      </c>
      <c r="F196">
        <v>0</v>
      </c>
      <c r="G196">
        <v>0</v>
      </c>
      <c r="H196">
        <v>0</v>
      </c>
      <c r="I196">
        <v>0</v>
      </c>
      <c r="J196">
        <v>0</v>
      </c>
      <c r="K196">
        <v>0</v>
      </c>
      <c r="L196">
        <v>0</v>
      </c>
      <c r="M196">
        <v>0</v>
      </c>
      <c r="N196">
        <v>0</v>
      </c>
      <c r="O196">
        <v>0</v>
      </c>
      <c r="P196">
        <v>0</v>
      </c>
    </row>
    <row r="197" spans="1:16" x14ac:dyDescent="0.3">
      <c r="A197" t="s">
        <v>56</v>
      </c>
      <c r="B197">
        <v>4</v>
      </c>
      <c r="C197">
        <v>0.92</v>
      </c>
      <c r="D197">
        <v>0.92</v>
      </c>
      <c r="E197">
        <v>0.92</v>
      </c>
      <c r="F197">
        <v>0.92</v>
      </c>
      <c r="G197">
        <v>0.92</v>
      </c>
      <c r="H197">
        <v>0.92</v>
      </c>
      <c r="I197">
        <v>0.92</v>
      </c>
      <c r="J197">
        <v>0.92</v>
      </c>
      <c r="K197">
        <v>0.92</v>
      </c>
      <c r="L197">
        <v>0.92</v>
      </c>
      <c r="M197">
        <v>0.92</v>
      </c>
      <c r="N197">
        <v>0.92</v>
      </c>
      <c r="O197">
        <v>0.92</v>
      </c>
      <c r="P197">
        <v>0.92</v>
      </c>
    </row>
    <row r="198" spans="1:16" x14ac:dyDescent="0.3">
      <c r="A198" t="s">
        <v>57</v>
      </c>
      <c r="B198">
        <v>4</v>
      </c>
      <c r="C198">
        <v>100</v>
      </c>
      <c r="D198">
        <v>100</v>
      </c>
      <c r="E198">
        <v>100</v>
      </c>
      <c r="F198">
        <v>100</v>
      </c>
      <c r="G198">
        <v>100</v>
      </c>
      <c r="H198">
        <v>100</v>
      </c>
      <c r="I198">
        <v>100</v>
      </c>
      <c r="J198">
        <v>100</v>
      </c>
      <c r="K198">
        <v>100</v>
      </c>
      <c r="L198">
        <v>100</v>
      </c>
      <c r="M198">
        <v>100</v>
      </c>
      <c r="N198">
        <v>100</v>
      </c>
      <c r="O198">
        <v>100</v>
      </c>
      <c r="P198">
        <v>100</v>
      </c>
    </row>
    <row r="199" spans="1:16" x14ac:dyDescent="0.3">
      <c r="A199" t="s">
        <v>58</v>
      </c>
      <c r="B199">
        <v>4</v>
      </c>
      <c r="C199">
        <v>2</v>
      </c>
      <c r="D199">
        <v>2</v>
      </c>
      <c r="E199">
        <v>2</v>
      </c>
      <c r="F199">
        <v>2</v>
      </c>
      <c r="G199">
        <v>2</v>
      </c>
      <c r="H199">
        <v>2</v>
      </c>
      <c r="I199">
        <v>2</v>
      </c>
      <c r="J199">
        <v>2</v>
      </c>
      <c r="K199">
        <v>2</v>
      </c>
      <c r="L199">
        <v>2</v>
      </c>
      <c r="M199">
        <v>2</v>
      </c>
      <c r="N199">
        <v>2</v>
      </c>
      <c r="O199">
        <v>2</v>
      </c>
      <c r="P199">
        <v>2</v>
      </c>
    </row>
    <row r="200" spans="1:16" x14ac:dyDescent="0.3">
      <c r="A200" t="s">
        <v>59</v>
      </c>
      <c r="B200">
        <v>4</v>
      </c>
      <c r="C200">
        <v>0</v>
      </c>
      <c r="D200">
        <v>0</v>
      </c>
      <c r="E200">
        <v>0</v>
      </c>
      <c r="F200">
        <v>0</v>
      </c>
      <c r="G200">
        <v>0</v>
      </c>
      <c r="H200">
        <v>0</v>
      </c>
      <c r="I200">
        <v>0</v>
      </c>
      <c r="J200">
        <v>0</v>
      </c>
      <c r="K200">
        <v>0</v>
      </c>
      <c r="L200">
        <v>0</v>
      </c>
      <c r="M200">
        <v>0</v>
      </c>
      <c r="N200">
        <v>0</v>
      </c>
      <c r="O200">
        <v>0</v>
      </c>
      <c r="P200">
        <v>0</v>
      </c>
    </row>
    <row r="201" spans="1:16" x14ac:dyDescent="0.3">
      <c r="A201" t="s">
        <v>635</v>
      </c>
      <c r="B201">
        <v>4</v>
      </c>
      <c r="E201">
        <v>0</v>
      </c>
      <c r="I201">
        <v>0</v>
      </c>
      <c r="L201">
        <v>0</v>
      </c>
      <c r="O201">
        <v>0</v>
      </c>
    </row>
    <row r="202" spans="1:16" x14ac:dyDescent="0.3">
      <c r="A202" t="s">
        <v>574</v>
      </c>
      <c r="B202">
        <v>4</v>
      </c>
      <c r="E202">
        <v>2890</v>
      </c>
      <c r="I202">
        <v>326</v>
      </c>
      <c r="L202">
        <v>955</v>
      </c>
      <c r="O202">
        <v>1509</v>
      </c>
    </row>
    <row r="203" spans="1:16" x14ac:dyDescent="0.3">
      <c r="A203" t="s">
        <v>78</v>
      </c>
      <c r="B203">
        <v>4</v>
      </c>
      <c r="E203">
        <v>43.8</v>
      </c>
      <c r="I203">
        <v>6.4</v>
      </c>
      <c r="L203">
        <v>21.7</v>
      </c>
      <c r="O203">
        <v>34.299999999999997</v>
      </c>
    </row>
    <row r="204" spans="1:16" x14ac:dyDescent="0.3">
      <c r="A204" t="s">
        <v>636</v>
      </c>
      <c r="B204">
        <v>4</v>
      </c>
      <c r="F204">
        <v>0</v>
      </c>
      <c r="J204">
        <v>0</v>
      </c>
      <c r="M204">
        <v>0</v>
      </c>
      <c r="P204">
        <v>0</v>
      </c>
    </row>
    <row r="205" spans="1:16" x14ac:dyDescent="0.3">
      <c r="A205" t="s">
        <v>639</v>
      </c>
      <c r="B205">
        <v>4</v>
      </c>
      <c r="C205">
        <v>3</v>
      </c>
      <c r="D205">
        <v>0</v>
      </c>
      <c r="E205">
        <v>0</v>
      </c>
      <c r="F205">
        <v>1</v>
      </c>
      <c r="G205">
        <v>3</v>
      </c>
      <c r="H205">
        <v>0</v>
      </c>
      <c r="I205">
        <v>0</v>
      </c>
      <c r="J205">
        <v>1</v>
      </c>
      <c r="K205">
        <v>0</v>
      </c>
      <c r="L205">
        <v>0</v>
      </c>
      <c r="M205">
        <v>1</v>
      </c>
      <c r="N205">
        <v>0</v>
      </c>
      <c r="O205">
        <v>0</v>
      </c>
      <c r="P205">
        <v>1</v>
      </c>
    </row>
    <row r="206" spans="1:16" x14ac:dyDescent="0.3">
      <c r="A206" t="s">
        <v>640</v>
      </c>
      <c r="B206">
        <v>4</v>
      </c>
      <c r="C206">
        <v>0</v>
      </c>
      <c r="D206">
        <v>0</v>
      </c>
      <c r="E206">
        <v>0</v>
      </c>
      <c r="F206">
        <v>0</v>
      </c>
      <c r="G206">
        <v>0</v>
      </c>
      <c r="H206">
        <v>0</v>
      </c>
      <c r="I206">
        <v>0</v>
      </c>
      <c r="J206">
        <v>0</v>
      </c>
      <c r="K206">
        <v>0</v>
      </c>
      <c r="L206">
        <v>0</v>
      </c>
      <c r="M206">
        <v>0</v>
      </c>
      <c r="N206">
        <v>0</v>
      </c>
      <c r="O206">
        <v>0</v>
      </c>
      <c r="P206">
        <v>0</v>
      </c>
    </row>
    <row r="207" spans="1:16" x14ac:dyDescent="0.3">
      <c r="A207" t="s">
        <v>52</v>
      </c>
      <c r="B207">
        <v>4</v>
      </c>
      <c r="C207">
        <v>1</v>
      </c>
      <c r="D207">
        <v>1</v>
      </c>
      <c r="E207">
        <v>1</v>
      </c>
      <c r="F207">
        <v>1</v>
      </c>
      <c r="G207">
        <v>1</v>
      </c>
      <c r="H207">
        <v>1</v>
      </c>
      <c r="I207">
        <v>1</v>
      </c>
      <c r="J207">
        <v>1</v>
      </c>
      <c r="K207">
        <v>1</v>
      </c>
      <c r="L207">
        <v>1</v>
      </c>
      <c r="M207">
        <v>1</v>
      </c>
      <c r="N207">
        <v>1</v>
      </c>
      <c r="O207">
        <v>1</v>
      </c>
      <c r="P207">
        <v>1</v>
      </c>
    </row>
    <row r="208" spans="1:16" x14ac:dyDescent="0.3">
      <c r="A208" t="s">
        <v>641</v>
      </c>
      <c r="B208">
        <v>4</v>
      </c>
      <c r="C208">
        <v>9</v>
      </c>
      <c r="D208">
        <v>15</v>
      </c>
      <c r="E208">
        <v>60</v>
      </c>
      <c r="F208">
        <v>9</v>
      </c>
      <c r="G208">
        <v>9</v>
      </c>
      <c r="H208">
        <v>15</v>
      </c>
      <c r="I208">
        <v>60</v>
      </c>
      <c r="J208">
        <v>9</v>
      </c>
      <c r="K208">
        <v>15</v>
      </c>
      <c r="L208">
        <v>60</v>
      </c>
      <c r="M208">
        <v>9</v>
      </c>
      <c r="N208">
        <v>15</v>
      </c>
      <c r="O208">
        <v>60</v>
      </c>
      <c r="P208">
        <v>9</v>
      </c>
    </row>
    <row r="209" spans="1:12" x14ac:dyDescent="0.3">
      <c r="A209" t="s">
        <v>43</v>
      </c>
      <c r="B209">
        <v>4</v>
      </c>
      <c r="E209">
        <v>256</v>
      </c>
      <c r="H209">
        <v>40</v>
      </c>
      <c r="I209">
        <v>256</v>
      </c>
      <c r="K209">
        <v>40</v>
      </c>
      <c r="L209">
        <v>40</v>
      </c>
    </row>
    <row r="210" spans="1:12" x14ac:dyDescent="0.3">
      <c r="A210" t="s">
        <v>44</v>
      </c>
      <c r="B210">
        <v>4</v>
      </c>
      <c r="E210">
        <v>0</v>
      </c>
      <c r="H210">
        <v>0</v>
      </c>
      <c r="I210">
        <v>0</v>
      </c>
      <c r="K210">
        <v>0</v>
      </c>
      <c r="L210">
        <v>0</v>
      </c>
    </row>
    <row r="211" spans="1:12" x14ac:dyDescent="0.3">
      <c r="A211" t="s">
        <v>47</v>
      </c>
      <c r="B211">
        <v>4</v>
      </c>
      <c r="E211">
        <v>6</v>
      </c>
      <c r="H211">
        <v>5</v>
      </c>
      <c r="I211">
        <v>2</v>
      </c>
      <c r="K211">
        <v>4</v>
      </c>
      <c r="L211">
        <v>4</v>
      </c>
    </row>
    <row r="212" spans="1:12" x14ac:dyDescent="0.3">
      <c r="A212" t="s">
        <v>642</v>
      </c>
      <c r="B212">
        <v>4</v>
      </c>
      <c r="E212">
        <v>0</v>
      </c>
      <c r="H212">
        <v>0</v>
      </c>
      <c r="I212">
        <v>0</v>
      </c>
      <c r="K212">
        <v>0</v>
      </c>
      <c r="L212">
        <v>0</v>
      </c>
    </row>
    <row r="213" spans="1:12" x14ac:dyDescent="0.3">
      <c r="A213" t="s">
        <v>643</v>
      </c>
      <c r="B213">
        <v>4</v>
      </c>
      <c r="E213">
        <v>0</v>
      </c>
      <c r="H213">
        <v>0</v>
      </c>
      <c r="I213">
        <v>0</v>
      </c>
      <c r="K213">
        <v>0</v>
      </c>
      <c r="L213">
        <v>0</v>
      </c>
    </row>
    <row r="214" spans="1:12" x14ac:dyDescent="0.3">
      <c r="A214" t="s">
        <v>644</v>
      </c>
      <c r="B214">
        <v>4</v>
      </c>
      <c r="E214">
        <v>0</v>
      </c>
      <c r="H214">
        <v>0</v>
      </c>
      <c r="I214">
        <v>0</v>
      </c>
      <c r="K214">
        <v>0</v>
      </c>
      <c r="L214">
        <v>0</v>
      </c>
    </row>
    <row r="215" spans="1:12" x14ac:dyDescent="0.3">
      <c r="A215" t="s">
        <v>645</v>
      </c>
      <c r="B215">
        <v>4</v>
      </c>
      <c r="E215">
        <v>0</v>
      </c>
      <c r="H215">
        <v>0</v>
      </c>
      <c r="I215">
        <v>0</v>
      </c>
      <c r="K215">
        <v>0</v>
      </c>
      <c r="L215">
        <v>0</v>
      </c>
    </row>
    <row r="216" spans="1:12" x14ac:dyDescent="0.3">
      <c r="A216" t="s">
        <v>646</v>
      </c>
      <c r="B216">
        <v>4</v>
      </c>
      <c r="E216">
        <v>2</v>
      </c>
      <c r="H216">
        <v>1</v>
      </c>
      <c r="I216">
        <v>2</v>
      </c>
      <c r="K216">
        <v>1</v>
      </c>
      <c r="L216">
        <v>1</v>
      </c>
    </row>
    <row r="217" spans="1:12" x14ac:dyDescent="0.3">
      <c r="A217" t="s">
        <v>647</v>
      </c>
      <c r="B217">
        <v>4</v>
      </c>
      <c r="E217">
        <v>250</v>
      </c>
      <c r="H217">
        <v>0</v>
      </c>
      <c r="I217">
        <v>250</v>
      </c>
      <c r="K217">
        <v>0</v>
      </c>
      <c r="L217">
        <v>0</v>
      </c>
    </row>
    <row r="218" spans="1:12" x14ac:dyDescent="0.3">
      <c r="A218" t="s">
        <v>648</v>
      </c>
      <c r="B218">
        <v>4</v>
      </c>
      <c r="E218">
        <v>6</v>
      </c>
      <c r="H218">
        <v>40</v>
      </c>
      <c r="I218">
        <v>6</v>
      </c>
      <c r="K218">
        <v>40</v>
      </c>
      <c r="L218">
        <v>40</v>
      </c>
    </row>
    <row r="219" spans="1:12" x14ac:dyDescent="0.3">
      <c r="A219" t="s">
        <v>649</v>
      </c>
      <c r="B219">
        <v>4</v>
      </c>
      <c r="E219">
        <v>3</v>
      </c>
      <c r="H219">
        <v>3</v>
      </c>
      <c r="I219">
        <v>3</v>
      </c>
      <c r="K219">
        <v>3</v>
      </c>
      <c r="L219">
        <v>3</v>
      </c>
    </row>
    <row r="220" spans="1:12" x14ac:dyDescent="0.3">
      <c r="A220" t="s">
        <v>650</v>
      </c>
      <c r="B220">
        <v>4</v>
      </c>
      <c r="E220">
        <v>0</v>
      </c>
      <c r="H220">
        <v>0</v>
      </c>
      <c r="I220">
        <v>0</v>
      </c>
      <c r="K220">
        <v>0</v>
      </c>
      <c r="L220">
        <v>0</v>
      </c>
    </row>
    <row r="221" spans="1:12" x14ac:dyDescent="0.3">
      <c r="A221" t="s">
        <v>651</v>
      </c>
      <c r="B221">
        <v>4</v>
      </c>
      <c r="E221">
        <v>0</v>
      </c>
      <c r="H221">
        <v>0</v>
      </c>
      <c r="I221">
        <v>0</v>
      </c>
      <c r="K221">
        <v>0</v>
      </c>
      <c r="L221">
        <v>0</v>
      </c>
    </row>
    <row r="222" spans="1:12" x14ac:dyDescent="0.3">
      <c r="A222" t="s">
        <v>652</v>
      </c>
      <c r="B222">
        <v>4</v>
      </c>
      <c r="E222">
        <v>0</v>
      </c>
      <c r="H222">
        <v>0</v>
      </c>
      <c r="I222">
        <v>0</v>
      </c>
      <c r="K222">
        <v>0</v>
      </c>
      <c r="L222">
        <v>0</v>
      </c>
    </row>
    <row r="223" spans="1:12" x14ac:dyDescent="0.3">
      <c r="A223" t="s">
        <v>653</v>
      </c>
      <c r="B223">
        <v>4</v>
      </c>
      <c r="E223">
        <v>0</v>
      </c>
      <c r="I223">
        <v>0</v>
      </c>
    </row>
    <row r="224" spans="1:12" x14ac:dyDescent="0.3">
      <c r="A224" t="s">
        <v>654</v>
      </c>
      <c r="B224">
        <v>4</v>
      </c>
      <c r="E224">
        <v>0</v>
      </c>
      <c r="I224">
        <v>0</v>
      </c>
    </row>
    <row r="225" spans="1:16" x14ac:dyDescent="0.3">
      <c r="A225" t="s">
        <v>655</v>
      </c>
      <c r="B225">
        <v>4</v>
      </c>
      <c r="E225">
        <v>3</v>
      </c>
      <c r="I225">
        <v>3</v>
      </c>
    </row>
    <row r="226" spans="1:16" x14ac:dyDescent="0.3">
      <c r="A226" t="s">
        <v>656</v>
      </c>
      <c r="B226">
        <v>4</v>
      </c>
      <c r="E226">
        <v>0</v>
      </c>
      <c r="I226">
        <v>0</v>
      </c>
    </row>
    <row r="227" spans="1:16" x14ac:dyDescent="0.3">
      <c r="A227" t="s">
        <v>657</v>
      </c>
      <c r="B227">
        <v>4</v>
      </c>
      <c r="E227">
        <v>0</v>
      </c>
      <c r="I227">
        <v>0</v>
      </c>
      <c r="L227">
        <v>0</v>
      </c>
      <c r="O227">
        <v>0</v>
      </c>
    </row>
    <row r="228" spans="1:16" x14ac:dyDescent="0.3">
      <c r="A228" t="s">
        <v>408</v>
      </c>
      <c r="B228">
        <v>4</v>
      </c>
      <c r="E228">
        <v>0</v>
      </c>
    </row>
    <row r="229" spans="1:16" x14ac:dyDescent="0.3">
      <c r="A229" t="s">
        <v>659</v>
      </c>
      <c r="B229">
        <v>4</v>
      </c>
      <c r="K229">
        <v>24</v>
      </c>
    </row>
    <row r="230" spans="1:16" x14ac:dyDescent="0.3">
      <c r="A230" t="s">
        <v>658</v>
      </c>
      <c r="B230">
        <v>4</v>
      </c>
      <c r="C230">
        <v>0</v>
      </c>
      <c r="D230">
        <v>0</v>
      </c>
      <c r="E230">
        <v>1396</v>
      </c>
      <c r="F230">
        <v>0</v>
      </c>
      <c r="G230">
        <v>0</v>
      </c>
      <c r="H230">
        <v>87</v>
      </c>
      <c r="I230">
        <v>614</v>
      </c>
      <c r="J230">
        <v>0</v>
      </c>
      <c r="K230">
        <v>327</v>
      </c>
      <c r="L230">
        <v>678</v>
      </c>
      <c r="M230">
        <v>0</v>
      </c>
      <c r="N230">
        <v>0</v>
      </c>
      <c r="O230">
        <v>0</v>
      </c>
      <c r="P230">
        <v>0</v>
      </c>
    </row>
    <row r="231" spans="1:16" x14ac:dyDescent="0.3">
      <c r="A231" t="s">
        <v>34</v>
      </c>
      <c r="B231">
        <v>5</v>
      </c>
      <c r="C231">
        <v>4</v>
      </c>
      <c r="D231">
        <v>4</v>
      </c>
      <c r="E231">
        <v>4</v>
      </c>
      <c r="F231">
        <v>4</v>
      </c>
      <c r="G231">
        <v>9</v>
      </c>
      <c r="H231">
        <v>9</v>
      </c>
      <c r="I231">
        <v>9</v>
      </c>
      <c r="J231">
        <v>9</v>
      </c>
      <c r="K231">
        <v>109</v>
      </c>
      <c r="L231">
        <v>109</v>
      </c>
      <c r="M231">
        <v>109</v>
      </c>
      <c r="N231">
        <v>7</v>
      </c>
      <c r="O231">
        <v>7</v>
      </c>
      <c r="P231">
        <v>7</v>
      </c>
    </row>
    <row r="232" spans="1:16" x14ac:dyDescent="0.3">
      <c r="A232" t="s">
        <v>35</v>
      </c>
      <c r="B232">
        <v>5</v>
      </c>
      <c r="C232">
        <v>4</v>
      </c>
      <c r="D232">
        <v>109</v>
      </c>
      <c r="E232">
        <v>9</v>
      </c>
      <c r="F232">
        <v>7</v>
      </c>
      <c r="G232">
        <v>9</v>
      </c>
      <c r="H232">
        <v>7</v>
      </c>
      <c r="I232">
        <v>4</v>
      </c>
      <c r="J232">
        <v>109</v>
      </c>
      <c r="K232">
        <v>9</v>
      </c>
      <c r="L232">
        <v>7</v>
      </c>
      <c r="M232">
        <v>4</v>
      </c>
      <c r="N232">
        <v>4</v>
      </c>
      <c r="O232">
        <v>109</v>
      </c>
      <c r="P232">
        <v>9</v>
      </c>
    </row>
    <row r="233" spans="1:16" x14ac:dyDescent="0.3">
      <c r="A233" t="s">
        <v>36</v>
      </c>
      <c r="B233">
        <v>5</v>
      </c>
      <c r="C233">
        <v>0</v>
      </c>
      <c r="D233">
        <v>1</v>
      </c>
      <c r="E233">
        <v>2</v>
      </c>
      <c r="F233">
        <v>0</v>
      </c>
      <c r="G233">
        <v>0</v>
      </c>
      <c r="H233">
        <v>0</v>
      </c>
      <c r="I233">
        <v>2</v>
      </c>
      <c r="J233">
        <v>1</v>
      </c>
      <c r="K233">
        <v>0</v>
      </c>
      <c r="L233">
        <v>0</v>
      </c>
      <c r="M233">
        <v>0</v>
      </c>
      <c r="N233">
        <v>1</v>
      </c>
      <c r="O233">
        <v>2</v>
      </c>
      <c r="P233">
        <v>0</v>
      </c>
    </row>
    <row r="234" spans="1:16" x14ac:dyDescent="0.3">
      <c r="A234" t="s">
        <v>37</v>
      </c>
      <c r="B234">
        <v>5</v>
      </c>
      <c r="D234">
        <v>0</v>
      </c>
      <c r="E234">
        <v>0</v>
      </c>
      <c r="H234">
        <v>0</v>
      </c>
      <c r="I234">
        <v>0</v>
      </c>
      <c r="K234">
        <v>0</v>
      </c>
      <c r="L234">
        <v>0</v>
      </c>
      <c r="N234">
        <v>0</v>
      </c>
      <c r="O234">
        <v>3</v>
      </c>
    </row>
    <row r="235" spans="1:16" x14ac:dyDescent="0.3">
      <c r="A235" t="s">
        <v>38</v>
      </c>
      <c r="B235">
        <v>5</v>
      </c>
      <c r="C235">
        <v>12</v>
      </c>
      <c r="D235">
        <v>12</v>
      </c>
      <c r="E235">
        <v>12</v>
      </c>
      <c r="F235">
        <v>12</v>
      </c>
      <c r="G235">
        <v>12</v>
      </c>
      <c r="H235">
        <v>12</v>
      </c>
      <c r="I235">
        <v>12</v>
      </c>
      <c r="J235">
        <v>12</v>
      </c>
      <c r="K235">
        <v>12</v>
      </c>
      <c r="L235">
        <v>12</v>
      </c>
      <c r="M235">
        <v>12</v>
      </c>
      <c r="N235">
        <v>12</v>
      </c>
      <c r="O235">
        <v>12</v>
      </c>
      <c r="P235">
        <v>12</v>
      </c>
    </row>
    <row r="236" spans="1:16" x14ac:dyDescent="0.3">
      <c r="A236" t="s">
        <v>39</v>
      </c>
      <c r="B236">
        <v>5</v>
      </c>
      <c r="D236">
        <v>150</v>
      </c>
      <c r="J236">
        <v>75</v>
      </c>
    </row>
    <row r="237" spans="1:16" x14ac:dyDescent="0.3">
      <c r="A237" t="s">
        <v>631</v>
      </c>
      <c r="B237">
        <v>5</v>
      </c>
      <c r="D237">
        <v>25</v>
      </c>
      <c r="J237">
        <v>25</v>
      </c>
    </row>
    <row r="238" spans="1:16" x14ac:dyDescent="0.3">
      <c r="A238" t="s">
        <v>40</v>
      </c>
      <c r="B238">
        <v>5</v>
      </c>
      <c r="D238">
        <v>1</v>
      </c>
      <c r="J238">
        <v>1</v>
      </c>
    </row>
    <row r="239" spans="1:16" x14ac:dyDescent="0.3">
      <c r="A239" t="s">
        <v>41</v>
      </c>
      <c r="B239">
        <v>5</v>
      </c>
    </row>
    <row r="240" spans="1:16" x14ac:dyDescent="0.3">
      <c r="A240" t="s">
        <v>42</v>
      </c>
      <c r="B240">
        <v>5</v>
      </c>
      <c r="E240">
        <v>35</v>
      </c>
      <c r="I240">
        <v>35</v>
      </c>
      <c r="L240">
        <v>30</v>
      </c>
      <c r="O240">
        <v>30</v>
      </c>
    </row>
    <row r="241" spans="1:16" x14ac:dyDescent="0.3">
      <c r="A241" t="s">
        <v>45</v>
      </c>
      <c r="B241">
        <v>5</v>
      </c>
      <c r="D241">
        <v>1</v>
      </c>
      <c r="E241">
        <v>6</v>
      </c>
      <c r="I241">
        <v>2</v>
      </c>
      <c r="O241">
        <v>4</v>
      </c>
    </row>
    <row r="242" spans="1:16" x14ac:dyDescent="0.3">
      <c r="A242" t="s">
        <v>46</v>
      </c>
      <c r="B242">
        <v>5</v>
      </c>
      <c r="D242">
        <v>6</v>
      </c>
      <c r="J242">
        <v>6</v>
      </c>
      <c r="N242">
        <v>4</v>
      </c>
    </row>
    <row r="243" spans="1:16" x14ac:dyDescent="0.3">
      <c r="A243" t="s">
        <v>49</v>
      </c>
      <c r="B243">
        <v>5</v>
      </c>
      <c r="C243">
        <v>4</v>
      </c>
      <c r="D243">
        <v>6</v>
      </c>
      <c r="E243">
        <v>9</v>
      </c>
      <c r="F243">
        <v>4</v>
      </c>
      <c r="G243">
        <v>4</v>
      </c>
      <c r="H243">
        <v>4</v>
      </c>
      <c r="I243">
        <v>6</v>
      </c>
      <c r="J243">
        <v>6</v>
      </c>
      <c r="K243">
        <v>4</v>
      </c>
      <c r="L243">
        <v>4</v>
      </c>
      <c r="M243">
        <v>4</v>
      </c>
      <c r="N243">
        <v>6</v>
      </c>
      <c r="O243">
        <v>6</v>
      </c>
      <c r="P243">
        <v>4</v>
      </c>
    </row>
    <row r="244" spans="1:16" x14ac:dyDescent="0.3">
      <c r="A244" t="s">
        <v>632</v>
      </c>
      <c r="B244">
        <v>5</v>
      </c>
      <c r="C244">
        <v>0</v>
      </c>
      <c r="D244">
        <v>0</v>
      </c>
      <c r="E244">
        <v>3</v>
      </c>
      <c r="F244">
        <v>0</v>
      </c>
      <c r="G244">
        <v>0</v>
      </c>
      <c r="H244">
        <v>0</v>
      </c>
      <c r="I244">
        <v>0</v>
      </c>
      <c r="J244">
        <v>0</v>
      </c>
      <c r="K244">
        <v>0</v>
      </c>
      <c r="L244">
        <v>0</v>
      </c>
      <c r="M244">
        <v>0</v>
      </c>
      <c r="N244">
        <v>0</v>
      </c>
      <c r="O244">
        <v>0</v>
      </c>
      <c r="P244">
        <v>0</v>
      </c>
    </row>
    <row r="245" spans="1:16" x14ac:dyDescent="0.3">
      <c r="A245" t="s">
        <v>48</v>
      </c>
      <c r="B245">
        <v>5</v>
      </c>
      <c r="C245">
        <v>1900</v>
      </c>
      <c r="D245">
        <v>1900</v>
      </c>
      <c r="E245">
        <v>1900</v>
      </c>
      <c r="F245">
        <v>1900</v>
      </c>
      <c r="G245">
        <v>1900</v>
      </c>
      <c r="H245">
        <v>1900</v>
      </c>
      <c r="I245">
        <v>1900</v>
      </c>
      <c r="J245">
        <v>1900</v>
      </c>
      <c r="K245">
        <v>1900</v>
      </c>
      <c r="L245">
        <v>1900</v>
      </c>
      <c r="M245">
        <v>1900</v>
      </c>
      <c r="N245">
        <v>1900</v>
      </c>
      <c r="O245">
        <v>1900</v>
      </c>
      <c r="P245">
        <v>1900</v>
      </c>
    </row>
    <row r="246" spans="1:16" x14ac:dyDescent="0.3">
      <c r="A246" t="s">
        <v>633</v>
      </c>
      <c r="B246">
        <v>5</v>
      </c>
      <c r="C246">
        <v>0</v>
      </c>
      <c r="D246">
        <v>1593</v>
      </c>
      <c r="E246">
        <v>3185</v>
      </c>
      <c r="F246">
        <v>0</v>
      </c>
      <c r="G246">
        <v>0</v>
      </c>
      <c r="H246">
        <v>0</v>
      </c>
      <c r="I246">
        <v>3185</v>
      </c>
      <c r="J246">
        <v>1425</v>
      </c>
      <c r="K246">
        <v>0</v>
      </c>
      <c r="L246">
        <v>0</v>
      </c>
      <c r="M246">
        <v>0</v>
      </c>
      <c r="N246">
        <v>1449</v>
      </c>
      <c r="O246">
        <v>2960</v>
      </c>
      <c r="P246">
        <v>0</v>
      </c>
    </row>
    <row r="247" spans="1:16" x14ac:dyDescent="0.3">
      <c r="A247" t="s">
        <v>50</v>
      </c>
      <c r="B247">
        <v>5</v>
      </c>
      <c r="C247">
        <v>0</v>
      </c>
      <c r="D247">
        <v>768</v>
      </c>
      <c r="E247">
        <v>3185</v>
      </c>
      <c r="F247">
        <v>0</v>
      </c>
      <c r="G247">
        <v>0</v>
      </c>
      <c r="H247">
        <v>0</v>
      </c>
      <c r="I247">
        <v>3185</v>
      </c>
      <c r="J247">
        <v>1425</v>
      </c>
      <c r="K247">
        <v>0</v>
      </c>
      <c r="L247">
        <v>0</v>
      </c>
      <c r="M247">
        <v>0</v>
      </c>
      <c r="N247">
        <v>1449</v>
      </c>
      <c r="O247">
        <v>2960</v>
      </c>
      <c r="P247">
        <v>0</v>
      </c>
    </row>
    <row r="248" spans="1:16" x14ac:dyDescent="0.3">
      <c r="A248" t="s">
        <v>634</v>
      </c>
      <c r="B248">
        <v>5</v>
      </c>
      <c r="C248">
        <v>1</v>
      </c>
      <c r="D248">
        <v>1</v>
      </c>
      <c r="E248">
        <v>1</v>
      </c>
      <c r="F248">
        <v>1</v>
      </c>
      <c r="G248">
        <v>1</v>
      </c>
      <c r="H248">
        <v>1</v>
      </c>
      <c r="I248">
        <v>1</v>
      </c>
      <c r="J248">
        <v>1</v>
      </c>
      <c r="K248">
        <v>1</v>
      </c>
      <c r="L248">
        <v>1</v>
      </c>
      <c r="M248">
        <v>1</v>
      </c>
      <c r="N248">
        <v>1</v>
      </c>
      <c r="O248">
        <v>1</v>
      </c>
      <c r="P248">
        <v>1</v>
      </c>
    </row>
    <row r="249" spans="1:16" x14ac:dyDescent="0.3">
      <c r="A249" t="s">
        <v>51</v>
      </c>
      <c r="B249">
        <v>5</v>
      </c>
      <c r="C249">
        <v>0</v>
      </c>
      <c r="D249">
        <v>0</v>
      </c>
      <c r="E249">
        <v>0</v>
      </c>
      <c r="F249">
        <v>0</v>
      </c>
      <c r="G249">
        <v>0</v>
      </c>
      <c r="H249">
        <v>0</v>
      </c>
      <c r="I249">
        <v>0</v>
      </c>
      <c r="J249">
        <v>32</v>
      </c>
      <c r="K249">
        <v>0</v>
      </c>
      <c r="L249">
        <v>0</v>
      </c>
      <c r="M249">
        <v>0</v>
      </c>
      <c r="N249">
        <v>0</v>
      </c>
      <c r="O249">
        <v>23</v>
      </c>
      <c r="P249">
        <v>0</v>
      </c>
    </row>
    <row r="250" spans="1:16" x14ac:dyDescent="0.3">
      <c r="A250" t="s">
        <v>53</v>
      </c>
      <c r="B250">
        <v>5</v>
      </c>
      <c r="C250">
        <v>0</v>
      </c>
      <c r="D250">
        <v>106</v>
      </c>
      <c r="E250">
        <v>1433</v>
      </c>
      <c r="F250">
        <v>0</v>
      </c>
      <c r="G250">
        <v>0</v>
      </c>
      <c r="H250">
        <v>0</v>
      </c>
      <c r="I250">
        <v>410</v>
      </c>
      <c r="J250">
        <v>275</v>
      </c>
      <c r="K250">
        <v>0</v>
      </c>
      <c r="L250">
        <v>0</v>
      </c>
      <c r="M250">
        <v>0</v>
      </c>
      <c r="N250">
        <v>130</v>
      </c>
      <c r="O250">
        <v>720</v>
      </c>
      <c r="P250">
        <v>176</v>
      </c>
    </row>
    <row r="251" spans="1:16" x14ac:dyDescent="0.3">
      <c r="A251" t="s">
        <v>54</v>
      </c>
      <c r="B251">
        <v>5</v>
      </c>
      <c r="C251">
        <v>0</v>
      </c>
      <c r="D251">
        <v>0</v>
      </c>
      <c r="E251">
        <v>0</v>
      </c>
      <c r="F251">
        <v>0</v>
      </c>
      <c r="G251">
        <v>0</v>
      </c>
      <c r="H251">
        <v>0</v>
      </c>
      <c r="I251">
        <v>0</v>
      </c>
      <c r="J251">
        <v>0</v>
      </c>
      <c r="K251">
        <v>0</v>
      </c>
      <c r="L251">
        <v>0</v>
      </c>
      <c r="M251">
        <v>0</v>
      </c>
      <c r="N251">
        <v>0</v>
      </c>
      <c r="O251">
        <v>0</v>
      </c>
      <c r="P251">
        <v>0</v>
      </c>
    </row>
    <row r="252" spans="1:16" x14ac:dyDescent="0.3">
      <c r="A252" t="s">
        <v>55</v>
      </c>
      <c r="B252">
        <v>5</v>
      </c>
      <c r="C252">
        <v>0</v>
      </c>
      <c r="D252">
        <v>0</v>
      </c>
      <c r="E252">
        <v>0</v>
      </c>
      <c r="F252">
        <v>0</v>
      </c>
      <c r="G252">
        <v>0</v>
      </c>
      <c r="H252">
        <v>0</v>
      </c>
      <c r="I252">
        <v>0</v>
      </c>
      <c r="J252">
        <v>0</v>
      </c>
      <c r="K252">
        <v>0</v>
      </c>
      <c r="L252">
        <v>0</v>
      </c>
      <c r="M252">
        <v>0</v>
      </c>
      <c r="N252">
        <v>0</v>
      </c>
      <c r="O252">
        <v>0</v>
      </c>
      <c r="P252">
        <v>0</v>
      </c>
    </row>
    <row r="253" spans="1:16" x14ac:dyDescent="0.3">
      <c r="A253" t="s">
        <v>56</v>
      </c>
      <c r="B253">
        <v>5</v>
      </c>
      <c r="C253">
        <v>0.92</v>
      </c>
      <c r="D253">
        <v>0.92</v>
      </c>
      <c r="E253">
        <v>0.92</v>
      </c>
      <c r="F253">
        <v>0.92</v>
      </c>
      <c r="G253">
        <v>0.92</v>
      </c>
      <c r="H253">
        <v>0.92</v>
      </c>
      <c r="I253">
        <v>0.92</v>
      </c>
      <c r="J253">
        <v>0.92</v>
      </c>
      <c r="K253">
        <v>0.92</v>
      </c>
      <c r="L253">
        <v>0.92</v>
      </c>
      <c r="M253">
        <v>0.92</v>
      </c>
      <c r="N253">
        <v>0.92</v>
      </c>
      <c r="O253">
        <v>0.92</v>
      </c>
      <c r="P253">
        <v>0.92</v>
      </c>
    </row>
    <row r="254" spans="1:16" x14ac:dyDescent="0.3">
      <c r="A254" t="s">
        <v>57</v>
      </c>
      <c r="B254">
        <v>5</v>
      </c>
      <c r="C254">
        <v>100</v>
      </c>
      <c r="D254">
        <v>100</v>
      </c>
      <c r="E254">
        <v>100</v>
      </c>
      <c r="F254">
        <v>100</v>
      </c>
      <c r="G254">
        <v>100</v>
      </c>
      <c r="H254">
        <v>100</v>
      </c>
      <c r="I254">
        <v>100</v>
      </c>
      <c r="J254">
        <v>100</v>
      </c>
      <c r="K254">
        <v>100</v>
      </c>
      <c r="L254">
        <v>100</v>
      </c>
      <c r="M254">
        <v>100</v>
      </c>
      <c r="N254">
        <v>100</v>
      </c>
      <c r="O254">
        <v>100</v>
      </c>
      <c r="P254">
        <v>100</v>
      </c>
    </row>
    <row r="255" spans="1:16" x14ac:dyDescent="0.3">
      <c r="A255" t="s">
        <v>58</v>
      </c>
      <c r="B255">
        <v>5</v>
      </c>
      <c r="C255">
        <v>2</v>
      </c>
      <c r="D255">
        <v>2</v>
      </c>
      <c r="E255">
        <v>2</v>
      </c>
      <c r="F255">
        <v>2</v>
      </c>
      <c r="G255">
        <v>2</v>
      </c>
      <c r="H255">
        <v>2</v>
      </c>
      <c r="I255">
        <v>2</v>
      </c>
      <c r="J255">
        <v>2</v>
      </c>
      <c r="K255">
        <v>2</v>
      </c>
      <c r="L255">
        <v>2</v>
      </c>
      <c r="M255">
        <v>2</v>
      </c>
      <c r="N255">
        <v>2</v>
      </c>
      <c r="O255">
        <v>2</v>
      </c>
      <c r="P255">
        <v>2</v>
      </c>
    </row>
    <row r="256" spans="1:16" x14ac:dyDescent="0.3">
      <c r="A256" t="s">
        <v>59</v>
      </c>
      <c r="B256">
        <v>5</v>
      </c>
      <c r="C256">
        <v>0</v>
      </c>
      <c r="D256">
        <v>0</v>
      </c>
      <c r="E256">
        <v>0</v>
      </c>
      <c r="F256">
        <v>0</v>
      </c>
      <c r="G256">
        <v>0</v>
      </c>
      <c r="H256">
        <v>0</v>
      </c>
      <c r="I256">
        <v>0</v>
      </c>
      <c r="J256">
        <v>0</v>
      </c>
      <c r="K256">
        <v>0</v>
      </c>
      <c r="L256">
        <v>0</v>
      </c>
      <c r="M256">
        <v>0</v>
      </c>
      <c r="N256">
        <v>0</v>
      </c>
      <c r="O256">
        <v>0</v>
      </c>
      <c r="P256">
        <v>0</v>
      </c>
    </row>
    <row r="257" spans="1:16" x14ac:dyDescent="0.3">
      <c r="A257" t="s">
        <v>635</v>
      </c>
      <c r="B257">
        <v>5</v>
      </c>
      <c r="E257">
        <v>0</v>
      </c>
      <c r="I257">
        <v>0</v>
      </c>
      <c r="L257">
        <v>0</v>
      </c>
      <c r="O257">
        <v>0</v>
      </c>
    </row>
    <row r="258" spans="1:16" x14ac:dyDescent="0.3">
      <c r="A258" t="s">
        <v>574</v>
      </c>
      <c r="B258">
        <v>5</v>
      </c>
      <c r="E258">
        <v>326</v>
      </c>
      <c r="I258">
        <v>2995</v>
      </c>
      <c r="L258">
        <v>693</v>
      </c>
      <c r="O258">
        <v>1424</v>
      </c>
    </row>
    <row r="259" spans="1:16" x14ac:dyDescent="0.3">
      <c r="A259" t="s">
        <v>78</v>
      </c>
      <c r="B259">
        <v>5</v>
      </c>
      <c r="E259">
        <v>6.4</v>
      </c>
      <c r="I259">
        <v>58.3</v>
      </c>
      <c r="L259">
        <v>15.8</v>
      </c>
      <c r="O259">
        <v>32.4</v>
      </c>
    </row>
    <row r="260" spans="1:16" x14ac:dyDescent="0.3">
      <c r="A260" t="s">
        <v>636</v>
      </c>
      <c r="B260">
        <v>5</v>
      </c>
      <c r="F260">
        <v>0</v>
      </c>
      <c r="J260">
        <v>0</v>
      </c>
      <c r="M260">
        <v>0</v>
      </c>
      <c r="P260">
        <v>0</v>
      </c>
    </row>
    <row r="261" spans="1:16" x14ac:dyDescent="0.3">
      <c r="A261" t="s">
        <v>639</v>
      </c>
      <c r="B261">
        <v>5</v>
      </c>
      <c r="C261">
        <v>3</v>
      </c>
      <c r="D261">
        <v>0</v>
      </c>
      <c r="E261">
        <v>0</v>
      </c>
      <c r="F261">
        <v>1</v>
      </c>
      <c r="G261">
        <v>3</v>
      </c>
      <c r="H261">
        <v>0</v>
      </c>
      <c r="I261">
        <v>0</v>
      </c>
      <c r="J261">
        <v>1</v>
      </c>
      <c r="K261">
        <v>0</v>
      </c>
      <c r="L261">
        <v>0</v>
      </c>
      <c r="M261">
        <v>1</v>
      </c>
      <c r="N261">
        <v>0</v>
      </c>
      <c r="O261">
        <v>0</v>
      </c>
      <c r="P261">
        <v>1</v>
      </c>
    </row>
    <row r="262" spans="1:16" x14ac:dyDescent="0.3">
      <c r="A262" t="s">
        <v>640</v>
      </c>
      <c r="B262">
        <v>5</v>
      </c>
      <c r="C262">
        <v>0</v>
      </c>
      <c r="D262">
        <v>0</v>
      </c>
      <c r="E262">
        <v>0</v>
      </c>
      <c r="F262">
        <v>0</v>
      </c>
      <c r="G262">
        <v>0</v>
      </c>
      <c r="H262">
        <v>0</v>
      </c>
      <c r="I262">
        <v>0</v>
      </c>
      <c r="J262">
        <v>0</v>
      </c>
      <c r="K262">
        <v>0</v>
      </c>
      <c r="L262">
        <v>0</v>
      </c>
      <c r="M262">
        <v>0</v>
      </c>
      <c r="N262">
        <v>0</v>
      </c>
      <c r="O262">
        <v>0</v>
      </c>
      <c r="P262">
        <v>0</v>
      </c>
    </row>
    <row r="263" spans="1:16" x14ac:dyDescent="0.3">
      <c r="A263" t="s">
        <v>52</v>
      </c>
      <c r="B263">
        <v>5</v>
      </c>
      <c r="C263">
        <v>1.1399999999999999</v>
      </c>
      <c r="D263">
        <v>1.1399999999999999</v>
      </c>
      <c r="E263">
        <v>1.1399999999999999</v>
      </c>
      <c r="F263">
        <v>1.1399999999999999</v>
      </c>
      <c r="G263">
        <v>1.1399999999999999</v>
      </c>
      <c r="H263">
        <v>1.1399999999999999</v>
      </c>
      <c r="I263">
        <v>1.1399999999999999</v>
      </c>
      <c r="J263">
        <v>1.1399999999999999</v>
      </c>
      <c r="K263">
        <v>1.1399999999999999</v>
      </c>
      <c r="L263">
        <v>1.1399999999999999</v>
      </c>
      <c r="M263">
        <v>1.1399999999999999</v>
      </c>
      <c r="N263">
        <v>1.1399999999999999</v>
      </c>
      <c r="O263">
        <v>1.1399999999999999</v>
      </c>
      <c r="P263">
        <v>1.1399999999999999</v>
      </c>
    </row>
    <row r="264" spans="1:16" x14ac:dyDescent="0.3">
      <c r="A264" t="s">
        <v>641</v>
      </c>
      <c r="B264">
        <v>5</v>
      </c>
      <c r="C264">
        <v>9</v>
      </c>
      <c r="D264">
        <v>15</v>
      </c>
      <c r="E264">
        <v>60</v>
      </c>
      <c r="F264">
        <v>9</v>
      </c>
      <c r="G264">
        <v>9</v>
      </c>
      <c r="H264">
        <v>15</v>
      </c>
      <c r="I264">
        <v>60</v>
      </c>
      <c r="J264">
        <v>9</v>
      </c>
      <c r="K264">
        <v>15</v>
      </c>
      <c r="L264">
        <v>60</v>
      </c>
      <c r="M264">
        <v>9</v>
      </c>
      <c r="N264">
        <v>15</v>
      </c>
      <c r="O264">
        <v>60</v>
      </c>
      <c r="P264">
        <v>9</v>
      </c>
    </row>
    <row r="265" spans="1:16" x14ac:dyDescent="0.3">
      <c r="A265" t="s">
        <v>43</v>
      </c>
      <c r="B265">
        <v>5</v>
      </c>
      <c r="D265">
        <v>40</v>
      </c>
      <c r="E265">
        <v>256</v>
      </c>
      <c r="I265">
        <v>256</v>
      </c>
      <c r="J265">
        <v>0</v>
      </c>
      <c r="N265">
        <v>40</v>
      </c>
      <c r="O265">
        <v>40</v>
      </c>
    </row>
    <row r="266" spans="1:16" x14ac:dyDescent="0.3">
      <c r="A266" t="s">
        <v>44</v>
      </c>
      <c r="B266">
        <v>5</v>
      </c>
      <c r="D266">
        <v>0</v>
      </c>
      <c r="E266">
        <v>0</v>
      </c>
      <c r="I266">
        <v>0</v>
      </c>
      <c r="J266">
        <v>0</v>
      </c>
      <c r="N266">
        <v>0</v>
      </c>
      <c r="O266">
        <v>0</v>
      </c>
    </row>
    <row r="267" spans="1:16" x14ac:dyDescent="0.3">
      <c r="A267" t="s">
        <v>47</v>
      </c>
      <c r="B267">
        <v>5</v>
      </c>
      <c r="D267">
        <v>1</v>
      </c>
      <c r="E267">
        <v>6</v>
      </c>
      <c r="I267">
        <v>2</v>
      </c>
      <c r="J267">
        <v>6</v>
      </c>
      <c r="N267">
        <v>4</v>
      </c>
      <c r="O267">
        <v>4</v>
      </c>
    </row>
    <row r="268" spans="1:16" x14ac:dyDescent="0.3">
      <c r="A268" t="s">
        <v>642</v>
      </c>
      <c r="B268">
        <v>5</v>
      </c>
      <c r="D268">
        <v>0</v>
      </c>
      <c r="E268">
        <v>0</v>
      </c>
      <c r="I268">
        <v>0</v>
      </c>
      <c r="J268">
        <v>0</v>
      </c>
      <c r="N268">
        <v>0</v>
      </c>
      <c r="O268">
        <v>0</v>
      </c>
    </row>
    <row r="269" spans="1:16" x14ac:dyDescent="0.3">
      <c r="A269" t="s">
        <v>643</v>
      </c>
      <c r="B269">
        <v>5</v>
      </c>
      <c r="D269">
        <v>0</v>
      </c>
      <c r="E269">
        <v>0</v>
      </c>
      <c r="I269">
        <v>0</v>
      </c>
      <c r="J269">
        <v>0</v>
      </c>
      <c r="N269">
        <v>0</v>
      </c>
      <c r="O269">
        <v>0</v>
      </c>
    </row>
    <row r="270" spans="1:16" x14ac:dyDescent="0.3">
      <c r="A270" t="s">
        <v>644</v>
      </c>
      <c r="B270">
        <v>5</v>
      </c>
      <c r="D270">
        <v>0</v>
      </c>
      <c r="E270">
        <v>0</v>
      </c>
      <c r="I270">
        <v>0</v>
      </c>
      <c r="J270">
        <v>0</v>
      </c>
      <c r="N270">
        <v>0</v>
      </c>
      <c r="O270">
        <v>0</v>
      </c>
    </row>
    <row r="271" spans="1:16" x14ac:dyDescent="0.3">
      <c r="A271" t="s">
        <v>645</v>
      </c>
      <c r="B271">
        <v>5</v>
      </c>
      <c r="D271">
        <v>0</v>
      </c>
      <c r="E271">
        <v>0</v>
      </c>
      <c r="I271">
        <v>0</v>
      </c>
      <c r="J271">
        <v>0</v>
      </c>
      <c r="N271">
        <v>0</v>
      </c>
      <c r="O271">
        <v>0</v>
      </c>
    </row>
    <row r="272" spans="1:16" x14ac:dyDescent="0.3">
      <c r="A272" t="s">
        <v>646</v>
      </c>
      <c r="B272">
        <v>5</v>
      </c>
      <c r="D272">
        <v>1</v>
      </c>
      <c r="E272">
        <v>2</v>
      </c>
      <c r="I272">
        <v>2</v>
      </c>
      <c r="J272">
        <v>1</v>
      </c>
      <c r="N272">
        <v>1</v>
      </c>
      <c r="O272">
        <v>1</v>
      </c>
    </row>
    <row r="273" spans="1:16" x14ac:dyDescent="0.3">
      <c r="A273" t="s">
        <v>647</v>
      </c>
      <c r="B273">
        <v>5</v>
      </c>
      <c r="D273">
        <v>0</v>
      </c>
      <c r="E273">
        <v>250</v>
      </c>
      <c r="I273">
        <v>250</v>
      </c>
      <c r="J273">
        <v>0</v>
      </c>
      <c r="N273">
        <v>0</v>
      </c>
      <c r="O273">
        <v>0</v>
      </c>
    </row>
    <row r="274" spans="1:16" x14ac:dyDescent="0.3">
      <c r="A274" t="s">
        <v>648</v>
      </c>
      <c r="B274">
        <v>5</v>
      </c>
      <c r="D274">
        <v>40</v>
      </c>
      <c r="E274">
        <v>6</v>
      </c>
      <c r="I274">
        <v>6</v>
      </c>
      <c r="J274">
        <v>0</v>
      </c>
      <c r="N274">
        <v>40</v>
      </c>
      <c r="O274">
        <v>40</v>
      </c>
    </row>
    <row r="275" spans="1:16" x14ac:dyDescent="0.3">
      <c r="A275" t="s">
        <v>649</v>
      </c>
      <c r="B275">
        <v>5</v>
      </c>
      <c r="D275">
        <v>3</v>
      </c>
      <c r="E275">
        <v>3</v>
      </c>
      <c r="I275">
        <v>3</v>
      </c>
      <c r="J275">
        <v>3</v>
      </c>
      <c r="N275">
        <v>3</v>
      </c>
      <c r="O275">
        <v>3</v>
      </c>
    </row>
    <row r="276" spans="1:16" x14ac:dyDescent="0.3">
      <c r="A276" t="s">
        <v>650</v>
      </c>
      <c r="B276">
        <v>5</v>
      </c>
      <c r="D276">
        <v>0</v>
      </c>
      <c r="E276">
        <v>0</v>
      </c>
      <c r="I276">
        <v>0</v>
      </c>
      <c r="J276">
        <v>0</v>
      </c>
      <c r="N276">
        <v>0</v>
      </c>
      <c r="O276">
        <v>0</v>
      </c>
    </row>
    <row r="277" spans="1:16" x14ac:dyDescent="0.3">
      <c r="A277" t="s">
        <v>651</v>
      </c>
      <c r="B277">
        <v>5</v>
      </c>
      <c r="D277">
        <v>0</v>
      </c>
      <c r="E277">
        <v>0</v>
      </c>
      <c r="I277">
        <v>0</v>
      </c>
      <c r="J277">
        <v>0</v>
      </c>
      <c r="N277">
        <v>0</v>
      </c>
      <c r="O277">
        <v>0</v>
      </c>
    </row>
    <row r="278" spans="1:16" x14ac:dyDescent="0.3">
      <c r="A278" t="s">
        <v>652</v>
      </c>
      <c r="B278">
        <v>5</v>
      </c>
      <c r="D278">
        <v>0</v>
      </c>
      <c r="E278">
        <v>0</v>
      </c>
      <c r="I278">
        <v>0</v>
      </c>
      <c r="J278">
        <v>0</v>
      </c>
      <c r="N278">
        <v>0</v>
      </c>
      <c r="O278">
        <v>0</v>
      </c>
    </row>
    <row r="279" spans="1:16" x14ac:dyDescent="0.3">
      <c r="A279" t="s">
        <v>653</v>
      </c>
      <c r="B279">
        <v>5</v>
      </c>
      <c r="E279">
        <v>0</v>
      </c>
      <c r="I279">
        <v>0</v>
      </c>
    </row>
    <row r="280" spans="1:16" x14ac:dyDescent="0.3">
      <c r="A280" t="s">
        <v>654</v>
      </c>
      <c r="B280">
        <v>5</v>
      </c>
      <c r="E280">
        <v>0</v>
      </c>
      <c r="I280">
        <v>0</v>
      </c>
    </row>
    <row r="281" spans="1:16" x14ac:dyDescent="0.3">
      <c r="A281" t="s">
        <v>655</v>
      </c>
      <c r="B281">
        <v>5</v>
      </c>
      <c r="E281">
        <v>3</v>
      </c>
      <c r="I281">
        <v>3</v>
      </c>
    </row>
    <row r="282" spans="1:16" x14ac:dyDescent="0.3">
      <c r="A282" t="s">
        <v>656</v>
      </c>
      <c r="B282">
        <v>5</v>
      </c>
      <c r="E282">
        <v>0</v>
      </c>
      <c r="I282">
        <v>0</v>
      </c>
    </row>
    <row r="283" spans="1:16" x14ac:dyDescent="0.3">
      <c r="A283" t="s">
        <v>657</v>
      </c>
      <c r="B283">
        <v>5</v>
      </c>
      <c r="E283">
        <v>0</v>
      </c>
      <c r="I283">
        <v>0</v>
      </c>
      <c r="L283">
        <v>0</v>
      </c>
      <c r="O283">
        <v>0</v>
      </c>
    </row>
    <row r="284" spans="1:16" x14ac:dyDescent="0.3">
      <c r="A284" t="s">
        <v>408</v>
      </c>
      <c r="B284">
        <v>5</v>
      </c>
      <c r="E284">
        <v>1</v>
      </c>
    </row>
    <row r="285" spans="1:16" x14ac:dyDescent="0.3">
      <c r="A285" t="s">
        <v>659</v>
      </c>
      <c r="B285">
        <v>5</v>
      </c>
      <c r="N285">
        <v>10</v>
      </c>
    </row>
    <row r="286" spans="1:16" x14ac:dyDescent="0.3">
      <c r="A286" t="s">
        <v>658</v>
      </c>
      <c r="B286">
        <v>5</v>
      </c>
      <c r="C286">
        <v>0</v>
      </c>
      <c r="D286">
        <v>115</v>
      </c>
      <c r="E286">
        <v>1558</v>
      </c>
      <c r="F286">
        <v>0</v>
      </c>
      <c r="G286">
        <v>0</v>
      </c>
      <c r="H286">
        <v>0</v>
      </c>
      <c r="I286">
        <v>446</v>
      </c>
      <c r="J286">
        <v>299</v>
      </c>
      <c r="K286">
        <v>0</v>
      </c>
      <c r="L286">
        <v>0</v>
      </c>
      <c r="M286">
        <v>0</v>
      </c>
      <c r="N286">
        <v>127</v>
      </c>
      <c r="O286">
        <v>988</v>
      </c>
      <c r="P286">
        <v>0</v>
      </c>
    </row>
    <row r="287" spans="1:16" x14ac:dyDescent="0.3">
      <c r="A287" t="s">
        <v>34</v>
      </c>
      <c r="B287">
        <v>6</v>
      </c>
      <c r="C287">
        <v>110</v>
      </c>
      <c r="D287">
        <v>110</v>
      </c>
      <c r="E287">
        <v>110</v>
      </c>
      <c r="F287">
        <v>110</v>
      </c>
      <c r="G287">
        <v>7</v>
      </c>
      <c r="H287">
        <v>7</v>
      </c>
      <c r="I287">
        <v>7</v>
      </c>
      <c r="J287">
        <v>7</v>
      </c>
      <c r="K287">
        <v>4</v>
      </c>
      <c r="L287">
        <v>4</v>
      </c>
      <c r="M287">
        <v>4</v>
      </c>
      <c r="N287">
        <v>111</v>
      </c>
      <c r="O287">
        <v>111</v>
      </c>
      <c r="P287">
        <v>111</v>
      </c>
    </row>
    <row r="288" spans="1:16" x14ac:dyDescent="0.3">
      <c r="A288" t="s">
        <v>35</v>
      </c>
      <c r="B288">
        <v>6</v>
      </c>
      <c r="C288">
        <v>110</v>
      </c>
      <c r="D288">
        <v>4</v>
      </c>
      <c r="E288">
        <v>7</v>
      </c>
      <c r="F288">
        <v>111</v>
      </c>
      <c r="G288">
        <v>7</v>
      </c>
      <c r="H288">
        <v>111</v>
      </c>
      <c r="I288">
        <v>110</v>
      </c>
      <c r="J288">
        <v>4</v>
      </c>
      <c r="K288">
        <v>7</v>
      </c>
      <c r="L288">
        <v>111</v>
      </c>
      <c r="M288">
        <v>110</v>
      </c>
      <c r="N288">
        <v>110</v>
      </c>
      <c r="O288">
        <v>4</v>
      </c>
      <c r="P288">
        <v>7</v>
      </c>
    </row>
    <row r="289" spans="1:16" x14ac:dyDescent="0.3">
      <c r="A289" t="s">
        <v>36</v>
      </c>
      <c r="B289">
        <v>6</v>
      </c>
      <c r="C289">
        <v>0</v>
      </c>
      <c r="D289">
        <v>0</v>
      </c>
      <c r="E289">
        <v>2</v>
      </c>
      <c r="F289">
        <v>0</v>
      </c>
      <c r="G289">
        <v>0</v>
      </c>
      <c r="H289">
        <v>1</v>
      </c>
      <c r="I289">
        <v>2</v>
      </c>
      <c r="J289">
        <v>0</v>
      </c>
      <c r="K289">
        <v>1</v>
      </c>
      <c r="L289">
        <v>2</v>
      </c>
      <c r="M289">
        <v>0</v>
      </c>
      <c r="N289">
        <v>0</v>
      </c>
      <c r="O289">
        <v>0</v>
      </c>
      <c r="P289">
        <v>0</v>
      </c>
    </row>
    <row r="290" spans="1:16" x14ac:dyDescent="0.3">
      <c r="A290" t="s">
        <v>37</v>
      </c>
      <c r="B290">
        <v>6</v>
      </c>
      <c r="D290">
        <v>0</v>
      </c>
      <c r="E290">
        <v>2</v>
      </c>
      <c r="H290">
        <v>0</v>
      </c>
      <c r="I290">
        <v>0</v>
      </c>
      <c r="K290">
        <v>0</v>
      </c>
      <c r="L290">
        <v>2</v>
      </c>
      <c r="N290">
        <v>0</v>
      </c>
      <c r="O290">
        <v>0</v>
      </c>
    </row>
    <row r="291" spans="1:16" x14ac:dyDescent="0.3">
      <c r="A291" t="s">
        <v>38</v>
      </c>
      <c r="B291">
        <v>6</v>
      </c>
      <c r="C291">
        <v>12</v>
      </c>
      <c r="D291">
        <v>12</v>
      </c>
      <c r="E291">
        <v>12</v>
      </c>
      <c r="F291">
        <v>12</v>
      </c>
      <c r="G291">
        <v>12</v>
      </c>
      <c r="H291">
        <v>12</v>
      </c>
      <c r="I291">
        <v>12</v>
      </c>
      <c r="J291">
        <v>12</v>
      </c>
      <c r="K291">
        <v>12</v>
      </c>
      <c r="L291">
        <v>12</v>
      </c>
      <c r="M291">
        <v>12</v>
      </c>
      <c r="N291">
        <v>12</v>
      </c>
      <c r="O291">
        <v>12</v>
      </c>
      <c r="P291">
        <v>12</v>
      </c>
    </row>
    <row r="292" spans="1:16" x14ac:dyDescent="0.3">
      <c r="A292" t="s">
        <v>39</v>
      </c>
      <c r="B292">
        <v>6</v>
      </c>
      <c r="H292">
        <v>200</v>
      </c>
      <c r="K292">
        <v>1000</v>
      </c>
    </row>
    <row r="293" spans="1:16" x14ac:dyDescent="0.3">
      <c r="A293" t="s">
        <v>631</v>
      </c>
      <c r="B293">
        <v>6</v>
      </c>
      <c r="H293">
        <v>25</v>
      </c>
      <c r="K293">
        <v>25</v>
      </c>
    </row>
    <row r="294" spans="1:16" x14ac:dyDescent="0.3">
      <c r="A294" t="s">
        <v>40</v>
      </c>
      <c r="B294">
        <v>6</v>
      </c>
      <c r="H294">
        <v>1</v>
      </c>
      <c r="K294">
        <v>1</v>
      </c>
    </row>
    <row r="295" spans="1:16" x14ac:dyDescent="0.3">
      <c r="A295" t="s">
        <v>41</v>
      </c>
      <c r="B295">
        <v>6</v>
      </c>
    </row>
    <row r="296" spans="1:16" x14ac:dyDescent="0.3">
      <c r="A296" t="s">
        <v>42</v>
      </c>
      <c r="B296">
        <v>6</v>
      </c>
      <c r="E296">
        <v>30</v>
      </c>
      <c r="I296">
        <v>30</v>
      </c>
      <c r="L296">
        <v>30</v>
      </c>
      <c r="O296">
        <v>30</v>
      </c>
    </row>
    <row r="297" spans="1:16" x14ac:dyDescent="0.3">
      <c r="A297" t="s">
        <v>45</v>
      </c>
      <c r="B297">
        <v>6</v>
      </c>
      <c r="E297">
        <v>2</v>
      </c>
      <c r="H297">
        <v>1</v>
      </c>
      <c r="I297">
        <v>6</v>
      </c>
      <c r="L297">
        <v>4</v>
      </c>
    </row>
    <row r="298" spans="1:16" x14ac:dyDescent="0.3">
      <c r="A298" t="s">
        <v>46</v>
      </c>
      <c r="B298">
        <v>6</v>
      </c>
      <c r="H298">
        <v>6</v>
      </c>
      <c r="K298">
        <v>4</v>
      </c>
    </row>
    <row r="299" spans="1:16" x14ac:dyDescent="0.3">
      <c r="A299" t="s">
        <v>49</v>
      </c>
      <c r="B299">
        <v>6</v>
      </c>
      <c r="C299">
        <v>4</v>
      </c>
      <c r="D299">
        <v>4</v>
      </c>
      <c r="E299">
        <v>7</v>
      </c>
      <c r="F299">
        <v>4</v>
      </c>
      <c r="G299">
        <v>4</v>
      </c>
      <c r="H299">
        <v>5</v>
      </c>
      <c r="I299">
        <v>7</v>
      </c>
      <c r="J299">
        <v>4</v>
      </c>
      <c r="K299">
        <v>5</v>
      </c>
      <c r="L299">
        <v>5</v>
      </c>
      <c r="M299">
        <v>4</v>
      </c>
      <c r="N299">
        <v>4</v>
      </c>
      <c r="O299">
        <v>4</v>
      </c>
      <c r="P299">
        <v>4</v>
      </c>
    </row>
    <row r="300" spans="1:16" x14ac:dyDescent="0.3">
      <c r="A300" t="s">
        <v>632</v>
      </c>
      <c r="B300">
        <v>6</v>
      </c>
      <c r="C300">
        <v>0</v>
      </c>
      <c r="D300">
        <v>0</v>
      </c>
      <c r="E300">
        <v>0</v>
      </c>
      <c r="F300">
        <v>0</v>
      </c>
      <c r="G300">
        <v>0</v>
      </c>
      <c r="H300">
        <v>0</v>
      </c>
      <c r="I300">
        <v>0</v>
      </c>
      <c r="J300">
        <v>0</v>
      </c>
      <c r="K300">
        <v>0</v>
      </c>
      <c r="L300">
        <v>0</v>
      </c>
      <c r="M300">
        <v>0</v>
      </c>
      <c r="N300">
        <v>0</v>
      </c>
      <c r="O300">
        <v>0</v>
      </c>
      <c r="P300">
        <v>0</v>
      </c>
    </row>
    <row r="301" spans="1:16" x14ac:dyDescent="0.3">
      <c r="A301" t="s">
        <v>48</v>
      </c>
      <c r="B301">
        <v>6</v>
      </c>
      <c r="C301">
        <v>1900</v>
      </c>
      <c r="D301">
        <v>1900</v>
      </c>
      <c r="E301">
        <v>1900</v>
      </c>
      <c r="F301">
        <v>1900</v>
      </c>
      <c r="G301">
        <v>1900</v>
      </c>
      <c r="H301">
        <v>1900</v>
      </c>
      <c r="I301">
        <v>1900</v>
      </c>
      <c r="J301">
        <v>1900</v>
      </c>
      <c r="K301">
        <v>1900</v>
      </c>
      <c r="L301">
        <v>1900</v>
      </c>
      <c r="M301">
        <v>1900</v>
      </c>
      <c r="N301">
        <v>1900</v>
      </c>
      <c r="O301">
        <v>1900</v>
      </c>
      <c r="P301">
        <v>1900</v>
      </c>
    </row>
    <row r="302" spans="1:16" x14ac:dyDescent="0.3">
      <c r="A302" t="s">
        <v>633</v>
      </c>
      <c r="B302">
        <v>6</v>
      </c>
      <c r="C302">
        <v>0</v>
      </c>
      <c r="D302">
        <v>0</v>
      </c>
      <c r="E302">
        <v>3447</v>
      </c>
      <c r="F302">
        <v>0</v>
      </c>
      <c r="G302">
        <v>0</v>
      </c>
      <c r="H302">
        <v>1770</v>
      </c>
      <c r="I302">
        <v>3539</v>
      </c>
      <c r="J302">
        <v>0</v>
      </c>
      <c r="K302">
        <v>1770</v>
      </c>
      <c r="L302">
        <v>3539</v>
      </c>
      <c r="M302">
        <v>0</v>
      </c>
      <c r="N302">
        <v>0</v>
      </c>
      <c r="O302">
        <v>0</v>
      </c>
      <c r="P302">
        <v>0</v>
      </c>
    </row>
    <row r="303" spans="1:16" x14ac:dyDescent="0.3">
      <c r="A303" t="s">
        <v>50</v>
      </c>
      <c r="B303">
        <v>6</v>
      </c>
      <c r="C303">
        <v>0</v>
      </c>
      <c r="D303">
        <v>0</v>
      </c>
      <c r="E303">
        <v>3447</v>
      </c>
      <c r="F303">
        <v>0</v>
      </c>
      <c r="G303">
        <v>0</v>
      </c>
      <c r="H303">
        <v>445</v>
      </c>
      <c r="I303">
        <v>3539</v>
      </c>
      <c r="J303">
        <v>0</v>
      </c>
      <c r="K303">
        <v>1770</v>
      </c>
      <c r="L303">
        <v>3539</v>
      </c>
      <c r="M303">
        <v>0</v>
      </c>
      <c r="N303">
        <v>0</v>
      </c>
      <c r="O303">
        <v>0</v>
      </c>
      <c r="P303">
        <v>0</v>
      </c>
    </row>
    <row r="304" spans="1:16" x14ac:dyDescent="0.3">
      <c r="A304" t="s">
        <v>634</v>
      </c>
      <c r="B304">
        <v>6</v>
      </c>
      <c r="C304">
        <v>1</v>
      </c>
      <c r="D304">
        <v>1</v>
      </c>
      <c r="E304">
        <v>1</v>
      </c>
      <c r="F304">
        <v>1</v>
      </c>
      <c r="G304">
        <v>1</v>
      </c>
      <c r="H304">
        <v>1</v>
      </c>
      <c r="I304">
        <v>1</v>
      </c>
      <c r="J304">
        <v>1</v>
      </c>
      <c r="K304">
        <v>1</v>
      </c>
      <c r="L304">
        <v>1</v>
      </c>
      <c r="M304">
        <v>1</v>
      </c>
      <c r="N304">
        <v>1</v>
      </c>
      <c r="O304">
        <v>1</v>
      </c>
      <c r="P304">
        <v>1</v>
      </c>
    </row>
    <row r="305" spans="1:16" x14ac:dyDescent="0.3">
      <c r="A305" t="s">
        <v>51</v>
      </c>
      <c r="B305">
        <v>6</v>
      </c>
      <c r="C305">
        <v>0</v>
      </c>
      <c r="D305">
        <v>0</v>
      </c>
      <c r="E305">
        <v>26</v>
      </c>
      <c r="F305">
        <v>0</v>
      </c>
      <c r="G305">
        <v>0</v>
      </c>
      <c r="H305">
        <v>0</v>
      </c>
      <c r="I305">
        <v>0</v>
      </c>
      <c r="J305">
        <v>0</v>
      </c>
      <c r="K305">
        <v>0</v>
      </c>
      <c r="L305">
        <v>0</v>
      </c>
      <c r="M305">
        <v>0</v>
      </c>
      <c r="N305">
        <v>0</v>
      </c>
      <c r="O305">
        <v>0</v>
      </c>
      <c r="P305">
        <v>0</v>
      </c>
    </row>
    <row r="306" spans="1:16" x14ac:dyDescent="0.3">
      <c r="A306" t="s">
        <v>53</v>
      </c>
      <c r="B306">
        <v>6</v>
      </c>
      <c r="C306">
        <v>0</v>
      </c>
      <c r="D306">
        <v>0</v>
      </c>
      <c r="E306">
        <v>700</v>
      </c>
      <c r="F306">
        <v>150</v>
      </c>
      <c r="G306">
        <v>0</v>
      </c>
      <c r="H306">
        <v>150</v>
      </c>
      <c r="I306">
        <v>750</v>
      </c>
      <c r="J306">
        <v>0</v>
      </c>
      <c r="K306">
        <v>200</v>
      </c>
      <c r="L306">
        <v>500</v>
      </c>
      <c r="M306">
        <v>0</v>
      </c>
      <c r="N306">
        <v>0</v>
      </c>
      <c r="O306">
        <v>0</v>
      </c>
      <c r="P306">
        <v>0</v>
      </c>
    </row>
    <row r="307" spans="1:16" x14ac:dyDescent="0.3">
      <c r="A307" t="s">
        <v>54</v>
      </c>
      <c r="B307">
        <v>6</v>
      </c>
      <c r="C307">
        <v>0</v>
      </c>
      <c r="D307">
        <v>0</v>
      </c>
      <c r="E307">
        <v>0</v>
      </c>
      <c r="F307">
        <v>0</v>
      </c>
      <c r="G307">
        <v>0</v>
      </c>
      <c r="H307">
        <v>0</v>
      </c>
      <c r="I307">
        <v>0</v>
      </c>
      <c r="J307">
        <v>0</v>
      </c>
      <c r="K307">
        <v>0</v>
      </c>
      <c r="L307">
        <v>0</v>
      </c>
      <c r="M307">
        <v>0</v>
      </c>
      <c r="N307">
        <v>0</v>
      </c>
      <c r="O307">
        <v>0</v>
      </c>
      <c r="P307">
        <v>0</v>
      </c>
    </row>
    <row r="308" spans="1:16" x14ac:dyDescent="0.3">
      <c r="A308" t="s">
        <v>55</v>
      </c>
      <c r="B308">
        <v>6</v>
      </c>
      <c r="C308">
        <v>0</v>
      </c>
      <c r="D308">
        <v>0</v>
      </c>
      <c r="E308">
        <v>0</v>
      </c>
      <c r="F308">
        <v>0</v>
      </c>
      <c r="G308">
        <v>0</v>
      </c>
      <c r="H308">
        <v>0</v>
      </c>
      <c r="I308">
        <v>0</v>
      </c>
      <c r="J308">
        <v>0</v>
      </c>
      <c r="K308">
        <v>0</v>
      </c>
      <c r="L308">
        <v>0</v>
      </c>
      <c r="M308">
        <v>0</v>
      </c>
      <c r="N308">
        <v>0</v>
      </c>
      <c r="O308">
        <v>0</v>
      </c>
      <c r="P308">
        <v>0</v>
      </c>
    </row>
    <row r="309" spans="1:16" x14ac:dyDescent="0.3">
      <c r="A309" t="s">
        <v>56</v>
      </c>
      <c r="B309">
        <v>6</v>
      </c>
      <c r="C309">
        <v>0.92</v>
      </c>
      <c r="D309">
        <v>0.92</v>
      </c>
      <c r="E309">
        <v>0.92</v>
      </c>
      <c r="F309">
        <v>0.92</v>
      </c>
      <c r="G309">
        <v>0.92</v>
      </c>
      <c r="H309">
        <v>0.92</v>
      </c>
      <c r="I309">
        <v>0.92</v>
      </c>
      <c r="J309">
        <v>0.92</v>
      </c>
      <c r="K309">
        <v>0.92</v>
      </c>
      <c r="L309">
        <v>0.92</v>
      </c>
      <c r="M309">
        <v>0.92</v>
      </c>
      <c r="N309">
        <v>0.92</v>
      </c>
      <c r="O309">
        <v>0.92</v>
      </c>
      <c r="P309">
        <v>0.92</v>
      </c>
    </row>
    <row r="310" spans="1:16" x14ac:dyDescent="0.3">
      <c r="A310" t="s">
        <v>57</v>
      </c>
      <c r="B310">
        <v>6</v>
      </c>
      <c r="C310">
        <v>100</v>
      </c>
      <c r="D310">
        <v>100</v>
      </c>
      <c r="E310">
        <v>100</v>
      </c>
      <c r="F310">
        <v>100</v>
      </c>
      <c r="G310">
        <v>100</v>
      </c>
      <c r="H310">
        <v>100</v>
      </c>
      <c r="I310">
        <v>100</v>
      </c>
      <c r="J310">
        <v>100</v>
      </c>
      <c r="K310">
        <v>100</v>
      </c>
      <c r="L310">
        <v>100</v>
      </c>
      <c r="M310">
        <v>100</v>
      </c>
      <c r="N310">
        <v>100</v>
      </c>
      <c r="O310">
        <v>100</v>
      </c>
      <c r="P310">
        <v>100</v>
      </c>
    </row>
    <row r="311" spans="1:16" x14ac:dyDescent="0.3">
      <c r="A311" t="s">
        <v>58</v>
      </c>
      <c r="B311">
        <v>6</v>
      </c>
      <c r="C311">
        <v>2</v>
      </c>
      <c r="D311">
        <v>2</v>
      </c>
      <c r="E311">
        <v>2</v>
      </c>
      <c r="F311">
        <v>2</v>
      </c>
      <c r="G311">
        <v>2</v>
      </c>
      <c r="H311">
        <v>2</v>
      </c>
      <c r="I311">
        <v>2</v>
      </c>
      <c r="J311">
        <v>2</v>
      </c>
      <c r="K311">
        <v>2</v>
      </c>
      <c r="L311">
        <v>2</v>
      </c>
      <c r="M311">
        <v>2</v>
      </c>
      <c r="N311">
        <v>2</v>
      </c>
      <c r="O311">
        <v>2</v>
      </c>
      <c r="P311">
        <v>2</v>
      </c>
    </row>
    <row r="312" spans="1:16" x14ac:dyDescent="0.3">
      <c r="A312" t="s">
        <v>59</v>
      </c>
      <c r="B312">
        <v>6</v>
      </c>
      <c r="C312">
        <v>0</v>
      </c>
      <c r="D312">
        <v>0</v>
      </c>
      <c r="E312">
        <v>0</v>
      </c>
      <c r="F312">
        <v>0</v>
      </c>
      <c r="G312">
        <v>0</v>
      </c>
      <c r="H312">
        <v>0</v>
      </c>
      <c r="I312">
        <v>0</v>
      </c>
      <c r="J312">
        <v>0</v>
      </c>
      <c r="K312">
        <v>0</v>
      </c>
      <c r="L312">
        <v>0</v>
      </c>
      <c r="M312">
        <v>0</v>
      </c>
      <c r="N312">
        <v>0</v>
      </c>
      <c r="O312">
        <v>0</v>
      </c>
      <c r="P312">
        <v>0</v>
      </c>
    </row>
    <row r="313" spans="1:16" x14ac:dyDescent="0.3">
      <c r="A313" t="s">
        <v>635</v>
      </c>
      <c r="B313">
        <v>6</v>
      </c>
      <c r="E313">
        <v>0</v>
      </c>
      <c r="I313">
        <v>0</v>
      </c>
      <c r="L313">
        <v>0</v>
      </c>
      <c r="O313">
        <v>0</v>
      </c>
    </row>
    <row r="314" spans="1:16" x14ac:dyDescent="0.3">
      <c r="A314" t="s">
        <v>574</v>
      </c>
      <c r="B314">
        <v>6</v>
      </c>
      <c r="E314">
        <v>738</v>
      </c>
      <c r="I314">
        <v>335</v>
      </c>
      <c r="L314">
        <v>1509</v>
      </c>
      <c r="O314">
        <v>708</v>
      </c>
    </row>
    <row r="315" spans="1:16" x14ac:dyDescent="0.3">
      <c r="A315" t="s">
        <v>78</v>
      </c>
      <c r="B315">
        <v>6</v>
      </c>
      <c r="E315">
        <v>16.8</v>
      </c>
      <c r="I315">
        <v>7.6</v>
      </c>
      <c r="L315">
        <v>34.299999999999997</v>
      </c>
      <c r="O315">
        <v>16.100000000000001</v>
      </c>
    </row>
    <row r="316" spans="1:16" x14ac:dyDescent="0.3">
      <c r="A316" t="s">
        <v>636</v>
      </c>
      <c r="B316">
        <v>6</v>
      </c>
      <c r="F316">
        <v>0</v>
      </c>
      <c r="J316">
        <v>0</v>
      </c>
      <c r="M316">
        <v>0</v>
      </c>
      <c r="P316">
        <v>0</v>
      </c>
    </row>
    <row r="317" spans="1:16" x14ac:dyDescent="0.3">
      <c r="A317" t="s">
        <v>639</v>
      </c>
      <c r="B317">
        <v>6</v>
      </c>
      <c r="C317">
        <v>3</v>
      </c>
      <c r="D317">
        <v>0</v>
      </c>
      <c r="E317">
        <v>0</v>
      </c>
      <c r="F317">
        <v>1</v>
      </c>
      <c r="G317">
        <v>3</v>
      </c>
      <c r="H317">
        <v>0</v>
      </c>
      <c r="I317">
        <v>0</v>
      </c>
      <c r="J317">
        <v>1</v>
      </c>
      <c r="K317">
        <v>0</v>
      </c>
      <c r="L317">
        <v>0</v>
      </c>
      <c r="M317">
        <v>1</v>
      </c>
      <c r="N317">
        <v>0</v>
      </c>
      <c r="O317">
        <v>0</v>
      </c>
      <c r="P317">
        <v>1</v>
      </c>
    </row>
    <row r="318" spans="1:16" x14ac:dyDescent="0.3">
      <c r="A318" t="s">
        <v>640</v>
      </c>
      <c r="B318">
        <v>6</v>
      </c>
      <c r="C318">
        <v>0</v>
      </c>
      <c r="D318">
        <v>0</v>
      </c>
      <c r="E318">
        <v>0</v>
      </c>
      <c r="F318">
        <v>0</v>
      </c>
      <c r="G318">
        <v>0</v>
      </c>
      <c r="H318">
        <v>0</v>
      </c>
      <c r="I318">
        <v>0</v>
      </c>
      <c r="J318">
        <v>0</v>
      </c>
      <c r="K318">
        <v>0</v>
      </c>
      <c r="L318">
        <v>0</v>
      </c>
      <c r="M318">
        <v>0</v>
      </c>
      <c r="N318">
        <v>0</v>
      </c>
      <c r="O318">
        <v>0</v>
      </c>
      <c r="P318">
        <v>0</v>
      </c>
    </row>
    <row r="319" spans="1:16" x14ac:dyDescent="0.3">
      <c r="A319" t="s">
        <v>52</v>
      </c>
      <c r="B319">
        <v>6</v>
      </c>
      <c r="C319">
        <v>1</v>
      </c>
      <c r="D319">
        <v>1</v>
      </c>
      <c r="E319">
        <v>1</v>
      </c>
      <c r="F319">
        <v>1</v>
      </c>
      <c r="G319">
        <v>1</v>
      </c>
      <c r="H319">
        <v>1</v>
      </c>
      <c r="I319">
        <v>1</v>
      </c>
      <c r="J319">
        <v>1</v>
      </c>
      <c r="K319">
        <v>1</v>
      </c>
      <c r="L319">
        <v>1</v>
      </c>
      <c r="M319">
        <v>1</v>
      </c>
      <c r="N319">
        <v>1</v>
      </c>
      <c r="O319">
        <v>1</v>
      </c>
      <c r="P319">
        <v>1</v>
      </c>
    </row>
    <row r="320" spans="1:16" x14ac:dyDescent="0.3">
      <c r="A320" t="s">
        <v>641</v>
      </c>
      <c r="B320">
        <v>6</v>
      </c>
      <c r="C320">
        <v>9</v>
      </c>
      <c r="D320">
        <v>15</v>
      </c>
      <c r="E320">
        <v>60</v>
      </c>
      <c r="F320">
        <v>9</v>
      </c>
      <c r="G320">
        <v>9</v>
      </c>
      <c r="H320">
        <v>15</v>
      </c>
      <c r="I320">
        <v>60</v>
      </c>
      <c r="J320">
        <v>9</v>
      </c>
      <c r="K320">
        <v>15</v>
      </c>
      <c r="L320">
        <v>60</v>
      </c>
      <c r="M320">
        <v>9</v>
      </c>
      <c r="N320">
        <v>15</v>
      </c>
      <c r="O320">
        <v>60</v>
      </c>
      <c r="P320">
        <v>9</v>
      </c>
    </row>
    <row r="321" spans="1:12" x14ac:dyDescent="0.3">
      <c r="A321" t="s">
        <v>43</v>
      </c>
      <c r="B321">
        <v>6</v>
      </c>
      <c r="E321">
        <v>256</v>
      </c>
      <c r="H321">
        <v>40</v>
      </c>
      <c r="I321">
        <v>256</v>
      </c>
      <c r="K321">
        <v>40</v>
      </c>
      <c r="L321">
        <v>40</v>
      </c>
    </row>
    <row r="322" spans="1:12" x14ac:dyDescent="0.3">
      <c r="A322" t="s">
        <v>44</v>
      </c>
      <c r="B322">
        <v>6</v>
      </c>
      <c r="E322">
        <v>0</v>
      </c>
      <c r="H322">
        <v>0</v>
      </c>
      <c r="I322">
        <v>0</v>
      </c>
      <c r="K322">
        <v>0</v>
      </c>
      <c r="L322">
        <v>0</v>
      </c>
    </row>
    <row r="323" spans="1:12" x14ac:dyDescent="0.3">
      <c r="A323" t="s">
        <v>47</v>
      </c>
      <c r="B323">
        <v>6</v>
      </c>
      <c r="E323">
        <v>2</v>
      </c>
      <c r="H323">
        <v>1</v>
      </c>
      <c r="I323">
        <v>6</v>
      </c>
      <c r="K323">
        <v>4</v>
      </c>
      <c r="L323">
        <v>4</v>
      </c>
    </row>
    <row r="324" spans="1:12" x14ac:dyDescent="0.3">
      <c r="A324" t="s">
        <v>642</v>
      </c>
      <c r="B324">
        <v>6</v>
      </c>
      <c r="E324">
        <v>0</v>
      </c>
      <c r="H324">
        <v>0</v>
      </c>
      <c r="I324">
        <v>0</v>
      </c>
      <c r="K324">
        <v>0</v>
      </c>
      <c r="L324">
        <v>0</v>
      </c>
    </row>
    <row r="325" spans="1:12" x14ac:dyDescent="0.3">
      <c r="A325" t="s">
        <v>643</v>
      </c>
      <c r="B325">
        <v>6</v>
      </c>
      <c r="E325">
        <v>0</v>
      </c>
      <c r="H325">
        <v>0</v>
      </c>
      <c r="I325">
        <v>0</v>
      </c>
      <c r="K325">
        <v>0</v>
      </c>
      <c r="L325">
        <v>0</v>
      </c>
    </row>
    <row r="326" spans="1:12" x14ac:dyDescent="0.3">
      <c r="A326" t="s">
        <v>644</v>
      </c>
      <c r="B326">
        <v>6</v>
      </c>
      <c r="E326">
        <v>0</v>
      </c>
      <c r="H326">
        <v>0</v>
      </c>
      <c r="I326">
        <v>0</v>
      </c>
      <c r="K326">
        <v>0</v>
      </c>
      <c r="L326">
        <v>0</v>
      </c>
    </row>
    <row r="327" spans="1:12" x14ac:dyDescent="0.3">
      <c r="A327" t="s">
        <v>645</v>
      </c>
      <c r="B327">
        <v>6</v>
      </c>
      <c r="E327">
        <v>0</v>
      </c>
      <c r="H327">
        <v>0</v>
      </c>
      <c r="I327">
        <v>0</v>
      </c>
      <c r="K327">
        <v>0</v>
      </c>
      <c r="L327">
        <v>0</v>
      </c>
    </row>
    <row r="328" spans="1:12" x14ac:dyDescent="0.3">
      <c r="A328" t="s">
        <v>646</v>
      </c>
      <c r="B328">
        <v>6</v>
      </c>
      <c r="E328">
        <v>2</v>
      </c>
      <c r="H328">
        <v>1</v>
      </c>
      <c r="I328">
        <v>2</v>
      </c>
      <c r="K328">
        <v>1</v>
      </c>
      <c r="L328">
        <v>1</v>
      </c>
    </row>
    <row r="329" spans="1:12" x14ac:dyDescent="0.3">
      <c r="A329" t="s">
        <v>647</v>
      </c>
      <c r="B329">
        <v>6</v>
      </c>
      <c r="E329">
        <v>250</v>
      </c>
      <c r="H329">
        <v>0</v>
      </c>
      <c r="I329">
        <v>250</v>
      </c>
      <c r="K329">
        <v>0</v>
      </c>
      <c r="L329">
        <v>0</v>
      </c>
    </row>
    <row r="330" spans="1:12" x14ac:dyDescent="0.3">
      <c r="A330" t="s">
        <v>648</v>
      </c>
      <c r="B330">
        <v>6</v>
      </c>
      <c r="E330">
        <v>6</v>
      </c>
      <c r="H330">
        <v>40</v>
      </c>
      <c r="I330">
        <v>6</v>
      </c>
      <c r="K330">
        <v>40</v>
      </c>
      <c r="L330">
        <v>40</v>
      </c>
    </row>
    <row r="331" spans="1:12" x14ac:dyDescent="0.3">
      <c r="A331" t="s">
        <v>649</v>
      </c>
      <c r="B331">
        <v>6</v>
      </c>
      <c r="E331">
        <v>3</v>
      </c>
      <c r="H331">
        <v>3</v>
      </c>
      <c r="I331">
        <v>3</v>
      </c>
      <c r="K331">
        <v>3</v>
      </c>
      <c r="L331">
        <v>3</v>
      </c>
    </row>
    <row r="332" spans="1:12" x14ac:dyDescent="0.3">
      <c r="A332" t="s">
        <v>650</v>
      </c>
      <c r="B332">
        <v>6</v>
      </c>
      <c r="E332">
        <v>0</v>
      </c>
      <c r="H332">
        <v>0</v>
      </c>
      <c r="I332">
        <v>0</v>
      </c>
      <c r="K332">
        <v>0</v>
      </c>
      <c r="L332">
        <v>0</v>
      </c>
    </row>
    <row r="333" spans="1:12" x14ac:dyDescent="0.3">
      <c r="A333" t="s">
        <v>651</v>
      </c>
      <c r="B333">
        <v>6</v>
      </c>
      <c r="E333">
        <v>0</v>
      </c>
      <c r="H333">
        <v>0</v>
      </c>
      <c r="I333">
        <v>0</v>
      </c>
      <c r="K333">
        <v>0</v>
      </c>
      <c r="L333">
        <v>0</v>
      </c>
    </row>
    <row r="334" spans="1:12" x14ac:dyDescent="0.3">
      <c r="A334" t="s">
        <v>652</v>
      </c>
      <c r="B334">
        <v>6</v>
      </c>
      <c r="E334">
        <v>0</v>
      </c>
      <c r="H334">
        <v>0</v>
      </c>
      <c r="I334">
        <v>0</v>
      </c>
      <c r="K334">
        <v>0</v>
      </c>
      <c r="L334">
        <v>0</v>
      </c>
    </row>
    <row r="335" spans="1:12" x14ac:dyDescent="0.3">
      <c r="A335" t="s">
        <v>653</v>
      </c>
      <c r="B335">
        <v>6</v>
      </c>
      <c r="E335">
        <v>0</v>
      </c>
      <c r="I335">
        <v>0</v>
      </c>
    </row>
    <row r="336" spans="1:12" x14ac:dyDescent="0.3">
      <c r="A336" t="s">
        <v>654</v>
      </c>
      <c r="B336">
        <v>6</v>
      </c>
      <c r="E336">
        <v>0</v>
      </c>
      <c r="I336">
        <v>0</v>
      </c>
    </row>
    <row r="337" spans="1:16" x14ac:dyDescent="0.3">
      <c r="A337" t="s">
        <v>655</v>
      </c>
      <c r="B337">
        <v>6</v>
      </c>
      <c r="E337">
        <v>3</v>
      </c>
      <c r="I337">
        <v>3</v>
      </c>
    </row>
    <row r="338" spans="1:16" x14ac:dyDescent="0.3">
      <c r="A338" t="s">
        <v>656</v>
      </c>
      <c r="B338">
        <v>6</v>
      </c>
      <c r="E338">
        <v>0</v>
      </c>
      <c r="I338">
        <v>0</v>
      </c>
    </row>
    <row r="339" spans="1:16" x14ac:dyDescent="0.3">
      <c r="A339" t="s">
        <v>657</v>
      </c>
      <c r="B339">
        <v>6</v>
      </c>
      <c r="E339">
        <v>0</v>
      </c>
      <c r="I339">
        <v>0</v>
      </c>
      <c r="L339">
        <v>0</v>
      </c>
      <c r="O339">
        <v>0</v>
      </c>
    </row>
    <row r="340" spans="1:16" x14ac:dyDescent="0.3">
      <c r="A340" t="s">
        <v>408</v>
      </c>
      <c r="B340">
        <v>6</v>
      </c>
      <c r="E340">
        <v>0</v>
      </c>
    </row>
    <row r="341" spans="1:16" x14ac:dyDescent="0.3">
      <c r="A341" t="s">
        <v>658</v>
      </c>
      <c r="B341">
        <v>6</v>
      </c>
      <c r="C341">
        <v>0</v>
      </c>
      <c r="D341">
        <v>0</v>
      </c>
      <c r="E341">
        <v>924</v>
      </c>
      <c r="F341">
        <v>0</v>
      </c>
      <c r="G341">
        <v>0</v>
      </c>
      <c r="H341">
        <v>163</v>
      </c>
      <c r="I341">
        <v>815</v>
      </c>
      <c r="J341">
        <v>0</v>
      </c>
      <c r="K341">
        <v>217</v>
      </c>
      <c r="L341">
        <v>543</v>
      </c>
      <c r="M341">
        <v>0</v>
      </c>
      <c r="N341">
        <v>0</v>
      </c>
      <c r="O341">
        <v>0</v>
      </c>
      <c r="P341">
        <v>0</v>
      </c>
    </row>
    <row r="342" spans="1:16" x14ac:dyDescent="0.3">
      <c r="A342" t="s">
        <v>34</v>
      </c>
      <c r="B342">
        <v>7</v>
      </c>
      <c r="C342">
        <v>6</v>
      </c>
      <c r="D342">
        <v>6</v>
      </c>
      <c r="E342">
        <v>6</v>
      </c>
      <c r="F342">
        <v>6</v>
      </c>
      <c r="G342">
        <v>60</v>
      </c>
      <c r="H342">
        <v>60</v>
      </c>
      <c r="I342">
        <v>60</v>
      </c>
      <c r="J342">
        <v>60</v>
      </c>
      <c r="K342">
        <v>5</v>
      </c>
      <c r="L342">
        <v>5</v>
      </c>
      <c r="M342">
        <v>5</v>
      </c>
      <c r="N342">
        <v>112</v>
      </c>
      <c r="O342">
        <v>112</v>
      </c>
      <c r="P342">
        <v>112</v>
      </c>
    </row>
    <row r="343" spans="1:16" x14ac:dyDescent="0.3">
      <c r="A343" t="s">
        <v>35</v>
      </c>
      <c r="B343">
        <v>7</v>
      </c>
      <c r="C343">
        <v>6</v>
      </c>
      <c r="D343">
        <v>5</v>
      </c>
      <c r="E343">
        <v>60</v>
      </c>
      <c r="F343">
        <v>112</v>
      </c>
      <c r="G343">
        <v>60</v>
      </c>
      <c r="H343">
        <v>112</v>
      </c>
      <c r="I343">
        <v>6</v>
      </c>
      <c r="J343">
        <v>5</v>
      </c>
      <c r="K343">
        <v>60</v>
      </c>
      <c r="L343">
        <v>112</v>
      </c>
      <c r="M343">
        <v>6</v>
      </c>
      <c r="N343">
        <v>6</v>
      </c>
      <c r="O343">
        <v>5</v>
      </c>
      <c r="P343">
        <v>60</v>
      </c>
    </row>
    <row r="344" spans="1:16" x14ac:dyDescent="0.3">
      <c r="A344" t="s">
        <v>36</v>
      </c>
      <c r="B344">
        <v>7</v>
      </c>
      <c r="C344">
        <v>0</v>
      </c>
      <c r="D344">
        <v>1</v>
      </c>
      <c r="E344">
        <v>2</v>
      </c>
      <c r="F344">
        <v>0</v>
      </c>
      <c r="G344">
        <v>0</v>
      </c>
      <c r="H344">
        <v>0</v>
      </c>
      <c r="I344">
        <v>2</v>
      </c>
      <c r="J344">
        <v>0</v>
      </c>
      <c r="K344">
        <v>0</v>
      </c>
      <c r="L344">
        <v>0</v>
      </c>
      <c r="M344">
        <v>0</v>
      </c>
      <c r="N344">
        <v>1</v>
      </c>
      <c r="O344">
        <v>2</v>
      </c>
      <c r="P344">
        <v>0</v>
      </c>
    </row>
    <row r="345" spans="1:16" x14ac:dyDescent="0.3">
      <c r="A345" t="s">
        <v>37</v>
      </c>
      <c r="B345">
        <v>7</v>
      </c>
      <c r="D345">
        <v>0</v>
      </c>
      <c r="E345">
        <v>0</v>
      </c>
      <c r="H345">
        <v>0</v>
      </c>
      <c r="I345">
        <v>2</v>
      </c>
      <c r="K345">
        <v>0</v>
      </c>
      <c r="L345">
        <v>0</v>
      </c>
      <c r="N345">
        <v>0</v>
      </c>
      <c r="O345">
        <v>3</v>
      </c>
    </row>
    <row r="346" spans="1:16" x14ac:dyDescent="0.3">
      <c r="A346" t="s">
        <v>38</v>
      </c>
      <c r="B346">
        <v>7</v>
      </c>
      <c r="C346">
        <v>12</v>
      </c>
      <c r="D346">
        <v>12</v>
      </c>
      <c r="E346">
        <v>12</v>
      </c>
      <c r="F346">
        <v>12</v>
      </c>
      <c r="G346">
        <v>12</v>
      </c>
      <c r="H346">
        <v>12</v>
      </c>
      <c r="I346">
        <v>12</v>
      </c>
      <c r="J346">
        <v>12</v>
      </c>
      <c r="K346">
        <v>12</v>
      </c>
      <c r="L346">
        <v>12</v>
      </c>
      <c r="M346">
        <v>12</v>
      </c>
      <c r="N346">
        <v>12</v>
      </c>
      <c r="O346">
        <v>12</v>
      </c>
      <c r="P346">
        <v>12</v>
      </c>
    </row>
    <row r="347" spans="1:16" x14ac:dyDescent="0.3">
      <c r="A347" t="s">
        <v>39</v>
      </c>
      <c r="B347">
        <v>7</v>
      </c>
      <c r="D347">
        <v>200</v>
      </c>
      <c r="J347">
        <v>300</v>
      </c>
    </row>
    <row r="348" spans="1:16" x14ac:dyDescent="0.3">
      <c r="A348" t="s">
        <v>631</v>
      </c>
      <c r="B348">
        <v>7</v>
      </c>
      <c r="D348">
        <v>25</v>
      </c>
      <c r="J348">
        <v>25</v>
      </c>
    </row>
    <row r="349" spans="1:16" x14ac:dyDescent="0.3">
      <c r="A349" t="s">
        <v>40</v>
      </c>
      <c r="B349">
        <v>7</v>
      </c>
      <c r="D349">
        <v>1</v>
      </c>
      <c r="J349">
        <v>0</v>
      </c>
    </row>
    <row r="350" spans="1:16" x14ac:dyDescent="0.3">
      <c r="A350" t="s">
        <v>41</v>
      </c>
      <c r="B350">
        <v>7</v>
      </c>
    </row>
    <row r="351" spans="1:16" x14ac:dyDescent="0.3">
      <c r="A351" t="s">
        <v>42</v>
      </c>
      <c r="B351">
        <v>7</v>
      </c>
      <c r="E351">
        <v>30</v>
      </c>
      <c r="I351">
        <v>30</v>
      </c>
      <c r="L351">
        <v>30</v>
      </c>
      <c r="O351">
        <v>30</v>
      </c>
    </row>
    <row r="352" spans="1:16" x14ac:dyDescent="0.3">
      <c r="A352" t="s">
        <v>45</v>
      </c>
      <c r="B352">
        <v>7</v>
      </c>
      <c r="D352">
        <v>5</v>
      </c>
      <c r="E352">
        <v>2</v>
      </c>
      <c r="I352">
        <v>6</v>
      </c>
      <c r="O352">
        <v>8</v>
      </c>
    </row>
    <row r="353" spans="1:16" x14ac:dyDescent="0.3">
      <c r="A353" t="s">
        <v>46</v>
      </c>
      <c r="B353">
        <v>7</v>
      </c>
      <c r="D353">
        <v>2</v>
      </c>
      <c r="N353">
        <v>8</v>
      </c>
    </row>
    <row r="354" spans="1:16" x14ac:dyDescent="0.3">
      <c r="A354" t="s">
        <v>49</v>
      </c>
      <c r="B354">
        <v>7</v>
      </c>
      <c r="C354">
        <v>4</v>
      </c>
      <c r="D354">
        <v>5</v>
      </c>
      <c r="E354">
        <v>5.5</v>
      </c>
      <c r="F354">
        <v>4</v>
      </c>
      <c r="G354">
        <v>4</v>
      </c>
      <c r="H354">
        <v>4</v>
      </c>
      <c r="I354">
        <v>5.5</v>
      </c>
      <c r="J354">
        <v>4</v>
      </c>
      <c r="K354">
        <v>4</v>
      </c>
      <c r="L354">
        <v>4</v>
      </c>
      <c r="M354">
        <v>4</v>
      </c>
      <c r="N354">
        <v>6</v>
      </c>
      <c r="O354">
        <v>6</v>
      </c>
      <c r="P354">
        <v>4</v>
      </c>
    </row>
    <row r="355" spans="1:16" x14ac:dyDescent="0.3">
      <c r="A355" t="s">
        <v>632</v>
      </c>
      <c r="B355">
        <v>7</v>
      </c>
      <c r="C355">
        <v>0</v>
      </c>
      <c r="D355">
        <v>0</v>
      </c>
      <c r="E355">
        <v>0</v>
      </c>
      <c r="F355">
        <v>0</v>
      </c>
      <c r="G355">
        <v>0</v>
      </c>
      <c r="H355">
        <v>0</v>
      </c>
      <c r="I355">
        <v>0</v>
      </c>
      <c r="J355">
        <v>0</v>
      </c>
      <c r="K355">
        <v>0</v>
      </c>
      <c r="L355">
        <v>0</v>
      </c>
      <c r="M355">
        <v>0</v>
      </c>
      <c r="N355">
        <v>0</v>
      </c>
      <c r="O355">
        <v>0</v>
      </c>
      <c r="P355">
        <v>0</v>
      </c>
    </row>
    <row r="356" spans="1:16" x14ac:dyDescent="0.3">
      <c r="A356" t="s">
        <v>48</v>
      </c>
      <c r="B356">
        <v>7</v>
      </c>
      <c r="C356">
        <v>1900</v>
      </c>
      <c r="D356">
        <v>1900</v>
      </c>
      <c r="E356">
        <v>1900</v>
      </c>
      <c r="F356">
        <v>1900</v>
      </c>
      <c r="G356">
        <v>1900</v>
      </c>
      <c r="H356">
        <v>1900</v>
      </c>
      <c r="I356">
        <v>1900</v>
      </c>
      <c r="J356">
        <v>1900</v>
      </c>
      <c r="K356">
        <v>1900</v>
      </c>
      <c r="L356">
        <v>1900</v>
      </c>
      <c r="M356">
        <v>1900</v>
      </c>
      <c r="N356">
        <v>1900</v>
      </c>
      <c r="O356">
        <v>1900</v>
      </c>
      <c r="P356">
        <v>1900</v>
      </c>
    </row>
    <row r="357" spans="1:16" x14ac:dyDescent="0.3">
      <c r="A357" t="s">
        <v>633</v>
      </c>
      <c r="B357">
        <v>7</v>
      </c>
      <c r="C357">
        <v>0</v>
      </c>
      <c r="D357">
        <v>1770</v>
      </c>
      <c r="E357">
        <v>3539</v>
      </c>
      <c r="F357">
        <v>0</v>
      </c>
      <c r="G357">
        <v>0</v>
      </c>
      <c r="H357">
        <v>0</v>
      </c>
      <c r="I357">
        <v>3465</v>
      </c>
      <c r="J357">
        <v>0</v>
      </c>
      <c r="K357">
        <v>0</v>
      </c>
      <c r="L357">
        <v>0</v>
      </c>
      <c r="M357">
        <v>0</v>
      </c>
      <c r="N357">
        <v>1610</v>
      </c>
      <c r="O357">
        <v>3285</v>
      </c>
      <c r="P357">
        <v>0</v>
      </c>
    </row>
    <row r="358" spans="1:16" x14ac:dyDescent="0.3">
      <c r="A358" t="s">
        <v>50</v>
      </c>
      <c r="B358">
        <v>7</v>
      </c>
      <c r="C358">
        <v>0</v>
      </c>
      <c r="D358">
        <v>883</v>
      </c>
      <c r="E358">
        <v>3539</v>
      </c>
      <c r="F358">
        <v>0</v>
      </c>
      <c r="G358">
        <v>0</v>
      </c>
      <c r="H358">
        <v>0</v>
      </c>
      <c r="I358">
        <v>3465</v>
      </c>
      <c r="J358">
        <v>0</v>
      </c>
      <c r="K358">
        <v>0</v>
      </c>
      <c r="L358">
        <v>0</v>
      </c>
      <c r="M358">
        <v>0</v>
      </c>
      <c r="N358">
        <v>1610</v>
      </c>
      <c r="O358">
        <v>3285</v>
      </c>
      <c r="P358">
        <v>0</v>
      </c>
    </row>
    <row r="359" spans="1:16" x14ac:dyDescent="0.3">
      <c r="A359" t="s">
        <v>634</v>
      </c>
      <c r="B359">
        <v>7</v>
      </c>
      <c r="C359">
        <v>1</v>
      </c>
      <c r="D359">
        <v>1</v>
      </c>
      <c r="E359">
        <v>1</v>
      </c>
      <c r="F359">
        <v>1</v>
      </c>
      <c r="G359">
        <v>1</v>
      </c>
      <c r="H359">
        <v>1</v>
      </c>
      <c r="I359">
        <v>1</v>
      </c>
      <c r="J359">
        <v>1</v>
      </c>
      <c r="K359">
        <v>1</v>
      </c>
      <c r="L359">
        <v>1</v>
      </c>
      <c r="M359">
        <v>1</v>
      </c>
      <c r="N359">
        <v>1</v>
      </c>
      <c r="O359">
        <v>1</v>
      </c>
      <c r="P359">
        <v>1</v>
      </c>
    </row>
    <row r="360" spans="1:16" x14ac:dyDescent="0.3">
      <c r="A360" t="s">
        <v>51</v>
      </c>
      <c r="B360">
        <v>7</v>
      </c>
      <c r="C360">
        <v>0</v>
      </c>
      <c r="D360">
        <v>0</v>
      </c>
      <c r="E360">
        <v>0</v>
      </c>
      <c r="F360">
        <v>0</v>
      </c>
      <c r="G360">
        <v>0</v>
      </c>
      <c r="H360">
        <v>0</v>
      </c>
      <c r="I360">
        <v>21</v>
      </c>
      <c r="J360">
        <v>0</v>
      </c>
      <c r="K360">
        <v>0</v>
      </c>
      <c r="L360">
        <v>0</v>
      </c>
      <c r="M360">
        <v>0</v>
      </c>
      <c r="N360">
        <v>0</v>
      </c>
      <c r="O360">
        <v>23</v>
      </c>
      <c r="P360">
        <v>0</v>
      </c>
    </row>
    <row r="361" spans="1:16" x14ac:dyDescent="0.3">
      <c r="A361" t="s">
        <v>53</v>
      </c>
      <c r="B361">
        <v>7</v>
      </c>
      <c r="C361">
        <v>0</v>
      </c>
      <c r="D361">
        <v>100</v>
      </c>
      <c r="E361">
        <v>800</v>
      </c>
      <c r="F361">
        <v>0</v>
      </c>
      <c r="G361">
        <v>0</v>
      </c>
      <c r="H361">
        <v>0</v>
      </c>
      <c r="I361">
        <v>300</v>
      </c>
      <c r="J361">
        <v>50</v>
      </c>
      <c r="K361">
        <v>0</v>
      </c>
      <c r="L361">
        <v>0</v>
      </c>
      <c r="M361">
        <v>0</v>
      </c>
      <c r="N361">
        <v>150</v>
      </c>
      <c r="O361">
        <v>800</v>
      </c>
      <c r="P361">
        <v>200</v>
      </c>
    </row>
    <row r="362" spans="1:16" x14ac:dyDescent="0.3">
      <c r="A362" t="s">
        <v>54</v>
      </c>
      <c r="B362">
        <v>7</v>
      </c>
      <c r="C362">
        <v>0</v>
      </c>
      <c r="D362">
        <v>0</v>
      </c>
      <c r="E362">
        <v>0</v>
      </c>
      <c r="F362">
        <v>0</v>
      </c>
      <c r="G362">
        <v>0</v>
      </c>
      <c r="H362">
        <v>0</v>
      </c>
      <c r="I362">
        <v>0</v>
      </c>
      <c r="J362">
        <v>0</v>
      </c>
      <c r="K362">
        <v>0</v>
      </c>
      <c r="L362">
        <v>0</v>
      </c>
      <c r="M362">
        <v>0</v>
      </c>
      <c r="N362">
        <v>0</v>
      </c>
      <c r="O362">
        <v>0</v>
      </c>
      <c r="P362">
        <v>0</v>
      </c>
    </row>
    <row r="363" spans="1:16" x14ac:dyDescent="0.3">
      <c r="A363" t="s">
        <v>55</v>
      </c>
      <c r="B363">
        <v>7</v>
      </c>
      <c r="C363">
        <v>0</v>
      </c>
      <c r="D363">
        <v>0</v>
      </c>
      <c r="E363">
        <v>0</v>
      </c>
      <c r="F363">
        <v>0</v>
      </c>
      <c r="G363">
        <v>0</v>
      </c>
      <c r="H363">
        <v>0</v>
      </c>
      <c r="I363">
        <v>0</v>
      </c>
      <c r="J363">
        <v>0</v>
      </c>
      <c r="K363">
        <v>0</v>
      </c>
      <c r="L363">
        <v>0</v>
      </c>
      <c r="M363">
        <v>0</v>
      </c>
      <c r="N363">
        <v>0</v>
      </c>
      <c r="O363">
        <v>0</v>
      </c>
      <c r="P363">
        <v>0</v>
      </c>
    </row>
    <row r="364" spans="1:16" x14ac:dyDescent="0.3">
      <c r="A364" t="s">
        <v>56</v>
      </c>
      <c r="B364">
        <v>7</v>
      </c>
      <c r="C364">
        <v>0.92</v>
      </c>
      <c r="D364">
        <v>0.92</v>
      </c>
      <c r="E364">
        <v>0.92</v>
      </c>
      <c r="F364">
        <v>0.92</v>
      </c>
      <c r="G364">
        <v>0.92</v>
      </c>
      <c r="H364">
        <v>0.92</v>
      </c>
      <c r="I364">
        <v>0.92</v>
      </c>
      <c r="J364">
        <v>0.92</v>
      </c>
      <c r="K364">
        <v>0.92</v>
      </c>
      <c r="L364">
        <v>0.92</v>
      </c>
      <c r="M364">
        <v>0.92</v>
      </c>
      <c r="N364">
        <v>0.92</v>
      </c>
      <c r="O364">
        <v>0.92</v>
      </c>
      <c r="P364">
        <v>0.92</v>
      </c>
    </row>
    <row r="365" spans="1:16" x14ac:dyDescent="0.3">
      <c r="A365" t="s">
        <v>57</v>
      </c>
      <c r="B365">
        <v>7</v>
      </c>
      <c r="C365">
        <v>100</v>
      </c>
      <c r="D365">
        <v>100</v>
      </c>
      <c r="E365">
        <v>100</v>
      </c>
      <c r="F365">
        <v>100</v>
      </c>
      <c r="G365">
        <v>100</v>
      </c>
      <c r="H365">
        <v>100</v>
      </c>
      <c r="I365">
        <v>100</v>
      </c>
      <c r="J365">
        <v>100</v>
      </c>
      <c r="K365">
        <v>100</v>
      </c>
      <c r="L365">
        <v>100</v>
      </c>
      <c r="M365">
        <v>100</v>
      </c>
      <c r="N365">
        <v>100</v>
      </c>
      <c r="O365">
        <v>100</v>
      </c>
      <c r="P365">
        <v>100</v>
      </c>
    </row>
    <row r="366" spans="1:16" x14ac:dyDescent="0.3">
      <c r="A366" t="s">
        <v>58</v>
      </c>
      <c r="B366">
        <v>7</v>
      </c>
      <c r="C366">
        <v>2</v>
      </c>
      <c r="D366">
        <v>2</v>
      </c>
      <c r="E366">
        <v>2</v>
      </c>
      <c r="F366">
        <v>2</v>
      </c>
      <c r="G366">
        <v>2</v>
      </c>
      <c r="H366">
        <v>2</v>
      </c>
      <c r="I366">
        <v>2</v>
      </c>
      <c r="J366">
        <v>2</v>
      </c>
      <c r="K366">
        <v>2</v>
      </c>
      <c r="L366">
        <v>2</v>
      </c>
      <c r="M366">
        <v>2</v>
      </c>
      <c r="N366">
        <v>2</v>
      </c>
      <c r="O366">
        <v>2</v>
      </c>
      <c r="P366">
        <v>2</v>
      </c>
    </row>
    <row r="367" spans="1:16" x14ac:dyDescent="0.3">
      <c r="A367" t="s">
        <v>59</v>
      </c>
      <c r="B367">
        <v>7</v>
      </c>
      <c r="C367">
        <v>0</v>
      </c>
      <c r="D367">
        <v>0</v>
      </c>
      <c r="E367">
        <v>0</v>
      </c>
      <c r="F367">
        <v>0</v>
      </c>
      <c r="G367">
        <v>0</v>
      </c>
      <c r="H367">
        <v>0</v>
      </c>
      <c r="I367">
        <v>0</v>
      </c>
      <c r="J367">
        <v>0</v>
      </c>
      <c r="K367">
        <v>0</v>
      </c>
      <c r="L367">
        <v>0</v>
      </c>
      <c r="M367">
        <v>0</v>
      </c>
      <c r="N367">
        <v>0</v>
      </c>
      <c r="O367">
        <v>0</v>
      </c>
      <c r="P367">
        <v>0</v>
      </c>
    </row>
    <row r="368" spans="1:16" x14ac:dyDescent="0.3">
      <c r="A368" t="s">
        <v>635</v>
      </c>
      <c r="B368">
        <v>7</v>
      </c>
      <c r="E368">
        <v>0</v>
      </c>
      <c r="I368">
        <v>0</v>
      </c>
      <c r="L368">
        <v>0</v>
      </c>
      <c r="O368">
        <v>0</v>
      </c>
    </row>
    <row r="369" spans="1:16" x14ac:dyDescent="0.3">
      <c r="A369" t="s">
        <v>574</v>
      </c>
      <c r="B369">
        <v>7</v>
      </c>
      <c r="E369">
        <v>335</v>
      </c>
      <c r="I369">
        <v>5914</v>
      </c>
      <c r="L369">
        <v>1424</v>
      </c>
      <c r="O369">
        <v>794</v>
      </c>
    </row>
    <row r="370" spans="1:16" x14ac:dyDescent="0.3">
      <c r="A370" t="s">
        <v>78</v>
      </c>
      <c r="B370">
        <v>7</v>
      </c>
      <c r="E370">
        <v>7.6</v>
      </c>
      <c r="I370">
        <v>134.4</v>
      </c>
      <c r="L370">
        <v>32.4</v>
      </c>
      <c r="O370">
        <v>18</v>
      </c>
    </row>
    <row r="371" spans="1:16" x14ac:dyDescent="0.3">
      <c r="A371" t="s">
        <v>636</v>
      </c>
      <c r="B371">
        <v>7</v>
      </c>
      <c r="F371">
        <v>0</v>
      </c>
      <c r="J371">
        <v>0</v>
      </c>
      <c r="M371">
        <v>0</v>
      </c>
      <c r="P371">
        <v>1</v>
      </c>
    </row>
    <row r="372" spans="1:16" x14ac:dyDescent="0.3">
      <c r="A372" t="s">
        <v>637</v>
      </c>
      <c r="B372">
        <v>7</v>
      </c>
      <c r="P372">
        <v>50</v>
      </c>
    </row>
    <row r="373" spans="1:16" x14ac:dyDescent="0.3">
      <c r="A373" t="s">
        <v>638</v>
      </c>
      <c r="B373">
        <v>7</v>
      </c>
      <c r="P373">
        <v>0</v>
      </c>
    </row>
    <row r="374" spans="1:16" x14ac:dyDescent="0.3">
      <c r="A374" t="s">
        <v>639</v>
      </c>
      <c r="B374">
        <v>7</v>
      </c>
      <c r="C374">
        <v>3</v>
      </c>
      <c r="D374">
        <v>0</v>
      </c>
      <c r="E374">
        <v>0</v>
      </c>
      <c r="F374">
        <v>1</v>
      </c>
      <c r="G374">
        <v>3</v>
      </c>
      <c r="H374">
        <v>0</v>
      </c>
      <c r="I374">
        <v>0</v>
      </c>
      <c r="J374">
        <v>1</v>
      </c>
      <c r="K374">
        <v>0</v>
      </c>
      <c r="L374">
        <v>0</v>
      </c>
      <c r="M374">
        <v>1</v>
      </c>
      <c r="N374">
        <v>0</v>
      </c>
      <c r="O374">
        <v>0</v>
      </c>
      <c r="P374">
        <v>1</v>
      </c>
    </row>
    <row r="375" spans="1:16" x14ac:dyDescent="0.3">
      <c r="A375" t="s">
        <v>640</v>
      </c>
      <c r="B375">
        <v>7</v>
      </c>
      <c r="C375">
        <v>0</v>
      </c>
      <c r="D375">
        <v>0</v>
      </c>
      <c r="E375">
        <v>0</v>
      </c>
      <c r="F375">
        <v>0</v>
      </c>
      <c r="G375">
        <v>0</v>
      </c>
      <c r="H375">
        <v>0</v>
      </c>
      <c r="I375">
        <v>0</v>
      </c>
      <c r="J375">
        <v>0</v>
      </c>
      <c r="K375">
        <v>0</v>
      </c>
      <c r="L375">
        <v>0</v>
      </c>
      <c r="M375">
        <v>0</v>
      </c>
      <c r="N375">
        <v>0</v>
      </c>
      <c r="O375">
        <v>0</v>
      </c>
      <c r="P375">
        <v>0</v>
      </c>
    </row>
    <row r="376" spans="1:16" x14ac:dyDescent="0.3">
      <c r="A376" t="s">
        <v>52</v>
      </c>
      <c r="B376">
        <v>7</v>
      </c>
      <c r="C376">
        <v>1</v>
      </c>
      <c r="D376">
        <v>1</v>
      </c>
      <c r="E376">
        <v>1</v>
      </c>
      <c r="F376">
        <v>1</v>
      </c>
      <c r="G376">
        <v>1</v>
      </c>
      <c r="H376">
        <v>1</v>
      </c>
      <c r="I376">
        <v>1</v>
      </c>
      <c r="J376">
        <v>1</v>
      </c>
      <c r="K376">
        <v>1</v>
      </c>
      <c r="L376">
        <v>1</v>
      </c>
      <c r="M376">
        <v>1</v>
      </c>
      <c r="N376">
        <v>1</v>
      </c>
      <c r="O376">
        <v>1</v>
      </c>
      <c r="P376">
        <v>1</v>
      </c>
    </row>
    <row r="377" spans="1:16" x14ac:dyDescent="0.3">
      <c r="A377" t="s">
        <v>641</v>
      </c>
      <c r="B377">
        <v>7</v>
      </c>
      <c r="C377">
        <v>9</v>
      </c>
      <c r="D377">
        <v>15</v>
      </c>
      <c r="E377">
        <v>60</v>
      </c>
      <c r="F377">
        <v>9</v>
      </c>
      <c r="G377">
        <v>9</v>
      </c>
      <c r="H377">
        <v>15</v>
      </c>
      <c r="I377">
        <v>60</v>
      </c>
      <c r="J377">
        <v>9</v>
      </c>
      <c r="K377">
        <v>15</v>
      </c>
      <c r="L377">
        <v>60</v>
      </c>
      <c r="M377">
        <v>9</v>
      </c>
      <c r="N377">
        <v>15</v>
      </c>
      <c r="O377">
        <v>60</v>
      </c>
      <c r="P377">
        <v>9</v>
      </c>
    </row>
    <row r="378" spans="1:16" x14ac:dyDescent="0.3">
      <c r="A378" t="s">
        <v>43</v>
      </c>
      <c r="B378">
        <v>7</v>
      </c>
      <c r="D378">
        <v>40</v>
      </c>
      <c r="E378">
        <v>256</v>
      </c>
      <c r="I378">
        <v>256</v>
      </c>
      <c r="N378">
        <v>40</v>
      </c>
      <c r="O378">
        <v>40</v>
      </c>
    </row>
    <row r="379" spans="1:16" x14ac:dyDescent="0.3">
      <c r="A379" t="s">
        <v>44</v>
      </c>
      <c r="B379">
        <v>7</v>
      </c>
      <c r="D379">
        <v>0</v>
      </c>
      <c r="E379">
        <v>0</v>
      </c>
      <c r="I379">
        <v>0</v>
      </c>
      <c r="N379">
        <v>0</v>
      </c>
      <c r="O379">
        <v>0</v>
      </c>
    </row>
    <row r="380" spans="1:16" x14ac:dyDescent="0.3">
      <c r="A380" t="s">
        <v>47</v>
      </c>
      <c r="B380">
        <v>7</v>
      </c>
      <c r="D380">
        <v>5</v>
      </c>
      <c r="E380">
        <v>2</v>
      </c>
      <c r="I380">
        <v>6</v>
      </c>
      <c r="N380">
        <v>8</v>
      </c>
      <c r="O380">
        <v>8</v>
      </c>
    </row>
    <row r="381" spans="1:16" x14ac:dyDescent="0.3">
      <c r="A381" t="s">
        <v>642</v>
      </c>
      <c r="B381">
        <v>7</v>
      </c>
      <c r="D381">
        <v>0</v>
      </c>
      <c r="E381">
        <v>0</v>
      </c>
      <c r="I381">
        <v>0</v>
      </c>
      <c r="N381">
        <v>0</v>
      </c>
      <c r="O381">
        <v>0</v>
      </c>
    </row>
    <row r="382" spans="1:16" x14ac:dyDescent="0.3">
      <c r="A382" t="s">
        <v>643</v>
      </c>
      <c r="B382">
        <v>7</v>
      </c>
      <c r="D382">
        <v>0</v>
      </c>
      <c r="E382">
        <v>0</v>
      </c>
      <c r="I382">
        <v>0</v>
      </c>
      <c r="N382">
        <v>0</v>
      </c>
      <c r="O382">
        <v>0</v>
      </c>
    </row>
    <row r="383" spans="1:16" x14ac:dyDescent="0.3">
      <c r="A383" t="s">
        <v>644</v>
      </c>
      <c r="B383">
        <v>7</v>
      </c>
      <c r="D383">
        <v>0</v>
      </c>
      <c r="E383">
        <v>0</v>
      </c>
      <c r="I383">
        <v>0</v>
      </c>
      <c r="N383">
        <v>0</v>
      </c>
      <c r="O383">
        <v>0</v>
      </c>
    </row>
    <row r="384" spans="1:16" x14ac:dyDescent="0.3">
      <c r="A384" t="s">
        <v>645</v>
      </c>
      <c r="B384">
        <v>7</v>
      </c>
      <c r="D384">
        <v>0</v>
      </c>
      <c r="E384">
        <v>0</v>
      </c>
      <c r="I384">
        <v>0</v>
      </c>
      <c r="N384">
        <v>0</v>
      </c>
      <c r="O384">
        <v>0</v>
      </c>
    </row>
    <row r="385" spans="1:16" x14ac:dyDescent="0.3">
      <c r="A385" t="s">
        <v>646</v>
      </c>
      <c r="B385">
        <v>7</v>
      </c>
      <c r="D385">
        <v>1</v>
      </c>
      <c r="E385">
        <v>2</v>
      </c>
      <c r="I385">
        <v>2</v>
      </c>
      <c r="N385">
        <v>1</v>
      </c>
      <c r="O385">
        <v>1</v>
      </c>
    </row>
    <row r="386" spans="1:16" x14ac:dyDescent="0.3">
      <c r="A386" t="s">
        <v>647</v>
      </c>
      <c r="B386">
        <v>7</v>
      </c>
      <c r="D386">
        <v>0</v>
      </c>
      <c r="E386">
        <v>250</v>
      </c>
      <c r="I386">
        <v>250</v>
      </c>
      <c r="N386">
        <v>0</v>
      </c>
      <c r="O386">
        <v>0</v>
      </c>
    </row>
    <row r="387" spans="1:16" x14ac:dyDescent="0.3">
      <c r="A387" t="s">
        <v>648</v>
      </c>
      <c r="B387">
        <v>7</v>
      </c>
      <c r="D387">
        <v>40</v>
      </c>
      <c r="E387">
        <v>6</v>
      </c>
      <c r="I387">
        <v>6</v>
      </c>
      <c r="N387">
        <v>40</v>
      </c>
      <c r="O387">
        <v>40</v>
      </c>
    </row>
    <row r="388" spans="1:16" x14ac:dyDescent="0.3">
      <c r="A388" t="s">
        <v>649</v>
      </c>
      <c r="B388">
        <v>7</v>
      </c>
      <c r="D388">
        <v>3</v>
      </c>
      <c r="E388">
        <v>3</v>
      </c>
      <c r="I388">
        <v>3</v>
      </c>
      <c r="N388">
        <v>3</v>
      </c>
      <c r="O388">
        <v>3</v>
      </c>
    </row>
    <row r="389" spans="1:16" x14ac:dyDescent="0.3">
      <c r="A389" t="s">
        <v>650</v>
      </c>
      <c r="B389">
        <v>7</v>
      </c>
      <c r="D389">
        <v>0</v>
      </c>
      <c r="E389">
        <v>0</v>
      </c>
      <c r="I389">
        <v>0</v>
      </c>
      <c r="N389">
        <v>0</v>
      </c>
      <c r="O389">
        <v>0</v>
      </c>
    </row>
    <row r="390" spans="1:16" x14ac:dyDescent="0.3">
      <c r="A390" t="s">
        <v>651</v>
      </c>
      <c r="B390">
        <v>7</v>
      </c>
      <c r="D390">
        <v>0</v>
      </c>
      <c r="E390">
        <v>0</v>
      </c>
      <c r="I390">
        <v>0</v>
      </c>
      <c r="N390">
        <v>0</v>
      </c>
      <c r="O390">
        <v>0</v>
      </c>
    </row>
    <row r="391" spans="1:16" x14ac:dyDescent="0.3">
      <c r="A391" t="s">
        <v>652</v>
      </c>
      <c r="B391">
        <v>7</v>
      </c>
      <c r="D391">
        <v>0</v>
      </c>
      <c r="E391">
        <v>0</v>
      </c>
      <c r="I391">
        <v>0</v>
      </c>
      <c r="N391">
        <v>0</v>
      </c>
      <c r="O391">
        <v>0</v>
      </c>
    </row>
    <row r="392" spans="1:16" x14ac:dyDescent="0.3">
      <c r="A392" t="s">
        <v>653</v>
      </c>
      <c r="B392">
        <v>7</v>
      </c>
      <c r="E392">
        <v>0</v>
      </c>
      <c r="I392">
        <v>0</v>
      </c>
    </row>
    <row r="393" spans="1:16" x14ac:dyDescent="0.3">
      <c r="A393" t="s">
        <v>654</v>
      </c>
      <c r="B393">
        <v>7</v>
      </c>
      <c r="E393">
        <v>0</v>
      </c>
      <c r="I393">
        <v>0</v>
      </c>
    </row>
    <row r="394" spans="1:16" x14ac:dyDescent="0.3">
      <c r="A394" t="s">
        <v>655</v>
      </c>
      <c r="B394">
        <v>7</v>
      </c>
      <c r="E394">
        <v>3</v>
      </c>
      <c r="I394">
        <v>3</v>
      </c>
    </row>
    <row r="395" spans="1:16" x14ac:dyDescent="0.3">
      <c r="A395" t="s">
        <v>656</v>
      </c>
      <c r="B395">
        <v>7</v>
      </c>
      <c r="E395">
        <v>0</v>
      </c>
      <c r="I395">
        <v>0</v>
      </c>
    </row>
    <row r="396" spans="1:16" x14ac:dyDescent="0.3">
      <c r="A396" t="s">
        <v>657</v>
      </c>
      <c r="B396">
        <v>7</v>
      </c>
      <c r="E396">
        <v>0</v>
      </c>
      <c r="I396">
        <v>0</v>
      </c>
      <c r="L396">
        <v>0</v>
      </c>
      <c r="O396">
        <v>0</v>
      </c>
    </row>
    <row r="397" spans="1:16" x14ac:dyDescent="0.3">
      <c r="A397" t="s">
        <v>408</v>
      </c>
      <c r="B397">
        <v>7</v>
      </c>
      <c r="E397">
        <v>0</v>
      </c>
    </row>
    <row r="398" spans="1:16" x14ac:dyDescent="0.3">
      <c r="A398" t="s">
        <v>659</v>
      </c>
      <c r="B398">
        <v>7</v>
      </c>
      <c r="N398">
        <v>10</v>
      </c>
    </row>
    <row r="399" spans="1:16" x14ac:dyDescent="0.3">
      <c r="A399" t="s">
        <v>658</v>
      </c>
      <c r="B399">
        <v>7</v>
      </c>
      <c r="C399">
        <v>0</v>
      </c>
      <c r="D399">
        <v>109</v>
      </c>
      <c r="E399">
        <v>870</v>
      </c>
      <c r="F399">
        <v>0</v>
      </c>
      <c r="G399">
        <v>0</v>
      </c>
      <c r="H399">
        <v>0</v>
      </c>
      <c r="I399">
        <v>380</v>
      </c>
      <c r="J399">
        <v>0</v>
      </c>
      <c r="K399">
        <v>0</v>
      </c>
      <c r="L399">
        <v>0</v>
      </c>
      <c r="M399">
        <v>0</v>
      </c>
      <c r="N399">
        <v>147</v>
      </c>
      <c r="O399">
        <v>1103</v>
      </c>
      <c r="P399">
        <v>0</v>
      </c>
    </row>
    <row r="400" spans="1:16" x14ac:dyDescent="0.3">
      <c r="A400" t="s">
        <v>34</v>
      </c>
      <c r="B400">
        <v>9</v>
      </c>
      <c r="C400">
        <v>5</v>
      </c>
      <c r="D400">
        <v>5</v>
      </c>
      <c r="E400">
        <v>5</v>
      </c>
      <c r="F400">
        <v>5</v>
      </c>
      <c r="G400">
        <v>10</v>
      </c>
      <c r="H400">
        <v>10</v>
      </c>
      <c r="I400">
        <v>10</v>
      </c>
      <c r="J400">
        <v>10</v>
      </c>
      <c r="K400">
        <v>113</v>
      </c>
      <c r="L400">
        <v>113</v>
      </c>
      <c r="M400">
        <v>113</v>
      </c>
      <c r="N400">
        <v>114</v>
      </c>
      <c r="O400">
        <v>114</v>
      </c>
      <c r="P400">
        <v>114</v>
      </c>
    </row>
    <row r="401" spans="1:16" x14ac:dyDescent="0.3">
      <c r="A401" t="s">
        <v>35</v>
      </c>
      <c r="B401">
        <v>9</v>
      </c>
      <c r="C401">
        <v>5</v>
      </c>
      <c r="D401">
        <v>113</v>
      </c>
      <c r="E401">
        <v>10</v>
      </c>
      <c r="F401">
        <v>114</v>
      </c>
      <c r="G401">
        <v>10</v>
      </c>
      <c r="H401">
        <v>114</v>
      </c>
      <c r="I401">
        <v>5</v>
      </c>
      <c r="J401">
        <v>113</v>
      </c>
      <c r="K401">
        <v>10</v>
      </c>
      <c r="L401">
        <v>114</v>
      </c>
      <c r="M401">
        <v>5</v>
      </c>
      <c r="N401">
        <v>5</v>
      </c>
      <c r="O401">
        <v>113</v>
      </c>
      <c r="P401">
        <v>10</v>
      </c>
    </row>
    <row r="402" spans="1:16" x14ac:dyDescent="0.3">
      <c r="A402" t="s">
        <v>36</v>
      </c>
      <c r="B402">
        <v>9</v>
      </c>
      <c r="C402">
        <v>0</v>
      </c>
      <c r="D402">
        <v>1</v>
      </c>
      <c r="E402">
        <v>2</v>
      </c>
      <c r="F402">
        <v>1</v>
      </c>
      <c r="G402">
        <v>0</v>
      </c>
      <c r="H402">
        <v>1</v>
      </c>
      <c r="I402">
        <v>2</v>
      </c>
      <c r="J402">
        <v>1</v>
      </c>
      <c r="K402">
        <v>1</v>
      </c>
      <c r="L402">
        <v>1</v>
      </c>
      <c r="M402">
        <v>0</v>
      </c>
      <c r="N402">
        <v>0</v>
      </c>
      <c r="O402">
        <v>1</v>
      </c>
      <c r="P402">
        <v>0</v>
      </c>
    </row>
    <row r="403" spans="1:16" x14ac:dyDescent="0.3">
      <c r="A403" t="s">
        <v>37</v>
      </c>
      <c r="B403">
        <v>9</v>
      </c>
      <c r="D403">
        <v>0</v>
      </c>
      <c r="E403">
        <v>0</v>
      </c>
      <c r="H403">
        <v>0</v>
      </c>
      <c r="I403">
        <v>0</v>
      </c>
      <c r="K403">
        <v>0</v>
      </c>
      <c r="L403">
        <v>2</v>
      </c>
      <c r="N403">
        <v>0</v>
      </c>
      <c r="O403">
        <v>3</v>
      </c>
    </row>
    <row r="404" spans="1:16" x14ac:dyDescent="0.3">
      <c r="A404" t="s">
        <v>38</v>
      </c>
      <c r="B404">
        <v>9</v>
      </c>
      <c r="C404">
        <v>12</v>
      </c>
      <c r="D404">
        <v>12</v>
      </c>
      <c r="E404">
        <v>12</v>
      </c>
      <c r="F404">
        <v>12</v>
      </c>
      <c r="G404">
        <v>12</v>
      </c>
      <c r="H404">
        <v>12</v>
      </c>
      <c r="I404">
        <v>12</v>
      </c>
      <c r="J404">
        <v>12</v>
      </c>
      <c r="K404">
        <v>12</v>
      </c>
      <c r="L404">
        <v>12</v>
      </c>
      <c r="M404">
        <v>12</v>
      </c>
      <c r="N404">
        <v>12</v>
      </c>
      <c r="O404">
        <v>12</v>
      </c>
      <c r="P404">
        <v>12</v>
      </c>
    </row>
    <row r="405" spans="1:16" x14ac:dyDescent="0.3">
      <c r="A405" t="s">
        <v>39</v>
      </c>
      <c r="B405">
        <v>9</v>
      </c>
      <c r="D405">
        <v>300</v>
      </c>
      <c r="F405">
        <v>100</v>
      </c>
      <c r="H405">
        <v>300</v>
      </c>
      <c r="J405">
        <v>300</v>
      </c>
      <c r="K405">
        <v>500</v>
      </c>
    </row>
    <row r="406" spans="1:16" x14ac:dyDescent="0.3">
      <c r="A406" t="s">
        <v>631</v>
      </c>
      <c r="B406">
        <v>9</v>
      </c>
      <c r="D406">
        <v>25</v>
      </c>
      <c r="F406">
        <v>25</v>
      </c>
      <c r="H406">
        <v>25</v>
      </c>
      <c r="J406">
        <v>25</v>
      </c>
      <c r="K406">
        <v>25</v>
      </c>
    </row>
    <row r="407" spans="1:16" x14ac:dyDescent="0.3">
      <c r="A407" t="s">
        <v>40</v>
      </c>
      <c r="B407">
        <v>9</v>
      </c>
      <c r="D407">
        <v>1</v>
      </c>
      <c r="F407">
        <v>1</v>
      </c>
      <c r="H407">
        <v>1</v>
      </c>
      <c r="J407">
        <v>1</v>
      </c>
      <c r="K407">
        <v>1</v>
      </c>
    </row>
    <row r="408" spans="1:16" x14ac:dyDescent="0.3">
      <c r="A408" t="s">
        <v>41</v>
      </c>
      <c r="B408">
        <v>9</v>
      </c>
    </row>
    <row r="409" spans="1:16" x14ac:dyDescent="0.3">
      <c r="A409" t="s">
        <v>42</v>
      </c>
      <c r="B409">
        <v>9</v>
      </c>
      <c r="E409">
        <v>35</v>
      </c>
      <c r="I409">
        <v>40</v>
      </c>
      <c r="L409">
        <v>30</v>
      </c>
      <c r="O409">
        <v>30</v>
      </c>
    </row>
    <row r="410" spans="1:16" x14ac:dyDescent="0.3">
      <c r="A410" t="s">
        <v>45</v>
      </c>
      <c r="B410">
        <v>9</v>
      </c>
      <c r="D410">
        <v>5</v>
      </c>
      <c r="E410">
        <v>2</v>
      </c>
      <c r="H410">
        <v>1</v>
      </c>
      <c r="I410">
        <v>6</v>
      </c>
      <c r="L410">
        <v>4</v>
      </c>
      <c r="O410">
        <v>8</v>
      </c>
    </row>
    <row r="411" spans="1:16" x14ac:dyDescent="0.3">
      <c r="A411" t="s">
        <v>46</v>
      </c>
      <c r="B411">
        <v>9</v>
      </c>
      <c r="D411">
        <v>2</v>
      </c>
      <c r="F411">
        <v>2</v>
      </c>
      <c r="H411">
        <v>6</v>
      </c>
      <c r="J411">
        <v>6</v>
      </c>
      <c r="K411">
        <v>4</v>
      </c>
      <c r="N411">
        <v>8</v>
      </c>
    </row>
    <row r="412" spans="1:16" x14ac:dyDescent="0.3">
      <c r="A412" t="s">
        <v>49</v>
      </c>
      <c r="B412">
        <v>9</v>
      </c>
      <c r="C412">
        <v>4</v>
      </c>
      <c r="D412">
        <v>6.2</v>
      </c>
      <c r="E412">
        <v>6.2</v>
      </c>
      <c r="F412">
        <v>6.2</v>
      </c>
      <c r="G412">
        <v>4</v>
      </c>
      <c r="H412">
        <v>6.2</v>
      </c>
      <c r="I412">
        <v>6.2</v>
      </c>
      <c r="J412">
        <v>6.2</v>
      </c>
      <c r="K412">
        <v>6.7</v>
      </c>
      <c r="L412">
        <v>6.7</v>
      </c>
      <c r="M412">
        <v>4</v>
      </c>
      <c r="N412">
        <v>6.7</v>
      </c>
      <c r="O412">
        <v>6.7</v>
      </c>
      <c r="P412">
        <v>4</v>
      </c>
    </row>
    <row r="413" spans="1:16" x14ac:dyDescent="0.3">
      <c r="A413" t="s">
        <v>632</v>
      </c>
      <c r="B413">
        <v>9</v>
      </c>
      <c r="C413">
        <v>0</v>
      </c>
      <c r="D413">
        <v>0</v>
      </c>
      <c r="E413">
        <v>0</v>
      </c>
      <c r="F413">
        <v>0</v>
      </c>
      <c r="G413">
        <v>0</v>
      </c>
      <c r="H413">
        <v>0</v>
      </c>
      <c r="I413">
        <v>0</v>
      </c>
      <c r="J413">
        <v>0</v>
      </c>
      <c r="K413">
        <v>0</v>
      </c>
      <c r="L413">
        <v>0</v>
      </c>
      <c r="M413">
        <v>0</v>
      </c>
      <c r="N413">
        <v>0</v>
      </c>
      <c r="O413">
        <v>0</v>
      </c>
      <c r="P413">
        <v>0</v>
      </c>
    </row>
    <row r="414" spans="1:16" x14ac:dyDescent="0.3">
      <c r="A414" t="s">
        <v>48</v>
      </c>
      <c r="B414">
        <v>9</v>
      </c>
      <c r="C414">
        <v>1900</v>
      </c>
      <c r="D414">
        <v>1900</v>
      </c>
      <c r="E414">
        <v>1900</v>
      </c>
      <c r="F414">
        <v>1900</v>
      </c>
      <c r="G414">
        <v>1900</v>
      </c>
      <c r="H414">
        <v>1900</v>
      </c>
      <c r="I414">
        <v>1900</v>
      </c>
      <c r="J414">
        <v>1900</v>
      </c>
      <c r="K414">
        <v>1900</v>
      </c>
      <c r="L414">
        <v>1900</v>
      </c>
      <c r="M414">
        <v>1900</v>
      </c>
      <c r="N414">
        <v>1900</v>
      </c>
      <c r="O414">
        <v>1900</v>
      </c>
      <c r="P414">
        <v>1900</v>
      </c>
    </row>
    <row r="415" spans="1:16" x14ac:dyDescent="0.3">
      <c r="A415" t="s">
        <v>633</v>
      </c>
      <c r="B415">
        <v>9</v>
      </c>
      <c r="C415">
        <v>0</v>
      </c>
      <c r="D415">
        <v>1770</v>
      </c>
      <c r="E415">
        <v>3539</v>
      </c>
      <c r="F415">
        <v>1583</v>
      </c>
      <c r="G415">
        <v>0</v>
      </c>
      <c r="H415">
        <v>1770</v>
      </c>
      <c r="I415">
        <v>3539</v>
      </c>
      <c r="J415">
        <v>1583</v>
      </c>
      <c r="K415">
        <v>1770</v>
      </c>
      <c r="L415">
        <v>1596</v>
      </c>
      <c r="M415">
        <v>0</v>
      </c>
      <c r="N415">
        <v>0</v>
      </c>
      <c r="O415">
        <v>1784</v>
      </c>
      <c r="P415">
        <v>0</v>
      </c>
    </row>
    <row r="416" spans="1:16" x14ac:dyDescent="0.3">
      <c r="A416" t="s">
        <v>50</v>
      </c>
      <c r="B416">
        <v>9</v>
      </c>
      <c r="C416">
        <v>0</v>
      </c>
      <c r="D416">
        <v>564</v>
      </c>
      <c r="E416">
        <v>3539</v>
      </c>
      <c r="F416">
        <v>1583</v>
      </c>
      <c r="G416">
        <v>0</v>
      </c>
      <c r="H416">
        <v>468</v>
      </c>
      <c r="I416">
        <v>3539</v>
      </c>
      <c r="J416">
        <v>1583</v>
      </c>
      <c r="K416">
        <v>1349</v>
      </c>
      <c r="L416">
        <v>1596</v>
      </c>
      <c r="M416">
        <v>0</v>
      </c>
      <c r="N416">
        <v>0</v>
      </c>
      <c r="O416">
        <v>1236</v>
      </c>
      <c r="P416">
        <v>0</v>
      </c>
    </row>
    <row r="417" spans="1:16" x14ac:dyDescent="0.3">
      <c r="A417" t="s">
        <v>634</v>
      </c>
      <c r="B417">
        <v>9</v>
      </c>
      <c r="C417">
        <v>1</v>
      </c>
      <c r="D417">
        <v>1</v>
      </c>
      <c r="E417">
        <v>1</v>
      </c>
      <c r="F417">
        <v>1</v>
      </c>
      <c r="G417">
        <v>1</v>
      </c>
      <c r="H417">
        <v>1</v>
      </c>
      <c r="I417">
        <v>1</v>
      </c>
      <c r="J417">
        <v>1</v>
      </c>
      <c r="K417">
        <v>1</v>
      </c>
      <c r="L417">
        <v>1</v>
      </c>
      <c r="M417">
        <v>1</v>
      </c>
      <c r="N417">
        <v>1</v>
      </c>
      <c r="O417">
        <v>1</v>
      </c>
      <c r="P417">
        <v>1</v>
      </c>
    </row>
    <row r="418" spans="1:16" x14ac:dyDescent="0.3">
      <c r="A418" t="s">
        <v>51</v>
      </c>
      <c r="B418">
        <v>9</v>
      </c>
      <c r="C418">
        <v>0</v>
      </c>
      <c r="D418">
        <v>0</v>
      </c>
      <c r="E418">
        <v>0</v>
      </c>
      <c r="F418">
        <v>90</v>
      </c>
      <c r="G418">
        <v>0</v>
      </c>
      <c r="H418">
        <v>0</v>
      </c>
      <c r="I418">
        <v>0</v>
      </c>
      <c r="J418">
        <v>90</v>
      </c>
      <c r="K418">
        <v>0</v>
      </c>
      <c r="L418">
        <v>190</v>
      </c>
      <c r="M418">
        <v>0</v>
      </c>
      <c r="N418">
        <v>0</v>
      </c>
      <c r="O418">
        <v>7</v>
      </c>
      <c r="P418">
        <v>0</v>
      </c>
    </row>
    <row r="419" spans="1:16" x14ac:dyDescent="0.3">
      <c r="A419" t="s">
        <v>53</v>
      </c>
      <c r="B419">
        <v>9</v>
      </c>
      <c r="C419">
        <v>0</v>
      </c>
      <c r="D419">
        <v>283</v>
      </c>
      <c r="E419">
        <v>1043</v>
      </c>
      <c r="F419">
        <v>2</v>
      </c>
      <c r="G419">
        <v>0</v>
      </c>
      <c r="H419">
        <v>1</v>
      </c>
      <c r="I419">
        <v>646</v>
      </c>
      <c r="J419">
        <v>48</v>
      </c>
      <c r="K419">
        <v>149</v>
      </c>
      <c r="L419">
        <v>8</v>
      </c>
      <c r="M419">
        <v>175</v>
      </c>
      <c r="N419">
        <v>21</v>
      </c>
      <c r="O419">
        <v>18</v>
      </c>
      <c r="P419">
        <v>7</v>
      </c>
    </row>
    <row r="420" spans="1:16" x14ac:dyDescent="0.3">
      <c r="A420" t="s">
        <v>54</v>
      </c>
      <c r="B420">
        <v>9</v>
      </c>
      <c r="C420">
        <v>0</v>
      </c>
      <c r="D420">
        <v>0</v>
      </c>
      <c r="E420">
        <v>0</v>
      </c>
      <c r="F420">
        <v>0</v>
      </c>
      <c r="G420">
        <v>0</v>
      </c>
      <c r="H420">
        <v>0</v>
      </c>
      <c r="I420">
        <v>0</v>
      </c>
      <c r="J420">
        <v>0</v>
      </c>
      <c r="K420">
        <v>0</v>
      </c>
      <c r="L420">
        <v>0</v>
      </c>
      <c r="M420">
        <v>0</v>
      </c>
      <c r="N420">
        <v>0</v>
      </c>
      <c r="O420">
        <v>0</v>
      </c>
      <c r="P420">
        <v>0</v>
      </c>
    </row>
    <row r="421" spans="1:16" x14ac:dyDescent="0.3">
      <c r="A421" t="s">
        <v>55</v>
      </c>
      <c r="B421">
        <v>9</v>
      </c>
      <c r="C421">
        <v>0</v>
      </c>
      <c r="D421">
        <v>0</v>
      </c>
      <c r="E421">
        <v>0</v>
      </c>
      <c r="F421">
        <v>0</v>
      </c>
      <c r="G421">
        <v>0</v>
      </c>
      <c r="H421">
        <v>0</v>
      </c>
      <c r="I421">
        <v>0</v>
      </c>
      <c r="J421">
        <v>0</v>
      </c>
      <c r="K421">
        <v>0</v>
      </c>
      <c r="L421">
        <v>0</v>
      </c>
      <c r="M421">
        <v>0</v>
      </c>
      <c r="N421">
        <v>0</v>
      </c>
      <c r="O421">
        <v>0</v>
      </c>
      <c r="P421">
        <v>0</v>
      </c>
    </row>
    <row r="422" spans="1:16" x14ac:dyDescent="0.3">
      <c r="A422" t="s">
        <v>56</v>
      </c>
      <c r="B422">
        <v>9</v>
      </c>
      <c r="C422">
        <v>0.92</v>
      </c>
      <c r="D422">
        <v>0.92</v>
      </c>
      <c r="E422">
        <v>0.92</v>
      </c>
      <c r="F422">
        <v>0.92</v>
      </c>
      <c r="G422">
        <v>0.92</v>
      </c>
      <c r="H422">
        <v>0.92</v>
      </c>
      <c r="I422">
        <v>0.92</v>
      </c>
      <c r="J422">
        <v>0.92</v>
      </c>
      <c r="K422">
        <v>0.92</v>
      </c>
      <c r="L422">
        <v>0.92</v>
      </c>
      <c r="M422">
        <v>0.92</v>
      </c>
      <c r="N422">
        <v>0.92</v>
      </c>
      <c r="O422">
        <v>0.92</v>
      </c>
      <c r="P422">
        <v>0.92</v>
      </c>
    </row>
    <row r="423" spans="1:16" x14ac:dyDescent="0.3">
      <c r="A423" t="s">
        <v>57</v>
      </c>
      <c r="B423">
        <v>9</v>
      </c>
      <c r="C423">
        <v>100</v>
      </c>
      <c r="D423">
        <v>100</v>
      </c>
      <c r="E423">
        <v>100</v>
      </c>
      <c r="F423">
        <v>100</v>
      </c>
      <c r="G423">
        <v>100</v>
      </c>
      <c r="H423">
        <v>100</v>
      </c>
      <c r="I423">
        <v>100</v>
      </c>
      <c r="J423">
        <v>100</v>
      </c>
      <c r="K423">
        <v>100</v>
      </c>
      <c r="L423">
        <v>100</v>
      </c>
      <c r="M423">
        <v>100</v>
      </c>
      <c r="N423">
        <v>100</v>
      </c>
      <c r="O423">
        <v>100</v>
      </c>
      <c r="P423">
        <v>100</v>
      </c>
    </row>
    <row r="424" spans="1:16" x14ac:dyDescent="0.3">
      <c r="A424" t="s">
        <v>58</v>
      </c>
      <c r="B424">
        <v>9</v>
      </c>
      <c r="C424">
        <v>2</v>
      </c>
      <c r="D424">
        <v>2</v>
      </c>
      <c r="E424">
        <v>2</v>
      </c>
      <c r="F424">
        <v>2</v>
      </c>
      <c r="G424">
        <v>2</v>
      </c>
      <c r="H424">
        <v>2</v>
      </c>
      <c r="I424">
        <v>2</v>
      </c>
      <c r="J424">
        <v>2</v>
      </c>
      <c r="K424">
        <v>2</v>
      </c>
      <c r="L424">
        <v>2</v>
      </c>
      <c r="M424">
        <v>2</v>
      </c>
      <c r="N424">
        <v>2</v>
      </c>
      <c r="O424">
        <v>2</v>
      </c>
      <c r="P424">
        <v>2</v>
      </c>
    </row>
    <row r="425" spans="1:16" x14ac:dyDescent="0.3">
      <c r="A425" t="s">
        <v>59</v>
      </c>
      <c r="B425">
        <v>9</v>
      </c>
      <c r="C425">
        <v>0</v>
      </c>
      <c r="D425">
        <v>0</v>
      </c>
      <c r="E425">
        <v>0</v>
      </c>
      <c r="F425">
        <v>0</v>
      </c>
      <c r="G425">
        <v>0</v>
      </c>
      <c r="H425">
        <v>0</v>
      </c>
      <c r="I425">
        <v>0</v>
      </c>
      <c r="J425">
        <v>0</v>
      </c>
      <c r="K425">
        <v>0</v>
      </c>
      <c r="L425">
        <v>0</v>
      </c>
      <c r="M425">
        <v>0</v>
      </c>
      <c r="N425">
        <v>0</v>
      </c>
      <c r="O425">
        <v>0</v>
      </c>
      <c r="P425">
        <v>0</v>
      </c>
    </row>
    <row r="426" spans="1:16" x14ac:dyDescent="0.3">
      <c r="A426" t="s">
        <v>635</v>
      </c>
      <c r="B426">
        <v>9</v>
      </c>
      <c r="E426">
        <v>0</v>
      </c>
      <c r="I426">
        <v>0</v>
      </c>
      <c r="L426">
        <v>0</v>
      </c>
      <c r="O426">
        <v>0</v>
      </c>
    </row>
    <row r="427" spans="1:16" x14ac:dyDescent="0.3">
      <c r="A427" t="s">
        <v>574</v>
      </c>
      <c r="B427">
        <v>9</v>
      </c>
      <c r="E427">
        <v>2995</v>
      </c>
      <c r="I427">
        <v>2827</v>
      </c>
      <c r="L427">
        <v>714</v>
      </c>
      <c r="O427">
        <v>597</v>
      </c>
    </row>
    <row r="428" spans="1:16" x14ac:dyDescent="0.3">
      <c r="A428" t="s">
        <v>78</v>
      </c>
      <c r="B428">
        <v>9</v>
      </c>
      <c r="E428">
        <v>58.3</v>
      </c>
      <c r="I428">
        <v>48.2</v>
      </c>
      <c r="L428">
        <v>16.2</v>
      </c>
      <c r="O428">
        <v>13.6</v>
      </c>
    </row>
    <row r="429" spans="1:16" x14ac:dyDescent="0.3">
      <c r="A429" t="s">
        <v>636</v>
      </c>
      <c r="B429">
        <v>9</v>
      </c>
      <c r="F429">
        <v>0</v>
      </c>
      <c r="J429">
        <v>0</v>
      </c>
      <c r="M429">
        <v>0</v>
      </c>
      <c r="P429">
        <v>0</v>
      </c>
    </row>
    <row r="430" spans="1:16" x14ac:dyDescent="0.3">
      <c r="A430" t="s">
        <v>639</v>
      </c>
      <c r="B430">
        <v>9</v>
      </c>
      <c r="C430">
        <v>3</v>
      </c>
      <c r="D430">
        <v>0</v>
      </c>
      <c r="E430">
        <v>0</v>
      </c>
      <c r="F430">
        <v>1</v>
      </c>
      <c r="G430">
        <v>3</v>
      </c>
      <c r="H430">
        <v>0</v>
      </c>
      <c r="I430">
        <v>0</v>
      </c>
      <c r="J430">
        <v>1</v>
      </c>
      <c r="K430">
        <v>0</v>
      </c>
      <c r="L430">
        <v>0</v>
      </c>
      <c r="M430">
        <v>1</v>
      </c>
      <c r="N430">
        <v>0</v>
      </c>
      <c r="O430">
        <v>0</v>
      </c>
      <c r="P430">
        <v>1</v>
      </c>
    </row>
    <row r="431" spans="1:16" x14ac:dyDescent="0.3">
      <c r="A431" t="s">
        <v>640</v>
      </c>
      <c r="B431">
        <v>9</v>
      </c>
      <c r="C431">
        <v>0</v>
      </c>
      <c r="D431">
        <v>0</v>
      </c>
      <c r="E431">
        <v>0</v>
      </c>
      <c r="F431">
        <v>0</v>
      </c>
      <c r="G431">
        <v>0</v>
      </c>
      <c r="H431">
        <v>0</v>
      </c>
      <c r="I431">
        <v>0</v>
      </c>
      <c r="J431">
        <v>0</v>
      </c>
      <c r="K431">
        <v>0</v>
      </c>
      <c r="L431">
        <v>0</v>
      </c>
      <c r="M431">
        <v>0</v>
      </c>
      <c r="N431">
        <v>0</v>
      </c>
      <c r="O431">
        <v>0</v>
      </c>
      <c r="P431">
        <v>0</v>
      </c>
    </row>
    <row r="432" spans="1:16" x14ac:dyDescent="0.3">
      <c r="A432" t="s">
        <v>52</v>
      </c>
      <c r="B432">
        <v>9</v>
      </c>
      <c r="C432">
        <v>1</v>
      </c>
      <c r="D432">
        <v>1</v>
      </c>
      <c r="E432">
        <v>1</v>
      </c>
      <c r="F432">
        <v>1</v>
      </c>
      <c r="G432">
        <v>1</v>
      </c>
      <c r="H432">
        <v>1</v>
      </c>
      <c r="I432">
        <v>1</v>
      </c>
      <c r="J432">
        <v>1</v>
      </c>
      <c r="K432">
        <v>1</v>
      </c>
      <c r="L432">
        <v>1</v>
      </c>
      <c r="M432">
        <v>1</v>
      </c>
      <c r="N432">
        <v>1</v>
      </c>
      <c r="O432">
        <v>1</v>
      </c>
      <c r="P432">
        <v>1</v>
      </c>
    </row>
    <row r="433" spans="1:16" x14ac:dyDescent="0.3">
      <c r="A433" t="s">
        <v>641</v>
      </c>
      <c r="B433">
        <v>9</v>
      </c>
      <c r="C433">
        <v>9</v>
      </c>
      <c r="D433">
        <v>15</v>
      </c>
      <c r="E433">
        <v>60</v>
      </c>
      <c r="F433">
        <v>9</v>
      </c>
      <c r="G433">
        <v>9</v>
      </c>
      <c r="H433">
        <v>15</v>
      </c>
      <c r="I433">
        <v>60</v>
      </c>
      <c r="J433">
        <v>9</v>
      </c>
      <c r="K433">
        <v>15</v>
      </c>
      <c r="L433">
        <v>60</v>
      </c>
      <c r="M433">
        <v>9</v>
      </c>
      <c r="N433">
        <v>15</v>
      </c>
      <c r="O433">
        <v>60</v>
      </c>
      <c r="P433">
        <v>9</v>
      </c>
    </row>
    <row r="434" spans="1:16" x14ac:dyDescent="0.3">
      <c r="A434" t="s">
        <v>43</v>
      </c>
      <c r="B434">
        <v>9</v>
      </c>
      <c r="D434">
        <v>40</v>
      </c>
      <c r="E434">
        <v>336</v>
      </c>
      <c r="F434">
        <v>0</v>
      </c>
      <c r="H434">
        <v>40</v>
      </c>
      <c r="I434">
        <v>336</v>
      </c>
      <c r="J434">
        <v>0</v>
      </c>
      <c r="K434">
        <v>40</v>
      </c>
      <c r="L434">
        <v>40</v>
      </c>
      <c r="N434">
        <v>40</v>
      </c>
      <c r="O434">
        <v>40</v>
      </c>
    </row>
    <row r="435" spans="1:16" x14ac:dyDescent="0.3">
      <c r="A435" t="s">
        <v>44</v>
      </c>
      <c r="B435">
        <v>9</v>
      </c>
      <c r="D435">
        <v>0</v>
      </c>
      <c r="E435">
        <v>0</v>
      </c>
      <c r="F435">
        <v>0</v>
      </c>
      <c r="H435">
        <v>0</v>
      </c>
      <c r="I435">
        <v>0</v>
      </c>
      <c r="J435">
        <v>0</v>
      </c>
      <c r="K435">
        <v>0</v>
      </c>
      <c r="L435">
        <v>0</v>
      </c>
      <c r="N435">
        <v>0</v>
      </c>
      <c r="O435">
        <v>0</v>
      </c>
    </row>
    <row r="436" spans="1:16" x14ac:dyDescent="0.3">
      <c r="A436" t="s">
        <v>47</v>
      </c>
      <c r="B436">
        <v>9</v>
      </c>
      <c r="D436">
        <v>5</v>
      </c>
      <c r="E436">
        <v>2</v>
      </c>
      <c r="F436">
        <v>2</v>
      </c>
      <c r="H436">
        <v>1</v>
      </c>
      <c r="I436">
        <v>6</v>
      </c>
      <c r="J436">
        <v>6</v>
      </c>
      <c r="K436">
        <v>4</v>
      </c>
      <c r="L436">
        <v>4</v>
      </c>
      <c r="N436">
        <v>8</v>
      </c>
      <c r="O436">
        <v>8</v>
      </c>
    </row>
    <row r="437" spans="1:16" x14ac:dyDescent="0.3">
      <c r="A437" t="s">
        <v>642</v>
      </c>
      <c r="B437">
        <v>9</v>
      </c>
      <c r="D437">
        <v>0</v>
      </c>
      <c r="E437">
        <v>0</v>
      </c>
      <c r="F437">
        <v>0</v>
      </c>
      <c r="H437">
        <v>0</v>
      </c>
      <c r="I437">
        <v>0</v>
      </c>
      <c r="J437">
        <v>0</v>
      </c>
      <c r="K437">
        <v>0</v>
      </c>
      <c r="L437">
        <v>0</v>
      </c>
      <c r="N437">
        <v>0</v>
      </c>
      <c r="O437">
        <v>0</v>
      </c>
    </row>
    <row r="438" spans="1:16" x14ac:dyDescent="0.3">
      <c r="A438" t="s">
        <v>643</v>
      </c>
      <c r="B438">
        <v>9</v>
      </c>
      <c r="D438">
        <v>0</v>
      </c>
      <c r="E438">
        <v>0</v>
      </c>
      <c r="F438">
        <v>0</v>
      </c>
      <c r="H438">
        <v>0</v>
      </c>
      <c r="I438">
        <v>0</v>
      </c>
      <c r="J438">
        <v>0</v>
      </c>
      <c r="K438">
        <v>0</v>
      </c>
      <c r="L438">
        <v>0</v>
      </c>
      <c r="N438">
        <v>0</v>
      </c>
      <c r="O438">
        <v>0</v>
      </c>
    </row>
    <row r="439" spans="1:16" x14ac:dyDescent="0.3">
      <c r="A439" t="s">
        <v>644</v>
      </c>
      <c r="B439">
        <v>9</v>
      </c>
      <c r="D439">
        <v>0</v>
      </c>
      <c r="E439">
        <v>0</v>
      </c>
      <c r="F439">
        <v>0</v>
      </c>
      <c r="H439">
        <v>0</v>
      </c>
      <c r="I439">
        <v>0</v>
      </c>
      <c r="J439">
        <v>0</v>
      </c>
      <c r="K439">
        <v>0</v>
      </c>
      <c r="L439">
        <v>0</v>
      </c>
      <c r="N439">
        <v>0</v>
      </c>
      <c r="O439">
        <v>0</v>
      </c>
    </row>
    <row r="440" spans="1:16" x14ac:dyDescent="0.3">
      <c r="A440" t="s">
        <v>645</v>
      </c>
      <c r="B440">
        <v>9</v>
      </c>
      <c r="D440">
        <v>0</v>
      </c>
      <c r="E440">
        <v>0</v>
      </c>
      <c r="F440">
        <v>0</v>
      </c>
      <c r="H440">
        <v>0</v>
      </c>
      <c r="I440">
        <v>0</v>
      </c>
      <c r="J440">
        <v>0</v>
      </c>
      <c r="K440">
        <v>0</v>
      </c>
      <c r="L440">
        <v>0</v>
      </c>
      <c r="N440">
        <v>0</v>
      </c>
      <c r="O440">
        <v>0</v>
      </c>
    </row>
    <row r="441" spans="1:16" x14ac:dyDescent="0.3">
      <c r="A441" t="s">
        <v>646</v>
      </c>
      <c r="B441">
        <v>9</v>
      </c>
      <c r="D441">
        <v>1</v>
      </c>
      <c r="E441">
        <v>2</v>
      </c>
      <c r="F441">
        <v>1</v>
      </c>
      <c r="H441">
        <v>1</v>
      </c>
      <c r="I441">
        <v>2</v>
      </c>
      <c r="J441">
        <v>1</v>
      </c>
      <c r="K441">
        <v>1</v>
      </c>
      <c r="L441">
        <v>1</v>
      </c>
      <c r="N441">
        <v>1</v>
      </c>
      <c r="O441">
        <v>1</v>
      </c>
    </row>
    <row r="442" spans="1:16" x14ac:dyDescent="0.3">
      <c r="A442" t="s">
        <v>647</v>
      </c>
      <c r="B442">
        <v>9</v>
      </c>
      <c r="D442">
        <v>0</v>
      </c>
      <c r="E442">
        <v>330</v>
      </c>
      <c r="F442">
        <v>0</v>
      </c>
      <c r="H442">
        <v>0</v>
      </c>
      <c r="I442">
        <v>330</v>
      </c>
      <c r="J442">
        <v>0</v>
      </c>
      <c r="K442">
        <v>0</v>
      </c>
      <c r="L442">
        <v>0</v>
      </c>
      <c r="N442">
        <v>0</v>
      </c>
      <c r="O442">
        <v>0</v>
      </c>
    </row>
    <row r="443" spans="1:16" x14ac:dyDescent="0.3">
      <c r="A443" t="s">
        <v>648</v>
      </c>
      <c r="B443">
        <v>9</v>
      </c>
      <c r="D443">
        <v>40</v>
      </c>
      <c r="E443">
        <v>6</v>
      </c>
      <c r="F443">
        <v>0</v>
      </c>
      <c r="H443">
        <v>40</v>
      </c>
      <c r="I443">
        <v>6</v>
      </c>
      <c r="J443">
        <v>0</v>
      </c>
      <c r="K443">
        <v>40</v>
      </c>
      <c r="L443">
        <v>40</v>
      </c>
      <c r="N443">
        <v>40</v>
      </c>
      <c r="O443">
        <v>40</v>
      </c>
    </row>
    <row r="444" spans="1:16" x14ac:dyDescent="0.3">
      <c r="A444" t="s">
        <v>649</v>
      </c>
      <c r="B444">
        <v>9</v>
      </c>
      <c r="D444">
        <v>3</v>
      </c>
      <c r="E444">
        <v>3</v>
      </c>
      <c r="F444">
        <v>3</v>
      </c>
      <c r="H444">
        <v>3</v>
      </c>
      <c r="I444">
        <v>3</v>
      </c>
      <c r="J444">
        <v>3</v>
      </c>
      <c r="K444">
        <v>3</v>
      </c>
      <c r="L444">
        <v>3</v>
      </c>
      <c r="N444">
        <v>3</v>
      </c>
      <c r="O444">
        <v>3</v>
      </c>
    </row>
    <row r="445" spans="1:16" x14ac:dyDescent="0.3">
      <c r="A445" t="s">
        <v>650</v>
      </c>
      <c r="B445">
        <v>9</v>
      </c>
      <c r="D445">
        <v>0</v>
      </c>
      <c r="E445">
        <v>0</v>
      </c>
      <c r="F445">
        <v>0</v>
      </c>
      <c r="H445">
        <v>0</v>
      </c>
      <c r="I445">
        <v>0</v>
      </c>
      <c r="J445">
        <v>0</v>
      </c>
      <c r="K445">
        <v>0</v>
      </c>
      <c r="L445">
        <v>0</v>
      </c>
      <c r="N445">
        <v>0</v>
      </c>
      <c r="O445">
        <v>0</v>
      </c>
    </row>
    <row r="446" spans="1:16" x14ac:dyDescent="0.3">
      <c r="A446" t="s">
        <v>651</v>
      </c>
      <c r="B446">
        <v>9</v>
      </c>
      <c r="D446">
        <v>0</v>
      </c>
      <c r="E446">
        <v>0</v>
      </c>
      <c r="F446">
        <v>0</v>
      </c>
      <c r="H446">
        <v>0</v>
      </c>
      <c r="I446">
        <v>0</v>
      </c>
      <c r="J446">
        <v>0</v>
      </c>
      <c r="K446">
        <v>0</v>
      </c>
      <c r="L446">
        <v>0</v>
      </c>
      <c r="N446">
        <v>0</v>
      </c>
      <c r="O446">
        <v>0</v>
      </c>
    </row>
    <row r="447" spans="1:16" x14ac:dyDescent="0.3">
      <c r="A447" t="s">
        <v>652</v>
      </c>
      <c r="B447">
        <v>9</v>
      </c>
      <c r="D447">
        <v>0</v>
      </c>
      <c r="E447">
        <v>0</v>
      </c>
      <c r="F447">
        <v>0</v>
      </c>
      <c r="H447">
        <v>0</v>
      </c>
      <c r="I447">
        <v>0</v>
      </c>
      <c r="J447">
        <v>0</v>
      </c>
      <c r="K447">
        <v>0</v>
      </c>
      <c r="L447">
        <v>0</v>
      </c>
      <c r="N447">
        <v>0</v>
      </c>
      <c r="O447">
        <v>0</v>
      </c>
    </row>
    <row r="448" spans="1:16" x14ac:dyDescent="0.3">
      <c r="A448" t="s">
        <v>653</v>
      </c>
      <c r="B448">
        <v>9</v>
      </c>
      <c r="E448">
        <v>0</v>
      </c>
      <c r="I448">
        <v>0</v>
      </c>
    </row>
    <row r="449" spans="1:16" x14ac:dyDescent="0.3">
      <c r="A449" t="s">
        <v>654</v>
      </c>
      <c r="B449">
        <v>9</v>
      </c>
      <c r="E449">
        <v>0</v>
      </c>
      <c r="I449">
        <v>0</v>
      </c>
    </row>
    <row r="450" spans="1:16" x14ac:dyDescent="0.3">
      <c r="A450" t="s">
        <v>655</v>
      </c>
      <c r="B450">
        <v>9</v>
      </c>
      <c r="E450">
        <v>3</v>
      </c>
      <c r="I450">
        <v>3</v>
      </c>
    </row>
    <row r="451" spans="1:16" x14ac:dyDescent="0.3">
      <c r="A451" t="s">
        <v>656</v>
      </c>
      <c r="B451">
        <v>9</v>
      </c>
      <c r="E451">
        <v>0</v>
      </c>
      <c r="I451">
        <v>0</v>
      </c>
    </row>
    <row r="452" spans="1:16" x14ac:dyDescent="0.3">
      <c r="A452" t="s">
        <v>657</v>
      </c>
      <c r="B452">
        <v>9</v>
      </c>
      <c r="E452">
        <v>0</v>
      </c>
      <c r="I452">
        <v>0</v>
      </c>
      <c r="L452">
        <v>0</v>
      </c>
      <c r="O452">
        <v>0</v>
      </c>
    </row>
    <row r="453" spans="1:16" x14ac:dyDescent="0.3">
      <c r="A453" t="s">
        <v>408</v>
      </c>
      <c r="B453">
        <v>9</v>
      </c>
      <c r="E453">
        <v>0</v>
      </c>
    </row>
    <row r="454" spans="1:16" x14ac:dyDescent="0.3">
      <c r="A454" t="s">
        <v>658</v>
      </c>
      <c r="B454">
        <v>9</v>
      </c>
      <c r="C454">
        <v>0</v>
      </c>
      <c r="D454">
        <v>308</v>
      </c>
      <c r="E454">
        <v>1134</v>
      </c>
      <c r="F454">
        <v>2</v>
      </c>
      <c r="G454">
        <v>0</v>
      </c>
      <c r="H454">
        <v>1</v>
      </c>
      <c r="I454">
        <v>702</v>
      </c>
      <c r="J454">
        <v>52</v>
      </c>
      <c r="K454">
        <v>162</v>
      </c>
      <c r="L454">
        <v>199</v>
      </c>
      <c r="M454">
        <v>0</v>
      </c>
      <c r="N454">
        <v>0</v>
      </c>
      <c r="O454">
        <v>51</v>
      </c>
      <c r="P454">
        <v>0</v>
      </c>
    </row>
    <row r="455" spans="1:16" x14ac:dyDescent="0.3">
      <c r="A455" t="s">
        <v>34</v>
      </c>
      <c r="B455">
        <v>10</v>
      </c>
      <c r="C455">
        <v>9</v>
      </c>
      <c r="D455">
        <v>9</v>
      </c>
      <c r="E455">
        <v>9</v>
      </c>
      <c r="F455">
        <v>9</v>
      </c>
      <c r="G455">
        <v>11</v>
      </c>
      <c r="H455">
        <v>11</v>
      </c>
      <c r="I455">
        <v>11</v>
      </c>
      <c r="J455">
        <v>11</v>
      </c>
      <c r="K455">
        <v>46</v>
      </c>
      <c r="L455">
        <v>46</v>
      </c>
      <c r="M455">
        <v>46</v>
      </c>
      <c r="N455">
        <v>60</v>
      </c>
      <c r="O455">
        <v>60</v>
      </c>
      <c r="P455">
        <v>60</v>
      </c>
    </row>
    <row r="456" spans="1:16" x14ac:dyDescent="0.3">
      <c r="A456" t="s">
        <v>35</v>
      </c>
      <c r="B456">
        <v>10</v>
      </c>
      <c r="C456">
        <v>9</v>
      </c>
      <c r="D456">
        <v>46</v>
      </c>
      <c r="E456">
        <v>11</v>
      </c>
      <c r="F456">
        <v>60</v>
      </c>
      <c r="G456">
        <v>11</v>
      </c>
      <c r="H456">
        <v>60</v>
      </c>
      <c r="I456">
        <v>9</v>
      </c>
      <c r="J456">
        <v>46</v>
      </c>
      <c r="K456">
        <v>11</v>
      </c>
      <c r="L456">
        <v>60</v>
      </c>
      <c r="M456">
        <v>9</v>
      </c>
      <c r="N456">
        <v>9</v>
      </c>
      <c r="O456">
        <v>46</v>
      </c>
      <c r="P456">
        <v>11</v>
      </c>
    </row>
    <row r="457" spans="1:16" x14ac:dyDescent="0.3">
      <c r="A457" t="s">
        <v>36</v>
      </c>
      <c r="B457">
        <v>10</v>
      </c>
      <c r="C457">
        <v>0</v>
      </c>
      <c r="D457">
        <v>1</v>
      </c>
      <c r="E457">
        <v>2</v>
      </c>
      <c r="F457">
        <v>0</v>
      </c>
      <c r="G457">
        <v>0</v>
      </c>
      <c r="H457">
        <v>1</v>
      </c>
      <c r="I457">
        <v>2</v>
      </c>
      <c r="J457">
        <v>1</v>
      </c>
      <c r="K457">
        <v>1</v>
      </c>
      <c r="L457">
        <v>2</v>
      </c>
      <c r="M457">
        <v>1</v>
      </c>
      <c r="N457">
        <v>1</v>
      </c>
      <c r="O457">
        <v>1</v>
      </c>
      <c r="P457">
        <v>1</v>
      </c>
    </row>
    <row r="458" spans="1:16" x14ac:dyDescent="0.3">
      <c r="A458" t="s">
        <v>37</v>
      </c>
      <c r="B458">
        <v>10</v>
      </c>
      <c r="D458">
        <v>0</v>
      </c>
      <c r="E458">
        <v>2</v>
      </c>
      <c r="H458">
        <v>0</v>
      </c>
      <c r="I458">
        <v>0</v>
      </c>
      <c r="K458">
        <v>0</v>
      </c>
      <c r="L458">
        <v>0</v>
      </c>
      <c r="N458">
        <v>0</v>
      </c>
      <c r="O458">
        <v>0</v>
      </c>
    </row>
    <row r="459" spans="1:16" x14ac:dyDescent="0.3">
      <c r="A459" t="s">
        <v>38</v>
      </c>
      <c r="B459">
        <v>10</v>
      </c>
      <c r="C459">
        <v>12</v>
      </c>
      <c r="D459">
        <v>12</v>
      </c>
      <c r="E459">
        <v>12</v>
      </c>
      <c r="F459">
        <v>12</v>
      </c>
      <c r="G459">
        <v>12</v>
      </c>
      <c r="H459">
        <v>12</v>
      </c>
      <c r="I459">
        <v>12</v>
      </c>
      <c r="J459">
        <v>12</v>
      </c>
      <c r="K459">
        <v>12</v>
      </c>
      <c r="L459">
        <v>12</v>
      </c>
      <c r="M459">
        <v>12</v>
      </c>
      <c r="N459">
        <v>12</v>
      </c>
      <c r="O459">
        <v>12</v>
      </c>
      <c r="P459">
        <v>12</v>
      </c>
    </row>
    <row r="460" spans="1:16" x14ac:dyDescent="0.3">
      <c r="A460" t="s">
        <v>39</v>
      </c>
      <c r="B460">
        <v>10</v>
      </c>
      <c r="D460">
        <v>250</v>
      </c>
      <c r="H460">
        <v>250</v>
      </c>
      <c r="J460">
        <v>250</v>
      </c>
      <c r="K460">
        <v>200</v>
      </c>
      <c r="M460">
        <v>500</v>
      </c>
      <c r="N460">
        <v>100</v>
      </c>
    </row>
    <row r="461" spans="1:16" x14ac:dyDescent="0.3">
      <c r="A461" t="s">
        <v>631</v>
      </c>
      <c r="B461">
        <v>10</v>
      </c>
      <c r="D461">
        <v>25</v>
      </c>
      <c r="H461">
        <v>25</v>
      </c>
      <c r="J461">
        <v>25</v>
      </c>
      <c r="K461">
        <v>25</v>
      </c>
      <c r="M461">
        <v>25</v>
      </c>
      <c r="N461">
        <v>25</v>
      </c>
    </row>
    <row r="462" spans="1:16" x14ac:dyDescent="0.3">
      <c r="A462" t="s">
        <v>40</v>
      </c>
      <c r="B462">
        <v>10</v>
      </c>
      <c r="D462">
        <v>1</v>
      </c>
      <c r="H462">
        <v>1</v>
      </c>
      <c r="J462">
        <v>1</v>
      </c>
      <c r="K462">
        <v>1</v>
      </c>
      <c r="M462">
        <v>1</v>
      </c>
      <c r="N462">
        <v>1</v>
      </c>
    </row>
    <row r="463" spans="1:16" x14ac:dyDescent="0.3">
      <c r="A463" t="s">
        <v>41</v>
      </c>
      <c r="B463">
        <v>10</v>
      </c>
    </row>
    <row r="464" spans="1:16" x14ac:dyDescent="0.3">
      <c r="A464" t="s">
        <v>42</v>
      </c>
      <c r="B464">
        <v>10</v>
      </c>
      <c r="E464">
        <v>40</v>
      </c>
      <c r="I464">
        <v>30</v>
      </c>
      <c r="L464">
        <v>30</v>
      </c>
      <c r="O464">
        <v>30</v>
      </c>
    </row>
    <row r="465" spans="1:16" x14ac:dyDescent="0.3">
      <c r="A465" t="s">
        <v>45</v>
      </c>
      <c r="B465">
        <v>10</v>
      </c>
      <c r="D465">
        <v>1</v>
      </c>
      <c r="E465">
        <v>6</v>
      </c>
      <c r="H465">
        <v>5</v>
      </c>
      <c r="I465">
        <v>2</v>
      </c>
      <c r="L465">
        <v>4</v>
      </c>
      <c r="O465">
        <v>8</v>
      </c>
    </row>
    <row r="466" spans="1:16" x14ac:dyDescent="0.3">
      <c r="A466" t="s">
        <v>46</v>
      </c>
      <c r="B466">
        <v>10</v>
      </c>
      <c r="D466">
        <v>6</v>
      </c>
      <c r="H466">
        <v>2</v>
      </c>
      <c r="J466">
        <v>2</v>
      </c>
      <c r="K466">
        <v>4</v>
      </c>
      <c r="M466">
        <v>4</v>
      </c>
      <c r="N466">
        <v>8</v>
      </c>
      <c r="P466">
        <v>8</v>
      </c>
    </row>
    <row r="467" spans="1:16" x14ac:dyDescent="0.3">
      <c r="A467" t="s">
        <v>49</v>
      </c>
      <c r="B467">
        <v>10</v>
      </c>
      <c r="C467">
        <v>4</v>
      </c>
      <c r="D467">
        <v>6</v>
      </c>
      <c r="E467">
        <v>6.1</v>
      </c>
      <c r="F467">
        <v>4</v>
      </c>
      <c r="G467">
        <v>4</v>
      </c>
      <c r="H467">
        <v>6</v>
      </c>
      <c r="I467">
        <v>6.1</v>
      </c>
      <c r="J467">
        <v>6.1</v>
      </c>
      <c r="K467">
        <v>6</v>
      </c>
      <c r="L467">
        <v>6</v>
      </c>
      <c r="M467">
        <v>6</v>
      </c>
      <c r="N467">
        <v>6</v>
      </c>
      <c r="O467">
        <v>6</v>
      </c>
      <c r="P467">
        <v>6</v>
      </c>
    </row>
    <row r="468" spans="1:16" x14ac:dyDescent="0.3">
      <c r="A468" t="s">
        <v>632</v>
      </c>
      <c r="B468">
        <v>10</v>
      </c>
      <c r="C468">
        <v>0</v>
      </c>
      <c r="D468">
        <v>0</v>
      </c>
      <c r="E468">
        <v>0</v>
      </c>
      <c r="F468">
        <v>0</v>
      </c>
      <c r="G468">
        <v>0</v>
      </c>
      <c r="H468">
        <v>0</v>
      </c>
      <c r="I468">
        <v>0</v>
      </c>
      <c r="J468">
        <v>0</v>
      </c>
      <c r="K468">
        <v>0</v>
      </c>
      <c r="L468">
        <v>0</v>
      </c>
      <c r="M468">
        <v>0</v>
      </c>
      <c r="N468">
        <v>0</v>
      </c>
      <c r="O468">
        <v>0</v>
      </c>
      <c r="P468">
        <v>0</v>
      </c>
    </row>
    <row r="469" spans="1:16" x14ac:dyDescent="0.3">
      <c r="A469" t="s">
        <v>48</v>
      </c>
      <c r="B469">
        <v>10</v>
      </c>
      <c r="C469">
        <v>1900</v>
      </c>
      <c r="D469">
        <v>1900</v>
      </c>
      <c r="E469">
        <v>1900</v>
      </c>
      <c r="F469">
        <v>1900</v>
      </c>
      <c r="G469">
        <v>1900</v>
      </c>
      <c r="H469">
        <v>1900</v>
      </c>
      <c r="I469">
        <v>1900</v>
      </c>
      <c r="J469">
        <v>1900</v>
      </c>
      <c r="K469">
        <v>1900</v>
      </c>
      <c r="L469">
        <v>1900</v>
      </c>
      <c r="M469">
        <v>1900</v>
      </c>
      <c r="N469">
        <v>1900</v>
      </c>
      <c r="O469">
        <v>1900</v>
      </c>
      <c r="P469">
        <v>1900</v>
      </c>
    </row>
    <row r="470" spans="1:16" x14ac:dyDescent="0.3">
      <c r="A470" t="s">
        <v>633</v>
      </c>
      <c r="B470">
        <v>10</v>
      </c>
      <c r="C470">
        <v>0</v>
      </c>
      <c r="D470">
        <v>1770</v>
      </c>
      <c r="E470">
        <v>3539</v>
      </c>
      <c r="F470">
        <v>0</v>
      </c>
      <c r="G470">
        <v>0</v>
      </c>
      <c r="H470">
        <v>1770</v>
      </c>
      <c r="I470">
        <v>3539</v>
      </c>
      <c r="J470">
        <v>1583</v>
      </c>
      <c r="K470">
        <v>1770</v>
      </c>
      <c r="L470">
        <v>3539</v>
      </c>
      <c r="M470">
        <v>1583</v>
      </c>
      <c r="N470">
        <v>1770</v>
      </c>
      <c r="O470">
        <v>1863</v>
      </c>
      <c r="P470">
        <v>1583</v>
      </c>
    </row>
    <row r="471" spans="1:16" x14ac:dyDescent="0.3">
      <c r="A471" t="s">
        <v>50</v>
      </c>
      <c r="B471">
        <v>10</v>
      </c>
      <c r="C471">
        <v>0</v>
      </c>
      <c r="D471">
        <v>780</v>
      </c>
      <c r="E471">
        <v>3539</v>
      </c>
      <c r="F471">
        <v>0</v>
      </c>
      <c r="G471">
        <v>0</v>
      </c>
      <c r="H471">
        <v>693</v>
      </c>
      <c r="I471">
        <v>3539</v>
      </c>
      <c r="J471">
        <v>1583</v>
      </c>
      <c r="K471">
        <v>434</v>
      </c>
      <c r="L471">
        <v>3539</v>
      </c>
      <c r="M471">
        <v>1583</v>
      </c>
      <c r="N471">
        <v>1283</v>
      </c>
      <c r="O471">
        <v>1863</v>
      </c>
      <c r="P471">
        <v>1583</v>
      </c>
    </row>
    <row r="472" spans="1:16" x14ac:dyDescent="0.3">
      <c r="A472" t="s">
        <v>634</v>
      </c>
      <c r="B472">
        <v>10</v>
      </c>
      <c r="C472">
        <v>1</v>
      </c>
      <c r="D472">
        <v>1</v>
      </c>
      <c r="E472">
        <v>1</v>
      </c>
      <c r="F472">
        <v>1</v>
      </c>
      <c r="G472">
        <v>1</v>
      </c>
      <c r="H472">
        <v>1</v>
      </c>
      <c r="I472">
        <v>1</v>
      </c>
      <c r="J472">
        <v>1</v>
      </c>
      <c r="K472">
        <v>1</v>
      </c>
      <c r="L472">
        <v>1</v>
      </c>
      <c r="M472">
        <v>1</v>
      </c>
      <c r="N472">
        <v>1</v>
      </c>
      <c r="O472">
        <v>1</v>
      </c>
      <c r="P472">
        <v>1</v>
      </c>
    </row>
    <row r="473" spans="1:16" x14ac:dyDescent="0.3">
      <c r="A473" t="s">
        <v>51</v>
      </c>
      <c r="B473">
        <v>10</v>
      </c>
      <c r="C473">
        <v>0</v>
      </c>
      <c r="D473">
        <v>0</v>
      </c>
      <c r="E473">
        <v>0</v>
      </c>
      <c r="F473">
        <v>0</v>
      </c>
      <c r="G473">
        <v>0</v>
      </c>
      <c r="H473">
        <v>0</v>
      </c>
      <c r="I473">
        <v>0</v>
      </c>
      <c r="J473">
        <v>136</v>
      </c>
      <c r="K473">
        <v>0</v>
      </c>
      <c r="L473">
        <v>0</v>
      </c>
      <c r="M473">
        <v>312</v>
      </c>
      <c r="N473">
        <v>0</v>
      </c>
      <c r="O473">
        <v>0</v>
      </c>
      <c r="P473">
        <v>344</v>
      </c>
    </row>
    <row r="474" spans="1:16" x14ac:dyDescent="0.3">
      <c r="A474" t="s">
        <v>53</v>
      </c>
      <c r="B474">
        <v>10</v>
      </c>
      <c r="C474">
        <v>0</v>
      </c>
      <c r="D474">
        <v>431</v>
      </c>
      <c r="E474">
        <v>675</v>
      </c>
      <c r="F474">
        <v>1</v>
      </c>
      <c r="G474">
        <v>0</v>
      </c>
      <c r="H474">
        <v>94</v>
      </c>
      <c r="I474">
        <v>409</v>
      </c>
      <c r="J474">
        <v>2</v>
      </c>
      <c r="K474">
        <v>6</v>
      </c>
      <c r="L474">
        <v>92</v>
      </c>
      <c r="M474">
        <v>287</v>
      </c>
      <c r="N474">
        <v>7</v>
      </c>
      <c r="O474">
        <v>316</v>
      </c>
      <c r="P474">
        <v>339</v>
      </c>
    </row>
    <row r="475" spans="1:16" x14ac:dyDescent="0.3">
      <c r="A475" t="s">
        <v>54</v>
      </c>
      <c r="B475">
        <v>10</v>
      </c>
      <c r="C475">
        <v>0</v>
      </c>
      <c r="D475">
        <v>0</v>
      </c>
      <c r="E475">
        <v>0</v>
      </c>
      <c r="F475">
        <v>0</v>
      </c>
      <c r="G475">
        <v>0</v>
      </c>
      <c r="H475">
        <v>0</v>
      </c>
      <c r="I475">
        <v>0</v>
      </c>
      <c r="J475">
        <v>0</v>
      </c>
      <c r="K475">
        <v>0</v>
      </c>
      <c r="L475">
        <v>0</v>
      </c>
      <c r="M475">
        <v>0</v>
      </c>
      <c r="N475">
        <v>0</v>
      </c>
      <c r="O475">
        <v>0</v>
      </c>
      <c r="P475">
        <v>0</v>
      </c>
    </row>
    <row r="476" spans="1:16" x14ac:dyDescent="0.3">
      <c r="A476" t="s">
        <v>55</v>
      </c>
      <c r="B476">
        <v>10</v>
      </c>
      <c r="C476">
        <v>0</v>
      </c>
      <c r="D476">
        <v>0</v>
      </c>
      <c r="E476">
        <v>0</v>
      </c>
      <c r="F476">
        <v>0</v>
      </c>
      <c r="G476">
        <v>0</v>
      </c>
      <c r="H476">
        <v>0</v>
      </c>
      <c r="I476">
        <v>0</v>
      </c>
      <c r="J476">
        <v>0</v>
      </c>
      <c r="K476">
        <v>0</v>
      </c>
      <c r="L476">
        <v>0</v>
      </c>
      <c r="M476">
        <v>0</v>
      </c>
      <c r="N476">
        <v>0</v>
      </c>
      <c r="O476">
        <v>0</v>
      </c>
      <c r="P476">
        <v>0</v>
      </c>
    </row>
    <row r="477" spans="1:16" x14ac:dyDescent="0.3">
      <c r="A477" t="s">
        <v>56</v>
      </c>
      <c r="B477">
        <v>10</v>
      </c>
      <c r="C477">
        <v>0.92</v>
      </c>
      <c r="D477">
        <v>0.92</v>
      </c>
      <c r="E477">
        <v>0.92</v>
      </c>
      <c r="F477">
        <v>0.92</v>
      </c>
      <c r="G477">
        <v>0.92</v>
      </c>
      <c r="H477">
        <v>0.92</v>
      </c>
      <c r="I477">
        <v>0.92</v>
      </c>
      <c r="J477">
        <v>0.92</v>
      </c>
      <c r="K477">
        <v>0.92</v>
      </c>
      <c r="L477">
        <v>0.92</v>
      </c>
      <c r="M477">
        <v>0.92</v>
      </c>
      <c r="N477">
        <v>0.92</v>
      </c>
      <c r="O477">
        <v>0.92</v>
      </c>
      <c r="P477">
        <v>0.92</v>
      </c>
    </row>
    <row r="478" spans="1:16" x14ac:dyDescent="0.3">
      <c r="A478" t="s">
        <v>57</v>
      </c>
      <c r="B478">
        <v>10</v>
      </c>
      <c r="C478">
        <v>100</v>
      </c>
      <c r="D478">
        <v>100</v>
      </c>
      <c r="E478">
        <v>100</v>
      </c>
      <c r="F478">
        <v>100</v>
      </c>
      <c r="G478">
        <v>100</v>
      </c>
      <c r="H478">
        <v>100</v>
      </c>
      <c r="I478">
        <v>100</v>
      </c>
      <c r="J478">
        <v>100</v>
      </c>
      <c r="K478">
        <v>100</v>
      </c>
      <c r="L478">
        <v>100</v>
      </c>
      <c r="M478">
        <v>100</v>
      </c>
      <c r="N478">
        <v>100</v>
      </c>
      <c r="O478">
        <v>100</v>
      </c>
      <c r="P478">
        <v>100</v>
      </c>
    </row>
    <row r="479" spans="1:16" x14ac:dyDescent="0.3">
      <c r="A479" t="s">
        <v>58</v>
      </c>
      <c r="B479">
        <v>10</v>
      </c>
      <c r="C479">
        <v>2</v>
      </c>
      <c r="D479">
        <v>2</v>
      </c>
      <c r="E479">
        <v>2</v>
      </c>
      <c r="F479">
        <v>2</v>
      </c>
      <c r="G479">
        <v>2</v>
      </c>
      <c r="H479">
        <v>2</v>
      </c>
      <c r="I479">
        <v>2</v>
      </c>
      <c r="J479">
        <v>2</v>
      </c>
      <c r="K479">
        <v>2</v>
      </c>
      <c r="L479">
        <v>2</v>
      </c>
      <c r="M479">
        <v>2</v>
      </c>
      <c r="N479">
        <v>2</v>
      </c>
      <c r="O479">
        <v>2</v>
      </c>
      <c r="P479">
        <v>2</v>
      </c>
    </row>
    <row r="480" spans="1:16" x14ac:dyDescent="0.3">
      <c r="A480" t="s">
        <v>59</v>
      </c>
      <c r="B480">
        <v>10</v>
      </c>
      <c r="C480">
        <v>0</v>
      </c>
      <c r="D480">
        <v>0</v>
      </c>
      <c r="E480">
        <v>0</v>
      </c>
      <c r="F480">
        <v>0</v>
      </c>
      <c r="G480">
        <v>0</v>
      </c>
      <c r="H480">
        <v>0</v>
      </c>
      <c r="I480">
        <v>0</v>
      </c>
      <c r="J480">
        <v>0</v>
      </c>
      <c r="K480">
        <v>0</v>
      </c>
      <c r="L480">
        <v>0</v>
      </c>
      <c r="M480">
        <v>0</v>
      </c>
      <c r="N480">
        <v>0</v>
      </c>
      <c r="O480">
        <v>0</v>
      </c>
      <c r="P480">
        <v>0</v>
      </c>
    </row>
    <row r="481" spans="1:16" x14ac:dyDescent="0.3">
      <c r="A481" t="s">
        <v>635</v>
      </c>
      <c r="B481">
        <v>10</v>
      </c>
      <c r="E481">
        <v>0</v>
      </c>
      <c r="I481">
        <v>0</v>
      </c>
      <c r="L481">
        <v>0</v>
      </c>
      <c r="O481">
        <v>0</v>
      </c>
    </row>
    <row r="482" spans="1:16" x14ac:dyDescent="0.3">
      <c r="A482" t="s">
        <v>574</v>
      </c>
      <c r="B482">
        <v>10</v>
      </c>
      <c r="E482">
        <v>2827</v>
      </c>
      <c r="I482">
        <v>979</v>
      </c>
      <c r="L482">
        <v>529</v>
      </c>
      <c r="O482">
        <v>308</v>
      </c>
    </row>
    <row r="483" spans="1:16" x14ac:dyDescent="0.3">
      <c r="A483" t="s">
        <v>78</v>
      </c>
      <c r="B483">
        <v>10</v>
      </c>
      <c r="E483">
        <v>48.2</v>
      </c>
      <c r="I483">
        <v>22.3</v>
      </c>
      <c r="L483">
        <v>12</v>
      </c>
      <c r="O483">
        <v>7</v>
      </c>
    </row>
    <row r="484" spans="1:16" x14ac:dyDescent="0.3">
      <c r="A484" t="s">
        <v>636</v>
      </c>
      <c r="B484">
        <v>10</v>
      </c>
      <c r="F484">
        <v>0</v>
      </c>
      <c r="J484">
        <v>1</v>
      </c>
      <c r="M484">
        <v>1</v>
      </c>
      <c r="P484">
        <v>1</v>
      </c>
    </row>
    <row r="485" spans="1:16" x14ac:dyDescent="0.3">
      <c r="A485" t="s">
        <v>637</v>
      </c>
      <c r="B485">
        <v>10</v>
      </c>
      <c r="J485">
        <v>100</v>
      </c>
      <c r="M485">
        <v>250</v>
      </c>
      <c r="P485">
        <v>50</v>
      </c>
    </row>
    <row r="486" spans="1:16" x14ac:dyDescent="0.3">
      <c r="A486" t="s">
        <v>638</v>
      </c>
      <c r="B486">
        <v>10</v>
      </c>
      <c r="J486">
        <v>0</v>
      </c>
      <c r="M486">
        <v>0</v>
      </c>
      <c r="P486">
        <v>0</v>
      </c>
    </row>
    <row r="487" spans="1:16" x14ac:dyDescent="0.3">
      <c r="A487" t="s">
        <v>639</v>
      </c>
      <c r="B487">
        <v>10</v>
      </c>
      <c r="C487">
        <v>3</v>
      </c>
      <c r="D487">
        <v>0</v>
      </c>
      <c r="E487">
        <v>0</v>
      </c>
      <c r="F487">
        <v>1</v>
      </c>
      <c r="G487">
        <v>3</v>
      </c>
      <c r="H487">
        <v>0</v>
      </c>
      <c r="I487">
        <v>0</v>
      </c>
      <c r="J487">
        <v>1</v>
      </c>
      <c r="K487">
        <v>0</v>
      </c>
      <c r="L487">
        <v>0</v>
      </c>
      <c r="M487">
        <v>1</v>
      </c>
      <c r="N487">
        <v>0</v>
      </c>
      <c r="O487">
        <v>0</v>
      </c>
      <c r="P487">
        <v>1</v>
      </c>
    </row>
    <row r="488" spans="1:16" x14ac:dyDescent="0.3">
      <c r="A488" t="s">
        <v>640</v>
      </c>
      <c r="B488">
        <v>10</v>
      </c>
      <c r="C488">
        <v>0</v>
      </c>
      <c r="D488">
        <v>0</v>
      </c>
      <c r="E488">
        <v>0</v>
      </c>
      <c r="F488">
        <v>0</v>
      </c>
      <c r="G488">
        <v>0</v>
      </c>
      <c r="H488">
        <v>0</v>
      </c>
      <c r="I488">
        <v>0</v>
      </c>
      <c r="J488">
        <v>0</v>
      </c>
      <c r="K488">
        <v>0</v>
      </c>
      <c r="L488">
        <v>0</v>
      </c>
      <c r="M488">
        <v>0</v>
      </c>
      <c r="N488">
        <v>0</v>
      </c>
      <c r="O488">
        <v>0</v>
      </c>
      <c r="P488">
        <v>0</v>
      </c>
    </row>
    <row r="489" spans="1:16" x14ac:dyDescent="0.3">
      <c r="A489" t="s">
        <v>52</v>
      </c>
      <c r="B489">
        <v>10</v>
      </c>
      <c r="C489">
        <v>1</v>
      </c>
      <c r="D489">
        <v>1</v>
      </c>
      <c r="E489">
        <v>1</v>
      </c>
      <c r="F489">
        <v>1</v>
      </c>
      <c r="G489">
        <v>1</v>
      </c>
      <c r="H489">
        <v>1</v>
      </c>
      <c r="I489">
        <v>1</v>
      </c>
      <c r="J489">
        <v>1</v>
      </c>
      <c r="K489">
        <v>1</v>
      </c>
      <c r="L489">
        <v>1</v>
      </c>
      <c r="M489">
        <v>1</v>
      </c>
      <c r="N489">
        <v>1</v>
      </c>
      <c r="O489">
        <v>1</v>
      </c>
      <c r="P489">
        <v>1</v>
      </c>
    </row>
    <row r="490" spans="1:16" x14ac:dyDescent="0.3">
      <c r="A490" t="s">
        <v>641</v>
      </c>
      <c r="B490">
        <v>10</v>
      </c>
      <c r="C490">
        <v>9</v>
      </c>
      <c r="D490">
        <v>15</v>
      </c>
      <c r="E490">
        <v>60</v>
      </c>
      <c r="F490">
        <v>9</v>
      </c>
      <c r="G490">
        <v>9</v>
      </c>
      <c r="H490">
        <v>15</v>
      </c>
      <c r="I490">
        <v>60</v>
      </c>
      <c r="J490">
        <v>9</v>
      </c>
      <c r="K490">
        <v>15</v>
      </c>
      <c r="L490">
        <v>60</v>
      </c>
      <c r="M490">
        <v>9</v>
      </c>
      <c r="N490">
        <v>15</v>
      </c>
      <c r="O490">
        <v>60</v>
      </c>
      <c r="P490">
        <v>9</v>
      </c>
    </row>
    <row r="491" spans="1:16" x14ac:dyDescent="0.3">
      <c r="A491" t="s">
        <v>43</v>
      </c>
      <c r="B491">
        <v>10</v>
      </c>
      <c r="D491">
        <v>40</v>
      </c>
      <c r="E491">
        <v>336</v>
      </c>
      <c r="H491">
        <v>40</v>
      </c>
      <c r="I491">
        <v>336</v>
      </c>
      <c r="J491">
        <v>0</v>
      </c>
      <c r="K491">
        <v>40</v>
      </c>
      <c r="L491">
        <v>40</v>
      </c>
      <c r="M491">
        <v>0</v>
      </c>
      <c r="N491">
        <v>40</v>
      </c>
      <c r="O491">
        <v>40</v>
      </c>
      <c r="P491">
        <v>0</v>
      </c>
    </row>
    <row r="492" spans="1:16" x14ac:dyDescent="0.3">
      <c r="A492" t="s">
        <v>44</v>
      </c>
      <c r="B492">
        <v>10</v>
      </c>
      <c r="D492">
        <v>0</v>
      </c>
      <c r="E492">
        <v>0</v>
      </c>
      <c r="H492">
        <v>0</v>
      </c>
      <c r="I492">
        <v>0</v>
      </c>
      <c r="J492">
        <v>0</v>
      </c>
      <c r="K492">
        <v>0</v>
      </c>
      <c r="L492">
        <v>0</v>
      </c>
      <c r="M492">
        <v>0</v>
      </c>
      <c r="N492">
        <v>0</v>
      </c>
      <c r="O492">
        <v>0</v>
      </c>
      <c r="P492">
        <v>0</v>
      </c>
    </row>
    <row r="493" spans="1:16" x14ac:dyDescent="0.3">
      <c r="A493" t="s">
        <v>47</v>
      </c>
      <c r="B493">
        <v>10</v>
      </c>
      <c r="D493">
        <v>1</v>
      </c>
      <c r="E493">
        <v>6</v>
      </c>
      <c r="H493">
        <v>5</v>
      </c>
      <c r="I493">
        <v>2</v>
      </c>
      <c r="J493">
        <v>2</v>
      </c>
      <c r="K493">
        <v>4</v>
      </c>
      <c r="L493">
        <v>4</v>
      </c>
      <c r="M493">
        <v>4</v>
      </c>
      <c r="N493">
        <v>8</v>
      </c>
      <c r="O493">
        <v>8</v>
      </c>
      <c r="P493">
        <v>8</v>
      </c>
    </row>
    <row r="494" spans="1:16" x14ac:dyDescent="0.3">
      <c r="A494" t="s">
        <v>642</v>
      </c>
      <c r="B494">
        <v>10</v>
      </c>
      <c r="D494">
        <v>0</v>
      </c>
      <c r="E494">
        <v>0</v>
      </c>
      <c r="H494">
        <v>0</v>
      </c>
      <c r="I494">
        <v>0</v>
      </c>
      <c r="J494">
        <v>0</v>
      </c>
      <c r="K494">
        <v>0</v>
      </c>
      <c r="L494">
        <v>0</v>
      </c>
      <c r="M494">
        <v>0</v>
      </c>
      <c r="N494">
        <v>0</v>
      </c>
      <c r="O494">
        <v>0</v>
      </c>
      <c r="P494">
        <v>0</v>
      </c>
    </row>
    <row r="495" spans="1:16" x14ac:dyDescent="0.3">
      <c r="A495" t="s">
        <v>643</v>
      </c>
      <c r="B495">
        <v>10</v>
      </c>
      <c r="D495">
        <v>0</v>
      </c>
      <c r="E495">
        <v>0</v>
      </c>
      <c r="H495">
        <v>0</v>
      </c>
      <c r="I495">
        <v>0</v>
      </c>
      <c r="J495">
        <v>0</v>
      </c>
      <c r="K495">
        <v>0</v>
      </c>
      <c r="L495">
        <v>0</v>
      </c>
      <c r="M495">
        <v>0</v>
      </c>
      <c r="N495">
        <v>0</v>
      </c>
      <c r="O495">
        <v>0</v>
      </c>
      <c r="P495">
        <v>0</v>
      </c>
    </row>
    <row r="496" spans="1:16" x14ac:dyDescent="0.3">
      <c r="A496" t="s">
        <v>644</v>
      </c>
      <c r="B496">
        <v>10</v>
      </c>
      <c r="D496">
        <v>0</v>
      </c>
      <c r="E496">
        <v>0</v>
      </c>
      <c r="H496">
        <v>0</v>
      </c>
      <c r="I496">
        <v>0</v>
      </c>
      <c r="J496">
        <v>0</v>
      </c>
      <c r="K496">
        <v>0</v>
      </c>
      <c r="L496">
        <v>0</v>
      </c>
      <c r="M496">
        <v>0</v>
      </c>
      <c r="N496">
        <v>0</v>
      </c>
      <c r="O496">
        <v>0</v>
      </c>
      <c r="P496">
        <v>0</v>
      </c>
    </row>
    <row r="497" spans="1:16" x14ac:dyDescent="0.3">
      <c r="A497" t="s">
        <v>645</v>
      </c>
      <c r="B497">
        <v>10</v>
      </c>
      <c r="D497">
        <v>0</v>
      </c>
      <c r="E497">
        <v>0</v>
      </c>
      <c r="H497">
        <v>0</v>
      </c>
      <c r="I497">
        <v>0</v>
      </c>
      <c r="J497">
        <v>0</v>
      </c>
      <c r="K497">
        <v>0</v>
      </c>
      <c r="L497">
        <v>0</v>
      </c>
      <c r="M497">
        <v>0</v>
      </c>
      <c r="N497">
        <v>0</v>
      </c>
      <c r="O497">
        <v>0</v>
      </c>
      <c r="P497">
        <v>0</v>
      </c>
    </row>
    <row r="498" spans="1:16" x14ac:dyDescent="0.3">
      <c r="A498" t="s">
        <v>646</v>
      </c>
      <c r="B498">
        <v>10</v>
      </c>
      <c r="D498">
        <v>1</v>
      </c>
      <c r="E498">
        <v>2</v>
      </c>
      <c r="H498">
        <v>1</v>
      </c>
      <c r="I498">
        <v>2</v>
      </c>
      <c r="J498">
        <v>1</v>
      </c>
      <c r="K498">
        <v>1</v>
      </c>
      <c r="L498">
        <v>1</v>
      </c>
      <c r="M498">
        <v>1</v>
      </c>
      <c r="N498">
        <v>1</v>
      </c>
      <c r="O498">
        <v>1</v>
      </c>
      <c r="P498">
        <v>1</v>
      </c>
    </row>
    <row r="499" spans="1:16" x14ac:dyDescent="0.3">
      <c r="A499" t="s">
        <v>647</v>
      </c>
      <c r="B499">
        <v>10</v>
      </c>
      <c r="D499">
        <v>0</v>
      </c>
      <c r="E499">
        <v>330</v>
      </c>
      <c r="H499">
        <v>0</v>
      </c>
      <c r="I499">
        <v>330</v>
      </c>
      <c r="J499">
        <v>0</v>
      </c>
      <c r="K499">
        <v>0</v>
      </c>
      <c r="L499">
        <v>0</v>
      </c>
      <c r="M499">
        <v>0</v>
      </c>
      <c r="N499">
        <v>0</v>
      </c>
      <c r="O499">
        <v>0</v>
      </c>
      <c r="P499">
        <v>0</v>
      </c>
    </row>
    <row r="500" spans="1:16" x14ac:dyDescent="0.3">
      <c r="A500" t="s">
        <v>648</v>
      </c>
      <c r="B500">
        <v>10</v>
      </c>
      <c r="D500">
        <v>40</v>
      </c>
      <c r="E500">
        <v>6</v>
      </c>
      <c r="H500">
        <v>40</v>
      </c>
      <c r="I500">
        <v>6</v>
      </c>
      <c r="J500">
        <v>0</v>
      </c>
      <c r="K500">
        <v>40</v>
      </c>
      <c r="L500">
        <v>40</v>
      </c>
      <c r="M500">
        <v>0</v>
      </c>
      <c r="N500">
        <v>40</v>
      </c>
      <c r="O500">
        <v>40</v>
      </c>
      <c r="P500">
        <v>0</v>
      </c>
    </row>
    <row r="501" spans="1:16" x14ac:dyDescent="0.3">
      <c r="A501" t="s">
        <v>649</v>
      </c>
      <c r="B501">
        <v>10</v>
      </c>
      <c r="D501">
        <v>3</v>
      </c>
      <c r="E501">
        <v>3</v>
      </c>
      <c r="H501">
        <v>3</v>
      </c>
      <c r="I501">
        <v>3</v>
      </c>
      <c r="J501">
        <v>3</v>
      </c>
      <c r="K501">
        <v>3</v>
      </c>
      <c r="L501">
        <v>3</v>
      </c>
      <c r="M501">
        <v>3</v>
      </c>
      <c r="N501">
        <v>3</v>
      </c>
      <c r="O501">
        <v>3</v>
      </c>
      <c r="P501">
        <v>3</v>
      </c>
    </row>
    <row r="502" spans="1:16" x14ac:dyDescent="0.3">
      <c r="A502" t="s">
        <v>650</v>
      </c>
      <c r="B502">
        <v>10</v>
      </c>
      <c r="D502">
        <v>0</v>
      </c>
      <c r="E502">
        <v>0</v>
      </c>
      <c r="H502">
        <v>0</v>
      </c>
      <c r="I502">
        <v>0</v>
      </c>
      <c r="J502">
        <v>0</v>
      </c>
      <c r="K502">
        <v>0</v>
      </c>
      <c r="L502">
        <v>0</v>
      </c>
      <c r="M502">
        <v>0</v>
      </c>
      <c r="N502">
        <v>0</v>
      </c>
      <c r="O502">
        <v>0</v>
      </c>
      <c r="P502">
        <v>0</v>
      </c>
    </row>
    <row r="503" spans="1:16" x14ac:dyDescent="0.3">
      <c r="A503" t="s">
        <v>651</v>
      </c>
      <c r="B503">
        <v>10</v>
      </c>
      <c r="D503">
        <v>0</v>
      </c>
      <c r="E503">
        <v>0</v>
      </c>
      <c r="H503">
        <v>0</v>
      </c>
      <c r="I503">
        <v>0</v>
      </c>
      <c r="J503">
        <v>0</v>
      </c>
      <c r="K503">
        <v>0</v>
      </c>
      <c r="L503">
        <v>0</v>
      </c>
      <c r="M503">
        <v>0</v>
      </c>
      <c r="N503">
        <v>0</v>
      </c>
      <c r="O503">
        <v>0</v>
      </c>
      <c r="P503">
        <v>0</v>
      </c>
    </row>
    <row r="504" spans="1:16" x14ac:dyDescent="0.3">
      <c r="A504" t="s">
        <v>652</v>
      </c>
      <c r="B504">
        <v>10</v>
      </c>
      <c r="D504">
        <v>0</v>
      </c>
      <c r="E504">
        <v>0</v>
      </c>
      <c r="H504">
        <v>0</v>
      </c>
      <c r="I504">
        <v>0</v>
      </c>
      <c r="J504">
        <v>0</v>
      </c>
      <c r="K504">
        <v>0</v>
      </c>
      <c r="L504">
        <v>0</v>
      </c>
      <c r="M504">
        <v>0</v>
      </c>
      <c r="N504">
        <v>0</v>
      </c>
      <c r="O504">
        <v>0</v>
      </c>
      <c r="P504">
        <v>0</v>
      </c>
    </row>
    <row r="505" spans="1:16" x14ac:dyDescent="0.3">
      <c r="A505" t="s">
        <v>653</v>
      </c>
      <c r="B505">
        <v>10</v>
      </c>
      <c r="E505">
        <v>0</v>
      </c>
      <c r="I505">
        <v>0</v>
      </c>
    </row>
    <row r="506" spans="1:16" x14ac:dyDescent="0.3">
      <c r="A506" t="s">
        <v>654</v>
      </c>
      <c r="B506">
        <v>10</v>
      </c>
      <c r="E506">
        <v>0</v>
      </c>
      <c r="I506">
        <v>0</v>
      </c>
    </row>
    <row r="507" spans="1:16" x14ac:dyDescent="0.3">
      <c r="A507" t="s">
        <v>655</v>
      </c>
      <c r="B507">
        <v>10</v>
      </c>
      <c r="E507">
        <v>3</v>
      </c>
      <c r="I507">
        <v>3</v>
      </c>
    </row>
    <row r="508" spans="1:16" x14ac:dyDescent="0.3">
      <c r="A508" t="s">
        <v>656</v>
      </c>
      <c r="B508">
        <v>10</v>
      </c>
      <c r="E508">
        <v>0</v>
      </c>
      <c r="I508">
        <v>0</v>
      </c>
    </row>
    <row r="509" spans="1:16" x14ac:dyDescent="0.3">
      <c r="A509" t="s">
        <v>657</v>
      </c>
      <c r="B509">
        <v>10</v>
      </c>
      <c r="E509">
        <v>0</v>
      </c>
      <c r="I509">
        <v>0</v>
      </c>
      <c r="L509">
        <v>0</v>
      </c>
      <c r="O509">
        <v>0</v>
      </c>
    </row>
    <row r="510" spans="1:16" x14ac:dyDescent="0.3">
      <c r="A510" t="s">
        <v>408</v>
      </c>
      <c r="B510">
        <v>10</v>
      </c>
      <c r="E510">
        <v>0</v>
      </c>
    </row>
    <row r="511" spans="1:16" x14ac:dyDescent="0.3">
      <c r="A511" t="s">
        <v>658</v>
      </c>
      <c r="B511">
        <v>10</v>
      </c>
      <c r="C511">
        <v>0</v>
      </c>
      <c r="D511">
        <v>468</v>
      </c>
      <c r="E511">
        <v>735</v>
      </c>
      <c r="F511">
        <v>0</v>
      </c>
      <c r="G511">
        <v>0</v>
      </c>
      <c r="H511">
        <v>102</v>
      </c>
      <c r="I511">
        <v>445</v>
      </c>
      <c r="J511">
        <v>2</v>
      </c>
      <c r="K511">
        <v>7</v>
      </c>
      <c r="L511">
        <v>100</v>
      </c>
      <c r="M511">
        <v>312</v>
      </c>
      <c r="N511">
        <v>8</v>
      </c>
      <c r="O511">
        <v>343</v>
      </c>
      <c r="P511">
        <v>368</v>
      </c>
    </row>
    <row r="512" spans="1:16" x14ac:dyDescent="0.3">
      <c r="A512" t="s">
        <v>34</v>
      </c>
      <c r="B512">
        <v>11</v>
      </c>
      <c r="C512">
        <v>10</v>
      </c>
      <c r="D512">
        <v>10</v>
      </c>
      <c r="E512">
        <v>10</v>
      </c>
      <c r="F512">
        <v>10</v>
      </c>
      <c r="G512">
        <v>12</v>
      </c>
      <c r="H512">
        <v>12</v>
      </c>
      <c r="I512">
        <v>12</v>
      </c>
      <c r="J512">
        <v>12</v>
      </c>
      <c r="K512">
        <v>22</v>
      </c>
      <c r="L512">
        <v>22</v>
      </c>
      <c r="M512">
        <v>22</v>
      </c>
      <c r="N512">
        <v>116</v>
      </c>
      <c r="O512">
        <v>116</v>
      </c>
      <c r="P512">
        <v>116</v>
      </c>
    </row>
    <row r="513" spans="1:16" x14ac:dyDescent="0.3">
      <c r="A513" t="s">
        <v>35</v>
      </c>
      <c r="B513">
        <v>11</v>
      </c>
      <c r="C513">
        <v>10</v>
      </c>
      <c r="D513">
        <v>22</v>
      </c>
      <c r="E513">
        <v>12</v>
      </c>
      <c r="F513">
        <v>116</v>
      </c>
      <c r="G513">
        <v>12</v>
      </c>
      <c r="H513">
        <v>116</v>
      </c>
      <c r="I513">
        <v>10</v>
      </c>
      <c r="J513">
        <v>22</v>
      </c>
      <c r="K513">
        <v>12</v>
      </c>
      <c r="L513">
        <v>116</v>
      </c>
      <c r="M513">
        <v>10</v>
      </c>
      <c r="N513">
        <v>10</v>
      </c>
      <c r="O513">
        <v>22</v>
      </c>
      <c r="P513">
        <v>12</v>
      </c>
    </row>
    <row r="514" spans="1:16" x14ac:dyDescent="0.3">
      <c r="A514" t="s">
        <v>36</v>
      </c>
      <c r="B514">
        <v>11</v>
      </c>
      <c r="C514">
        <v>0</v>
      </c>
      <c r="D514">
        <v>1</v>
      </c>
      <c r="E514">
        <v>2</v>
      </c>
      <c r="F514">
        <v>1</v>
      </c>
      <c r="G514">
        <v>0</v>
      </c>
      <c r="H514">
        <v>1</v>
      </c>
      <c r="I514">
        <v>2</v>
      </c>
      <c r="J514">
        <v>1</v>
      </c>
      <c r="K514">
        <v>1</v>
      </c>
      <c r="L514">
        <v>1</v>
      </c>
      <c r="M514">
        <v>1</v>
      </c>
      <c r="N514">
        <v>1</v>
      </c>
      <c r="O514">
        <v>1</v>
      </c>
      <c r="P514">
        <v>0</v>
      </c>
    </row>
    <row r="515" spans="1:16" x14ac:dyDescent="0.3">
      <c r="A515" t="s">
        <v>37</v>
      </c>
      <c r="B515">
        <v>11</v>
      </c>
      <c r="D515">
        <v>0</v>
      </c>
      <c r="E515">
        <v>0</v>
      </c>
      <c r="H515">
        <v>0</v>
      </c>
      <c r="I515">
        <v>0</v>
      </c>
      <c r="K515">
        <v>0</v>
      </c>
      <c r="L515">
        <v>0</v>
      </c>
      <c r="N515">
        <v>0</v>
      </c>
      <c r="O515">
        <v>2</v>
      </c>
    </row>
    <row r="516" spans="1:16" x14ac:dyDescent="0.3">
      <c r="A516" t="s">
        <v>38</v>
      </c>
      <c r="B516">
        <v>11</v>
      </c>
      <c r="C516">
        <v>12</v>
      </c>
      <c r="D516">
        <v>12</v>
      </c>
      <c r="E516">
        <v>12</v>
      </c>
      <c r="F516">
        <v>12</v>
      </c>
      <c r="G516">
        <v>12</v>
      </c>
      <c r="H516">
        <v>12</v>
      </c>
      <c r="I516">
        <v>12</v>
      </c>
      <c r="J516">
        <v>12</v>
      </c>
      <c r="K516">
        <v>12</v>
      </c>
      <c r="L516">
        <v>12</v>
      </c>
      <c r="M516">
        <v>12</v>
      </c>
      <c r="N516">
        <v>12</v>
      </c>
      <c r="O516">
        <v>12</v>
      </c>
      <c r="P516">
        <v>12</v>
      </c>
    </row>
    <row r="517" spans="1:16" x14ac:dyDescent="0.3">
      <c r="A517" t="s">
        <v>39</v>
      </c>
      <c r="B517">
        <v>11</v>
      </c>
      <c r="D517">
        <v>200</v>
      </c>
      <c r="F517">
        <v>200</v>
      </c>
      <c r="H517">
        <v>200</v>
      </c>
      <c r="J517">
        <v>200</v>
      </c>
      <c r="K517">
        <v>150</v>
      </c>
      <c r="N517">
        <v>150</v>
      </c>
    </row>
    <row r="518" spans="1:16" x14ac:dyDescent="0.3">
      <c r="A518" t="s">
        <v>631</v>
      </c>
      <c r="B518">
        <v>11</v>
      </c>
      <c r="D518">
        <v>25</v>
      </c>
      <c r="F518">
        <v>25</v>
      </c>
      <c r="H518">
        <v>25</v>
      </c>
      <c r="J518">
        <v>25</v>
      </c>
      <c r="K518">
        <v>25</v>
      </c>
      <c r="N518">
        <v>25</v>
      </c>
    </row>
    <row r="519" spans="1:16" x14ac:dyDescent="0.3">
      <c r="A519" t="s">
        <v>40</v>
      </c>
      <c r="B519">
        <v>11</v>
      </c>
      <c r="D519">
        <v>1</v>
      </c>
      <c r="F519">
        <v>1</v>
      </c>
      <c r="H519">
        <v>1</v>
      </c>
      <c r="J519">
        <v>1</v>
      </c>
      <c r="K519">
        <v>1</v>
      </c>
      <c r="N519">
        <v>1</v>
      </c>
    </row>
    <row r="520" spans="1:16" x14ac:dyDescent="0.3">
      <c r="A520" t="s">
        <v>41</v>
      </c>
      <c r="B520">
        <v>11</v>
      </c>
    </row>
    <row r="521" spans="1:16" x14ac:dyDescent="0.3">
      <c r="A521" t="s">
        <v>42</v>
      </c>
      <c r="B521">
        <v>11</v>
      </c>
      <c r="E521">
        <v>45</v>
      </c>
      <c r="I521">
        <v>45</v>
      </c>
      <c r="L521">
        <v>30</v>
      </c>
      <c r="O521">
        <v>30</v>
      </c>
    </row>
    <row r="522" spans="1:16" x14ac:dyDescent="0.3">
      <c r="A522" t="s">
        <v>45</v>
      </c>
      <c r="B522">
        <v>11</v>
      </c>
      <c r="D522">
        <v>1</v>
      </c>
      <c r="E522">
        <v>6</v>
      </c>
      <c r="H522">
        <v>5</v>
      </c>
      <c r="I522">
        <v>2</v>
      </c>
      <c r="L522">
        <v>4</v>
      </c>
      <c r="O522">
        <v>8</v>
      </c>
    </row>
    <row r="523" spans="1:16" x14ac:dyDescent="0.3">
      <c r="A523" t="s">
        <v>46</v>
      </c>
      <c r="B523">
        <v>11</v>
      </c>
      <c r="D523">
        <v>6</v>
      </c>
      <c r="F523">
        <v>6</v>
      </c>
      <c r="H523">
        <v>2</v>
      </c>
      <c r="J523">
        <v>2</v>
      </c>
      <c r="K523">
        <v>4</v>
      </c>
      <c r="M523">
        <v>4</v>
      </c>
      <c r="N523">
        <v>8</v>
      </c>
    </row>
    <row r="524" spans="1:16" x14ac:dyDescent="0.3">
      <c r="A524" t="s">
        <v>49</v>
      </c>
      <c r="B524">
        <v>11</v>
      </c>
      <c r="C524">
        <v>4</v>
      </c>
      <c r="D524">
        <v>6</v>
      </c>
      <c r="E524">
        <v>6.5</v>
      </c>
      <c r="F524">
        <v>6.5</v>
      </c>
      <c r="G524">
        <v>4</v>
      </c>
      <c r="H524">
        <v>6</v>
      </c>
      <c r="I524">
        <v>6.5</v>
      </c>
      <c r="J524">
        <v>6.5</v>
      </c>
      <c r="K524">
        <v>6.7</v>
      </c>
      <c r="L524">
        <v>6.7</v>
      </c>
      <c r="M524">
        <v>6.7</v>
      </c>
      <c r="N524">
        <v>6.7</v>
      </c>
      <c r="O524">
        <v>6.7</v>
      </c>
      <c r="P524">
        <v>4</v>
      </c>
    </row>
    <row r="525" spans="1:16" x14ac:dyDescent="0.3">
      <c r="A525" t="s">
        <v>632</v>
      </c>
      <c r="B525">
        <v>11</v>
      </c>
      <c r="C525">
        <v>0</v>
      </c>
      <c r="D525">
        <v>0</v>
      </c>
      <c r="E525">
        <v>0</v>
      </c>
      <c r="F525">
        <v>0</v>
      </c>
      <c r="G525">
        <v>0</v>
      </c>
      <c r="H525">
        <v>0</v>
      </c>
      <c r="I525">
        <v>0</v>
      </c>
      <c r="J525">
        <v>0</v>
      </c>
      <c r="K525">
        <v>0</v>
      </c>
      <c r="L525">
        <v>0</v>
      </c>
      <c r="M525">
        <v>0</v>
      </c>
      <c r="N525">
        <v>0</v>
      </c>
      <c r="O525">
        <v>0</v>
      </c>
      <c r="P525">
        <v>0</v>
      </c>
    </row>
    <row r="526" spans="1:16" x14ac:dyDescent="0.3">
      <c r="A526" t="s">
        <v>48</v>
      </c>
      <c r="B526">
        <v>11</v>
      </c>
      <c r="C526">
        <v>1900</v>
      </c>
      <c r="D526">
        <v>1900</v>
      </c>
      <c r="E526">
        <v>1900</v>
      </c>
      <c r="F526">
        <v>1900</v>
      </c>
      <c r="G526">
        <v>1900</v>
      </c>
      <c r="H526">
        <v>1900</v>
      </c>
      <c r="I526">
        <v>1900</v>
      </c>
      <c r="J526">
        <v>1900</v>
      </c>
      <c r="K526">
        <v>1900</v>
      </c>
      <c r="L526">
        <v>1900</v>
      </c>
      <c r="M526">
        <v>1900</v>
      </c>
      <c r="N526">
        <v>1900</v>
      </c>
      <c r="O526">
        <v>1900</v>
      </c>
      <c r="P526">
        <v>1900</v>
      </c>
    </row>
    <row r="527" spans="1:16" x14ac:dyDescent="0.3">
      <c r="A527" t="s">
        <v>633</v>
      </c>
      <c r="B527">
        <v>11</v>
      </c>
      <c r="C527">
        <v>0</v>
      </c>
      <c r="D527">
        <v>1770</v>
      </c>
      <c r="E527">
        <v>3539</v>
      </c>
      <c r="F527">
        <v>1583</v>
      </c>
      <c r="G527">
        <v>0</v>
      </c>
      <c r="H527">
        <v>1770</v>
      </c>
      <c r="I527">
        <v>3539</v>
      </c>
      <c r="J527">
        <v>1583</v>
      </c>
      <c r="K527">
        <v>1770</v>
      </c>
      <c r="L527">
        <v>1863</v>
      </c>
      <c r="M527">
        <v>1583</v>
      </c>
      <c r="N527">
        <v>1770</v>
      </c>
      <c r="O527">
        <v>1723</v>
      </c>
      <c r="P527">
        <v>0</v>
      </c>
    </row>
    <row r="528" spans="1:16" x14ac:dyDescent="0.3">
      <c r="A528" t="s">
        <v>50</v>
      </c>
      <c r="B528">
        <v>11</v>
      </c>
      <c r="C528">
        <v>0</v>
      </c>
      <c r="D528">
        <v>883</v>
      </c>
      <c r="E528">
        <v>3539</v>
      </c>
      <c r="F528">
        <v>1583</v>
      </c>
      <c r="G528">
        <v>0</v>
      </c>
      <c r="H528">
        <v>503</v>
      </c>
      <c r="I528">
        <v>3539</v>
      </c>
      <c r="J528">
        <v>1583</v>
      </c>
      <c r="K528">
        <v>1306</v>
      </c>
      <c r="L528">
        <v>1863</v>
      </c>
      <c r="M528">
        <v>1583</v>
      </c>
      <c r="N528">
        <v>1345</v>
      </c>
      <c r="O528">
        <v>1723</v>
      </c>
      <c r="P528">
        <v>0</v>
      </c>
    </row>
    <row r="529" spans="1:16" x14ac:dyDescent="0.3">
      <c r="A529" t="s">
        <v>634</v>
      </c>
      <c r="B529">
        <v>11</v>
      </c>
      <c r="C529">
        <v>1</v>
      </c>
      <c r="D529">
        <v>1</v>
      </c>
      <c r="E529">
        <v>1</v>
      </c>
      <c r="F529">
        <v>1</v>
      </c>
      <c r="G529">
        <v>1</v>
      </c>
      <c r="H529">
        <v>1</v>
      </c>
      <c r="I529">
        <v>1</v>
      </c>
      <c r="J529">
        <v>1</v>
      </c>
      <c r="K529">
        <v>1</v>
      </c>
      <c r="L529">
        <v>1</v>
      </c>
      <c r="M529">
        <v>1</v>
      </c>
      <c r="N529">
        <v>1</v>
      </c>
      <c r="O529">
        <v>1</v>
      </c>
      <c r="P529">
        <v>1</v>
      </c>
    </row>
    <row r="530" spans="1:16" x14ac:dyDescent="0.3">
      <c r="A530" t="s">
        <v>51</v>
      </c>
      <c r="B530">
        <v>11</v>
      </c>
      <c r="C530">
        <v>0</v>
      </c>
      <c r="D530">
        <v>0</v>
      </c>
      <c r="E530">
        <v>0</v>
      </c>
      <c r="F530">
        <v>88</v>
      </c>
      <c r="G530">
        <v>0</v>
      </c>
      <c r="H530">
        <v>0</v>
      </c>
      <c r="I530">
        <v>0</v>
      </c>
      <c r="J530">
        <v>88</v>
      </c>
      <c r="K530">
        <v>0</v>
      </c>
      <c r="L530">
        <v>0</v>
      </c>
      <c r="M530">
        <v>86</v>
      </c>
      <c r="N530">
        <v>0</v>
      </c>
      <c r="O530">
        <v>37</v>
      </c>
      <c r="P530">
        <v>0</v>
      </c>
    </row>
    <row r="531" spans="1:16" x14ac:dyDescent="0.3">
      <c r="A531" t="s">
        <v>53</v>
      </c>
      <c r="B531">
        <v>11</v>
      </c>
      <c r="C531">
        <v>0</v>
      </c>
      <c r="D531">
        <v>40</v>
      </c>
      <c r="E531">
        <v>900</v>
      </c>
      <c r="F531">
        <v>50</v>
      </c>
      <c r="G531">
        <v>0</v>
      </c>
      <c r="H531">
        <v>75</v>
      </c>
      <c r="I531">
        <v>450</v>
      </c>
      <c r="J531">
        <v>50</v>
      </c>
      <c r="K531">
        <v>20</v>
      </c>
      <c r="L531">
        <v>50</v>
      </c>
      <c r="M531">
        <v>75</v>
      </c>
      <c r="N531">
        <v>15</v>
      </c>
      <c r="O531">
        <v>40</v>
      </c>
      <c r="P531">
        <v>40</v>
      </c>
    </row>
    <row r="532" spans="1:16" x14ac:dyDescent="0.3">
      <c r="A532" t="s">
        <v>54</v>
      </c>
      <c r="B532">
        <v>11</v>
      </c>
      <c r="C532">
        <v>0</v>
      </c>
      <c r="D532">
        <v>0</v>
      </c>
      <c r="E532">
        <v>0</v>
      </c>
      <c r="F532">
        <v>0</v>
      </c>
      <c r="G532">
        <v>0</v>
      </c>
      <c r="H532">
        <v>0</v>
      </c>
      <c r="I532">
        <v>0</v>
      </c>
      <c r="J532">
        <v>0</v>
      </c>
      <c r="K532">
        <v>0</v>
      </c>
      <c r="L532">
        <v>0</v>
      </c>
      <c r="M532">
        <v>0</v>
      </c>
      <c r="N532">
        <v>0</v>
      </c>
      <c r="O532">
        <v>0</v>
      </c>
      <c r="P532">
        <v>0</v>
      </c>
    </row>
    <row r="533" spans="1:16" x14ac:dyDescent="0.3">
      <c r="A533" t="s">
        <v>55</v>
      </c>
      <c r="B533">
        <v>11</v>
      </c>
      <c r="C533">
        <v>0</v>
      </c>
      <c r="D533">
        <v>0</v>
      </c>
      <c r="E533">
        <v>0</v>
      </c>
      <c r="F533">
        <v>0</v>
      </c>
      <c r="G533">
        <v>0</v>
      </c>
      <c r="H533">
        <v>0</v>
      </c>
      <c r="I533">
        <v>0</v>
      </c>
      <c r="J533">
        <v>0</v>
      </c>
      <c r="K533">
        <v>0</v>
      </c>
      <c r="L533">
        <v>0</v>
      </c>
      <c r="M533">
        <v>0</v>
      </c>
      <c r="N533">
        <v>0</v>
      </c>
      <c r="O533">
        <v>0</v>
      </c>
      <c r="P533">
        <v>0</v>
      </c>
    </row>
    <row r="534" spans="1:16" x14ac:dyDescent="0.3">
      <c r="A534" t="s">
        <v>56</v>
      </c>
      <c r="B534">
        <v>11</v>
      </c>
      <c r="C534">
        <v>0.92</v>
      </c>
      <c r="D534">
        <v>0.92</v>
      </c>
      <c r="E534">
        <v>0.92</v>
      </c>
      <c r="F534">
        <v>0.92</v>
      </c>
      <c r="G534">
        <v>0.92</v>
      </c>
      <c r="H534">
        <v>0.92</v>
      </c>
      <c r="I534">
        <v>0.92</v>
      </c>
      <c r="J534">
        <v>0.92</v>
      </c>
      <c r="K534">
        <v>0.92</v>
      </c>
      <c r="L534">
        <v>0.92</v>
      </c>
      <c r="M534">
        <v>0.92</v>
      </c>
      <c r="N534">
        <v>0.92</v>
      </c>
      <c r="O534">
        <v>0.92</v>
      </c>
      <c r="P534">
        <v>0.92</v>
      </c>
    </row>
    <row r="535" spans="1:16" x14ac:dyDescent="0.3">
      <c r="A535" t="s">
        <v>57</v>
      </c>
      <c r="B535">
        <v>11</v>
      </c>
      <c r="C535">
        <v>100</v>
      </c>
      <c r="D535">
        <v>100</v>
      </c>
      <c r="E535">
        <v>100</v>
      </c>
      <c r="F535">
        <v>100</v>
      </c>
      <c r="G535">
        <v>100</v>
      </c>
      <c r="H535">
        <v>100</v>
      </c>
      <c r="I535">
        <v>100</v>
      </c>
      <c r="J535">
        <v>100</v>
      </c>
      <c r="K535">
        <v>100</v>
      </c>
      <c r="L535">
        <v>100</v>
      </c>
      <c r="M535">
        <v>100</v>
      </c>
      <c r="N535">
        <v>100</v>
      </c>
      <c r="O535">
        <v>100</v>
      </c>
      <c r="P535">
        <v>100</v>
      </c>
    </row>
    <row r="536" spans="1:16" x14ac:dyDescent="0.3">
      <c r="A536" t="s">
        <v>58</v>
      </c>
      <c r="B536">
        <v>11</v>
      </c>
      <c r="C536">
        <v>2</v>
      </c>
      <c r="D536">
        <v>2</v>
      </c>
      <c r="E536">
        <v>2</v>
      </c>
      <c r="F536">
        <v>2</v>
      </c>
      <c r="G536">
        <v>2</v>
      </c>
      <c r="H536">
        <v>2</v>
      </c>
      <c r="I536">
        <v>2</v>
      </c>
      <c r="J536">
        <v>2</v>
      </c>
      <c r="K536">
        <v>2</v>
      </c>
      <c r="L536">
        <v>2</v>
      </c>
      <c r="M536">
        <v>2</v>
      </c>
      <c r="N536">
        <v>2</v>
      </c>
      <c r="O536">
        <v>2</v>
      </c>
      <c r="P536">
        <v>2</v>
      </c>
    </row>
    <row r="537" spans="1:16" x14ac:dyDescent="0.3">
      <c r="A537" t="s">
        <v>59</v>
      </c>
      <c r="B537">
        <v>11</v>
      </c>
      <c r="C537">
        <v>0</v>
      </c>
      <c r="D537">
        <v>0</v>
      </c>
      <c r="E537">
        <v>0</v>
      </c>
      <c r="F537">
        <v>0</v>
      </c>
      <c r="G537">
        <v>0</v>
      </c>
      <c r="H537">
        <v>0</v>
      </c>
      <c r="I537">
        <v>0</v>
      </c>
      <c r="J537">
        <v>0</v>
      </c>
      <c r="K537">
        <v>0</v>
      </c>
      <c r="L537">
        <v>0</v>
      </c>
      <c r="M537">
        <v>0</v>
      </c>
      <c r="N537">
        <v>0</v>
      </c>
      <c r="O537">
        <v>0</v>
      </c>
      <c r="P537">
        <v>0</v>
      </c>
    </row>
    <row r="538" spans="1:16" x14ac:dyDescent="0.3">
      <c r="A538" t="s">
        <v>635</v>
      </c>
      <c r="B538">
        <v>11</v>
      </c>
      <c r="E538">
        <v>0</v>
      </c>
      <c r="I538">
        <v>0</v>
      </c>
      <c r="L538">
        <v>0</v>
      </c>
      <c r="O538">
        <v>0</v>
      </c>
    </row>
    <row r="539" spans="1:16" x14ac:dyDescent="0.3">
      <c r="A539" t="s">
        <v>574</v>
      </c>
      <c r="B539">
        <v>11</v>
      </c>
      <c r="E539">
        <v>979</v>
      </c>
      <c r="I539">
        <v>855</v>
      </c>
      <c r="L539">
        <v>713</v>
      </c>
      <c r="O539">
        <v>764</v>
      </c>
    </row>
    <row r="540" spans="1:16" x14ac:dyDescent="0.3">
      <c r="A540" t="s">
        <v>78</v>
      </c>
      <c r="B540">
        <v>11</v>
      </c>
      <c r="E540">
        <v>14.8</v>
      </c>
      <c r="I540">
        <v>13</v>
      </c>
      <c r="L540">
        <v>16.2</v>
      </c>
      <c r="O540">
        <v>17.399999999999999</v>
      </c>
    </row>
    <row r="541" spans="1:16" x14ac:dyDescent="0.3">
      <c r="A541" t="s">
        <v>636</v>
      </c>
      <c r="B541">
        <v>11</v>
      </c>
      <c r="F541">
        <v>0</v>
      </c>
      <c r="J541">
        <v>0</v>
      </c>
      <c r="M541">
        <v>0</v>
      </c>
      <c r="P541">
        <v>0</v>
      </c>
    </row>
    <row r="542" spans="1:16" x14ac:dyDescent="0.3">
      <c r="A542" t="s">
        <v>639</v>
      </c>
      <c r="B542">
        <v>11</v>
      </c>
      <c r="C542">
        <v>3</v>
      </c>
      <c r="D542">
        <v>0</v>
      </c>
      <c r="E542">
        <v>0</v>
      </c>
      <c r="F542">
        <v>1</v>
      </c>
      <c r="G542">
        <v>3</v>
      </c>
      <c r="H542">
        <v>0</v>
      </c>
      <c r="I542">
        <v>0</v>
      </c>
      <c r="J542">
        <v>1</v>
      </c>
      <c r="K542">
        <v>0</v>
      </c>
      <c r="L542">
        <v>0</v>
      </c>
      <c r="M542">
        <v>1</v>
      </c>
      <c r="N542">
        <v>0</v>
      </c>
      <c r="O542">
        <v>0</v>
      </c>
      <c r="P542">
        <v>1</v>
      </c>
    </row>
    <row r="543" spans="1:16" x14ac:dyDescent="0.3">
      <c r="A543" t="s">
        <v>640</v>
      </c>
      <c r="B543">
        <v>11</v>
      </c>
      <c r="C543">
        <v>0</v>
      </c>
      <c r="D543">
        <v>0</v>
      </c>
      <c r="E543">
        <v>0</v>
      </c>
      <c r="F543">
        <v>0</v>
      </c>
      <c r="G543">
        <v>0</v>
      </c>
      <c r="H543">
        <v>0</v>
      </c>
      <c r="I543">
        <v>0</v>
      </c>
      <c r="J543">
        <v>0</v>
      </c>
      <c r="K543">
        <v>0</v>
      </c>
      <c r="L543">
        <v>0</v>
      </c>
      <c r="M543">
        <v>0</v>
      </c>
      <c r="N543">
        <v>0</v>
      </c>
      <c r="O543">
        <v>0</v>
      </c>
      <c r="P543">
        <v>0</v>
      </c>
    </row>
    <row r="544" spans="1:16" x14ac:dyDescent="0.3">
      <c r="A544" t="s">
        <v>52</v>
      </c>
      <c r="B544">
        <v>11</v>
      </c>
      <c r="C544">
        <v>1</v>
      </c>
      <c r="D544">
        <v>1</v>
      </c>
      <c r="E544">
        <v>1</v>
      </c>
      <c r="F544">
        <v>1</v>
      </c>
      <c r="G544">
        <v>1</v>
      </c>
      <c r="H544">
        <v>1</v>
      </c>
      <c r="I544">
        <v>1</v>
      </c>
      <c r="J544">
        <v>1</v>
      </c>
      <c r="K544">
        <v>1</v>
      </c>
      <c r="L544">
        <v>1</v>
      </c>
      <c r="M544">
        <v>1</v>
      </c>
      <c r="N544">
        <v>1</v>
      </c>
      <c r="O544">
        <v>1</v>
      </c>
      <c r="P544">
        <v>1</v>
      </c>
    </row>
    <row r="545" spans="1:16" x14ac:dyDescent="0.3">
      <c r="A545" t="s">
        <v>641</v>
      </c>
      <c r="B545">
        <v>11</v>
      </c>
      <c r="C545">
        <v>9</v>
      </c>
      <c r="D545">
        <v>15</v>
      </c>
      <c r="E545">
        <v>60</v>
      </c>
      <c r="F545">
        <v>9</v>
      </c>
      <c r="G545">
        <v>9</v>
      </c>
      <c r="H545">
        <v>15</v>
      </c>
      <c r="I545">
        <v>60</v>
      </c>
      <c r="J545">
        <v>9</v>
      </c>
      <c r="K545">
        <v>15</v>
      </c>
      <c r="L545">
        <v>60</v>
      </c>
      <c r="M545">
        <v>9</v>
      </c>
      <c r="N545">
        <v>15</v>
      </c>
      <c r="O545">
        <v>60</v>
      </c>
      <c r="P545">
        <v>9</v>
      </c>
    </row>
    <row r="546" spans="1:16" x14ac:dyDescent="0.3">
      <c r="A546" t="s">
        <v>43</v>
      </c>
      <c r="B546">
        <v>11</v>
      </c>
      <c r="D546">
        <v>40</v>
      </c>
      <c r="E546">
        <v>336</v>
      </c>
      <c r="F546">
        <v>0</v>
      </c>
      <c r="H546">
        <v>40</v>
      </c>
      <c r="I546">
        <v>336</v>
      </c>
      <c r="J546">
        <v>0</v>
      </c>
      <c r="K546">
        <v>40</v>
      </c>
      <c r="L546">
        <v>40</v>
      </c>
      <c r="M546">
        <v>0</v>
      </c>
      <c r="N546">
        <v>40</v>
      </c>
      <c r="O546">
        <v>40</v>
      </c>
    </row>
    <row r="547" spans="1:16" x14ac:dyDescent="0.3">
      <c r="A547" t="s">
        <v>44</v>
      </c>
      <c r="B547">
        <v>11</v>
      </c>
      <c r="D547">
        <v>0</v>
      </c>
      <c r="E547">
        <v>0</v>
      </c>
      <c r="F547">
        <v>0</v>
      </c>
      <c r="H547">
        <v>0</v>
      </c>
      <c r="I547">
        <v>0</v>
      </c>
      <c r="J547">
        <v>0</v>
      </c>
      <c r="K547">
        <v>0</v>
      </c>
      <c r="L547">
        <v>0</v>
      </c>
      <c r="M547">
        <v>0</v>
      </c>
      <c r="N547">
        <v>0</v>
      </c>
      <c r="O547">
        <v>0</v>
      </c>
    </row>
    <row r="548" spans="1:16" x14ac:dyDescent="0.3">
      <c r="A548" t="s">
        <v>47</v>
      </c>
      <c r="B548">
        <v>11</v>
      </c>
      <c r="D548">
        <v>1</v>
      </c>
      <c r="E548">
        <v>6</v>
      </c>
      <c r="F548">
        <v>6</v>
      </c>
      <c r="H548">
        <v>5</v>
      </c>
      <c r="I548">
        <v>2</v>
      </c>
      <c r="J548">
        <v>2</v>
      </c>
      <c r="K548">
        <v>4</v>
      </c>
      <c r="L548">
        <v>4</v>
      </c>
      <c r="M548">
        <v>4</v>
      </c>
      <c r="N548">
        <v>8</v>
      </c>
      <c r="O548">
        <v>8</v>
      </c>
    </row>
    <row r="549" spans="1:16" x14ac:dyDescent="0.3">
      <c r="A549" t="s">
        <v>642</v>
      </c>
      <c r="B549">
        <v>11</v>
      </c>
      <c r="D549">
        <v>0</v>
      </c>
      <c r="E549">
        <v>0</v>
      </c>
      <c r="F549">
        <v>0</v>
      </c>
      <c r="H549">
        <v>0</v>
      </c>
      <c r="I549">
        <v>0</v>
      </c>
      <c r="J549">
        <v>0</v>
      </c>
      <c r="K549">
        <v>0</v>
      </c>
      <c r="L549">
        <v>0</v>
      </c>
      <c r="M549">
        <v>0</v>
      </c>
      <c r="N549">
        <v>0</v>
      </c>
      <c r="O549">
        <v>0</v>
      </c>
    </row>
    <row r="550" spans="1:16" x14ac:dyDescent="0.3">
      <c r="A550" t="s">
        <v>643</v>
      </c>
      <c r="B550">
        <v>11</v>
      </c>
      <c r="D550">
        <v>0</v>
      </c>
      <c r="E550">
        <v>0</v>
      </c>
      <c r="F550">
        <v>0</v>
      </c>
      <c r="H550">
        <v>0</v>
      </c>
      <c r="I550">
        <v>0</v>
      </c>
      <c r="J550">
        <v>0</v>
      </c>
      <c r="K550">
        <v>0</v>
      </c>
      <c r="L550">
        <v>0</v>
      </c>
      <c r="M550">
        <v>0</v>
      </c>
      <c r="N550">
        <v>0</v>
      </c>
      <c r="O550">
        <v>0</v>
      </c>
    </row>
    <row r="551" spans="1:16" x14ac:dyDescent="0.3">
      <c r="A551" t="s">
        <v>644</v>
      </c>
      <c r="B551">
        <v>11</v>
      </c>
      <c r="D551">
        <v>0</v>
      </c>
      <c r="E551">
        <v>0</v>
      </c>
      <c r="F551">
        <v>0</v>
      </c>
      <c r="H551">
        <v>0</v>
      </c>
      <c r="I551">
        <v>0</v>
      </c>
      <c r="J551">
        <v>0</v>
      </c>
      <c r="K551">
        <v>0</v>
      </c>
      <c r="L551">
        <v>0</v>
      </c>
      <c r="M551">
        <v>0</v>
      </c>
      <c r="N551">
        <v>0</v>
      </c>
      <c r="O551">
        <v>0</v>
      </c>
    </row>
    <row r="552" spans="1:16" x14ac:dyDescent="0.3">
      <c r="A552" t="s">
        <v>645</v>
      </c>
      <c r="B552">
        <v>11</v>
      </c>
      <c r="D552">
        <v>0</v>
      </c>
      <c r="E552">
        <v>0</v>
      </c>
      <c r="F552">
        <v>0</v>
      </c>
      <c r="H552">
        <v>0</v>
      </c>
      <c r="I552">
        <v>0</v>
      </c>
      <c r="J552">
        <v>0</v>
      </c>
      <c r="K552">
        <v>0</v>
      </c>
      <c r="L552">
        <v>0</v>
      </c>
      <c r="M552">
        <v>0</v>
      </c>
      <c r="N552">
        <v>0</v>
      </c>
      <c r="O552">
        <v>0</v>
      </c>
    </row>
    <row r="553" spans="1:16" x14ac:dyDescent="0.3">
      <c r="A553" t="s">
        <v>646</v>
      </c>
      <c r="B553">
        <v>11</v>
      </c>
      <c r="D553">
        <v>1</v>
      </c>
      <c r="E553">
        <v>2</v>
      </c>
      <c r="F553">
        <v>1</v>
      </c>
      <c r="H553">
        <v>1</v>
      </c>
      <c r="I553">
        <v>2</v>
      </c>
      <c r="J553">
        <v>1</v>
      </c>
      <c r="K553">
        <v>1</v>
      </c>
      <c r="L553">
        <v>1</v>
      </c>
      <c r="M553">
        <v>1</v>
      </c>
      <c r="N553">
        <v>1</v>
      </c>
      <c r="O553">
        <v>1</v>
      </c>
    </row>
    <row r="554" spans="1:16" x14ac:dyDescent="0.3">
      <c r="A554" t="s">
        <v>647</v>
      </c>
      <c r="B554">
        <v>11</v>
      </c>
      <c r="D554">
        <v>0</v>
      </c>
      <c r="E554">
        <v>330</v>
      </c>
      <c r="F554">
        <v>0</v>
      </c>
      <c r="H554">
        <v>0</v>
      </c>
      <c r="I554">
        <v>330</v>
      </c>
      <c r="J554">
        <v>0</v>
      </c>
      <c r="K554">
        <v>0</v>
      </c>
      <c r="L554">
        <v>0</v>
      </c>
      <c r="M554">
        <v>0</v>
      </c>
      <c r="N554">
        <v>0</v>
      </c>
      <c r="O554">
        <v>0</v>
      </c>
    </row>
    <row r="555" spans="1:16" x14ac:dyDescent="0.3">
      <c r="A555" t="s">
        <v>648</v>
      </c>
      <c r="B555">
        <v>11</v>
      </c>
      <c r="D555">
        <v>40</v>
      </c>
      <c r="E555">
        <v>6</v>
      </c>
      <c r="F555">
        <v>0</v>
      </c>
      <c r="H555">
        <v>40</v>
      </c>
      <c r="I555">
        <v>6</v>
      </c>
      <c r="J555">
        <v>0</v>
      </c>
      <c r="K555">
        <v>40</v>
      </c>
      <c r="L555">
        <v>40</v>
      </c>
      <c r="M555">
        <v>0</v>
      </c>
      <c r="N555">
        <v>40</v>
      </c>
      <c r="O555">
        <v>40</v>
      </c>
    </row>
    <row r="556" spans="1:16" x14ac:dyDescent="0.3">
      <c r="A556" t="s">
        <v>649</v>
      </c>
      <c r="B556">
        <v>11</v>
      </c>
      <c r="D556">
        <v>3</v>
      </c>
      <c r="E556">
        <v>3</v>
      </c>
      <c r="F556">
        <v>3</v>
      </c>
      <c r="H556">
        <v>3</v>
      </c>
      <c r="I556">
        <v>3</v>
      </c>
      <c r="J556">
        <v>3</v>
      </c>
      <c r="K556">
        <v>3</v>
      </c>
      <c r="L556">
        <v>3</v>
      </c>
      <c r="M556">
        <v>3</v>
      </c>
      <c r="N556">
        <v>3</v>
      </c>
      <c r="O556">
        <v>3</v>
      </c>
    </row>
    <row r="557" spans="1:16" x14ac:dyDescent="0.3">
      <c r="A557" t="s">
        <v>650</v>
      </c>
      <c r="B557">
        <v>11</v>
      </c>
      <c r="D557">
        <v>0</v>
      </c>
      <c r="E557">
        <v>0</v>
      </c>
      <c r="F557">
        <v>0</v>
      </c>
      <c r="H557">
        <v>0</v>
      </c>
      <c r="I557">
        <v>0</v>
      </c>
      <c r="J557">
        <v>0</v>
      </c>
      <c r="K557">
        <v>0</v>
      </c>
      <c r="L557">
        <v>0</v>
      </c>
      <c r="M557">
        <v>0</v>
      </c>
      <c r="N557">
        <v>0</v>
      </c>
      <c r="O557">
        <v>0</v>
      </c>
    </row>
    <row r="558" spans="1:16" x14ac:dyDescent="0.3">
      <c r="A558" t="s">
        <v>651</v>
      </c>
      <c r="B558">
        <v>11</v>
      </c>
      <c r="D558">
        <v>0</v>
      </c>
      <c r="E558">
        <v>0</v>
      </c>
      <c r="F558">
        <v>0</v>
      </c>
      <c r="H558">
        <v>0</v>
      </c>
      <c r="I558">
        <v>0</v>
      </c>
      <c r="J558">
        <v>0</v>
      </c>
      <c r="K558">
        <v>0</v>
      </c>
      <c r="L558">
        <v>0</v>
      </c>
      <c r="M558">
        <v>0</v>
      </c>
      <c r="N558">
        <v>0</v>
      </c>
      <c r="O558">
        <v>0</v>
      </c>
    </row>
    <row r="559" spans="1:16" x14ac:dyDescent="0.3">
      <c r="A559" t="s">
        <v>652</v>
      </c>
      <c r="B559">
        <v>11</v>
      </c>
      <c r="D559">
        <v>0</v>
      </c>
      <c r="E559">
        <v>0</v>
      </c>
      <c r="F559">
        <v>0</v>
      </c>
      <c r="H559">
        <v>0</v>
      </c>
      <c r="I559">
        <v>0</v>
      </c>
      <c r="J559">
        <v>0</v>
      </c>
      <c r="K559">
        <v>0</v>
      </c>
      <c r="L559">
        <v>0</v>
      </c>
      <c r="M559">
        <v>0</v>
      </c>
      <c r="N559">
        <v>0</v>
      </c>
      <c r="O559">
        <v>0</v>
      </c>
    </row>
    <row r="560" spans="1:16" x14ac:dyDescent="0.3">
      <c r="A560" t="s">
        <v>653</v>
      </c>
      <c r="B560">
        <v>11</v>
      </c>
      <c r="E560">
        <v>0</v>
      </c>
      <c r="I560">
        <v>0</v>
      </c>
    </row>
    <row r="561" spans="1:16" x14ac:dyDescent="0.3">
      <c r="A561" t="s">
        <v>654</v>
      </c>
      <c r="B561">
        <v>11</v>
      </c>
      <c r="E561">
        <v>0</v>
      </c>
      <c r="I561">
        <v>0</v>
      </c>
    </row>
    <row r="562" spans="1:16" x14ac:dyDescent="0.3">
      <c r="A562" t="s">
        <v>655</v>
      </c>
      <c r="B562">
        <v>11</v>
      </c>
      <c r="E562">
        <v>3</v>
      </c>
      <c r="I562">
        <v>3</v>
      </c>
    </row>
    <row r="563" spans="1:16" x14ac:dyDescent="0.3">
      <c r="A563" t="s">
        <v>656</v>
      </c>
      <c r="B563">
        <v>11</v>
      </c>
      <c r="E563">
        <v>0</v>
      </c>
      <c r="I563">
        <v>0</v>
      </c>
    </row>
    <row r="564" spans="1:16" x14ac:dyDescent="0.3">
      <c r="A564" t="s">
        <v>657</v>
      </c>
      <c r="B564">
        <v>11</v>
      </c>
      <c r="E564">
        <v>0</v>
      </c>
      <c r="I564">
        <v>0</v>
      </c>
      <c r="L564">
        <v>0</v>
      </c>
      <c r="O564">
        <v>0</v>
      </c>
    </row>
    <row r="565" spans="1:16" x14ac:dyDescent="0.3">
      <c r="A565" t="s">
        <v>408</v>
      </c>
      <c r="B565">
        <v>11</v>
      </c>
      <c r="E565">
        <v>0</v>
      </c>
    </row>
    <row r="566" spans="1:16" x14ac:dyDescent="0.3">
      <c r="A566" t="s">
        <v>658</v>
      </c>
      <c r="B566">
        <v>11</v>
      </c>
      <c r="C566">
        <v>0</v>
      </c>
      <c r="D566">
        <v>43</v>
      </c>
      <c r="E566">
        <v>978</v>
      </c>
      <c r="F566">
        <v>54</v>
      </c>
      <c r="G566">
        <v>0</v>
      </c>
      <c r="H566">
        <v>82</v>
      </c>
      <c r="I566">
        <v>489</v>
      </c>
      <c r="J566">
        <v>54</v>
      </c>
      <c r="K566">
        <v>22</v>
      </c>
      <c r="L566">
        <v>54</v>
      </c>
      <c r="M566">
        <v>82</v>
      </c>
      <c r="N566">
        <v>16</v>
      </c>
      <c r="O566">
        <v>86</v>
      </c>
      <c r="P566">
        <v>0</v>
      </c>
    </row>
    <row r="567" spans="1:16" x14ac:dyDescent="0.3">
      <c r="A567" t="s">
        <v>34</v>
      </c>
      <c r="B567">
        <v>12</v>
      </c>
      <c r="C567">
        <v>11</v>
      </c>
      <c r="D567">
        <v>11</v>
      </c>
      <c r="E567">
        <v>11</v>
      </c>
      <c r="F567">
        <v>11</v>
      </c>
      <c r="G567">
        <v>13</v>
      </c>
      <c r="H567">
        <v>13</v>
      </c>
      <c r="I567">
        <v>13</v>
      </c>
      <c r="J567">
        <v>13</v>
      </c>
      <c r="K567">
        <v>17</v>
      </c>
      <c r="L567">
        <v>17</v>
      </c>
      <c r="M567">
        <v>17</v>
      </c>
      <c r="N567">
        <v>118</v>
      </c>
      <c r="O567">
        <v>118</v>
      </c>
      <c r="P567">
        <v>118</v>
      </c>
    </row>
    <row r="568" spans="1:16" x14ac:dyDescent="0.3">
      <c r="A568" t="s">
        <v>35</v>
      </c>
      <c r="B568">
        <v>12</v>
      </c>
      <c r="C568">
        <v>11</v>
      </c>
      <c r="D568">
        <v>17</v>
      </c>
      <c r="E568">
        <v>13</v>
      </c>
      <c r="F568">
        <v>118</v>
      </c>
      <c r="G568">
        <v>13</v>
      </c>
      <c r="H568">
        <v>118</v>
      </c>
      <c r="I568">
        <v>11</v>
      </c>
      <c r="J568">
        <v>17</v>
      </c>
      <c r="K568">
        <v>13</v>
      </c>
      <c r="L568">
        <v>118</v>
      </c>
      <c r="M568">
        <v>11</v>
      </c>
      <c r="N568">
        <v>11</v>
      </c>
      <c r="O568">
        <v>17</v>
      </c>
      <c r="P568">
        <v>13</v>
      </c>
    </row>
    <row r="569" spans="1:16" x14ac:dyDescent="0.3">
      <c r="A569" t="s">
        <v>36</v>
      </c>
      <c r="B569">
        <v>12</v>
      </c>
      <c r="C569">
        <v>0</v>
      </c>
      <c r="D569">
        <v>2</v>
      </c>
      <c r="E569">
        <v>2</v>
      </c>
      <c r="F569">
        <v>1</v>
      </c>
      <c r="G569">
        <v>0</v>
      </c>
      <c r="H569">
        <v>1</v>
      </c>
      <c r="I569">
        <v>2</v>
      </c>
      <c r="J569">
        <v>1</v>
      </c>
      <c r="K569">
        <v>1</v>
      </c>
      <c r="L569">
        <v>1</v>
      </c>
      <c r="M569">
        <v>1</v>
      </c>
      <c r="N569">
        <v>1</v>
      </c>
      <c r="O569">
        <v>1</v>
      </c>
      <c r="P569">
        <v>1</v>
      </c>
    </row>
    <row r="570" spans="1:16" x14ac:dyDescent="0.3">
      <c r="A570" t="s">
        <v>37</v>
      </c>
      <c r="B570">
        <v>12</v>
      </c>
      <c r="D570">
        <v>0</v>
      </c>
      <c r="E570">
        <v>0</v>
      </c>
      <c r="H570">
        <v>0</v>
      </c>
      <c r="I570">
        <v>0</v>
      </c>
      <c r="K570">
        <v>0</v>
      </c>
      <c r="L570">
        <v>0</v>
      </c>
      <c r="N570">
        <v>0</v>
      </c>
      <c r="O570">
        <v>0</v>
      </c>
    </row>
    <row r="571" spans="1:16" x14ac:dyDescent="0.3">
      <c r="A571" t="s">
        <v>38</v>
      </c>
      <c r="B571">
        <v>12</v>
      </c>
      <c r="C571">
        <v>12</v>
      </c>
      <c r="D571">
        <v>12</v>
      </c>
      <c r="E571">
        <v>12</v>
      </c>
      <c r="F571">
        <v>12</v>
      </c>
      <c r="G571">
        <v>12</v>
      </c>
      <c r="H571">
        <v>12</v>
      </c>
      <c r="I571">
        <v>12</v>
      </c>
      <c r="J571">
        <v>12</v>
      </c>
      <c r="K571">
        <v>12</v>
      </c>
      <c r="L571">
        <v>12</v>
      </c>
      <c r="M571">
        <v>12</v>
      </c>
      <c r="N571">
        <v>12</v>
      </c>
      <c r="O571">
        <v>12</v>
      </c>
      <c r="P571">
        <v>12</v>
      </c>
    </row>
    <row r="572" spans="1:16" x14ac:dyDescent="0.3">
      <c r="A572" t="s">
        <v>39</v>
      </c>
      <c r="B572">
        <v>12</v>
      </c>
      <c r="D572">
        <v>400</v>
      </c>
      <c r="F572">
        <v>400</v>
      </c>
      <c r="H572">
        <v>500</v>
      </c>
      <c r="J572">
        <v>500</v>
      </c>
      <c r="K572">
        <v>300</v>
      </c>
      <c r="N572">
        <v>300</v>
      </c>
      <c r="P572">
        <v>300</v>
      </c>
    </row>
    <row r="573" spans="1:16" x14ac:dyDescent="0.3">
      <c r="A573" t="s">
        <v>631</v>
      </c>
      <c r="B573">
        <v>12</v>
      </c>
      <c r="D573">
        <v>25</v>
      </c>
      <c r="F573">
        <v>25</v>
      </c>
      <c r="H573">
        <v>25</v>
      </c>
      <c r="J573">
        <v>25</v>
      </c>
      <c r="K573">
        <v>25</v>
      </c>
      <c r="N573">
        <v>25</v>
      </c>
      <c r="P573">
        <v>25</v>
      </c>
    </row>
    <row r="574" spans="1:16" x14ac:dyDescent="0.3">
      <c r="A574" t="s">
        <v>40</v>
      </c>
      <c r="B574">
        <v>12</v>
      </c>
      <c r="D574">
        <v>2</v>
      </c>
      <c r="F574">
        <v>1</v>
      </c>
      <c r="H574">
        <v>1</v>
      </c>
      <c r="J574">
        <v>1</v>
      </c>
      <c r="K574">
        <v>1</v>
      </c>
      <c r="N574">
        <v>1</v>
      </c>
      <c r="P574">
        <v>1</v>
      </c>
    </row>
    <row r="575" spans="1:16" x14ac:dyDescent="0.3">
      <c r="A575" t="s">
        <v>41</v>
      </c>
      <c r="B575">
        <v>12</v>
      </c>
    </row>
    <row r="576" spans="1:16" x14ac:dyDescent="0.3">
      <c r="A576" t="s">
        <v>42</v>
      </c>
      <c r="B576">
        <v>12</v>
      </c>
      <c r="E576">
        <v>45</v>
      </c>
      <c r="I576">
        <v>45</v>
      </c>
      <c r="L576">
        <v>30</v>
      </c>
      <c r="O576">
        <v>30</v>
      </c>
    </row>
    <row r="577" spans="1:16" x14ac:dyDescent="0.3">
      <c r="A577" t="s">
        <v>45</v>
      </c>
      <c r="B577">
        <v>12</v>
      </c>
      <c r="D577">
        <v>1</v>
      </c>
      <c r="E577">
        <v>6</v>
      </c>
      <c r="H577">
        <v>5</v>
      </c>
      <c r="I577">
        <v>2</v>
      </c>
      <c r="K577">
        <v>7</v>
      </c>
      <c r="L577">
        <v>4</v>
      </c>
      <c r="N577">
        <v>3</v>
      </c>
      <c r="O577">
        <v>8</v>
      </c>
    </row>
    <row r="578" spans="1:16" x14ac:dyDescent="0.3">
      <c r="A578" t="s">
        <v>46</v>
      </c>
      <c r="B578">
        <v>12</v>
      </c>
      <c r="F578">
        <v>6</v>
      </c>
      <c r="J578">
        <v>2</v>
      </c>
      <c r="K578">
        <v>4</v>
      </c>
      <c r="M578">
        <v>4</v>
      </c>
      <c r="N578">
        <v>8</v>
      </c>
      <c r="P578">
        <v>8</v>
      </c>
    </row>
    <row r="579" spans="1:16" x14ac:dyDescent="0.3">
      <c r="A579" t="s">
        <v>49</v>
      </c>
      <c r="B579">
        <v>12</v>
      </c>
      <c r="C579">
        <v>4</v>
      </c>
      <c r="D579">
        <v>5.6</v>
      </c>
      <c r="E579">
        <v>7.7</v>
      </c>
      <c r="F579">
        <v>7.7</v>
      </c>
      <c r="G579">
        <v>4</v>
      </c>
      <c r="H579">
        <v>5.6</v>
      </c>
      <c r="I579">
        <v>5.8</v>
      </c>
      <c r="J579">
        <v>5.8</v>
      </c>
      <c r="K579">
        <v>7.7</v>
      </c>
      <c r="L579">
        <v>6.6</v>
      </c>
      <c r="M579">
        <v>6.6</v>
      </c>
      <c r="N579">
        <v>7.7</v>
      </c>
      <c r="O579">
        <v>6.6</v>
      </c>
      <c r="P579">
        <v>6.6</v>
      </c>
    </row>
    <row r="580" spans="1:16" x14ac:dyDescent="0.3">
      <c r="A580" t="s">
        <v>632</v>
      </c>
      <c r="B580">
        <v>12</v>
      </c>
      <c r="C580">
        <v>0</v>
      </c>
      <c r="D580">
        <v>0</v>
      </c>
      <c r="E580">
        <v>0</v>
      </c>
      <c r="F580">
        <v>0</v>
      </c>
      <c r="G580">
        <v>0</v>
      </c>
      <c r="H580">
        <v>0</v>
      </c>
      <c r="I580">
        <v>0</v>
      </c>
      <c r="J580">
        <v>0</v>
      </c>
      <c r="K580">
        <v>0</v>
      </c>
      <c r="L580">
        <v>0</v>
      </c>
      <c r="M580">
        <v>0</v>
      </c>
      <c r="N580">
        <v>0</v>
      </c>
      <c r="O580">
        <v>0</v>
      </c>
      <c r="P580">
        <v>0</v>
      </c>
    </row>
    <row r="581" spans="1:16" x14ac:dyDescent="0.3">
      <c r="A581" t="s">
        <v>48</v>
      </c>
      <c r="B581">
        <v>12</v>
      </c>
      <c r="C581">
        <v>1900</v>
      </c>
      <c r="D581">
        <v>1900</v>
      </c>
      <c r="E581">
        <v>1900</v>
      </c>
      <c r="F581">
        <v>1900</v>
      </c>
      <c r="G581">
        <v>1900</v>
      </c>
      <c r="H581">
        <v>1900</v>
      </c>
      <c r="I581">
        <v>1900</v>
      </c>
      <c r="J581">
        <v>1900</v>
      </c>
      <c r="K581">
        <v>1900</v>
      </c>
      <c r="L581">
        <v>1900</v>
      </c>
      <c r="M581">
        <v>1900</v>
      </c>
      <c r="N581">
        <v>1900</v>
      </c>
      <c r="O581">
        <v>1900</v>
      </c>
      <c r="P581">
        <v>1900</v>
      </c>
    </row>
    <row r="582" spans="1:16" x14ac:dyDescent="0.3">
      <c r="A582" t="s">
        <v>633</v>
      </c>
      <c r="B582">
        <v>12</v>
      </c>
      <c r="C582">
        <v>0</v>
      </c>
      <c r="D582">
        <v>3433</v>
      </c>
      <c r="E582">
        <v>3539</v>
      </c>
      <c r="F582">
        <v>1583</v>
      </c>
      <c r="G582">
        <v>0</v>
      </c>
      <c r="H582">
        <v>1770</v>
      </c>
      <c r="I582">
        <v>3539</v>
      </c>
      <c r="J582">
        <v>1583</v>
      </c>
      <c r="K582">
        <v>1770</v>
      </c>
      <c r="L582">
        <v>1863</v>
      </c>
      <c r="M582">
        <v>1583</v>
      </c>
      <c r="N582">
        <v>1770</v>
      </c>
      <c r="O582">
        <v>1863</v>
      </c>
      <c r="P582">
        <v>1583</v>
      </c>
    </row>
    <row r="583" spans="1:16" x14ac:dyDescent="0.3">
      <c r="A583" t="s">
        <v>50</v>
      </c>
      <c r="B583">
        <v>12</v>
      </c>
      <c r="C583">
        <v>0</v>
      </c>
      <c r="D583">
        <v>3433</v>
      </c>
      <c r="E583">
        <v>3539</v>
      </c>
      <c r="F583">
        <v>1583</v>
      </c>
      <c r="G583">
        <v>0</v>
      </c>
      <c r="H583">
        <v>1770</v>
      </c>
      <c r="I583">
        <v>3539</v>
      </c>
      <c r="J583">
        <v>1583</v>
      </c>
      <c r="K583">
        <v>1311</v>
      </c>
      <c r="L583">
        <v>1863</v>
      </c>
      <c r="M583">
        <v>1583</v>
      </c>
      <c r="N583">
        <v>905</v>
      </c>
      <c r="O583">
        <v>1863</v>
      </c>
      <c r="P583">
        <v>1583</v>
      </c>
    </row>
    <row r="584" spans="1:16" x14ac:dyDescent="0.3">
      <c r="A584" t="s">
        <v>634</v>
      </c>
      <c r="B584">
        <v>12</v>
      </c>
      <c r="C584">
        <v>1</v>
      </c>
      <c r="D584">
        <v>1</v>
      </c>
      <c r="E584">
        <v>1</v>
      </c>
      <c r="F584">
        <v>1</v>
      </c>
      <c r="G584">
        <v>1</v>
      </c>
      <c r="H584">
        <v>1</v>
      </c>
      <c r="I584">
        <v>1</v>
      </c>
      <c r="J584">
        <v>1</v>
      </c>
      <c r="K584">
        <v>1</v>
      </c>
      <c r="L584">
        <v>1</v>
      </c>
      <c r="M584">
        <v>1</v>
      </c>
      <c r="N584">
        <v>1</v>
      </c>
      <c r="O584">
        <v>1</v>
      </c>
      <c r="P584">
        <v>1</v>
      </c>
    </row>
    <row r="585" spans="1:16" x14ac:dyDescent="0.3">
      <c r="A585" t="s">
        <v>51</v>
      </c>
      <c r="B585">
        <v>12</v>
      </c>
      <c r="C585">
        <v>0</v>
      </c>
      <c r="D585">
        <v>0</v>
      </c>
      <c r="E585">
        <v>0</v>
      </c>
      <c r="F585">
        <v>154</v>
      </c>
      <c r="G585">
        <v>0</v>
      </c>
      <c r="H585">
        <v>0</v>
      </c>
      <c r="I585">
        <v>0</v>
      </c>
      <c r="J585">
        <v>173</v>
      </c>
      <c r="K585">
        <v>0</v>
      </c>
      <c r="L585">
        <v>0</v>
      </c>
      <c r="M585">
        <v>216</v>
      </c>
      <c r="N585">
        <v>0</v>
      </c>
      <c r="O585">
        <v>0</v>
      </c>
      <c r="P585">
        <v>216</v>
      </c>
    </row>
    <row r="586" spans="1:16" x14ac:dyDescent="0.3">
      <c r="A586" t="s">
        <v>53</v>
      </c>
      <c r="B586">
        <v>12</v>
      </c>
      <c r="C586">
        <v>0</v>
      </c>
      <c r="D586">
        <v>75</v>
      </c>
      <c r="E586">
        <v>800</v>
      </c>
      <c r="F586">
        <v>50</v>
      </c>
      <c r="G586">
        <v>0</v>
      </c>
      <c r="H586">
        <v>100</v>
      </c>
      <c r="I586">
        <v>400</v>
      </c>
      <c r="J586">
        <v>65</v>
      </c>
      <c r="K586">
        <v>75</v>
      </c>
      <c r="L586">
        <v>100</v>
      </c>
      <c r="M586">
        <v>50</v>
      </c>
      <c r="N586">
        <v>125</v>
      </c>
      <c r="O586">
        <v>75</v>
      </c>
      <c r="P586">
        <v>150</v>
      </c>
    </row>
    <row r="587" spans="1:16" x14ac:dyDescent="0.3">
      <c r="A587" t="s">
        <v>54</v>
      </c>
      <c r="B587">
        <v>12</v>
      </c>
      <c r="C587">
        <v>0</v>
      </c>
      <c r="D587">
        <v>0</v>
      </c>
      <c r="E587">
        <v>0</v>
      </c>
      <c r="F587">
        <v>0</v>
      </c>
      <c r="G587">
        <v>0</v>
      </c>
      <c r="H587">
        <v>0</v>
      </c>
      <c r="I587">
        <v>0</v>
      </c>
      <c r="J587">
        <v>0</v>
      </c>
      <c r="K587">
        <v>0</v>
      </c>
      <c r="L587">
        <v>0</v>
      </c>
      <c r="M587">
        <v>0</v>
      </c>
      <c r="N587">
        <v>0</v>
      </c>
      <c r="O587">
        <v>0</v>
      </c>
      <c r="P587">
        <v>0</v>
      </c>
    </row>
    <row r="588" spans="1:16" x14ac:dyDescent="0.3">
      <c r="A588" t="s">
        <v>55</v>
      </c>
      <c r="B588">
        <v>12</v>
      </c>
      <c r="C588">
        <v>0</v>
      </c>
      <c r="D588">
        <v>0</v>
      </c>
      <c r="E588">
        <v>0</v>
      </c>
      <c r="F588">
        <v>0</v>
      </c>
      <c r="G588">
        <v>0</v>
      </c>
      <c r="H588">
        <v>0</v>
      </c>
      <c r="I588">
        <v>0</v>
      </c>
      <c r="J588">
        <v>0</v>
      </c>
      <c r="K588">
        <v>0</v>
      </c>
      <c r="L588">
        <v>0</v>
      </c>
      <c r="M588">
        <v>0</v>
      </c>
      <c r="N588">
        <v>0</v>
      </c>
      <c r="O588">
        <v>0</v>
      </c>
      <c r="P588">
        <v>0</v>
      </c>
    </row>
    <row r="589" spans="1:16" x14ac:dyDescent="0.3">
      <c r="A589" t="s">
        <v>56</v>
      </c>
      <c r="B589">
        <v>12</v>
      </c>
      <c r="C589">
        <v>0.92</v>
      </c>
      <c r="D589">
        <v>0.92</v>
      </c>
      <c r="E589">
        <v>0.92</v>
      </c>
      <c r="F589">
        <v>0.92</v>
      </c>
      <c r="G589">
        <v>0.92</v>
      </c>
      <c r="H589">
        <v>0.92</v>
      </c>
      <c r="I589">
        <v>0.92</v>
      </c>
      <c r="J589">
        <v>0.92</v>
      </c>
      <c r="K589">
        <v>0.92</v>
      </c>
      <c r="L589">
        <v>0.92</v>
      </c>
      <c r="M589">
        <v>0.92</v>
      </c>
      <c r="N589">
        <v>0.92</v>
      </c>
      <c r="O589">
        <v>0.92</v>
      </c>
      <c r="P589">
        <v>0.92</v>
      </c>
    </row>
    <row r="590" spans="1:16" x14ac:dyDescent="0.3">
      <c r="A590" t="s">
        <v>57</v>
      </c>
      <c r="B590">
        <v>12</v>
      </c>
      <c r="C590">
        <v>100</v>
      </c>
      <c r="D590">
        <v>100</v>
      </c>
      <c r="E590">
        <v>100</v>
      </c>
      <c r="F590">
        <v>100</v>
      </c>
      <c r="G590">
        <v>100</v>
      </c>
      <c r="H590">
        <v>100</v>
      </c>
      <c r="I590">
        <v>100</v>
      </c>
      <c r="J590">
        <v>100</v>
      </c>
      <c r="K590">
        <v>100</v>
      </c>
      <c r="L590">
        <v>100</v>
      </c>
      <c r="M590">
        <v>100</v>
      </c>
      <c r="N590">
        <v>100</v>
      </c>
      <c r="O590">
        <v>100</v>
      </c>
      <c r="P590">
        <v>100</v>
      </c>
    </row>
    <row r="591" spans="1:16" x14ac:dyDescent="0.3">
      <c r="A591" t="s">
        <v>58</v>
      </c>
      <c r="B591">
        <v>12</v>
      </c>
      <c r="C591">
        <v>2</v>
      </c>
      <c r="D591">
        <v>2</v>
      </c>
      <c r="E591">
        <v>2</v>
      </c>
      <c r="F591">
        <v>2</v>
      </c>
      <c r="G591">
        <v>2</v>
      </c>
      <c r="H591">
        <v>2</v>
      </c>
      <c r="I591">
        <v>2</v>
      </c>
      <c r="J591">
        <v>2</v>
      </c>
      <c r="K591">
        <v>2</v>
      </c>
      <c r="L591">
        <v>2</v>
      </c>
      <c r="M591">
        <v>2</v>
      </c>
      <c r="N591">
        <v>2</v>
      </c>
      <c r="O591">
        <v>2</v>
      </c>
      <c r="P591">
        <v>2</v>
      </c>
    </row>
    <row r="592" spans="1:16" x14ac:dyDescent="0.3">
      <c r="A592" t="s">
        <v>59</v>
      </c>
      <c r="B592">
        <v>12</v>
      </c>
      <c r="C592">
        <v>0</v>
      </c>
      <c r="D592">
        <v>0</v>
      </c>
      <c r="E592">
        <v>0</v>
      </c>
      <c r="F592">
        <v>0</v>
      </c>
      <c r="G592">
        <v>0</v>
      </c>
      <c r="H592">
        <v>0</v>
      </c>
      <c r="I592">
        <v>0</v>
      </c>
      <c r="J592">
        <v>0</v>
      </c>
      <c r="K592">
        <v>0</v>
      </c>
      <c r="L592">
        <v>0</v>
      </c>
      <c r="M592">
        <v>0</v>
      </c>
      <c r="N592">
        <v>0</v>
      </c>
      <c r="O592">
        <v>0</v>
      </c>
      <c r="P592">
        <v>0</v>
      </c>
    </row>
    <row r="593" spans="1:16" x14ac:dyDescent="0.3">
      <c r="A593" t="s">
        <v>635</v>
      </c>
      <c r="B593">
        <v>12</v>
      </c>
      <c r="E593">
        <v>0</v>
      </c>
      <c r="I593">
        <v>0</v>
      </c>
      <c r="L593">
        <v>0</v>
      </c>
      <c r="O593">
        <v>0</v>
      </c>
    </row>
    <row r="594" spans="1:16" x14ac:dyDescent="0.3">
      <c r="A594" t="s">
        <v>574</v>
      </c>
      <c r="B594">
        <v>12</v>
      </c>
      <c r="E594">
        <v>855</v>
      </c>
      <c r="I594">
        <v>1532</v>
      </c>
      <c r="L594">
        <v>433</v>
      </c>
      <c r="O594">
        <v>732</v>
      </c>
    </row>
    <row r="595" spans="1:16" x14ac:dyDescent="0.3">
      <c r="A595" t="s">
        <v>78</v>
      </c>
      <c r="B595">
        <v>12</v>
      </c>
      <c r="E595">
        <v>13</v>
      </c>
      <c r="I595">
        <v>23.2</v>
      </c>
      <c r="L595">
        <v>9.8000000000000007</v>
      </c>
      <c r="O595">
        <v>16.600000000000001</v>
      </c>
    </row>
    <row r="596" spans="1:16" x14ac:dyDescent="0.3">
      <c r="A596" t="s">
        <v>636</v>
      </c>
      <c r="B596">
        <v>12</v>
      </c>
      <c r="F596">
        <v>1</v>
      </c>
      <c r="J596">
        <v>1</v>
      </c>
      <c r="M596">
        <v>1</v>
      </c>
      <c r="P596">
        <v>1</v>
      </c>
    </row>
    <row r="597" spans="1:16" x14ac:dyDescent="0.3">
      <c r="A597" t="s">
        <v>637</v>
      </c>
      <c r="B597">
        <v>12</v>
      </c>
      <c r="F597">
        <v>50</v>
      </c>
      <c r="J597">
        <v>50</v>
      </c>
      <c r="M597">
        <v>50</v>
      </c>
      <c r="P597">
        <v>50</v>
      </c>
    </row>
    <row r="598" spans="1:16" x14ac:dyDescent="0.3">
      <c r="A598" t="s">
        <v>638</v>
      </c>
      <c r="B598">
        <v>12</v>
      </c>
      <c r="F598">
        <v>0</v>
      </c>
      <c r="J598">
        <v>0</v>
      </c>
      <c r="M598">
        <v>0</v>
      </c>
      <c r="P598">
        <v>0</v>
      </c>
    </row>
    <row r="599" spans="1:16" x14ac:dyDescent="0.3">
      <c r="A599" t="s">
        <v>639</v>
      </c>
      <c r="B599">
        <v>12</v>
      </c>
      <c r="C599">
        <v>3</v>
      </c>
      <c r="D599">
        <v>0</v>
      </c>
      <c r="E599">
        <v>0</v>
      </c>
      <c r="F599">
        <v>1</v>
      </c>
      <c r="G599">
        <v>3</v>
      </c>
      <c r="H599">
        <v>0</v>
      </c>
      <c r="I599">
        <v>0</v>
      </c>
      <c r="J599">
        <v>1</v>
      </c>
      <c r="K599">
        <v>0</v>
      </c>
      <c r="L599">
        <v>0</v>
      </c>
      <c r="M599">
        <v>1</v>
      </c>
      <c r="N599">
        <v>0</v>
      </c>
      <c r="O599">
        <v>0</v>
      </c>
      <c r="P599">
        <v>1</v>
      </c>
    </row>
    <row r="600" spans="1:16" x14ac:dyDescent="0.3">
      <c r="A600" t="s">
        <v>640</v>
      </c>
      <c r="B600">
        <v>12</v>
      </c>
      <c r="C600">
        <v>0</v>
      </c>
      <c r="D600">
        <v>0</v>
      </c>
      <c r="E600">
        <v>0</v>
      </c>
      <c r="F600">
        <v>0</v>
      </c>
      <c r="G600">
        <v>0</v>
      </c>
      <c r="H600">
        <v>0</v>
      </c>
      <c r="I600">
        <v>0</v>
      </c>
      <c r="J600">
        <v>0</v>
      </c>
      <c r="K600">
        <v>0</v>
      </c>
      <c r="L600">
        <v>0</v>
      </c>
      <c r="M600">
        <v>0</v>
      </c>
      <c r="N600">
        <v>0</v>
      </c>
      <c r="O600">
        <v>0</v>
      </c>
      <c r="P600">
        <v>0</v>
      </c>
    </row>
    <row r="601" spans="1:16" x14ac:dyDescent="0.3">
      <c r="A601" t="s">
        <v>52</v>
      </c>
      <c r="B601">
        <v>12</v>
      </c>
      <c r="C601">
        <v>1</v>
      </c>
      <c r="D601">
        <v>1</v>
      </c>
      <c r="E601">
        <v>1</v>
      </c>
      <c r="F601">
        <v>1</v>
      </c>
      <c r="G601">
        <v>1</v>
      </c>
      <c r="H601">
        <v>1</v>
      </c>
      <c r="I601">
        <v>1</v>
      </c>
      <c r="J601">
        <v>1</v>
      </c>
      <c r="K601">
        <v>1</v>
      </c>
      <c r="L601">
        <v>1</v>
      </c>
      <c r="M601">
        <v>1</v>
      </c>
      <c r="N601">
        <v>1</v>
      </c>
      <c r="O601">
        <v>1</v>
      </c>
      <c r="P601">
        <v>1</v>
      </c>
    </row>
    <row r="602" spans="1:16" x14ac:dyDescent="0.3">
      <c r="A602" t="s">
        <v>641</v>
      </c>
      <c r="B602">
        <v>12</v>
      </c>
      <c r="C602">
        <v>9</v>
      </c>
      <c r="D602">
        <v>15</v>
      </c>
      <c r="E602">
        <v>60</v>
      </c>
      <c r="F602">
        <v>9</v>
      </c>
      <c r="G602">
        <v>9</v>
      </c>
      <c r="H602">
        <v>15</v>
      </c>
      <c r="I602">
        <v>60</v>
      </c>
      <c r="J602">
        <v>9</v>
      </c>
      <c r="K602">
        <v>15</v>
      </c>
      <c r="L602">
        <v>60</v>
      </c>
      <c r="M602">
        <v>9</v>
      </c>
      <c r="N602">
        <v>15</v>
      </c>
      <c r="O602">
        <v>60</v>
      </c>
      <c r="P602">
        <v>9</v>
      </c>
    </row>
    <row r="603" spans="1:16" x14ac:dyDescent="0.3">
      <c r="A603" t="s">
        <v>43</v>
      </c>
      <c r="B603">
        <v>12</v>
      </c>
      <c r="D603">
        <v>40</v>
      </c>
      <c r="E603">
        <v>336</v>
      </c>
      <c r="F603">
        <v>0</v>
      </c>
      <c r="H603">
        <v>40</v>
      </c>
      <c r="I603">
        <v>336</v>
      </c>
      <c r="J603">
        <v>0</v>
      </c>
      <c r="K603">
        <v>40</v>
      </c>
      <c r="L603">
        <v>40</v>
      </c>
      <c r="M603">
        <v>0</v>
      </c>
      <c r="N603">
        <v>40</v>
      </c>
      <c r="O603">
        <v>40</v>
      </c>
      <c r="P603">
        <v>0</v>
      </c>
    </row>
    <row r="604" spans="1:16" x14ac:dyDescent="0.3">
      <c r="A604" t="s">
        <v>44</v>
      </c>
      <c r="B604">
        <v>12</v>
      </c>
      <c r="D604">
        <v>0</v>
      </c>
      <c r="E604">
        <v>0</v>
      </c>
      <c r="F604">
        <v>0</v>
      </c>
      <c r="H604">
        <v>0</v>
      </c>
      <c r="I604">
        <v>0</v>
      </c>
      <c r="J604">
        <v>0</v>
      </c>
      <c r="K604">
        <v>0</v>
      </c>
      <c r="L604">
        <v>0</v>
      </c>
      <c r="M604">
        <v>0</v>
      </c>
      <c r="N604">
        <v>0</v>
      </c>
      <c r="O604">
        <v>0</v>
      </c>
      <c r="P604">
        <v>0</v>
      </c>
    </row>
    <row r="605" spans="1:16" x14ac:dyDescent="0.3">
      <c r="A605" t="s">
        <v>47</v>
      </c>
      <c r="B605">
        <v>12</v>
      </c>
      <c r="D605">
        <v>1</v>
      </c>
      <c r="E605">
        <v>6</v>
      </c>
      <c r="F605">
        <v>6</v>
      </c>
      <c r="H605">
        <v>5</v>
      </c>
      <c r="I605">
        <v>2</v>
      </c>
      <c r="J605">
        <v>2</v>
      </c>
      <c r="K605">
        <v>7</v>
      </c>
      <c r="L605">
        <v>4</v>
      </c>
      <c r="M605">
        <v>4</v>
      </c>
      <c r="N605">
        <v>3</v>
      </c>
      <c r="O605">
        <v>8</v>
      </c>
      <c r="P605">
        <v>8</v>
      </c>
    </row>
    <row r="606" spans="1:16" x14ac:dyDescent="0.3">
      <c r="A606" t="s">
        <v>642</v>
      </c>
      <c r="B606">
        <v>12</v>
      </c>
      <c r="D606">
        <v>0</v>
      </c>
      <c r="E606">
        <v>0</v>
      </c>
      <c r="F606">
        <v>0</v>
      </c>
      <c r="H606">
        <v>0</v>
      </c>
      <c r="I606">
        <v>0</v>
      </c>
      <c r="J606">
        <v>0</v>
      </c>
      <c r="K606">
        <v>0</v>
      </c>
      <c r="L606">
        <v>0</v>
      </c>
      <c r="M606">
        <v>0</v>
      </c>
      <c r="N606">
        <v>0</v>
      </c>
      <c r="O606">
        <v>0</v>
      </c>
      <c r="P606">
        <v>0</v>
      </c>
    </row>
    <row r="607" spans="1:16" x14ac:dyDescent="0.3">
      <c r="A607" t="s">
        <v>643</v>
      </c>
      <c r="B607">
        <v>12</v>
      </c>
      <c r="D607">
        <v>0</v>
      </c>
      <c r="E607">
        <v>0</v>
      </c>
      <c r="F607">
        <v>0</v>
      </c>
      <c r="H607">
        <v>0</v>
      </c>
      <c r="I607">
        <v>0</v>
      </c>
      <c r="J607">
        <v>0</v>
      </c>
      <c r="K607">
        <v>0</v>
      </c>
      <c r="L607">
        <v>0</v>
      </c>
      <c r="M607">
        <v>0</v>
      </c>
      <c r="N607">
        <v>0</v>
      </c>
      <c r="O607">
        <v>0</v>
      </c>
      <c r="P607">
        <v>0</v>
      </c>
    </row>
    <row r="608" spans="1:16" x14ac:dyDescent="0.3">
      <c r="A608" t="s">
        <v>644</v>
      </c>
      <c r="B608">
        <v>12</v>
      </c>
      <c r="D608">
        <v>0</v>
      </c>
      <c r="E608">
        <v>0</v>
      </c>
      <c r="F608">
        <v>0</v>
      </c>
      <c r="H608">
        <v>0</v>
      </c>
      <c r="I608">
        <v>0</v>
      </c>
      <c r="J608">
        <v>0</v>
      </c>
      <c r="K608">
        <v>0</v>
      </c>
      <c r="L608">
        <v>0</v>
      </c>
      <c r="M608">
        <v>0</v>
      </c>
      <c r="N608">
        <v>0</v>
      </c>
      <c r="O608">
        <v>0</v>
      </c>
      <c r="P608">
        <v>0</v>
      </c>
    </row>
    <row r="609" spans="1:16" x14ac:dyDescent="0.3">
      <c r="A609" t="s">
        <v>645</v>
      </c>
      <c r="B609">
        <v>12</v>
      </c>
      <c r="D609">
        <v>0</v>
      </c>
      <c r="E609">
        <v>0</v>
      </c>
      <c r="F609">
        <v>0</v>
      </c>
      <c r="H609">
        <v>0</v>
      </c>
      <c r="I609">
        <v>0</v>
      </c>
      <c r="J609">
        <v>0</v>
      </c>
      <c r="K609">
        <v>0</v>
      </c>
      <c r="L609">
        <v>0</v>
      </c>
      <c r="M609">
        <v>0</v>
      </c>
      <c r="N609">
        <v>0</v>
      </c>
      <c r="O609">
        <v>0</v>
      </c>
      <c r="P609">
        <v>0</v>
      </c>
    </row>
    <row r="610" spans="1:16" x14ac:dyDescent="0.3">
      <c r="A610" t="s">
        <v>646</v>
      </c>
      <c r="B610">
        <v>12</v>
      </c>
      <c r="D610">
        <v>1</v>
      </c>
      <c r="E610">
        <v>2</v>
      </c>
      <c r="F610">
        <v>1</v>
      </c>
      <c r="H610">
        <v>1</v>
      </c>
      <c r="I610">
        <v>2</v>
      </c>
      <c r="J610">
        <v>1</v>
      </c>
      <c r="K610">
        <v>1</v>
      </c>
      <c r="L610">
        <v>1</v>
      </c>
      <c r="M610">
        <v>1</v>
      </c>
      <c r="N610">
        <v>1</v>
      </c>
      <c r="O610">
        <v>1</v>
      </c>
      <c r="P610">
        <v>1</v>
      </c>
    </row>
    <row r="611" spans="1:16" x14ac:dyDescent="0.3">
      <c r="A611" t="s">
        <v>647</v>
      </c>
      <c r="B611">
        <v>12</v>
      </c>
      <c r="D611">
        <v>0</v>
      </c>
      <c r="E611">
        <v>330</v>
      </c>
      <c r="F611">
        <v>0</v>
      </c>
      <c r="H611">
        <v>0</v>
      </c>
      <c r="I611">
        <v>330</v>
      </c>
      <c r="J611">
        <v>0</v>
      </c>
      <c r="K611">
        <v>0</v>
      </c>
      <c r="L611">
        <v>0</v>
      </c>
      <c r="M611">
        <v>0</v>
      </c>
      <c r="N611">
        <v>0</v>
      </c>
      <c r="O611">
        <v>0</v>
      </c>
      <c r="P611">
        <v>0</v>
      </c>
    </row>
    <row r="612" spans="1:16" x14ac:dyDescent="0.3">
      <c r="A612" t="s">
        <v>648</v>
      </c>
      <c r="B612">
        <v>12</v>
      </c>
      <c r="D612">
        <v>40</v>
      </c>
      <c r="E612">
        <v>6</v>
      </c>
      <c r="F612">
        <v>0</v>
      </c>
      <c r="H612">
        <v>40</v>
      </c>
      <c r="I612">
        <v>6</v>
      </c>
      <c r="J612">
        <v>0</v>
      </c>
      <c r="K612">
        <v>40</v>
      </c>
      <c r="L612">
        <v>40</v>
      </c>
      <c r="M612">
        <v>0</v>
      </c>
      <c r="N612">
        <v>40</v>
      </c>
      <c r="O612">
        <v>40</v>
      </c>
      <c r="P612">
        <v>0</v>
      </c>
    </row>
    <row r="613" spans="1:16" x14ac:dyDescent="0.3">
      <c r="A613" t="s">
        <v>649</v>
      </c>
      <c r="B613">
        <v>12</v>
      </c>
      <c r="D613">
        <v>3</v>
      </c>
      <c r="E613">
        <v>3</v>
      </c>
      <c r="F613">
        <v>3</v>
      </c>
      <c r="H613">
        <v>3</v>
      </c>
      <c r="I613">
        <v>3</v>
      </c>
      <c r="J613">
        <v>3</v>
      </c>
      <c r="K613">
        <v>3</v>
      </c>
      <c r="L613">
        <v>3</v>
      </c>
      <c r="M613">
        <v>3</v>
      </c>
      <c r="N613">
        <v>3</v>
      </c>
      <c r="O613">
        <v>3</v>
      </c>
      <c r="P613">
        <v>3</v>
      </c>
    </row>
    <row r="614" spans="1:16" x14ac:dyDescent="0.3">
      <c r="A614" t="s">
        <v>650</v>
      </c>
      <c r="B614">
        <v>12</v>
      </c>
      <c r="D614">
        <v>0</v>
      </c>
      <c r="E614">
        <v>0</v>
      </c>
      <c r="F614">
        <v>0</v>
      </c>
      <c r="H614">
        <v>0</v>
      </c>
      <c r="I614">
        <v>0</v>
      </c>
      <c r="J614">
        <v>0</v>
      </c>
      <c r="K614">
        <v>0</v>
      </c>
      <c r="L614">
        <v>0</v>
      </c>
      <c r="M614">
        <v>0</v>
      </c>
      <c r="N614">
        <v>0</v>
      </c>
      <c r="O614">
        <v>0</v>
      </c>
      <c r="P614">
        <v>0</v>
      </c>
    </row>
    <row r="615" spans="1:16" x14ac:dyDescent="0.3">
      <c r="A615" t="s">
        <v>651</v>
      </c>
      <c r="B615">
        <v>12</v>
      </c>
      <c r="D615">
        <v>0</v>
      </c>
      <c r="E615">
        <v>0</v>
      </c>
      <c r="F615">
        <v>0</v>
      </c>
      <c r="H615">
        <v>0</v>
      </c>
      <c r="I615">
        <v>0</v>
      </c>
      <c r="J615">
        <v>0</v>
      </c>
      <c r="K615">
        <v>0</v>
      </c>
      <c r="L615">
        <v>0</v>
      </c>
      <c r="M615">
        <v>0</v>
      </c>
      <c r="N615">
        <v>0</v>
      </c>
      <c r="O615">
        <v>0</v>
      </c>
      <c r="P615">
        <v>0</v>
      </c>
    </row>
    <row r="616" spans="1:16" x14ac:dyDescent="0.3">
      <c r="A616" t="s">
        <v>652</v>
      </c>
      <c r="B616">
        <v>12</v>
      </c>
      <c r="D616">
        <v>0</v>
      </c>
      <c r="E616">
        <v>0</v>
      </c>
      <c r="F616">
        <v>0</v>
      </c>
      <c r="H616">
        <v>0</v>
      </c>
      <c r="I616">
        <v>0</v>
      </c>
      <c r="J616">
        <v>0</v>
      </c>
      <c r="K616">
        <v>0</v>
      </c>
      <c r="L616">
        <v>0</v>
      </c>
      <c r="M616">
        <v>0</v>
      </c>
      <c r="N616">
        <v>0</v>
      </c>
      <c r="O616">
        <v>0</v>
      </c>
      <c r="P616">
        <v>0</v>
      </c>
    </row>
    <row r="617" spans="1:16" x14ac:dyDescent="0.3">
      <c r="A617" t="s">
        <v>653</v>
      </c>
      <c r="B617">
        <v>12</v>
      </c>
      <c r="E617">
        <v>0</v>
      </c>
      <c r="I617">
        <v>0</v>
      </c>
    </row>
    <row r="618" spans="1:16" x14ac:dyDescent="0.3">
      <c r="A618" t="s">
        <v>654</v>
      </c>
      <c r="B618">
        <v>12</v>
      </c>
      <c r="E618">
        <v>0</v>
      </c>
      <c r="I618">
        <v>0</v>
      </c>
    </row>
    <row r="619" spans="1:16" x14ac:dyDescent="0.3">
      <c r="A619" t="s">
        <v>655</v>
      </c>
      <c r="B619">
        <v>12</v>
      </c>
      <c r="E619">
        <v>3</v>
      </c>
      <c r="I619">
        <v>3</v>
      </c>
    </row>
    <row r="620" spans="1:16" x14ac:dyDescent="0.3">
      <c r="A620" t="s">
        <v>656</v>
      </c>
      <c r="B620">
        <v>12</v>
      </c>
      <c r="E620">
        <v>0</v>
      </c>
      <c r="I620">
        <v>0</v>
      </c>
    </row>
    <row r="621" spans="1:16" x14ac:dyDescent="0.3">
      <c r="A621" t="s">
        <v>657</v>
      </c>
      <c r="B621">
        <v>12</v>
      </c>
      <c r="E621">
        <v>0</v>
      </c>
      <c r="I621">
        <v>0</v>
      </c>
      <c r="L621">
        <v>0</v>
      </c>
      <c r="O621">
        <v>0</v>
      </c>
    </row>
    <row r="622" spans="1:16" x14ac:dyDescent="0.3">
      <c r="A622" t="s">
        <v>408</v>
      </c>
      <c r="B622">
        <v>12</v>
      </c>
      <c r="E622">
        <v>0</v>
      </c>
    </row>
    <row r="623" spans="1:16" x14ac:dyDescent="0.3">
      <c r="A623" t="s">
        <v>658</v>
      </c>
      <c r="B623">
        <v>12</v>
      </c>
      <c r="C623">
        <v>0</v>
      </c>
      <c r="D623">
        <v>82</v>
      </c>
      <c r="E623">
        <v>870</v>
      </c>
      <c r="F623">
        <v>54</v>
      </c>
      <c r="G623">
        <v>0</v>
      </c>
      <c r="H623">
        <v>109</v>
      </c>
      <c r="I623">
        <v>435</v>
      </c>
      <c r="J623">
        <v>71</v>
      </c>
      <c r="K623">
        <v>82</v>
      </c>
      <c r="L623">
        <v>109</v>
      </c>
      <c r="M623">
        <v>54</v>
      </c>
      <c r="N623">
        <v>136</v>
      </c>
      <c r="O623">
        <v>82</v>
      </c>
      <c r="P623">
        <v>163</v>
      </c>
    </row>
    <row r="624" spans="1:16" x14ac:dyDescent="0.3">
      <c r="A624" t="s">
        <v>34</v>
      </c>
      <c r="B624">
        <v>13</v>
      </c>
      <c r="C624">
        <v>12</v>
      </c>
      <c r="D624">
        <v>12</v>
      </c>
      <c r="E624">
        <v>12</v>
      </c>
      <c r="F624">
        <v>12</v>
      </c>
      <c r="G624">
        <v>14</v>
      </c>
      <c r="H624">
        <v>14</v>
      </c>
      <c r="I624">
        <v>14</v>
      </c>
      <c r="J624">
        <v>14</v>
      </c>
      <c r="K624">
        <v>24</v>
      </c>
      <c r="L624">
        <v>24</v>
      </c>
      <c r="M624">
        <v>24</v>
      </c>
      <c r="N624">
        <v>120</v>
      </c>
      <c r="O624">
        <v>120</v>
      </c>
      <c r="P624">
        <v>120</v>
      </c>
    </row>
    <row r="625" spans="1:16" x14ac:dyDescent="0.3">
      <c r="A625" t="s">
        <v>35</v>
      </c>
      <c r="B625">
        <v>13</v>
      </c>
      <c r="C625">
        <v>12</v>
      </c>
      <c r="D625">
        <v>24</v>
      </c>
      <c r="E625">
        <v>14</v>
      </c>
      <c r="F625">
        <v>120</v>
      </c>
      <c r="G625">
        <v>14</v>
      </c>
      <c r="H625">
        <v>120</v>
      </c>
      <c r="I625">
        <v>12</v>
      </c>
      <c r="J625">
        <v>24</v>
      </c>
      <c r="K625">
        <v>14</v>
      </c>
      <c r="L625">
        <v>120</v>
      </c>
      <c r="M625">
        <v>12</v>
      </c>
      <c r="N625">
        <v>12</v>
      </c>
      <c r="O625">
        <v>24</v>
      </c>
      <c r="P625">
        <v>14</v>
      </c>
    </row>
    <row r="626" spans="1:16" x14ac:dyDescent="0.3">
      <c r="A626" t="s">
        <v>36</v>
      </c>
      <c r="B626">
        <v>13</v>
      </c>
      <c r="C626">
        <v>0</v>
      </c>
      <c r="D626">
        <v>1</v>
      </c>
      <c r="E626">
        <v>2</v>
      </c>
      <c r="F626">
        <v>0</v>
      </c>
      <c r="G626">
        <v>1</v>
      </c>
      <c r="H626">
        <v>0</v>
      </c>
      <c r="I626">
        <v>2</v>
      </c>
      <c r="J626">
        <v>1</v>
      </c>
      <c r="K626">
        <v>0</v>
      </c>
      <c r="L626">
        <v>1</v>
      </c>
      <c r="M626">
        <v>1</v>
      </c>
      <c r="N626">
        <v>0</v>
      </c>
      <c r="O626">
        <v>1</v>
      </c>
      <c r="P626">
        <v>0</v>
      </c>
    </row>
    <row r="627" spans="1:16" x14ac:dyDescent="0.3">
      <c r="A627" t="s">
        <v>37</v>
      </c>
      <c r="B627">
        <v>13</v>
      </c>
      <c r="D627">
        <v>0</v>
      </c>
      <c r="E627">
        <v>0</v>
      </c>
      <c r="H627">
        <v>0</v>
      </c>
      <c r="I627">
        <v>0</v>
      </c>
      <c r="K627">
        <v>0</v>
      </c>
      <c r="L627">
        <v>1</v>
      </c>
      <c r="N627">
        <v>0</v>
      </c>
      <c r="O627">
        <v>3</v>
      </c>
    </row>
    <row r="628" spans="1:16" x14ac:dyDescent="0.3">
      <c r="A628" t="s">
        <v>38</v>
      </c>
      <c r="B628">
        <v>13</v>
      </c>
      <c r="C628">
        <v>12</v>
      </c>
      <c r="D628">
        <v>12</v>
      </c>
      <c r="E628">
        <v>12</v>
      </c>
      <c r="F628">
        <v>12</v>
      </c>
      <c r="G628">
        <v>12</v>
      </c>
      <c r="H628">
        <v>12</v>
      </c>
      <c r="I628">
        <v>12</v>
      </c>
      <c r="J628">
        <v>12</v>
      </c>
      <c r="K628">
        <v>12</v>
      </c>
      <c r="L628">
        <v>12</v>
      </c>
      <c r="M628">
        <v>12</v>
      </c>
      <c r="N628">
        <v>12</v>
      </c>
      <c r="O628">
        <v>12</v>
      </c>
      <c r="P628">
        <v>12</v>
      </c>
    </row>
    <row r="629" spans="1:16" x14ac:dyDescent="0.3">
      <c r="A629" t="s">
        <v>39</v>
      </c>
      <c r="B629">
        <v>13</v>
      </c>
      <c r="D629">
        <v>300</v>
      </c>
      <c r="H629">
        <v>200</v>
      </c>
      <c r="J629">
        <v>200</v>
      </c>
      <c r="M629">
        <v>200</v>
      </c>
    </row>
    <row r="630" spans="1:16" x14ac:dyDescent="0.3">
      <c r="A630" t="s">
        <v>631</v>
      </c>
      <c r="B630">
        <v>13</v>
      </c>
      <c r="D630">
        <v>25</v>
      </c>
      <c r="H630">
        <v>25</v>
      </c>
      <c r="J630">
        <v>25</v>
      </c>
      <c r="M630">
        <v>25</v>
      </c>
    </row>
    <row r="631" spans="1:16" x14ac:dyDescent="0.3">
      <c r="A631" t="s">
        <v>40</v>
      </c>
      <c r="B631">
        <v>13</v>
      </c>
      <c r="D631">
        <v>1</v>
      </c>
      <c r="H631">
        <v>1</v>
      </c>
      <c r="J631">
        <v>1</v>
      </c>
      <c r="M631">
        <v>1</v>
      </c>
    </row>
    <row r="632" spans="1:16" x14ac:dyDescent="0.3">
      <c r="A632" t="s">
        <v>41</v>
      </c>
      <c r="B632">
        <v>13</v>
      </c>
    </row>
    <row r="633" spans="1:16" x14ac:dyDescent="0.3">
      <c r="A633" t="s">
        <v>42</v>
      </c>
      <c r="B633">
        <v>13</v>
      </c>
      <c r="E633">
        <v>45</v>
      </c>
      <c r="I633">
        <v>45</v>
      </c>
      <c r="L633">
        <v>30</v>
      </c>
      <c r="O633">
        <v>30</v>
      </c>
    </row>
    <row r="634" spans="1:16" x14ac:dyDescent="0.3">
      <c r="A634" t="s">
        <v>45</v>
      </c>
      <c r="B634">
        <v>13</v>
      </c>
      <c r="D634">
        <v>5</v>
      </c>
      <c r="E634">
        <v>2</v>
      </c>
      <c r="I634">
        <v>6</v>
      </c>
      <c r="K634">
        <v>4</v>
      </c>
      <c r="L634">
        <v>4</v>
      </c>
      <c r="N634">
        <v>3</v>
      </c>
      <c r="O634">
        <v>3</v>
      </c>
    </row>
    <row r="635" spans="1:16" x14ac:dyDescent="0.3">
      <c r="A635" t="s">
        <v>46</v>
      </c>
      <c r="B635">
        <v>13</v>
      </c>
      <c r="D635">
        <v>2</v>
      </c>
      <c r="G635">
        <v>6</v>
      </c>
      <c r="J635">
        <v>6</v>
      </c>
      <c r="M635">
        <v>4</v>
      </c>
    </row>
    <row r="636" spans="1:16" x14ac:dyDescent="0.3">
      <c r="A636" t="s">
        <v>49</v>
      </c>
      <c r="B636">
        <v>13</v>
      </c>
      <c r="C636">
        <v>4</v>
      </c>
      <c r="D636">
        <v>6.1</v>
      </c>
      <c r="E636">
        <v>6.3</v>
      </c>
      <c r="F636">
        <v>4</v>
      </c>
      <c r="G636">
        <v>6.3</v>
      </c>
      <c r="H636">
        <v>4</v>
      </c>
      <c r="I636">
        <v>6.3</v>
      </c>
      <c r="J636">
        <v>6.3</v>
      </c>
      <c r="K636">
        <v>6.7</v>
      </c>
      <c r="L636">
        <v>6.7</v>
      </c>
      <c r="M636">
        <v>6.7</v>
      </c>
      <c r="N636">
        <v>6.1</v>
      </c>
      <c r="O636">
        <v>6.1</v>
      </c>
      <c r="P636">
        <v>4</v>
      </c>
    </row>
    <row r="637" spans="1:16" x14ac:dyDescent="0.3">
      <c r="A637" t="s">
        <v>632</v>
      </c>
      <c r="B637">
        <v>13</v>
      </c>
      <c r="C637">
        <v>0</v>
      </c>
      <c r="D637">
        <v>0</v>
      </c>
      <c r="E637">
        <v>0</v>
      </c>
      <c r="F637">
        <v>0</v>
      </c>
      <c r="G637">
        <v>0</v>
      </c>
      <c r="H637">
        <v>0</v>
      </c>
      <c r="I637">
        <v>0</v>
      </c>
      <c r="J637">
        <v>0</v>
      </c>
      <c r="K637">
        <v>0</v>
      </c>
      <c r="L637">
        <v>0</v>
      </c>
      <c r="M637">
        <v>0</v>
      </c>
      <c r="N637">
        <v>0</v>
      </c>
      <c r="O637">
        <v>0</v>
      </c>
      <c r="P637">
        <v>0</v>
      </c>
    </row>
    <row r="638" spans="1:16" x14ac:dyDescent="0.3">
      <c r="A638" t="s">
        <v>48</v>
      </c>
      <c r="B638">
        <v>13</v>
      </c>
      <c r="C638">
        <v>1900</v>
      </c>
      <c r="D638">
        <v>1900</v>
      </c>
      <c r="E638">
        <v>1900</v>
      </c>
      <c r="F638">
        <v>1900</v>
      </c>
      <c r="G638">
        <v>1900</v>
      </c>
      <c r="H638">
        <v>1900</v>
      </c>
      <c r="I638">
        <v>1900</v>
      </c>
      <c r="J638">
        <v>1900</v>
      </c>
      <c r="K638">
        <v>1900</v>
      </c>
      <c r="L638">
        <v>1900</v>
      </c>
      <c r="M638">
        <v>1900</v>
      </c>
      <c r="N638">
        <v>1900</v>
      </c>
      <c r="O638">
        <v>1900</v>
      </c>
      <c r="P638">
        <v>1900</v>
      </c>
    </row>
    <row r="639" spans="1:16" x14ac:dyDescent="0.3">
      <c r="A639" t="s">
        <v>633</v>
      </c>
      <c r="B639">
        <v>13</v>
      </c>
      <c r="C639">
        <v>0</v>
      </c>
      <c r="D639">
        <v>1770</v>
      </c>
      <c r="E639">
        <v>3539</v>
      </c>
      <c r="F639">
        <v>0</v>
      </c>
      <c r="G639">
        <v>1863</v>
      </c>
      <c r="H639">
        <v>0</v>
      </c>
      <c r="I639">
        <v>3539</v>
      </c>
      <c r="J639">
        <v>1583</v>
      </c>
      <c r="K639">
        <v>0</v>
      </c>
      <c r="L639">
        <v>1770</v>
      </c>
      <c r="M639">
        <v>1583</v>
      </c>
      <c r="N639">
        <v>0</v>
      </c>
      <c r="O639">
        <v>1863</v>
      </c>
      <c r="P639">
        <v>0</v>
      </c>
    </row>
    <row r="640" spans="1:16" x14ac:dyDescent="0.3">
      <c r="A640" t="s">
        <v>50</v>
      </c>
      <c r="B640">
        <v>13</v>
      </c>
      <c r="C640">
        <v>0</v>
      </c>
      <c r="D640">
        <v>760</v>
      </c>
      <c r="E640">
        <v>3539</v>
      </c>
      <c r="F640">
        <v>0</v>
      </c>
      <c r="G640">
        <v>1863</v>
      </c>
      <c r="H640">
        <v>0</v>
      </c>
      <c r="I640">
        <v>3539</v>
      </c>
      <c r="J640">
        <v>1583</v>
      </c>
      <c r="K640">
        <v>0</v>
      </c>
      <c r="L640">
        <v>1770</v>
      </c>
      <c r="M640">
        <v>1583</v>
      </c>
      <c r="N640">
        <v>0</v>
      </c>
      <c r="O640">
        <v>1863</v>
      </c>
      <c r="P640">
        <v>0</v>
      </c>
    </row>
    <row r="641" spans="1:16" x14ac:dyDescent="0.3">
      <c r="A641" t="s">
        <v>634</v>
      </c>
      <c r="B641">
        <v>13</v>
      </c>
      <c r="C641">
        <v>1</v>
      </c>
      <c r="D641">
        <v>1</v>
      </c>
      <c r="E641">
        <v>1</v>
      </c>
      <c r="F641">
        <v>1</v>
      </c>
      <c r="G641">
        <v>1</v>
      </c>
      <c r="H641">
        <v>1</v>
      </c>
      <c r="I641">
        <v>1</v>
      </c>
      <c r="J641">
        <v>1</v>
      </c>
      <c r="K641">
        <v>1</v>
      </c>
      <c r="L641">
        <v>1</v>
      </c>
      <c r="M641">
        <v>1</v>
      </c>
      <c r="N641">
        <v>1</v>
      </c>
      <c r="O641">
        <v>1</v>
      </c>
      <c r="P641">
        <v>1</v>
      </c>
    </row>
    <row r="642" spans="1:16" x14ac:dyDescent="0.3">
      <c r="A642" t="s">
        <v>51</v>
      </c>
      <c r="B642">
        <v>13</v>
      </c>
      <c r="C642">
        <v>0</v>
      </c>
      <c r="D642">
        <v>0</v>
      </c>
      <c r="E642">
        <v>0</v>
      </c>
      <c r="F642">
        <v>0</v>
      </c>
      <c r="G642">
        <v>0</v>
      </c>
      <c r="H642">
        <v>0</v>
      </c>
      <c r="I642">
        <v>0</v>
      </c>
      <c r="J642">
        <v>145</v>
      </c>
      <c r="K642">
        <v>0</v>
      </c>
      <c r="L642">
        <v>0</v>
      </c>
      <c r="M642">
        <v>141</v>
      </c>
      <c r="N642">
        <v>0</v>
      </c>
      <c r="O642">
        <v>0</v>
      </c>
      <c r="P642">
        <v>0</v>
      </c>
    </row>
    <row r="643" spans="1:16" x14ac:dyDescent="0.3">
      <c r="A643" t="s">
        <v>53</v>
      </c>
      <c r="B643">
        <v>13</v>
      </c>
      <c r="C643">
        <v>0</v>
      </c>
      <c r="D643">
        <v>100</v>
      </c>
      <c r="E643">
        <v>900</v>
      </c>
      <c r="F643">
        <v>0</v>
      </c>
      <c r="G643">
        <v>0</v>
      </c>
      <c r="H643">
        <v>0</v>
      </c>
      <c r="I643">
        <v>500</v>
      </c>
      <c r="J643">
        <v>75</v>
      </c>
      <c r="K643">
        <v>50</v>
      </c>
      <c r="L643">
        <v>0</v>
      </c>
      <c r="M643">
        <v>45</v>
      </c>
      <c r="N643">
        <v>0</v>
      </c>
      <c r="O643">
        <v>1</v>
      </c>
      <c r="P643">
        <v>0</v>
      </c>
    </row>
    <row r="644" spans="1:16" x14ac:dyDescent="0.3">
      <c r="A644" t="s">
        <v>54</v>
      </c>
      <c r="B644">
        <v>13</v>
      </c>
      <c r="C644">
        <v>0</v>
      </c>
      <c r="D644">
        <v>0</v>
      </c>
      <c r="E644">
        <v>0</v>
      </c>
      <c r="F644">
        <v>0</v>
      </c>
      <c r="G644">
        <v>0</v>
      </c>
      <c r="H644">
        <v>0</v>
      </c>
      <c r="I644">
        <v>0</v>
      </c>
      <c r="J644">
        <v>0</v>
      </c>
      <c r="K644">
        <v>0</v>
      </c>
      <c r="L644">
        <v>0</v>
      </c>
      <c r="M644">
        <v>0</v>
      </c>
      <c r="N644">
        <v>0</v>
      </c>
      <c r="O644">
        <v>0</v>
      </c>
      <c r="P644">
        <v>0</v>
      </c>
    </row>
    <row r="645" spans="1:16" x14ac:dyDescent="0.3">
      <c r="A645" t="s">
        <v>55</v>
      </c>
      <c r="B645">
        <v>13</v>
      </c>
      <c r="C645">
        <v>0</v>
      </c>
      <c r="D645">
        <v>0</v>
      </c>
      <c r="E645">
        <v>0</v>
      </c>
      <c r="F645">
        <v>0</v>
      </c>
      <c r="G645">
        <v>0</v>
      </c>
      <c r="H645">
        <v>0</v>
      </c>
      <c r="I645">
        <v>0</v>
      </c>
      <c r="J645">
        <v>0</v>
      </c>
      <c r="K645">
        <v>0</v>
      </c>
      <c r="L645">
        <v>0</v>
      </c>
      <c r="M645">
        <v>0</v>
      </c>
      <c r="N645">
        <v>0</v>
      </c>
      <c r="O645">
        <v>0</v>
      </c>
      <c r="P645">
        <v>0</v>
      </c>
    </row>
    <row r="646" spans="1:16" x14ac:dyDescent="0.3">
      <c r="A646" t="s">
        <v>56</v>
      </c>
      <c r="B646">
        <v>13</v>
      </c>
      <c r="C646">
        <v>0.92</v>
      </c>
      <c r="D646">
        <v>0.92</v>
      </c>
      <c r="E646">
        <v>0.92</v>
      </c>
      <c r="F646">
        <v>0.92</v>
      </c>
      <c r="G646">
        <v>0.92</v>
      </c>
      <c r="H646">
        <v>0.92</v>
      </c>
      <c r="I646">
        <v>0.92</v>
      </c>
      <c r="J646">
        <v>0.92</v>
      </c>
      <c r="K646">
        <v>0.92</v>
      </c>
      <c r="L646">
        <v>0.92</v>
      </c>
      <c r="M646">
        <v>0.92</v>
      </c>
      <c r="N646">
        <v>0.92</v>
      </c>
      <c r="O646">
        <v>0.92</v>
      </c>
      <c r="P646">
        <v>0.92</v>
      </c>
    </row>
    <row r="647" spans="1:16" x14ac:dyDescent="0.3">
      <c r="A647" t="s">
        <v>57</v>
      </c>
      <c r="B647">
        <v>13</v>
      </c>
      <c r="C647">
        <v>100</v>
      </c>
      <c r="D647">
        <v>100</v>
      </c>
      <c r="E647">
        <v>100</v>
      </c>
      <c r="F647">
        <v>100</v>
      </c>
      <c r="G647">
        <v>100</v>
      </c>
      <c r="H647">
        <v>100</v>
      </c>
      <c r="I647">
        <v>100</v>
      </c>
      <c r="J647">
        <v>100</v>
      </c>
      <c r="K647">
        <v>100</v>
      </c>
      <c r="L647">
        <v>100</v>
      </c>
      <c r="M647">
        <v>100</v>
      </c>
      <c r="N647">
        <v>100</v>
      </c>
      <c r="O647">
        <v>100</v>
      </c>
      <c r="P647">
        <v>100</v>
      </c>
    </row>
    <row r="648" spans="1:16" x14ac:dyDescent="0.3">
      <c r="A648" t="s">
        <v>58</v>
      </c>
      <c r="B648">
        <v>13</v>
      </c>
      <c r="C648">
        <v>2</v>
      </c>
      <c r="D648">
        <v>2</v>
      </c>
      <c r="E648">
        <v>2</v>
      </c>
      <c r="F648">
        <v>2</v>
      </c>
      <c r="G648">
        <v>2</v>
      </c>
      <c r="H648">
        <v>2</v>
      </c>
      <c r="I648">
        <v>2</v>
      </c>
      <c r="J648">
        <v>2</v>
      </c>
      <c r="K648">
        <v>2</v>
      </c>
      <c r="L648">
        <v>2</v>
      </c>
      <c r="M648">
        <v>2</v>
      </c>
      <c r="N648">
        <v>2</v>
      </c>
      <c r="O648">
        <v>2</v>
      </c>
      <c r="P648">
        <v>2</v>
      </c>
    </row>
    <row r="649" spans="1:16" x14ac:dyDescent="0.3">
      <c r="A649" t="s">
        <v>59</v>
      </c>
      <c r="B649">
        <v>13</v>
      </c>
      <c r="C649">
        <v>0</v>
      </c>
      <c r="D649">
        <v>0</v>
      </c>
      <c r="E649">
        <v>0</v>
      </c>
      <c r="F649">
        <v>0</v>
      </c>
      <c r="G649">
        <v>0</v>
      </c>
      <c r="H649">
        <v>0</v>
      </c>
      <c r="I649">
        <v>0</v>
      </c>
      <c r="J649">
        <v>0</v>
      </c>
      <c r="K649">
        <v>0</v>
      </c>
      <c r="L649">
        <v>0</v>
      </c>
      <c r="M649">
        <v>0</v>
      </c>
      <c r="N649">
        <v>0</v>
      </c>
      <c r="O649">
        <v>0</v>
      </c>
      <c r="P649">
        <v>0</v>
      </c>
    </row>
    <row r="650" spans="1:16" x14ac:dyDescent="0.3">
      <c r="A650" t="s">
        <v>635</v>
      </c>
      <c r="B650">
        <v>13</v>
      </c>
      <c r="E650">
        <v>0</v>
      </c>
      <c r="I650">
        <v>0</v>
      </c>
      <c r="L650">
        <v>0</v>
      </c>
      <c r="O650">
        <v>0</v>
      </c>
    </row>
    <row r="651" spans="1:16" x14ac:dyDescent="0.3">
      <c r="A651" t="s">
        <v>574</v>
      </c>
      <c r="B651">
        <v>13</v>
      </c>
      <c r="E651">
        <v>1532</v>
      </c>
      <c r="I651">
        <v>2033</v>
      </c>
      <c r="L651">
        <v>1247</v>
      </c>
      <c r="O651">
        <v>731</v>
      </c>
    </row>
    <row r="652" spans="1:16" x14ac:dyDescent="0.3">
      <c r="A652" t="s">
        <v>78</v>
      </c>
      <c r="B652">
        <v>13</v>
      </c>
      <c r="E652">
        <v>23.2</v>
      </c>
      <c r="I652">
        <v>30.8</v>
      </c>
      <c r="L652">
        <v>28.3</v>
      </c>
      <c r="O652">
        <v>16.600000000000001</v>
      </c>
    </row>
    <row r="653" spans="1:16" x14ac:dyDescent="0.3">
      <c r="A653" t="s">
        <v>636</v>
      </c>
      <c r="B653">
        <v>13</v>
      </c>
      <c r="F653">
        <v>0</v>
      </c>
      <c r="J653">
        <v>1</v>
      </c>
      <c r="M653">
        <v>2</v>
      </c>
      <c r="P653">
        <v>0</v>
      </c>
    </row>
    <row r="654" spans="1:16" x14ac:dyDescent="0.3">
      <c r="A654" t="s">
        <v>637</v>
      </c>
      <c r="B654">
        <v>13</v>
      </c>
      <c r="J654">
        <v>50</v>
      </c>
      <c r="M654">
        <v>50</v>
      </c>
    </row>
    <row r="655" spans="1:16" x14ac:dyDescent="0.3">
      <c r="A655" t="s">
        <v>638</v>
      </c>
      <c r="B655">
        <v>13</v>
      </c>
      <c r="J655">
        <v>0</v>
      </c>
      <c r="M655">
        <v>0</v>
      </c>
    </row>
    <row r="656" spans="1:16" x14ac:dyDescent="0.3">
      <c r="A656" t="s">
        <v>639</v>
      </c>
      <c r="B656">
        <v>13</v>
      </c>
      <c r="C656">
        <v>3</v>
      </c>
      <c r="D656">
        <v>0</v>
      </c>
      <c r="E656">
        <v>0</v>
      </c>
      <c r="F656">
        <v>1</v>
      </c>
      <c r="G656">
        <v>3</v>
      </c>
      <c r="H656">
        <v>0</v>
      </c>
      <c r="I656">
        <v>0</v>
      </c>
      <c r="J656">
        <v>1</v>
      </c>
      <c r="K656">
        <v>0</v>
      </c>
      <c r="L656">
        <v>0</v>
      </c>
      <c r="M656">
        <v>1</v>
      </c>
      <c r="N656">
        <v>0</v>
      </c>
      <c r="O656">
        <v>0</v>
      </c>
      <c r="P656">
        <v>1</v>
      </c>
    </row>
    <row r="657" spans="1:16" x14ac:dyDescent="0.3">
      <c r="A657" t="s">
        <v>640</v>
      </c>
      <c r="B657">
        <v>13</v>
      </c>
      <c r="C657">
        <v>0</v>
      </c>
      <c r="D657">
        <v>0</v>
      </c>
      <c r="E657">
        <v>0</v>
      </c>
      <c r="F657">
        <v>0</v>
      </c>
      <c r="G657">
        <v>0</v>
      </c>
      <c r="H657">
        <v>0</v>
      </c>
      <c r="I657">
        <v>0</v>
      </c>
      <c r="J657">
        <v>0</v>
      </c>
      <c r="K657">
        <v>0</v>
      </c>
      <c r="L657">
        <v>0</v>
      </c>
      <c r="M657">
        <v>0</v>
      </c>
      <c r="N657">
        <v>0</v>
      </c>
      <c r="O657">
        <v>0</v>
      </c>
      <c r="P657">
        <v>0</v>
      </c>
    </row>
    <row r="658" spans="1:16" x14ac:dyDescent="0.3">
      <c r="A658" t="s">
        <v>52</v>
      </c>
      <c r="B658">
        <v>13</v>
      </c>
      <c r="C658">
        <v>1</v>
      </c>
      <c r="D658">
        <v>1</v>
      </c>
      <c r="E658">
        <v>1</v>
      </c>
      <c r="F658">
        <v>1</v>
      </c>
      <c r="G658">
        <v>1</v>
      </c>
      <c r="H658">
        <v>1</v>
      </c>
      <c r="I658">
        <v>1</v>
      </c>
      <c r="J658">
        <v>1</v>
      </c>
      <c r="K658">
        <v>1</v>
      </c>
      <c r="L658">
        <v>1</v>
      </c>
      <c r="M658">
        <v>1</v>
      </c>
      <c r="N658">
        <v>1</v>
      </c>
      <c r="O658">
        <v>1</v>
      </c>
      <c r="P658">
        <v>1</v>
      </c>
    </row>
    <row r="659" spans="1:16" x14ac:dyDescent="0.3">
      <c r="A659" t="s">
        <v>641</v>
      </c>
      <c r="B659">
        <v>13</v>
      </c>
      <c r="C659">
        <v>9</v>
      </c>
      <c r="D659">
        <v>15</v>
      </c>
      <c r="E659">
        <v>60</v>
      </c>
      <c r="F659">
        <v>9</v>
      </c>
      <c r="G659">
        <v>9</v>
      </c>
      <c r="H659">
        <v>15</v>
      </c>
      <c r="I659">
        <v>60</v>
      </c>
      <c r="J659">
        <v>9</v>
      </c>
      <c r="K659">
        <v>15</v>
      </c>
      <c r="L659">
        <v>60</v>
      </c>
      <c r="M659">
        <v>9</v>
      </c>
      <c r="N659">
        <v>15</v>
      </c>
      <c r="O659">
        <v>60</v>
      </c>
      <c r="P659">
        <v>9</v>
      </c>
    </row>
    <row r="660" spans="1:16" x14ac:dyDescent="0.3">
      <c r="A660" t="s">
        <v>43</v>
      </c>
      <c r="B660">
        <v>13</v>
      </c>
      <c r="D660">
        <v>40</v>
      </c>
      <c r="E660">
        <v>336</v>
      </c>
      <c r="G660">
        <v>40</v>
      </c>
      <c r="I660">
        <v>336</v>
      </c>
      <c r="J660">
        <v>0</v>
      </c>
      <c r="K660">
        <v>40</v>
      </c>
      <c r="L660">
        <v>40</v>
      </c>
      <c r="M660">
        <v>0</v>
      </c>
      <c r="N660">
        <v>40</v>
      </c>
      <c r="O660">
        <v>40</v>
      </c>
    </row>
    <row r="661" spans="1:16" x14ac:dyDescent="0.3">
      <c r="A661" t="s">
        <v>44</v>
      </c>
      <c r="B661">
        <v>13</v>
      </c>
      <c r="D661">
        <v>0</v>
      </c>
      <c r="E661">
        <v>0</v>
      </c>
      <c r="G661">
        <v>0</v>
      </c>
      <c r="I661">
        <v>0</v>
      </c>
      <c r="J661">
        <v>0</v>
      </c>
      <c r="K661">
        <v>0</v>
      </c>
      <c r="L661">
        <v>0</v>
      </c>
      <c r="M661">
        <v>0</v>
      </c>
      <c r="N661">
        <v>0</v>
      </c>
      <c r="O661">
        <v>0</v>
      </c>
    </row>
    <row r="662" spans="1:16" x14ac:dyDescent="0.3">
      <c r="A662" t="s">
        <v>47</v>
      </c>
      <c r="B662">
        <v>13</v>
      </c>
      <c r="D662">
        <v>5</v>
      </c>
      <c r="E662">
        <v>2</v>
      </c>
      <c r="G662">
        <v>6</v>
      </c>
      <c r="I662">
        <v>6</v>
      </c>
      <c r="J662">
        <v>6</v>
      </c>
      <c r="K662">
        <v>4</v>
      </c>
      <c r="L662">
        <v>4</v>
      </c>
      <c r="M662">
        <v>4</v>
      </c>
      <c r="N662">
        <v>3</v>
      </c>
      <c r="O662">
        <v>3</v>
      </c>
    </row>
    <row r="663" spans="1:16" x14ac:dyDescent="0.3">
      <c r="A663" t="s">
        <v>642</v>
      </c>
      <c r="B663">
        <v>13</v>
      </c>
      <c r="D663">
        <v>0</v>
      </c>
      <c r="E663">
        <v>0</v>
      </c>
      <c r="G663">
        <v>0</v>
      </c>
      <c r="I663">
        <v>0</v>
      </c>
      <c r="J663">
        <v>0</v>
      </c>
      <c r="K663">
        <v>0</v>
      </c>
      <c r="L663">
        <v>0</v>
      </c>
      <c r="M663">
        <v>0</v>
      </c>
      <c r="N663">
        <v>0</v>
      </c>
      <c r="O663">
        <v>0</v>
      </c>
    </row>
    <row r="664" spans="1:16" x14ac:dyDescent="0.3">
      <c r="A664" t="s">
        <v>643</v>
      </c>
      <c r="B664">
        <v>13</v>
      </c>
      <c r="D664">
        <v>0</v>
      </c>
      <c r="E664">
        <v>0</v>
      </c>
      <c r="G664">
        <v>0</v>
      </c>
      <c r="I664">
        <v>0</v>
      </c>
      <c r="J664">
        <v>0</v>
      </c>
      <c r="K664">
        <v>0</v>
      </c>
      <c r="L664">
        <v>0</v>
      </c>
      <c r="M664">
        <v>0</v>
      </c>
      <c r="N664">
        <v>0</v>
      </c>
      <c r="O664">
        <v>0</v>
      </c>
    </row>
    <row r="665" spans="1:16" x14ac:dyDescent="0.3">
      <c r="A665" t="s">
        <v>644</v>
      </c>
      <c r="B665">
        <v>13</v>
      </c>
      <c r="D665">
        <v>0</v>
      </c>
      <c r="E665">
        <v>0</v>
      </c>
      <c r="G665">
        <v>0</v>
      </c>
      <c r="I665">
        <v>0</v>
      </c>
      <c r="J665">
        <v>0</v>
      </c>
      <c r="K665">
        <v>0</v>
      </c>
      <c r="L665">
        <v>0</v>
      </c>
      <c r="M665">
        <v>0</v>
      </c>
      <c r="N665">
        <v>0</v>
      </c>
      <c r="O665">
        <v>0</v>
      </c>
    </row>
    <row r="666" spans="1:16" x14ac:dyDescent="0.3">
      <c r="A666" t="s">
        <v>645</v>
      </c>
      <c r="B666">
        <v>13</v>
      </c>
      <c r="D666">
        <v>0</v>
      </c>
      <c r="E666">
        <v>0</v>
      </c>
      <c r="G666">
        <v>0</v>
      </c>
      <c r="I666">
        <v>0</v>
      </c>
      <c r="J666">
        <v>0</v>
      </c>
      <c r="K666">
        <v>0</v>
      </c>
      <c r="L666">
        <v>0</v>
      </c>
      <c r="M666">
        <v>0</v>
      </c>
      <c r="N666">
        <v>0</v>
      </c>
      <c r="O666">
        <v>0</v>
      </c>
    </row>
    <row r="667" spans="1:16" x14ac:dyDescent="0.3">
      <c r="A667" t="s">
        <v>646</v>
      </c>
      <c r="B667">
        <v>13</v>
      </c>
      <c r="D667">
        <v>1</v>
      </c>
      <c r="E667">
        <v>2</v>
      </c>
      <c r="G667">
        <v>1</v>
      </c>
      <c r="I667">
        <v>2</v>
      </c>
      <c r="J667">
        <v>1</v>
      </c>
      <c r="K667">
        <v>1</v>
      </c>
      <c r="L667">
        <v>1</v>
      </c>
      <c r="M667">
        <v>1</v>
      </c>
      <c r="N667">
        <v>1</v>
      </c>
      <c r="O667">
        <v>1</v>
      </c>
    </row>
    <row r="668" spans="1:16" x14ac:dyDescent="0.3">
      <c r="A668" t="s">
        <v>647</v>
      </c>
      <c r="B668">
        <v>13</v>
      </c>
      <c r="D668">
        <v>0</v>
      </c>
      <c r="E668">
        <v>330</v>
      </c>
      <c r="G668">
        <v>0</v>
      </c>
      <c r="I668">
        <v>330</v>
      </c>
      <c r="J668">
        <v>0</v>
      </c>
      <c r="K668">
        <v>0</v>
      </c>
      <c r="L668">
        <v>0</v>
      </c>
      <c r="M668">
        <v>0</v>
      </c>
      <c r="N668">
        <v>0</v>
      </c>
      <c r="O668">
        <v>0</v>
      </c>
    </row>
    <row r="669" spans="1:16" x14ac:dyDescent="0.3">
      <c r="A669" t="s">
        <v>648</v>
      </c>
      <c r="B669">
        <v>13</v>
      </c>
      <c r="D669">
        <v>40</v>
      </c>
      <c r="E669">
        <v>6</v>
      </c>
      <c r="G669">
        <v>40</v>
      </c>
      <c r="I669">
        <v>6</v>
      </c>
      <c r="J669">
        <v>0</v>
      </c>
      <c r="K669">
        <v>40</v>
      </c>
      <c r="L669">
        <v>40</v>
      </c>
      <c r="M669">
        <v>0</v>
      </c>
      <c r="N669">
        <v>40</v>
      </c>
      <c r="O669">
        <v>40</v>
      </c>
    </row>
    <row r="670" spans="1:16" x14ac:dyDescent="0.3">
      <c r="A670" t="s">
        <v>649</v>
      </c>
      <c r="B670">
        <v>13</v>
      </c>
      <c r="D670">
        <v>3</v>
      </c>
      <c r="E670">
        <v>3</v>
      </c>
      <c r="G670">
        <v>3</v>
      </c>
      <c r="I670">
        <v>3</v>
      </c>
      <c r="J670">
        <v>3</v>
      </c>
      <c r="K670">
        <v>3</v>
      </c>
      <c r="L670">
        <v>3</v>
      </c>
      <c r="M670">
        <v>3</v>
      </c>
      <c r="N670">
        <v>3</v>
      </c>
      <c r="O670">
        <v>3</v>
      </c>
    </row>
    <row r="671" spans="1:16" x14ac:dyDescent="0.3">
      <c r="A671" t="s">
        <v>650</v>
      </c>
      <c r="B671">
        <v>13</v>
      </c>
      <c r="D671">
        <v>0</v>
      </c>
      <c r="E671">
        <v>0</v>
      </c>
      <c r="G671">
        <v>0</v>
      </c>
      <c r="I671">
        <v>0</v>
      </c>
      <c r="J671">
        <v>0</v>
      </c>
      <c r="K671">
        <v>0</v>
      </c>
      <c r="L671">
        <v>0</v>
      </c>
      <c r="M671">
        <v>0</v>
      </c>
      <c r="N671">
        <v>0</v>
      </c>
      <c r="O671">
        <v>0</v>
      </c>
    </row>
    <row r="672" spans="1:16" x14ac:dyDescent="0.3">
      <c r="A672" t="s">
        <v>651</v>
      </c>
      <c r="B672">
        <v>13</v>
      </c>
      <c r="D672">
        <v>0</v>
      </c>
      <c r="E672">
        <v>0</v>
      </c>
      <c r="G672">
        <v>0</v>
      </c>
      <c r="I672">
        <v>0</v>
      </c>
      <c r="J672">
        <v>0</v>
      </c>
      <c r="K672">
        <v>0</v>
      </c>
      <c r="L672">
        <v>0</v>
      </c>
      <c r="M672">
        <v>0</v>
      </c>
      <c r="N672">
        <v>0</v>
      </c>
      <c r="O672">
        <v>0</v>
      </c>
    </row>
    <row r="673" spans="1:16" x14ac:dyDescent="0.3">
      <c r="A673" t="s">
        <v>652</v>
      </c>
      <c r="B673">
        <v>13</v>
      </c>
      <c r="D673">
        <v>0</v>
      </c>
      <c r="E673">
        <v>0</v>
      </c>
      <c r="G673">
        <v>0</v>
      </c>
      <c r="I673">
        <v>0</v>
      </c>
      <c r="J673">
        <v>0</v>
      </c>
      <c r="K673">
        <v>0</v>
      </c>
      <c r="L673">
        <v>0</v>
      </c>
      <c r="M673">
        <v>0</v>
      </c>
      <c r="N673">
        <v>0</v>
      </c>
      <c r="O673">
        <v>0</v>
      </c>
    </row>
    <row r="674" spans="1:16" x14ac:dyDescent="0.3">
      <c r="A674" t="s">
        <v>653</v>
      </c>
      <c r="B674">
        <v>13</v>
      </c>
      <c r="E674">
        <v>0</v>
      </c>
      <c r="I674">
        <v>0</v>
      </c>
    </row>
    <row r="675" spans="1:16" x14ac:dyDescent="0.3">
      <c r="A675" t="s">
        <v>654</v>
      </c>
      <c r="B675">
        <v>13</v>
      </c>
      <c r="E675">
        <v>0</v>
      </c>
      <c r="I675">
        <v>0</v>
      </c>
    </row>
    <row r="676" spans="1:16" x14ac:dyDescent="0.3">
      <c r="A676" t="s">
        <v>655</v>
      </c>
      <c r="B676">
        <v>13</v>
      </c>
      <c r="E676">
        <v>3</v>
      </c>
      <c r="I676">
        <v>3</v>
      </c>
    </row>
    <row r="677" spans="1:16" x14ac:dyDescent="0.3">
      <c r="A677" t="s">
        <v>656</v>
      </c>
      <c r="B677">
        <v>13</v>
      </c>
      <c r="E677">
        <v>0</v>
      </c>
      <c r="I677">
        <v>0</v>
      </c>
    </row>
    <row r="678" spans="1:16" x14ac:dyDescent="0.3">
      <c r="A678" t="s">
        <v>657</v>
      </c>
      <c r="B678">
        <v>13</v>
      </c>
      <c r="E678">
        <v>0</v>
      </c>
      <c r="I678">
        <v>0</v>
      </c>
      <c r="L678">
        <v>0</v>
      </c>
      <c r="O678">
        <v>0</v>
      </c>
    </row>
    <row r="679" spans="1:16" x14ac:dyDescent="0.3">
      <c r="A679" t="s">
        <v>408</v>
      </c>
      <c r="B679">
        <v>13</v>
      </c>
      <c r="E679">
        <v>0</v>
      </c>
    </row>
    <row r="680" spans="1:16" x14ac:dyDescent="0.3">
      <c r="A680" t="s">
        <v>658</v>
      </c>
      <c r="B680">
        <v>13</v>
      </c>
      <c r="C680">
        <v>0</v>
      </c>
      <c r="D680">
        <v>109</v>
      </c>
      <c r="E680">
        <v>978</v>
      </c>
      <c r="F680">
        <v>0</v>
      </c>
      <c r="G680">
        <v>0</v>
      </c>
      <c r="H680">
        <v>0</v>
      </c>
      <c r="I680">
        <v>543</v>
      </c>
      <c r="J680">
        <v>82</v>
      </c>
      <c r="K680">
        <v>0</v>
      </c>
      <c r="L680">
        <v>54</v>
      </c>
      <c r="M680">
        <v>49</v>
      </c>
      <c r="N680">
        <v>0</v>
      </c>
      <c r="O680">
        <v>1</v>
      </c>
      <c r="P680">
        <v>0</v>
      </c>
    </row>
    <row r="681" spans="1:16" x14ac:dyDescent="0.3">
      <c r="A681" t="s">
        <v>34</v>
      </c>
      <c r="B681">
        <v>14</v>
      </c>
      <c r="C681">
        <v>13</v>
      </c>
      <c r="D681">
        <v>13</v>
      </c>
      <c r="E681">
        <v>13</v>
      </c>
      <c r="F681">
        <v>13</v>
      </c>
      <c r="G681">
        <v>15</v>
      </c>
      <c r="H681">
        <v>15</v>
      </c>
      <c r="I681">
        <v>15</v>
      </c>
      <c r="J681">
        <v>15</v>
      </c>
      <c r="K681">
        <v>123</v>
      </c>
      <c r="L681">
        <v>123</v>
      </c>
      <c r="M681">
        <v>123</v>
      </c>
      <c r="N681">
        <v>124</v>
      </c>
      <c r="O681">
        <v>124</v>
      </c>
      <c r="P681">
        <v>124</v>
      </c>
    </row>
    <row r="682" spans="1:16" x14ac:dyDescent="0.3">
      <c r="A682" t="s">
        <v>35</v>
      </c>
      <c r="B682">
        <v>14</v>
      </c>
      <c r="C682">
        <v>13</v>
      </c>
      <c r="D682">
        <v>123</v>
      </c>
      <c r="E682">
        <v>15</v>
      </c>
      <c r="F682">
        <v>124</v>
      </c>
      <c r="G682">
        <v>15</v>
      </c>
      <c r="H682">
        <v>124</v>
      </c>
      <c r="I682">
        <v>13</v>
      </c>
      <c r="J682">
        <v>123</v>
      </c>
      <c r="K682">
        <v>15</v>
      </c>
      <c r="L682">
        <v>124</v>
      </c>
      <c r="M682">
        <v>13</v>
      </c>
      <c r="N682">
        <v>13</v>
      </c>
      <c r="O682">
        <v>123</v>
      </c>
      <c r="P682">
        <v>15</v>
      </c>
    </row>
    <row r="683" spans="1:16" x14ac:dyDescent="0.3">
      <c r="A683" t="s">
        <v>36</v>
      </c>
      <c r="B683">
        <v>14</v>
      </c>
      <c r="C683">
        <v>0</v>
      </c>
      <c r="D683">
        <v>1</v>
      </c>
      <c r="E683">
        <v>2</v>
      </c>
      <c r="F683">
        <v>1</v>
      </c>
      <c r="G683">
        <v>0</v>
      </c>
      <c r="H683">
        <v>1</v>
      </c>
      <c r="I683">
        <v>2</v>
      </c>
      <c r="J683">
        <v>1</v>
      </c>
      <c r="K683">
        <v>0</v>
      </c>
      <c r="L683">
        <v>1</v>
      </c>
      <c r="M683">
        <v>1</v>
      </c>
      <c r="N683">
        <v>0</v>
      </c>
      <c r="O683">
        <v>1</v>
      </c>
      <c r="P683">
        <v>1</v>
      </c>
    </row>
    <row r="684" spans="1:16" x14ac:dyDescent="0.3">
      <c r="A684" t="s">
        <v>37</v>
      </c>
      <c r="B684">
        <v>14</v>
      </c>
      <c r="D684">
        <v>0</v>
      </c>
      <c r="E684">
        <v>0</v>
      </c>
      <c r="H684">
        <v>0</v>
      </c>
      <c r="I684">
        <v>0</v>
      </c>
      <c r="K684">
        <v>0</v>
      </c>
      <c r="L684">
        <v>1</v>
      </c>
      <c r="N684">
        <v>0</v>
      </c>
      <c r="O684">
        <v>1</v>
      </c>
    </row>
    <row r="685" spans="1:16" x14ac:dyDescent="0.3">
      <c r="A685" t="s">
        <v>38</v>
      </c>
      <c r="B685">
        <v>14</v>
      </c>
      <c r="C685">
        <v>12</v>
      </c>
      <c r="D685">
        <v>12</v>
      </c>
      <c r="E685">
        <v>12</v>
      </c>
      <c r="F685">
        <v>12</v>
      </c>
      <c r="G685">
        <v>12</v>
      </c>
      <c r="H685">
        <v>12</v>
      </c>
      <c r="I685">
        <v>12</v>
      </c>
      <c r="J685">
        <v>12</v>
      </c>
      <c r="K685">
        <v>12</v>
      </c>
      <c r="L685">
        <v>12</v>
      </c>
      <c r="M685">
        <v>12</v>
      </c>
      <c r="N685">
        <v>12</v>
      </c>
      <c r="O685">
        <v>12</v>
      </c>
      <c r="P685">
        <v>12</v>
      </c>
    </row>
    <row r="686" spans="1:16" x14ac:dyDescent="0.3">
      <c r="A686" t="s">
        <v>39</v>
      </c>
      <c r="B686">
        <v>14</v>
      </c>
      <c r="D686">
        <v>300</v>
      </c>
      <c r="F686">
        <v>300</v>
      </c>
      <c r="H686">
        <v>300</v>
      </c>
      <c r="J686">
        <v>300</v>
      </c>
      <c r="M686">
        <v>100</v>
      </c>
      <c r="P686">
        <v>200</v>
      </c>
    </row>
    <row r="687" spans="1:16" x14ac:dyDescent="0.3">
      <c r="A687" t="s">
        <v>631</v>
      </c>
      <c r="B687">
        <v>14</v>
      </c>
      <c r="D687">
        <v>25</v>
      </c>
      <c r="F687">
        <v>25</v>
      </c>
      <c r="H687">
        <v>25</v>
      </c>
      <c r="J687">
        <v>25</v>
      </c>
      <c r="M687">
        <v>25</v>
      </c>
      <c r="P687">
        <v>25</v>
      </c>
    </row>
    <row r="688" spans="1:16" x14ac:dyDescent="0.3">
      <c r="A688" t="s">
        <v>40</v>
      </c>
      <c r="B688">
        <v>14</v>
      </c>
      <c r="D688">
        <v>1</v>
      </c>
      <c r="F688">
        <v>1</v>
      </c>
      <c r="H688">
        <v>1</v>
      </c>
      <c r="J688">
        <v>1</v>
      </c>
      <c r="M688">
        <v>1</v>
      </c>
      <c r="P688">
        <v>1</v>
      </c>
    </row>
    <row r="689" spans="1:16" x14ac:dyDescent="0.3">
      <c r="A689" t="s">
        <v>41</v>
      </c>
      <c r="B689">
        <v>14</v>
      </c>
    </row>
    <row r="690" spans="1:16" x14ac:dyDescent="0.3">
      <c r="A690" t="s">
        <v>42</v>
      </c>
      <c r="B690">
        <v>14</v>
      </c>
      <c r="E690">
        <v>45</v>
      </c>
      <c r="I690">
        <v>45</v>
      </c>
      <c r="L690">
        <v>30</v>
      </c>
      <c r="O690">
        <v>30</v>
      </c>
    </row>
    <row r="691" spans="1:16" x14ac:dyDescent="0.3">
      <c r="A691" t="s">
        <v>45</v>
      </c>
      <c r="B691">
        <v>14</v>
      </c>
      <c r="D691">
        <v>1</v>
      </c>
      <c r="E691">
        <v>6</v>
      </c>
      <c r="H691">
        <v>5</v>
      </c>
      <c r="I691">
        <v>2</v>
      </c>
      <c r="L691">
        <v>4</v>
      </c>
      <c r="O691">
        <v>8</v>
      </c>
    </row>
    <row r="692" spans="1:16" x14ac:dyDescent="0.3">
      <c r="A692" t="s">
        <v>46</v>
      </c>
      <c r="B692">
        <v>14</v>
      </c>
      <c r="D692">
        <v>6</v>
      </c>
      <c r="F692">
        <v>6</v>
      </c>
      <c r="H692">
        <v>2</v>
      </c>
      <c r="J692">
        <v>2</v>
      </c>
      <c r="K692">
        <v>4</v>
      </c>
      <c r="M692">
        <v>4</v>
      </c>
      <c r="N692">
        <v>8</v>
      </c>
      <c r="P692">
        <v>8</v>
      </c>
    </row>
    <row r="693" spans="1:16" x14ac:dyDescent="0.3">
      <c r="A693" t="s">
        <v>49</v>
      </c>
      <c r="B693">
        <v>14</v>
      </c>
      <c r="C693">
        <v>4</v>
      </c>
      <c r="D693">
        <v>6</v>
      </c>
      <c r="E693">
        <v>7.4</v>
      </c>
      <c r="F693">
        <v>7.4</v>
      </c>
      <c r="G693">
        <v>4</v>
      </c>
      <c r="H693">
        <v>6</v>
      </c>
      <c r="I693">
        <v>7.4</v>
      </c>
      <c r="J693">
        <v>7.4</v>
      </c>
      <c r="K693">
        <v>6.8</v>
      </c>
      <c r="L693">
        <v>6.8</v>
      </c>
      <c r="M693">
        <v>6.8</v>
      </c>
      <c r="N693">
        <v>6.8</v>
      </c>
      <c r="O693">
        <v>6.8</v>
      </c>
      <c r="P693">
        <v>6.8</v>
      </c>
    </row>
    <row r="694" spans="1:16" x14ac:dyDescent="0.3">
      <c r="A694" t="s">
        <v>632</v>
      </c>
      <c r="B694">
        <v>14</v>
      </c>
      <c r="C694">
        <v>0</v>
      </c>
      <c r="D694">
        <v>0</v>
      </c>
      <c r="E694">
        <v>0</v>
      </c>
      <c r="F694">
        <v>0</v>
      </c>
      <c r="G694">
        <v>0</v>
      </c>
      <c r="H694">
        <v>0</v>
      </c>
      <c r="I694">
        <v>0</v>
      </c>
      <c r="J694">
        <v>0</v>
      </c>
      <c r="K694">
        <v>0</v>
      </c>
      <c r="L694">
        <v>0</v>
      </c>
      <c r="M694">
        <v>0</v>
      </c>
      <c r="N694">
        <v>0</v>
      </c>
      <c r="O694">
        <v>0</v>
      </c>
      <c r="P694">
        <v>0</v>
      </c>
    </row>
    <row r="695" spans="1:16" x14ac:dyDescent="0.3">
      <c r="A695" t="s">
        <v>48</v>
      </c>
      <c r="B695">
        <v>14</v>
      </c>
      <c r="C695">
        <v>1900</v>
      </c>
      <c r="D695">
        <v>1900</v>
      </c>
      <c r="E695">
        <v>1900</v>
      </c>
      <c r="F695">
        <v>1900</v>
      </c>
      <c r="G695">
        <v>1900</v>
      </c>
      <c r="H695">
        <v>1900</v>
      </c>
      <c r="I695">
        <v>1900</v>
      </c>
      <c r="J695">
        <v>1900</v>
      </c>
      <c r="K695">
        <v>1900</v>
      </c>
      <c r="L695">
        <v>1900</v>
      </c>
      <c r="M695">
        <v>1900</v>
      </c>
      <c r="N695">
        <v>1900</v>
      </c>
      <c r="O695">
        <v>1900</v>
      </c>
      <c r="P695">
        <v>1900</v>
      </c>
    </row>
    <row r="696" spans="1:16" x14ac:dyDescent="0.3">
      <c r="A696" t="s">
        <v>633</v>
      </c>
      <c r="B696">
        <v>14</v>
      </c>
      <c r="C696">
        <v>0</v>
      </c>
      <c r="D696">
        <v>1770</v>
      </c>
      <c r="E696">
        <v>3539</v>
      </c>
      <c r="F696">
        <v>1583</v>
      </c>
      <c r="G696">
        <v>0</v>
      </c>
      <c r="H696">
        <v>1770</v>
      </c>
      <c r="I696">
        <v>3539</v>
      </c>
      <c r="J696">
        <v>1583</v>
      </c>
      <c r="K696">
        <v>0</v>
      </c>
      <c r="L696">
        <v>1833</v>
      </c>
      <c r="M696">
        <v>1583</v>
      </c>
      <c r="N696">
        <v>0</v>
      </c>
      <c r="O696">
        <v>1788</v>
      </c>
      <c r="P696">
        <v>1583</v>
      </c>
    </row>
    <row r="697" spans="1:16" x14ac:dyDescent="0.3">
      <c r="A697" t="s">
        <v>50</v>
      </c>
      <c r="B697">
        <v>14</v>
      </c>
      <c r="C697">
        <v>0</v>
      </c>
      <c r="D697">
        <v>883</v>
      </c>
      <c r="E697">
        <v>3539</v>
      </c>
      <c r="F697">
        <v>1583</v>
      </c>
      <c r="G697">
        <v>0</v>
      </c>
      <c r="H697">
        <v>486</v>
      </c>
      <c r="I697">
        <v>3539</v>
      </c>
      <c r="J697">
        <v>1583</v>
      </c>
      <c r="K697">
        <v>0</v>
      </c>
      <c r="L697">
        <v>1624</v>
      </c>
      <c r="M697">
        <v>1583</v>
      </c>
      <c r="N697">
        <v>0</v>
      </c>
      <c r="O697">
        <v>1375</v>
      </c>
      <c r="P697">
        <v>1583</v>
      </c>
    </row>
    <row r="698" spans="1:16" x14ac:dyDescent="0.3">
      <c r="A698" t="s">
        <v>634</v>
      </c>
      <c r="B698">
        <v>14</v>
      </c>
      <c r="C698">
        <v>1</v>
      </c>
      <c r="D698">
        <v>1</v>
      </c>
      <c r="E698">
        <v>1</v>
      </c>
      <c r="F698">
        <v>1</v>
      </c>
      <c r="G698">
        <v>1</v>
      </c>
      <c r="H698">
        <v>1</v>
      </c>
      <c r="I698">
        <v>1</v>
      </c>
      <c r="J698">
        <v>1</v>
      </c>
      <c r="K698">
        <v>1</v>
      </c>
      <c r="L698">
        <v>1</v>
      </c>
      <c r="M698">
        <v>1</v>
      </c>
      <c r="N698">
        <v>1</v>
      </c>
      <c r="O698">
        <v>1</v>
      </c>
      <c r="P698">
        <v>1</v>
      </c>
    </row>
    <row r="699" spans="1:16" x14ac:dyDescent="0.3">
      <c r="A699" t="s">
        <v>51</v>
      </c>
      <c r="B699">
        <v>14</v>
      </c>
      <c r="C699">
        <v>0</v>
      </c>
      <c r="D699">
        <v>0</v>
      </c>
      <c r="E699">
        <v>0</v>
      </c>
      <c r="F699">
        <v>89</v>
      </c>
      <c r="G699">
        <v>0</v>
      </c>
      <c r="H699">
        <v>0</v>
      </c>
      <c r="I699">
        <v>0</v>
      </c>
      <c r="J699">
        <v>89</v>
      </c>
      <c r="K699">
        <v>0</v>
      </c>
      <c r="L699">
        <v>0</v>
      </c>
      <c r="M699">
        <v>95</v>
      </c>
      <c r="N699">
        <v>0</v>
      </c>
      <c r="O699">
        <v>0</v>
      </c>
      <c r="P699">
        <v>163</v>
      </c>
    </row>
    <row r="700" spans="1:16" x14ac:dyDescent="0.3">
      <c r="A700" t="s">
        <v>53</v>
      </c>
      <c r="B700">
        <v>14</v>
      </c>
      <c r="C700">
        <v>0</v>
      </c>
      <c r="D700">
        <v>15</v>
      </c>
      <c r="E700">
        <v>900</v>
      </c>
      <c r="F700">
        <v>35</v>
      </c>
      <c r="G700">
        <v>0</v>
      </c>
      <c r="H700">
        <v>20</v>
      </c>
      <c r="I700">
        <v>450</v>
      </c>
      <c r="J700">
        <v>14</v>
      </c>
      <c r="K700">
        <v>10</v>
      </c>
      <c r="L700">
        <v>20</v>
      </c>
      <c r="M700">
        <v>15</v>
      </c>
      <c r="N700">
        <v>75</v>
      </c>
      <c r="O700">
        <v>15</v>
      </c>
      <c r="P700">
        <v>150</v>
      </c>
    </row>
    <row r="701" spans="1:16" x14ac:dyDescent="0.3">
      <c r="A701" t="s">
        <v>54</v>
      </c>
      <c r="B701">
        <v>14</v>
      </c>
      <c r="C701">
        <v>0</v>
      </c>
      <c r="D701">
        <v>0</v>
      </c>
      <c r="E701">
        <v>0</v>
      </c>
      <c r="F701">
        <v>0</v>
      </c>
      <c r="G701">
        <v>0</v>
      </c>
      <c r="H701">
        <v>0</v>
      </c>
      <c r="I701">
        <v>0</v>
      </c>
      <c r="J701">
        <v>0</v>
      </c>
      <c r="K701">
        <v>0</v>
      </c>
      <c r="L701">
        <v>0</v>
      </c>
      <c r="M701">
        <v>0</v>
      </c>
      <c r="N701">
        <v>0</v>
      </c>
      <c r="O701">
        <v>0</v>
      </c>
      <c r="P701">
        <v>0</v>
      </c>
    </row>
    <row r="702" spans="1:16" x14ac:dyDescent="0.3">
      <c r="A702" t="s">
        <v>55</v>
      </c>
      <c r="B702">
        <v>14</v>
      </c>
      <c r="C702">
        <v>0</v>
      </c>
      <c r="D702">
        <v>0</v>
      </c>
      <c r="E702">
        <v>0</v>
      </c>
      <c r="F702">
        <v>0</v>
      </c>
      <c r="G702">
        <v>0</v>
      </c>
      <c r="H702">
        <v>0</v>
      </c>
      <c r="I702">
        <v>0</v>
      </c>
      <c r="J702">
        <v>0</v>
      </c>
      <c r="K702">
        <v>0</v>
      </c>
      <c r="L702">
        <v>0</v>
      </c>
      <c r="M702">
        <v>0</v>
      </c>
      <c r="N702">
        <v>0</v>
      </c>
      <c r="O702">
        <v>0</v>
      </c>
      <c r="P702">
        <v>0</v>
      </c>
    </row>
    <row r="703" spans="1:16" x14ac:dyDescent="0.3">
      <c r="A703" t="s">
        <v>56</v>
      </c>
      <c r="B703">
        <v>14</v>
      </c>
      <c r="C703">
        <v>0.92</v>
      </c>
      <c r="D703">
        <v>0.92</v>
      </c>
      <c r="E703">
        <v>0.92</v>
      </c>
      <c r="F703">
        <v>0.92</v>
      </c>
      <c r="G703">
        <v>0.92</v>
      </c>
      <c r="H703">
        <v>0.92</v>
      </c>
      <c r="I703">
        <v>0.92</v>
      </c>
      <c r="J703">
        <v>0.92</v>
      </c>
      <c r="K703">
        <v>0.92</v>
      </c>
      <c r="L703">
        <v>0.92</v>
      </c>
      <c r="M703">
        <v>0.92</v>
      </c>
      <c r="N703">
        <v>0.92</v>
      </c>
      <c r="O703">
        <v>0.92</v>
      </c>
      <c r="P703">
        <v>0.92</v>
      </c>
    </row>
    <row r="704" spans="1:16" x14ac:dyDescent="0.3">
      <c r="A704" t="s">
        <v>57</v>
      </c>
      <c r="B704">
        <v>14</v>
      </c>
      <c r="C704">
        <v>100</v>
      </c>
      <c r="D704">
        <v>100</v>
      </c>
      <c r="E704">
        <v>100</v>
      </c>
      <c r="F704">
        <v>100</v>
      </c>
      <c r="G704">
        <v>100</v>
      </c>
      <c r="H704">
        <v>100</v>
      </c>
      <c r="I704">
        <v>100</v>
      </c>
      <c r="J704">
        <v>100</v>
      </c>
      <c r="K704">
        <v>100</v>
      </c>
      <c r="L704">
        <v>100</v>
      </c>
      <c r="M704">
        <v>100</v>
      </c>
      <c r="N704">
        <v>100</v>
      </c>
      <c r="O704">
        <v>100</v>
      </c>
      <c r="P704">
        <v>100</v>
      </c>
    </row>
    <row r="705" spans="1:16" x14ac:dyDescent="0.3">
      <c r="A705" t="s">
        <v>58</v>
      </c>
      <c r="B705">
        <v>14</v>
      </c>
      <c r="C705">
        <v>2</v>
      </c>
      <c r="D705">
        <v>2</v>
      </c>
      <c r="E705">
        <v>2</v>
      </c>
      <c r="F705">
        <v>2</v>
      </c>
      <c r="G705">
        <v>2</v>
      </c>
      <c r="H705">
        <v>2</v>
      </c>
      <c r="I705">
        <v>2</v>
      </c>
      <c r="J705">
        <v>2</v>
      </c>
      <c r="K705">
        <v>2</v>
      </c>
      <c r="L705">
        <v>2</v>
      </c>
      <c r="M705">
        <v>2</v>
      </c>
      <c r="N705">
        <v>2</v>
      </c>
      <c r="O705">
        <v>2</v>
      </c>
      <c r="P705">
        <v>2</v>
      </c>
    </row>
    <row r="706" spans="1:16" x14ac:dyDescent="0.3">
      <c r="A706" t="s">
        <v>59</v>
      </c>
      <c r="B706">
        <v>14</v>
      </c>
      <c r="C706">
        <v>0</v>
      </c>
      <c r="D706">
        <v>0</v>
      </c>
      <c r="E706">
        <v>0</v>
      </c>
      <c r="F706">
        <v>0</v>
      </c>
      <c r="G706">
        <v>0</v>
      </c>
      <c r="H706">
        <v>0</v>
      </c>
      <c r="I706">
        <v>0</v>
      </c>
      <c r="J706">
        <v>0</v>
      </c>
      <c r="K706">
        <v>0</v>
      </c>
      <c r="L706">
        <v>0</v>
      </c>
      <c r="M706">
        <v>0</v>
      </c>
      <c r="N706">
        <v>0</v>
      </c>
      <c r="O706">
        <v>0</v>
      </c>
      <c r="P706">
        <v>0</v>
      </c>
    </row>
    <row r="707" spans="1:16" x14ac:dyDescent="0.3">
      <c r="A707" t="s">
        <v>635</v>
      </c>
      <c r="B707">
        <v>14</v>
      </c>
      <c r="E707">
        <v>0</v>
      </c>
      <c r="I707">
        <v>0</v>
      </c>
      <c r="L707">
        <v>0</v>
      </c>
      <c r="O707">
        <v>0</v>
      </c>
    </row>
    <row r="708" spans="1:16" x14ac:dyDescent="0.3">
      <c r="A708" t="s">
        <v>574</v>
      </c>
      <c r="B708">
        <v>14</v>
      </c>
      <c r="E708">
        <v>2033</v>
      </c>
      <c r="I708">
        <v>1896</v>
      </c>
      <c r="L708">
        <v>667</v>
      </c>
      <c r="O708">
        <v>1308</v>
      </c>
    </row>
    <row r="709" spans="1:16" x14ac:dyDescent="0.3">
      <c r="A709" t="s">
        <v>78</v>
      </c>
      <c r="B709">
        <v>14</v>
      </c>
      <c r="E709">
        <v>30.8</v>
      </c>
      <c r="I709">
        <v>28.7</v>
      </c>
      <c r="L709">
        <v>15.2</v>
      </c>
      <c r="O709">
        <v>29.7</v>
      </c>
    </row>
    <row r="710" spans="1:16" x14ac:dyDescent="0.3">
      <c r="A710" t="s">
        <v>636</v>
      </c>
      <c r="B710">
        <v>14</v>
      </c>
      <c r="F710">
        <v>0</v>
      </c>
      <c r="J710">
        <v>1</v>
      </c>
      <c r="M710">
        <v>1</v>
      </c>
      <c r="P710">
        <v>0</v>
      </c>
    </row>
    <row r="711" spans="1:16" x14ac:dyDescent="0.3">
      <c r="A711" t="s">
        <v>637</v>
      </c>
      <c r="B711">
        <v>14</v>
      </c>
      <c r="J711">
        <v>50</v>
      </c>
      <c r="M711">
        <v>50</v>
      </c>
    </row>
    <row r="712" spans="1:16" x14ac:dyDescent="0.3">
      <c r="A712" t="s">
        <v>638</v>
      </c>
      <c r="B712">
        <v>14</v>
      </c>
      <c r="J712">
        <v>0</v>
      </c>
      <c r="M712">
        <v>0</v>
      </c>
    </row>
    <row r="713" spans="1:16" x14ac:dyDescent="0.3">
      <c r="A713" t="s">
        <v>639</v>
      </c>
      <c r="B713">
        <v>14</v>
      </c>
      <c r="C713">
        <v>3</v>
      </c>
      <c r="D713">
        <v>0</v>
      </c>
      <c r="E713">
        <v>0</v>
      </c>
      <c r="F713">
        <v>1</v>
      </c>
      <c r="G713">
        <v>3</v>
      </c>
      <c r="H713">
        <v>0</v>
      </c>
      <c r="I713">
        <v>0</v>
      </c>
      <c r="J713">
        <v>1</v>
      </c>
      <c r="K713">
        <v>0</v>
      </c>
      <c r="L713">
        <v>0</v>
      </c>
      <c r="M713">
        <v>1</v>
      </c>
      <c r="N713">
        <v>0</v>
      </c>
      <c r="O713">
        <v>0</v>
      </c>
      <c r="P713">
        <v>1</v>
      </c>
    </row>
    <row r="714" spans="1:16" x14ac:dyDescent="0.3">
      <c r="A714" t="s">
        <v>640</v>
      </c>
      <c r="B714">
        <v>14</v>
      </c>
      <c r="C714">
        <v>0</v>
      </c>
      <c r="D714">
        <v>0</v>
      </c>
      <c r="E714">
        <v>0</v>
      </c>
      <c r="F714">
        <v>0</v>
      </c>
      <c r="G714">
        <v>0</v>
      </c>
      <c r="H714">
        <v>0</v>
      </c>
      <c r="I714">
        <v>0</v>
      </c>
      <c r="J714">
        <v>0</v>
      </c>
      <c r="K714">
        <v>0</v>
      </c>
      <c r="L714">
        <v>0</v>
      </c>
      <c r="M714">
        <v>0</v>
      </c>
      <c r="N714">
        <v>0</v>
      </c>
      <c r="O714">
        <v>0</v>
      </c>
      <c r="P714">
        <v>0</v>
      </c>
    </row>
    <row r="715" spans="1:16" x14ac:dyDescent="0.3">
      <c r="A715" t="s">
        <v>52</v>
      </c>
      <c r="B715">
        <v>14</v>
      </c>
      <c r="C715">
        <v>1</v>
      </c>
      <c r="D715">
        <v>1</v>
      </c>
      <c r="E715">
        <v>1</v>
      </c>
      <c r="F715">
        <v>1</v>
      </c>
      <c r="G715">
        <v>1</v>
      </c>
      <c r="H715">
        <v>1</v>
      </c>
      <c r="I715">
        <v>1</v>
      </c>
      <c r="J715">
        <v>1</v>
      </c>
      <c r="K715">
        <v>1</v>
      </c>
      <c r="L715">
        <v>1</v>
      </c>
      <c r="M715">
        <v>1</v>
      </c>
      <c r="N715">
        <v>1</v>
      </c>
      <c r="O715">
        <v>1</v>
      </c>
      <c r="P715">
        <v>1</v>
      </c>
    </row>
    <row r="716" spans="1:16" x14ac:dyDescent="0.3">
      <c r="A716" t="s">
        <v>641</v>
      </c>
      <c r="B716">
        <v>14</v>
      </c>
      <c r="C716">
        <v>9</v>
      </c>
      <c r="D716">
        <v>15</v>
      </c>
      <c r="E716">
        <v>60</v>
      </c>
      <c r="F716">
        <v>9</v>
      </c>
      <c r="G716">
        <v>9</v>
      </c>
      <c r="H716">
        <v>15</v>
      </c>
      <c r="I716">
        <v>60</v>
      </c>
      <c r="J716">
        <v>9</v>
      </c>
      <c r="K716">
        <v>15</v>
      </c>
      <c r="L716">
        <v>60</v>
      </c>
      <c r="M716">
        <v>9</v>
      </c>
      <c r="N716">
        <v>15</v>
      </c>
      <c r="O716">
        <v>60</v>
      </c>
      <c r="P716">
        <v>9</v>
      </c>
    </row>
    <row r="717" spans="1:16" x14ac:dyDescent="0.3">
      <c r="A717" t="s">
        <v>43</v>
      </c>
      <c r="B717">
        <v>14</v>
      </c>
      <c r="D717">
        <v>40</v>
      </c>
      <c r="E717">
        <v>336</v>
      </c>
      <c r="F717">
        <v>0</v>
      </c>
      <c r="H717">
        <v>40</v>
      </c>
      <c r="I717">
        <v>336</v>
      </c>
      <c r="J717">
        <v>0</v>
      </c>
      <c r="K717">
        <v>40</v>
      </c>
      <c r="L717">
        <v>40</v>
      </c>
      <c r="M717">
        <v>0</v>
      </c>
      <c r="N717">
        <v>40</v>
      </c>
      <c r="O717">
        <v>40</v>
      </c>
      <c r="P717">
        <v>0</v>
      </c>
    </row>
    <row r="718" spans="1:16" x14ac:dyDescent="0.3">
      <c r="A718" t="s">
        <v>44</v>
      </c>
      <c r="B718">
        <v>14</v>
      </c>
      <c r="D718">
        <v>0</v>
      </c>
      <c r="E718">
        <v>0</v>
      </c>
      <c r="F718">
        <v>0</v>
      </c>
      <c r="H718">
        <v>0</v>
      </c>
      <c r="I718">
        <v>0</v>
      </c>
      <c r="J718">
        <v>0</v>
      </c>
      <c r="K718">
        <v>0</v>
      </c>
      <c r="L718">
        <v>0</v>
      </c>
      <c r="M718">
        <v>0</v>
      </c>
      <c r="N718">
        <v>0</v>
      </c>
      <c r="O718">
        <v>0</v>
      </c>
      <c r="P718">
        <v>0</v>
      </c>
    </row>
    <row r="719" spans="1:16" x14ac:dyDescent="0.3">
      <c r="A719" t="s">
        <v>47</v>
      </c>
      <c r="B719">
        <v>14</v>
      </c>
      <c r="D719">
        <v>1</v>
      </c>
      <c r="E719">
        <v>6</v>
      </c>
      <c r="F719">
        <v>6</v>
      </c>
      <c r="H719">
        <v>5</v>
      </c>
      <c r="I719">
        <v>2</v>
      </c>
      <c r="J719">
        <v>2</v>
      </c>
      <c r="K719">
        <v>4</v>
      </c>
      <c r="L719">
        <v>4</v>
      </c>
      <c r="M719">
        <v>4</v>
      </c>
      <c r="N719">
        <v>8</v>
      </c>
      <c r="O719">
        <v>8</v>
      </c>
      <c r="P719">
        <v>8</v>
      </c>
    </row>
    <row r="720" spans="1:16" x14ac:dyDescent="0.3">
      <c r="A720" t="s">
        <v>642</v>
      </c>
      <c r="B720">
        <v>14</v>
      </c>
      <c r="D720">
        <v>0</v>
      </c>
      <c r="E720">
        <v>0</v>
      </c>
      <c r="F720">
        <v>0</v>
      </c>
      <c r="H720">
        <v>0</v>
      </c>
      <c r="I720">
        <v>0</v>
      </c>
      <c r="J720">
        <v>0</v>
      </c>
      <c r="K720">
        <v>0</v>
      </c>
      <c r="L720">
        <v>0</v>
      </c>
      <c r="M720">
        <v>0</v>
      </c>
      <c r="N720">
        <v>0</v>
      </c>
      <c r="O720">
        <v>0</v>
      </c>
      <c r="P720">
        <v>0</v>
      </c>
    </row>
    <row r="721" spans="1:16" x14ac:dyDescent="0.3">
      <c r="A721" t="s">
        <v>643</v>
      </c>
      <c r="B721">
        <v>14</v>
      </c>
      <c r="D721">
        <v>0</v>
      </c>
      <c r="E721">
        <v>0</v>
      </c>
      <c r="F721">
        <v>0</v>
      </c>
      <c r="H721">
        <v>0</v>
      </c>
      <c r="I721">
        <v>0</v>
      </c>
      <c r="J721">
        <v>0</v>
      </c>
      <c r="K721">
        <v>0</v>
      </c>
      <c r="L721">
        <v>0</v>
      </c>
      <c r="M721">
        <v>0</v>
      </c>
      <c r="N721">
        <v>0</v>
      </c>
      <c r="O721">
        <v>0</v>
      </c>
      <c r="P721">
        <v>0</v>
      </c>
    </row>
    <row r="722" spans="1:16" x14ac:dyDescent="0.3">
      <c r="A722" t="s">
        <v>644</v>
      </c>
      <c r="B722">
        <v>14</v>
      </c>
      <c r="D722">
        <v>0</v>
      </c>
      <c r="E722">
        <v>0</v>
      </c>
      <c r="F722">
        <v>0</v>
      </c>
      <c r="H722">
        <v>0</v>
      </c>
      <c r="I722">
        <v>0</v>
      </c>
      <c r="J722">
        <v>0</v>
      </c>
      <c r="K722">
        <v>0</v>
      </c>
      <c r="L722">
        <v>0</v>
      </c>
      <c r="M722">
        <v>0</v>
      </c>
      <c r="N722">
        <v>0</v>
      </c>
      <c r="O722">
        <v>0</v>
      </c>
      <c r="P722">
        <v>0</v>
      </c>
    </row>
    <row r="723" spans="1:16" x14ac:dyDescent="0.3">
      <c r="A723" t="s">
        <v>645</v>
      </c>
      <c r="B723">
        <v>14</v>
      </c>
      <c r="D723">
        <v>0</v>
      </c>
      <c r="E723">
        <v>0</v>
      </c>
      <c r="F723">
        <v>0</v>
      </c>
      <c r="H723">
        <v>0</v>
      </c>
      <c r="I723">
        <v>0</v>
      </c>
      <c r="J723">
        <v>0</v>
      </c>
      <c r="K723">
        <v>0</v>
      </c>
      <c r="L723">
        <v>0</v>
      </c>
      <c r="M723">
        <v>0</v>
      </c>
      <c r="N723">
        <v>0</v>
      </c>
      <c r="O723">
        <v>0</v>
      </c>
      <c r="P723">
        <v>0</v>
      </c>
    </row>
    <row r="724" spans="1:16" x14ac:dyDescent="0.3">
      <c r="A724" t="s">
        <v>646</v>
      </c>
      <c r="B724">
        <v>14</v>
      </c>
      <c r="D724">
        <v>1</v>
      </c>
      <c r="E724">
        <v>2</v>
      </c>
      <c r="F724">
        <v>1</v>
      </c>
      <c r="H724">
        <v>1</v>
      </c>
      <c r="I724">
        <v>2</v>
      </c>
      <c r="J724">
        <v>1</v>
      </c>
      <c r="K724">
        <v>1</v>
      </c>
      <c r="L724">
        <v>1</v>
      </c>
      <c r="M724">
        <v>1</v>
      </c>
      <c r="N724">
        <v>1</v>
      </c>
      <c r="O724">
        <v>1</v>
      </c>
      <c r="P724">
        <v>1</v>
      </c>
    </row>
    <row r="725" spans="1:16" x14ac:dyDescent="0.3">
      <c r="A725" t="s">
        <v>647</v>
      </c>
      <c r="B725">
        <v>14</v>
      </c>
      <c r="D725">
        <v>0</v>
      </c>
      <c r="E725">
        <v>330</v>
      </c>
      <c r="F725">
        <v>0</v>
      </c>
      <c r="H725">
        <v>0</v>
      </c>
      <c r="I725">
        <v>330</v>
      </c>
      <c r="J725">
        <v>0</v>
      </c>
      <c r="K725">
        <v>0</v>
      </c>
      <c r="L725">
        <v>0</v>
      </c>
      <c r="M725">
        <v>0</v>
      </c>
      <c r="N725">
        <v>0</v>
      </c>
      <c r="O725">
        <v>0</v>
      </c>
      <c r="P725">
        <v>0</v>
      </c>
    </row>
    <row r="726" spans="1:16" x14ac:dyDescent="0.3">
      <c r="A726" t="s">
        <v>648</v>
      </c>
      <c r="B726">
        <v>14</v>
      </c>
      <c r="D726">
        <v>40</v>
      </c>
      <c r="E726">
        <v>6</v>
      </c>
      <c r="F726">
        <v>0</v>
      </c>
      <c r="H726">
        <v>40</v>
      </c>
      <c r="I726">
        <v>6</v>
      </c>
      <c r="J726">
        <v>0</v>
      </c>
      <c r="K726">
        <v>40</v>
      </c>
      <c r="L726">
        <v>40</v>
      </c>
      <c r="M726">
        <v>0</v>
      </c>
      <c r="N726">
        <v>40</v>
      </c>
      <c r="O726">
        <v>40</v>
      </c>
      <c r="P726">
        <v>0</v>
      </c>
    </row>
    <row r="727" spans="1:16" x14ac:dyDescent="0.3">
      <c r="A727" t="s">
        <v>649</v>
      </c>
      <c r="B727">
        <v>14</v>
      </c>
      <c r="D727">
        <v>3</v>
      </c>
      <c r="E727">
        <v>3</v>
      </c>
      <c r="F727">
        <v>3</v>
      </c>
      <c r="H727">
        <v>3</v>
      </c>
      <c r="I727">
        <v>3</v>
      </c>
      <c r="J727">
        <v>3</v>
      </c>
      <c r="K727">
        <v>3</v>
      </c>
      <c r="L727">
        <v>3</v>
      </c>
      <c r="M727">
        <v>3</v>
      </c>
      <c r="N727">
        <v>3</v>
      </c>
      <c r="O727">
        <v>3</v>
      </c>
      <c r="P727">
        <v>3</v>
      </c>
    </row>
    <row r="728" spans="1:16" x14ac:dyDescent="0.3">
      <c r="A728" t="s">
        <v>650</v>
      </c>
      <c r="B728">
        <v>14</v>
      </c>
      <c r="D728">
        <v>0</v>
      </c>
      <c r="E728">
        <v>0</v>
      </c>
      <c r="F728">
        <v>0</v>
      </c>
      <c r="H728">
        <v>0</v>
      </c>
      <c r="I728">
        <v>0</v>
      </c>
      <c r="J728">
        <v>0</v>
      </c>
      <c r="K728">
        <v>0</v>
      </c>
      <c r="L728">
        <v>0</v>
      </c>
      <c r="M728">
        <v>0</v>
      </c>
      <c r="N728">
        <v>0</v>
      </c>
      <c r="O728">
        <v>0</v>
      </c>
      <c r="P728">
        <v>0</v>
      </c>
    </row>
    <row r="729" spans="1:16" x14ac:dyDescent="0.3">
      <c r="A729" t="s">
        <v>651</v>
      </c>
      <c r="B729">
        <v>14</v>
      </c>
      <c r="D729">
        <v>0</v>
      </c>
      <c r="E729">
        <v>0</v>
      </c>
      <c r="F729">
        <v>0</v>
      </c>
      <c r="H729">
        <v>0</v>
      </c>
      <c r="I729">
        <v>0</v>
      </c>
      <c r="J729">
        <v>0</v>
      </c>
      <c r="K729">
        <v>0</v>
      </c>
      <c r="L729">
        <v>0</v>
      </c>
      <c r="M729">
        <v>0</v>
      </c>
      <c r="N729">
        <v>0</v>
      </c>
      <c r="O729">
        <v>0</v>
      </c>
      <c r="P729">
        <v>0</v>
      </c>
    </row>
    <row r="730" spans="1:16" x14ac:dyDescent="0.3">
      <c r="A730" t="s">
        <v>652</v>
      </c>
      <c r="B730">
        <v>14</v>
      </c>
      <c r="D730">
        <v>0</v>
      </c>
      <c r="E730">
        <v>0</v>
      </c>
      <c r="F730">
        <v>0</v>
      </c>
      <c r="H730">
        <v>0</v>
      </c>
      <c r="I730">
        <v>0</v>
      </c>
      <c r="J730">
        <v>0</v>
      </c>
      <c r="K730">
        <v>0</v>
      </c>
      <c r="L730">
        <v>0</v>
      </c>
      <c r="M730">
        <v>0</v>
      </c>
      <c r="N730">
        <v>0</v>
      </c>
      <c r="O730">
        <v>0</v>
      </c>
      <c r="P730">
        <v>0</v>
      </c>
    </row>
    <row r="731" spans="1:16" x14ac:dyDescent="0.3">
      <c r="A731" t="s">
        <v>653</v>
      </c>
      <c r="B731">
        <v>14</v>
      </c>
      <c r="E731">
        <v>0</v>
      </c>
      <c r="I731">
        <v>0</v>
      </c>
    </row>
    <row r="732" spans="1:16" x14ac:dyDescent="0.3">
      <c r="A732" t="s">
        <v>654</v>
      </c>
      <c r="B732">
        <v>14</v>
      </c>
      <c r="E732">
        <v>0</v>
      </c>
      <c r="I732">
        <v>0</v>
      </c>
    </row>
    <row r="733" spans="1:16" x14ac:dyDescent="0.3">
      <c r="A733" t="s">
        <v>655</v>
      </c>
      <c r="B733">
        <v>14</v>
      </c>
      <c r="E733">
        <v>3</v>
      </c>
      <c r="I733">
        <v>3</v>
      </c>
    </row>
    <row r="734" spans="1:16" x14ac:dyDescent="0.3">
      <c r="A734" t="s">
        <v>656</v>
      </c>
      <c r="B734">
        <v>14</v>
      </c>
      <c r="E734">
        <v>0</v>
      </c>
      <c r="I734">
        <v>0</v>
      </c>
    </row>
    <row r="735" spans="1:16" x14ac:dyDescent="0.3">
      <c r="A735" t="s">
        <v>657</v>
      </c>
      <c r="B735">
        <v>14</v>
      </c>
      <c r="E735">
        <v>0</v>
      </c>
      <c r="I735">
        <v>0</v>
      </c>
      <c r="L735">
        <v>0</v>
      </c>
      <c r="O735">
        <v>0</v>
      </c>
    </row>
    <row r="736" spans="1:16" x14ac:dyDescent="0.3">
      <c r="A736" t="s">
        <v>408</v>
      </c>
      <c r="B736">
        <v>14</v>
      </c>
      <c r="E736">
        <v>0</v>
      </c>
    </row>
    <row r="737" spans="1:16" x14ac:dyDescent="0.3">
      <c r="A737" t="s">
        <v>658</v>
      </c>
      <c r="B737">
        <v>14</v>
      </c>
      <c r="C737">
        <v>0</v>
      </c>
      <c r="D737">
        <v>16</v>
      </c>
      <c r="E737">
        <v>978</v>
      </c>
      <c r="F737">
        <v>38</v>
      </c>
      <c r="G737">
        <v>0</v>
      </c>
      <c r="H737">
        <v>22</v>
      </c>
      <c r="I737">
        <v>489</v>
      </c>
      <c r="J737">
        <v>15</v>
      </c>
      <c r="K737">
        <v>0</v>
      </c>
      <c r="L737">
        <v>33</v>
      </c>
      <c r="M737">
        <v>16</v>
      </c>
      <c r="N737">
        <v>0</v>
      </c>
      <c r="O737">
        <v>98</v>
      </c>
      <c r="P737">
        <v>163</v>
      </c>
    </row>
    <row r="738" spans="1:16" x14ac:dyDescent="0.3">
      <c r="A738" t="s">
        <v>34</v>
      </c>
      <c r="B738">
        <v>15</v>
      </c>
      <c r="C738">
        <v>14</v>
      </c>
      <c r="D738">
        <v>14</v>
      </c>
      <c r="E738">
        <v>14</v>
      </c>
      <c r="F738">
        <v>14</v>
      </c>
      <c r="G738">
        <v>16</v>
      </c>
      <c r="H738">
        <v>16</v>
      </c>
      <c r="I738">
        <v>16</v>
      </c>
      <c r="J738">
        <v>16</v>
      </c>
      <c r="K738">
        <v>128</v>
      </c>
      <c r="L738">
        <v>128</v>
      </c>
      <c r="M738">
        <v>128</v>
      </c>
      <c r="N738">
        <v>129</v>
      </c>
      <c r="O738">
        <v>129</v>
      </c>
      <c r="P738">
        <v>129</v>
      </c>
    </row>
    <row r="739" spans="1:16" x14ac:dyDescent="0.3">
      <c r="A739" t="s">
        <v>35</v>
      </c>
      <c r="B739">
        <v>15</v>
      </c>
      <c r="C739">
        <v>14</v>
      </c>
      <c r="D739">
        <v>128</v>
      </c>
      <c r="E739">
        <v>16</v>
      </c>
      <c r="F739">
        <v>129</v>
      </c>
      <c r="G739">
        <v>16</v>
      </c>
      <c r="H739">
        <v>129</v>
      </c>
      <c r="I739">
        <v>14</v>
      </c>
      <c r="J739">
        <v>128</v>
      </c>
      <c r="K739">
        <v>16</v>
      </c>
      <c r="L739">
        <v>129</v>
      </c>
      <c r="M739">
        <v>14</v>
      </c>
      <c r="N739">
        <v>14</v>
      </c>
      <c r="O739">
        <v>128</v>
      </c>
      <c r="P739">
        <v>16</v>
      </c>
    </row>
    <row r="740" spans="1:16" x14ac:dyDescent="0.3">
      <c r="A740" t="s">
        <v>36</v>
      </c>
      <c r="B740">
        <v>15</v>
      </c>
      <c r="C740">
        <v>0</v>
      </c>
      <c r="D740">
        <v>2</v>
      </c>
      <c r="E740">
        <v>2</v>
      </c>
      <c r="F740">
        <v>1</v>
      </c>
      <c r="G740">
        <v>0</v>
      </c>
      <c r="H740">
        <v>1</v>
      </c>
      <c r="I740">
        <v>2</v>
      </c>
      <c r="J740">
        <v>1</v>
      </c>
      <c r="K740">
        <v>1</v>
      </c>
      <c r="L740">
        <v>1</v>
      </c>
      <c r="M740">
        <v>1</v>
      </c>
      <c r="N740">
        <v>1</v>
      </c>
      <c r="O740">
        <v>1</v>
      </c>
      <c r="P740">
        <v>1</v>
      </c>
    </row>
    <row r="741" spans="1:16" x14ac:dyDescent="0.3">
      <c r="A741" t="s">
        <v>37</v>
      </c>
      <c r="B741">
        <v>15</v>
      </c>
      <c r="D741">
        <v>0</v>
      </c>
      <c r="E741">
        <v>0</v>
      </c>
      <c r="H741">
        <v>0</v>
      </c>
      <c r="I741">
        <v>0</v>
      </c>
      <c r="K741">
        <v>0</v>
      </c>
      <c r="L741">
        <v>1</v>
      </c>
      <c r="N741">
        <v>0</v>
      </c>
      <c r="O741">
        <v>0</v>
      </c>
    </row>
    <row r="742" spans="1:16" x14ac:dyDescent="0.3">
      <c r="A742" t="s">
        <v>38</v>
      </c>
      <c r="B742">
        <v>15</v>
      </c>
      <c r="C742">
        <v>12</v>
      </c>
      <c r="D742">
        <v>12</v>
      </c>
      <c r="E742">
        <v>12</v>
      </c>
      <c r="F742">
        <v>12</v>
      </c>
      <c r="G742">
        <v>12</v>
      </c>
      <c r="H742">
        <v>12</v>
      </c>
      <c r="I742">
        <v>12</v>
      </c>
      <c r="J742">
        <v>12</v>
      </c>
      <c r="K742">
        <v>12</v>
      </c>
      <c r="L742">
        <v>12</v>
      </c>
      <c r="M742">
        <v>12</v>
      </c>
      <c r="N742">
        <v>12</v>
      </c>
      <c r="O742">
        <v>12</v>
      </c>
      <c r="P742">
        <v>12</v>
      </c>
    </row>
    <row r="743" spans="1:16" x14ac:dyDescent="0.3">
      <c r="A743" t="s">
        <v>39</v>
      </c>
      <c r="B743">
        <v>15</v>
      </c>
      <c r="D743">
        <v>300</v>
      </c>
      <c r="F743">
        <v>300</v>
      </c>
      <c r="H743">
        <v>300</v>
      </c>
      <c r="J743">
        <v>300</v>
      </c>
      <c r="K743">
        <v>400</v>
      </c>
      <c r="M743">
        <v>400</v>
      </c>
      <c r="N743">
        <v>300</v>
      </c>
      <c r="P743">
        <v>300</v>
      </c>
    </row>
    <row r="744" spans="1:16" x14ac:dyDescent="0.3">
      <c r="A744" t="s">
        <v>631</v>
      </c>
      <c r="B744">
        <v>15</v>
      </c>
      <c r="D744">
        <v>25</v>
      </c>
      <c r="F744">
        <v>25</v>
      </c>
      <c r="H744">
        <v>25</v>
      </c>
      <c r="J744">
        <v>25</v>
      </c>
      <c r="K744">
        <v>25</v>
      </c>
      <c r="M744">
        <v>25</v>
      </c>
      <c r="N744">
        <v>25</v>
      </c>
      <c r="P744">
        <v>25</v>
      </c>
    </row>
    <row r="745" spans="1:16" x14ac:dyDescent="0.3">
      <c r="A745" t="s">
        <v>40</v>
      </c>
      <c r="B745">
        <v>15</v>
      </c>
      <c r="D745">
        <v>2</v>
      </c>
      <c r="F745">
        <v>1</v>
      </c>
      <c r="H745">
        <v>1</v>
      </c>
      <c r="J745">
        <v>1</v>
      </c>
      <c r="K745">
        <v>1</v>
      </c>
      <c r="M745">
        <v>1</v>
      </c>
      <c r="N745">
        <v>1</v>
      </c>
      <c r="P745">
        <v>1</v>
      </c>
    </row>
    <row r="746" spans="1:16" x14ac:dyDescent="0.3">
      <c r="A746" t="s">
        <v>41</v>
      </c>
      <c r="B746">
        <v>15</v>
      </c>
    </row>
    <row r="747" spans="1:16" x14ac:dyDescent="0.3">
      <c r="A747" t="s">
        <v>42</v>
      </c>
      <c r="B747">
        <v>15</v>
      </c>
      <c r="E747">
        <v>45</v>
      </c>
      <c r="I747">
        <v>45</v>
      </c>
      <c r="L747">
        <v>30</v>
      </c>
      <c r="O747">
        <v>30</v>
      </c>
    </row>
    <row r="748" spans="1:16" x14ac:dyDescent="0.3">
      <c r="A748" t="s">
        <v>45</v>
      </c>
      <c r="B748">
        <v>15</v>
      </c>
      <c r="D748">
        <v>5</v>
      </c>
      <c r="E748">
        <v>2</v>
      </c>
      <c r="H748">
        <v>1</v>
      </c>
      <c r="I748">
        <v>6</v>
      </c>
      <c r="K748">
        <v>3</v>
      </c>
      <c r="L748">
        <v>3</v>
      </c>
      <c r="N748">
        <v>4</v>
      </c>
      <c r="O748">
        <v>4</v>
      </c>
    </row>
    <row r="749" spans="1:16" x14ac:dyDescent="0.3">
      <c r="A749" t="s">
        <v>46</v>
      </c>
      <c r="B749">
        <v>15</v>
      </c>
      <c r="F749">
        <v>2</v>
      </c>
      <c r="J749">
        <v>6</v>
      </c>
      <c r="M749">
        <v>3</v>
      </c>
      <c r="P749">
        <v>4</v>
      </c>
    </row>
    <row r="750" spans="1:16" x14ac:dyDescent="0.3">
      <c r="A750" t="s">
        <v>49</v>
      </c>
      <c r="B750">
        <v>15</v>
      </c>
      <c r="C750">
        <v>4</v>
      </c>
      <c r="D750">
        <v>6</v>
      </c>
      <c r="E750">
        <v>7.4</v>
      </c>
      <c r="F750">
        <v>7.4</v>
      </c>
      <c r="G750">
        <v>4</v>
      </c>
      <c r="H750">
        <v>6</v>
      </c>
      <c r="I750">
        <v>7.4</v>
      </c>
      <c r="J750">
        <v>7.4</v>
      </c>
      <c r="K750">
        <v>6.8</v>
      </c>
      <c r="L750">
        <v>6.8</v>
      </c>
      <c r="M750">
        <v>6.8</v>
      </c>
      <c r="N750">
        <v>6.8</v>
      </c>
      <c r="O750">
        <v>6.8</v>
      </c>
      <c r="P750">
        <v>6.8</v>
      </c>
    </row>
    <row r="751" spans="1:16" x14ac:dyDescent="0.3">
      <c r="A751" t="s">
        <v>632</v>
      </c>
      <c r="B751">
        <v>15</v>
      </c>
      <c r="C751">
        <v>0</v>
      </c>
      <c r="D751">
        <v>0</v>
      </c>
      <c r="E751">
        <v>0</v>
      </c>
      <c r="F751">
        <v>0</v>
      </c>
      <c r="G751">
        <v>0</v>
      </c>
      <c r="H751">
        <v>0</v>
      </c>
      <c r="I751">
        <v>0</v>
      </c>
      <c r="J751">
        <v>0</v>
      </c>
      <c r="K751">
        <v>0</v>
      </c>
      <c r="L751">
        <v>0</v>
      </c>
      <c r="M751">
        <v>0</v>
      </c>
      <c r="N751">
        <v>0</v>
      </c>
      <c r="O751">
        <v>0</v>
      </c>
      <c r="P751">
        <v>0</v>
      </c>
    </row>
    <row r="752" spans="1:16" x14ac:dyDescent="0.3">
      <c r="A752" t="s">
        <v>48</v>
      </c>
      <c r="B752">
        <v>15</v>
      </c>
      <c r="C752">
        <v>1900</v>
      </c>
      <c r="D752">
        <v>1900</v>
      </c>
      <c r="E752">
        <v>1900</v>
      </c>
      <c r="F752">
        <v>1900</v>
      </c>
      <c r="G752">
        <v>1900</v>
      </c>
      <c r="H752">
        <v>1900</v>
      </c>
      <c r="I752">
        <v>1900</v>
      </c>
      <c r="J752">
        <v>1900</v>
      </c>
      <c r="K752">
        <v>1900</v>
      </c>
      <c r="L752">
        <v>1900</v>
      </c>
      <c r="M752">
        <v>1900</v>
      </c>
      <c r="N752">
        <v>1900</v>
      </c>
      <c r="O752">
        <v>1900</v>
      </c>
      <c r="P752">
        <v>1900</v>
      </c>
    </row>
    <row r="753" spans="1:16" x14ac:dyDescent="0.3">
      <c r="A753" t="s">
        <v>633</v>
      </c>
      <c r="B753">
        <v>15</v>
      </c>
      <c r="C753">
        <v>0</v>
      </c>
      <c r="D753">
        <v>3433</v>
      </c>
      <c r="E753">
        <v>3539</v>
      </c>
      <c r="F753">
        <v>1583</v>
      </c>
      <c r="G753">
        <v>0</v>
      </c>
      <c r="H753">
        <v>1770</v>
      </c>
      <c r="I753">
        <v>3539</v>
      </c>
      <c r="J753">
        <v>1583</v>
      </c>
      <c r="K753">
        <v>1681</v>
      </c>
      <c r="L753">
        <v>1701</v>
      </c>
      <c r="M753">
        <v>1583</v>
      </c>
      <c r="N753">
        <v>1770</v>
      </c>
      <c r="O753">
        <v>1863</v>
      </c>
      <c r="P753">
        <v>1583</v>
      </c>
    </row>
    <row r="754" spans="1:16" x14ac:dyDescent="0.3">
      <c r="A754" t="s">
        <v>50</v>
      </c>
      <c r="B754">
        <v>15</v>
      </c>
      <c r="C754">
        <v>0</v>
      </c>
      <c r="D754">
        <v>3433</v>
      </c>
      <c r="E754">
        <v>3539</v>
      </c>
      <c r="F754">
        <v>1583</v>
      </c>
      <c r="G754">
        <v>0</v>
      </c>
      <c r="H754">
        <v>1770</v>
      </c>
      <c r="I754">
        <v>3539</v>
      </c>
      <c r="J754">
        <v>1583</v>
      </c>
      <c r="K754">
        <v>1681</v>
      </c>
      <c r="L754">
        <v>1701</v>
      </c>
      <c r="M754">
        <v>1583</v>
      </c>
      <c r="N754">
        <v>1770</v>
      </c>
      <c r="O754">
        <v>1863</v>
      </c>
      <c r="P754">
        <v>1583</v>
      </c>
    </row>
    <row r="755" spans="1:16" x14ac:dyDescent="0.3">
      <c r="A755" t="s">
        <v>634</v>
      </c>
      <c r="B755">
        <v>15</v>
      </c>
      <c r="C755">
        <v>1</v>
      </c>
      <c r="D755">
        <v>1</v>
      </c>
      <c r="E755">
        <v>1</v>
      </c>
      <c r="F755">
        <v>1</v>
      </c>
      <c r="G755">
        <v>1</v>
      </c>
      <c r="H755">
        <v>1</v>
      </c>
      <c r="I755">
        <v>1</v>
      </c>
      <c r="J755">
        <v>1</v>
      </c>
      <c r="K755">
        <v>1</v>
      </c>
      <c r="L755">
        <v>1</v>
      </c>
      <c r="M755">
        <v>1</v>
      </c>
      <c r="N755">
        <v>1</v>
      </c>
      <c r="O755">
        <v>1</v>
      </c>
      <c r="P755">
        <v>1</v>
      </c>
    </row>
    <row r="756" spans="1:16" x14ac:dyDescent="0.3">
      <c r="A756" t="s">
        <v>51</v>
      </c>
      <c r="B756">
        <v>15</v>
      </c>
      <c r="C756">
        <v>0</v>
      </c>
      <c r="D756">
        <v>0</v>
      </c>
      <c r="E756">
        <v>0</v>
      </c>
      <c r="F756">
        <v>151</v>
      </c>
      <c r="G756">
        <v>0</v>
      </c>
      <c r="H756">
        <v>0</v>
      </c>
      <c r="I756">
        <v>0</v>
      </c>
      <c r="J756">
        <v>151</v>
      </c>
      <c r="K756">
        <v>0</v>
      </c>
      <c r="L756">
        <v>0</v>
      </c>
      <c r="M756">
        <v>156</v>
      </c>
      <c r="N756">
        <v>0</v>
      </c>
      <c r="O756">
        <v>0</v>
      </c>
      <c r="P756">
        <v>156</v>
      </c>
    </row>
    <row r="757" spans="1:16" x14ac:dyDescent="0.3">
      <c r="A757" t="s">
        <v>53</v>
      </c>
      <c r="B757">
        <v>15</v>
      </c>
      <c r="C757">
        <v>0</v>
      </c>
      <c r="D757">
        <v>56</v>
      </c>
      <c r="E757">
        <v>1036</v>
      </c>
      <c r="F757">
        <v>5</v>
      </c>
      <c r="G757">
        <v>0</v>
      </c>
      <c r="H757">
        <v>5</v>
      </c>
      <c r="I757">
        <v>454</v>
      </c>
      <c r="J757">
        <v>48</v>
      </c>
      <c r="K757">
        <v>42</v>
      </c>
      <c r="L757">
        <v>5</v>
      </c>
      <c r="M757">
        <v>7</v>
      </c>
      <c r="N757">
        <v>23</v>
      </c>
      <c r="O757">
        <v>10</v>
      </c>
      <c r="P757">
        <v>15</v>
      </c>
    </row>
    <row r="758" spans="1:16" x14ac:dyDescent="0.3">
      <c r="A758" t="s">
        <v>54</v>
      </c>
      <c r="B758">
        <v>15</v>
      </c>
      <c r="C758">
        <v>0</v>
      </c>
      <c r="D758">
        <v>0</v>
      </c>
      <c r="E758">
        <v>0</v>
      </c>
      <c r="F758">
        <v>0</v>
      </c>
      <c r="G758">
        <v>0</v>
      </c>
      <c r="H758">
        <v>0</v>
      </c>
      <c r="I758">
        <v>0</v>
      </c>
      <c r="J758">
        <v>0</v>
      </c>
      <c r="K758">
        <v>0</v>
      </c>
      <c r="L758">
        <v>0</v>
      </c>
      <c r="M758">
        <v>0</v>
      </c>
      <c r="N758">
        <v>0</v>
      </c>
      <c r="O758">
        <v>0</v>
      </c>
      <c r="P758">
        <v>0</v>
      </c>
    </row>
    <row r="759" spans="1:16" x14ac:dyDescent="0.3">
      <c r="A759" t="s">
        <v>55</v>
      </c>
      <c r="B759">
        <v>15</v>
      </c>
      <c r="C759">
        <v>0</v>
      </c>
      <c r="D759">
        <v>0</v>
      </c>
      <c r="E759">
        <v>0</v>
      </c>
      <c r="F759">
        <v>0</v>
      </c>
      <c r="G759">
        <v>0</v>
      </c>
      <c r="H759">
        <v>0</v>
      </c>
      <c r="I759">
        <v>0</v>
      </c>
      <c r="J759">
        <v>0</v>
      </c>
      <c r="K759">
        <v>0</v>
      </c>
      <c r="L759">
        <v>0</v>
      </c>
      <c r="M759">
        <v>0</v>
      </c>
      <c r="N759">
        <v>0</v>
      </c>
      <c r="O759">
        <v>0</v>
      </c>
      <c r="P759">
        <v>0</v>
      </c>
    </row>
    <row r="760" spans="1:16" x14ac:dyDescent="0.3">
      <c r="A760" t="s">
        <v>56</v>
      </c>
      <c r="B760">
        <v>15</v>
      </c>
      <c r="C760">
        <v>0.92</v>
      </c>
      <c r="D760">
        <v>0.92</v>
      </c>
      <c r="E760">
        <v>0.92</v>
      </c>
      <c r="F760">
        <v>0.92</v>
      </c>
      <c r="G760">
        <v>0.92</v>
      </c>
      <c r="H760">
        <v>0.92</v>
      </c>
      <c r="I760">
        <v>0.92</v>
      </c>
      <c r="J760">
        <v>0.92</v>
      </c>
      <c r="K760">
        <v>0.92</v>
      </c>
      <c r="L760">
        <v>0.92</v>
      </c>
      <c r="M760">
        <v>0.92</v>
      </c>
      <c r="N760">
        <v>0.92</v>
      </c>
      <c r="O760">
        <v>0.92</v>
      </c>
      <c r="P760">
        <v>0.92</v>
      </c>
    </row>
    <row r="761" spans="1:16" x14ac:dyDescent="0.3">
      <c r="A761" t="s">
        <v>57</v>
      </c>
      <c r="B761">
        <v>15</v>
      </c>
      <c r="C761">
        <v>100</v>
      </c>
      <c r="D761">
        <v>100</v>
      </c>
      <c r="E761">
        <v>100</v>
      </c>
      <c r="F761">
        <v>100</v>
      </c>
      <c r="G761">
        <v>100</v>
      </c>
      <c r="H761">
        <v>100</v>
      </c>
      <c r="I761">
        <v>100</v>
      </c>
      <c r="J761">
        <v>100</v>
      </c>
      <c r="K761">
        <v>100</v>
      </c>
      <c r="L761">
        <v>100</v>
      </c>
      <c r="M761">
        <v>100</v>
      </c>
      <c r="N761">
        <v>100</v>
      </c>
      <c r="O761">
        <v>100</v>
      </c>
      <c r="P761">
        <v>100</v>
      </c>
    </row>
    <row r="762" spans="1:16" x14ac:dyDescent="0.3">
      <c r="A762" t="s">
        <v>58</v>
      </c>
      <c r="B762">
        <v>15</v>
      </c>
      <c r="C762">
        <v>2</v>
      </c>
      <c r="D762">
        <v>2</v>
      </c>
      <c r="E762">
        <v>2</v>
      </c>
      <c r="F762">
        <v>2</v>
      </c>
      <c r="G762">
        <v>2</v>
      </c>
      <c r="H762">
        <v>2</v>
      </c>
      <c r="I762">
        <v>2</v>
      </c>
      <c r="J762">
        <v>2</v>
      </c>
      <c r="K762">
        <v>2</v>
      </c>
      <c r="L762">
        <v>2</v>
      </c>
      <c r="M762">
        <v>2</v>
      </c>
      <c r="N762">
        <v>2</v>
      </c>
      <c r="O762">
        <v>2</v>
      </c>
      <c r="P762">
        <v>2</v>
      </c>
    </row>
    <row r="763" spans="1:16" x14ac:dyDescent="0.3">
      <c r="A763" t="s">
        <v>59</v>
      </c>
      <c r="B763">
        <v>15</v>
      </c>
      <c r="C763">
        <v>0</v>
      </c>
      <c r="D763">
        <v>0</v>
      </c>
      <c r="E763">
        <v>0</v>
      </c>
      <c r="F763">
        <v>0</v>
      </c>
      <c r="G763">
        <v>0</v>
      </c>
      <c r="H763">
        <v>0</v>
      </c>
      <c r="I763">
        <v>0</v>
      </c>
      <c r="J763">
        <v>0</v>
      </c>
      <c r="K763">
        <v>0</v>
      </c>
      <c r="L763">
        <v>0</v>
      </c>
      <c r="M763">
        <v>0</v>
      </c>
      <c r="N763">
        <v>0</v>
      </c>
      <c r="O763">
        <v>0</v>
      </c>
      <c r="P763">
        <v>0</v>
      </c>
    </row>
    <row r="764" spans="1:16" x14ac:dyDescent="0.3">
      <c r="A764" t="s">
        <v>635</v>
      </c>
      <c r="B764">
        <v>15</v>
      </c>
      <c r="E764">
        <v>0</v>
      </c>
      <c r="I764">
        <v>0</v>
      </c>
      <c r="L764">
        <v>0</v>
      </c>
      <c r="O764">
        <v>0</v>
      </c>
    </row>
    <row r="765" spans="1:16" x14ac:dyDescent="0.3">
      <c r="A765" t="s">
        <v>574</v>
      </c>
      <c r="B765">
        <v>15</v>
      </c>
      <c r="E765">
        <v>1896</v>
      </c>
      <c r="I765">
        <v>1304</v>
      </c>
      <c r="L765">
        <v>1000</v>
      </c>
      <c r="O765">
        <v>1155</v>
      </c>
    </row>
    <row r="766" spans="1:16" x14ac:dyDescent="0.3">
      <c r="A766" t="s">
        <v>78</v>
      </c>
      <c r="B766">
        <v>15</v>
      </c>
      <c r="E766">
        <v>28.7</v>
      </c>
      <c r="I766">
        <v>19.8</v>
      </c>
      <c r="L766">
        <v>22.7</v>
      </c>
      <c r="O766">
        <v>26.3</v>
      </c>
    </row>
    <row r="767" spans="1:16" x14ac:dyDescent="0.3">
      <c r="A767" t="s">
        <v>636</v>
      </c>
      <c r="B767">
        <v>15</v>
      </c>
      <c r="F767">
        <v>0</v>
      </c>
      <c r="J767">
        <v>1</v>
      </c>
      <c r="M767">
        <v>1</v>
      </c>
      <c r="P767">
        <v>1</v>
      </c>
    </row>
    <row r="768" spans="1:16" x14ac:dyDescent="0.3">
      <c r="A768" t="s">
        <v>637</v>
      </c>
      <c r="B768">
        <v>15</v>
      </c>
      <c r="J768">
        <v>100</v>
      </c>
      <c r="M768">
        <v>50</v>
      </c>
      <c r="P768">
        <v>50</v>
      </c>
    </row>
    <row r="769" spans="1:16" x14ac:dyDescent="0.3">
      <c r="A769" t="s">
        <v>638</v>
      </c>
      <c r="B769">
        <v>15</v>
      </c>
      <c r="J769">
        <v>0</v>
      </c>
      <c r="M769">
        <v>0</v>
      </c>
      <c r="P769">
        <v>0</v>
      </c>
    </row>
    <row r="770" spans="1:16" x14ac:dyDescent="0.3">
      <c r="A770" t="s">
        <v>639</v>
      </c>
      <c r="B770">
        <v>15</v>
      </c>
      <c r="C770">
        <v>3</v>
      </c>
      <c r="D770">
        <v>0</v>
      </c>
      <c r="E770">
        <v>0</v>
      </c>
      <c r="F770">
        <v>1</v>
      </c>
      <c r="G770">
        <v>3</v>
      </c>
      <c r="H770">
        <v>0</v>
      </c>
      <c r="I770">
        <v>0</v>
      </c>
      <c r="J770">
        <v>1</v>
      </c>
      <c r="K770">
        <v>0</v>
      </c>
      <c r="L770">
        <v>0</v>
      </c>
      <c r="M770">
        <v>1</v>
      </c>
      <c r="N770">
        <v>0</v>
      </c>
      <c r="O770">
        <v>0</v>
      </c>
      <c r="P770">
        <v>1</v>
      </c>
    </row>
    <row r="771" spans="1:16" x14ac:dyDescent="0.3">
      <c r="A771" t="s">
        <v>640</v>
      </c>
      <c r="B771">
        <v>15</v>
      </c>
      <c r="C771">
        <v>0</v>
      </c>
      <c r="D771">
        <v>0</v>
      </c>
      <c r="E771">
        <v>0</v>
      </c>
      <c r="F771">
        <v>0</v>
      </c>
      <c r="G771">
        <v>0</v>
      </c>
      <c r="H771">
        <v>0</v>
      </c>
      <c r="I771">
        <v>0</v>
      </c>
      <c r="J771">
        <v>0</v>
      </c>
      <c r="K771">
        <v>0</v>
      </c>
      <c r="L771">
        <v>0</v>
      </c>
      <c r="M771">
        <v>0</v>
      </c>
      <c r="N771">
        <v>0</v>
      </c>
      <c r="O771">
        <v>0</v>
      </c>
      <c r="P771">
        <v>0</v>
      </c>
    </row>
    <row r="772" spans="1:16" x14ac:dyDescent="0.3">
      <c r="A772" t="s">
        <v>52</v>
      </c>
      <c r="B772">
        <v>15</v>
      </c>
      <c r="C772">
        <v>1</v>
      </c>
      <c r="D772">
        <v>1</v>
      </c>
      <c r="E772">
        <v>1</v>
      </c>
      <c r="F772">
        <v>1</v>
      </c>
      <c r="G772">
        <v>1</v>
      </c>
      <c r="H772">
        <v>1</v>
      </c>
      <c r="I772">
        <v>1</v>
      </c>
      <c r="J772">
        <v>1</v>
      </c>
      <c r="K772">
        <v>1</v>
      </c>
      <c r="L772">
        <v>1</v>
      </c>
      <c r="M772">
        <v>1</v>
      </c>
      <c r="N772">
        <v>1</v>
      </c>
      <c r="O772">
        <v>1</v>
      </c>
      <c r="P772">
        <v>1</v>
      </c>
    </row>
    <row r="773" spans="1:16" x14ac:dyDescent="0.3">
      <c r="A773" t="s">
        <v>641</v>
      </c>
      <c r="B773">
        <v>15</v>
      </c>
      <c r="C773">
        <v>9</v>
      </c>
      <c r="D773">
        <v>15</v>
      </c>
      <c r="E773">
        <v>60</v>
      </c>
      <c r="F773">
        <v>9</v>
      </c>
      <c r="G773">
        <v>9</v>
      </c>
      <c r="H773">
        <v>15</v>
      </c>
      <c r="I773">
        <v>60</v>
      </c>
      <c r="J773">
        <v>9</v>
      </c>
      <c r="K773">
        <v>15</v>
      </c>
      <c r="L773">
        <v>60</v>
      </c>
      <c r="M773">
        <v>9</v>
      </c>
      <c r="N773">
        <v>15</v>
      </c>
      <c r="O773">
        <v>60</v>
      </c>
      <c r="P773">
        <v>9</v>
      </c>
    </row>
    <row r="774" spans="1:16" x14ac:dyDescent="0.3">
      <c r="A774" t="s">
        <v>43</v>
      </c>
      <c r="B774">
        <v>15</v>
      </c>
      <c r="D774">
        <v>40</v>
      </c>
      <c r="E774">
        <v>336</v>
      </c>
      <c r="F774">
        <v>0</v>
      </c>
      <c r="H774">
        <v>40</v>
      </c>
      <c r="I774">
        <v>336</v>
      </c>
      <c r="J774">
        <v>0</v>
      </c>
      <c r="K774">
        <v>40</v>
      </c>
      <c r="L774">
        <v>40</v>
      </c>
      <c r="M774">
        <v>0</v>
      </c>
      <c r="N774">
        <v>40</v>
      </c>
      <c r="O774">
        <v>40</v>
      </c>
      <c r="P774">
        <v>0</v>
      </c>
    </row>
    <row r="775" spans="1:16" x14ac:dyDescent="0.3">
      <c r="A775" t="s">
        <v>44</v>
      </c>
      <c r="B775">
        <v>15</v>
      </c>
      <c r="D775">
        <v>0</v>
      </c>
      <c r="E775">
        <v>0</v>
      </c>
      <c r="F775">
        <v>0</v>
      </c>
      <c r="H775">
        <v>0</v>
      </c>
      <c r="I775">
        <v>0</v>
      </c>
      <c r="J775">
        <v>0</v>
      </c>
      <c r="K775">
        <v>0</v>
      </c>
      <c r="L775">
        <v>0</v>
      </c>
      <c r="M775">
        <v>0</v>
      </c>
      <c r="N775">
        <v>0</v>
      </c>
      <c r="O775">
        <v>0</v>
      </c>
      <c r="P775">
        <v>0</v>
      </c>
    </row>
    <row r="776" spans="1:16" x14ac:dyDescent="0.3">
      <c r="A776" t="s">
        <v>47</v>
      </c>
      <c r="B776">
        <v>15</v>
      </c>
      <c r="D776">
        <v>5</v>
      </c>
      <c r="E776">
        <v>2</v>
      </c>
      <c r="F776">
        <v>2</v>
      </c>
      <c r="H776">
        <v>1</v>
      </c>
      <c r="I776">
        <v>6</v>
      </c>
      <c r="J776">
        <v>6</v>
      </c>
      <c r="K776">
        <v>3</v>
      </c>
      <c r="L776">
        <v>3</v>
      </c>
      <c r="M776">
        <v>3</v>
      </c>
      <c r="N776">
        <v>4</v>
      </c>
      <c r="O776">
        <v>4</v>
      </c>
      <c r="P776">
        <v>4</v>
      </c>
    </row>
    <row r="777" spans="1:16" x14ac:dyDescent="0.3">
      <c r="A777" t="s">
        <v>642</v>
      </c>
      <c r="B777">
        <v>15</v>
      </c>
      <c r="D777">
        <v>0</v>
      </c>
      <c r="E777">
        <v>0</v>
      </c>
      <c r="F777">
        <v>0</v>
      </c>
      <c r="H777">
        <v>0</v>
      </c>
      <c r="I777">
        <v>0</v>
      </c>
      <c r="J777">
        <v>0</v>
      </c>
      <c r="K777">
        <v>0</v>
      </c>
      <c r="L777">
        <v>0</v>
      </c>
      <c r="M777">
        <v>0</v>
      </c>
      <c r="N777">
        <v>0</v>
      </c>
      <c r="O777">
        <v>0</v>
      </c>
      <c r="P777">
        <v>0</v>
      </c>
    </row>
    <row r="778" spans="1:16" x14ac:dyDescent="0.3">
      <c r="A778" t="s">
        <v>643</v>
      </c>
      <c r="B778">
        <v>15</v>
      </c>
      <c r="D778">
        <v>0</v>
      </c>
      <c r="E778">
        <v>0</v>
      </c>
      <c r="F778">
        <v>0</v>
      </c>
      <c r="H778">
        <v>0</v>
      </c>
      <c r="I778">
        <v>0</v>
      </c>
      <c r="J778">
        <v>0</v>
      </c>
      <c r="K778">
        <v>0</v>
      </c>
      <c r="L778">
        <v>0</v>
      </c>
      <c r="M778">
        <v>0</v>
      </c>
      <c r="N778">
        <v>0</v>
      </c>
      <c r="O778">
        <v>0</v>
      </c>
      <c r="P778">
        <v>0</v>
      </c>
    </row>
    <row r="779" spans="1:16" x14ac:dyDescent="0.3">
      <c r="A779" t="s">
        <v>644</v>
      </c>
      <c r="B779">
        <v>15</v>
      </c>
      <c r="D779">
        <v>0</v>
      </c>
      <c r="E779">
        <v>0</v>
      </c>
      <c r="F779">
        <v>0</v>
      </c>
      <c r="H779">
        <v>0</v>
      </c>
      <c r="I779">
        <v>0</v>
      </c>
      <c r="J779">
        <v>0</v>
      </c>
      <c r="K779">
        <v>0</v>
      </c>
      <c r="L779">
        <v>0</v>
      </c>
      <c r="M779">
        <v>0</v>
      </c>
      <c r="N779">
        <v>0</v>
      </c>
      <c r="O779">
        <v>0</v>
      </c>
      <c r="P779">
        <v>0</v>
      </c>
    </row>
    <row r="780" spans="1:16" x14ac:dyDescent="0.3">
      <c r="A780" t="s">
        <v>645</v>
      </c>
      <c r="B780">
        <v>15</v>
      </c>
      <c r="D780">
        <v>0</v>
      </c>
      <c r="E780">
        <v>0</v>
      </c>
      <c r="F780">
        <v>0</v>
      </c>
      <c r="H780">
        <v>0</v>
      </c>
      <c r="I780">
        <v>0</v>
      </c>
      <c r="J780">
        <v>0</v>
      </c>
      <c r="K780">
        <v>0</v>
      </c>
      <c r="L780">
        <v>0</v>
      </c>
      <c r="M780">
        <v>0</v>
      </c>
      <c r="N780">
        <v>0</v>
      </c>
      <c r="O780">
        <v>0</v>
      </c>
      <c r="P780">
        <v>0</v>
      </c>
    </row>
    <row r="781" spans="1:16" x14ac:dyDescent="0.3">
      <c r="A781" t="s">
        <v>646</v>
      </c>
      <c r="B781">
        <v>15</v>
      </c>
      <c r="D781">
        <v>1</v>
      </c>
      <c r="E781">
        <v>2</v>
      </c>
      <c r="F781">
        <v>1</v>
      </c>
      <c r="H781">
        <v>1</v>
      </c>
      <c r="I781">
        <v>2</v>
      </c>
      <c r="J781">
        <v>1</v>
      </c>
      <c r="K781">
        <v>1</v>
      </c>
      <c r="L781">
        <v>1</v>
      </c>
      <c r="M781">
        <v>1</v>
      </c>
      <c r="N781">
        <v>1</v>
      </c>
      <c r="O781">
        <v>1</v>
      </c>
      <c r="P781">
        <v>1</v>
      </c>
    </row>
    <row r="782" spans="1:16" x14ac:dyDescent="0.3">
      <c r="A782" t="s">
        <v>647</v>
      </c>
      <c r="B782">
        <v>15</v>
      </c>
      <c r="D782">
        <v>0</v>
      </c>
      <c r="E782">
        <v>330</v>
      </c>
      <c r="F782">
        <v>0</v>
      </c>
      <c r="H782">
        <v>0</v>
      </c>
      <c r="I782">
        <v>330</v>
      </c>
      <c r="J782">
        <v>0</v>
      </c>
      <c r="K782">
        <v>0</v>
      </c>
      <c r="L782">
        <v>0</v>
      </c>
      <c r="M782">
        <v>0</v>
      </c>
      <c r="N782">
        <v>0</v>
      </c>
      <c r="O782">
        <v>0</v>
      </c>
      <c r="P782">
        <v>0</v>
      </c>
    </row>
    <row r="783" spans="1:16" x14ac:dyDescent="0.3">
      <c r="A783" t="s">
        <v>648</v>
      </c>
      <c r="B783">
        <v>15</v>
      </c>
      <c r="D783">
        <v>40</v>
      </c>
      <c r="E783">
        <v>6</v>
      </c>
      <c r="F783">
        <v>0</v>
      </c>
      <c r="H783">
        <v>40</v>
      </c>
      <c r="I783">
        <v>6</v>
      </c>
      <c r="J783">
        <v>0</v>
      </c>
      <c r="K783">
        <v>40</v>
      </c>
      <c r="L783">
        <v>40</v>
      </c>
      <c r="M783">
        <v>0</v>
      </c>
      <c r="N783">
        <v>40</v>
      </c>
      <c r="O783">
        <v>40</v>
      </c>
      <c r="P783">
        <v>0</v>
      </c>
    </row>
    <row r="784" spans="1:16" x14ac:dyDescent="0.3">
      <c r="A784" t="s">
        <v>649</v>
      </c>
      <c r="B784">
        <v>15</v>
      </c>
      <c r="D784">
        <v>3</v>
      </c>
      <c r="E784">
        <v>3</v>
      </c>
      <c r="F784">
        <v>3</v>
      </c>
      <c r="H784">
        <v>3</v>
      </c>
      <c r="I784">
        <v>3</v>
      </c>
      <c r="J784">
        <v>3</v>
      </c>
      <c r="K784">
        <v>3</v>
      </c>
      <c r="L784">
        <v>3</v>
      </c>
      <c r="M784">
        <v>3</v>
      </c>
      <c r="N784">
        <v>3</v>
      </c>
      <c r="O784">
        <v>3</v>
      </c>
      <c r="P784">
        <v>3</v>
      </c>
    </row>
    <row r="785" spans="1:16" x14ac:dyDescent="0.3">
      <c r="A785" t="s">
        <v>650</v>
      </c>
      <c r="B785">
        <v>15</v>
      </c>
      <c r="D785">
        <v>0</v>
      </c>
      <c r="E785">
        <v>0</v>
      </c>
      <c r="F785">
        <v>0</v>
      </c>
      <c r="H785">
        <v>0</v>
      </c>
      <c r="I785">
        <v>0</v>
      </c>
      <c r="J785">
        <v>0</v>
      </c>
      <c r="K785">
        <v>0</v>
      </c>
      <c r="L785">
        <v>0</v>
      </c>
      <c r="M785">
        <v>0</v>
      </c>
      <c r="N785">
        <v>0</v>
      </c>
      <c r="O785">
        <v>0</v>
      </c>
      <c r="P785">
        <v>0</v>
      </c>
    </row>
    <row r="786" spans="1:16" x14ac:dyDescent="0.3">
      <c r="A786" t="s">
        <v>651</v>
      </c>
      <c r="B786">
        <v>15</v>
      </c>
      <c r="D786">
        <v>0</v>
      </c>
      <c r="E786">
        <v>0</v>
      </c>
      <c r="F786">
        <v>0</v>
      </c>
      <c r="H786">
        <v>0</v>
      </c>
      <c r="I786">
        <v>0</v>
      </c>
      <c r="J786">
        <v>0</v>
      </c>
      <c r="K786">
        <v>0</v>
      </c>
      <c r="L786">
        <v>0</v>
      </c>
      <c r="M786">
        <v>0</v>
      </c>
      <c r="N786">
        <v>0</v>
      </c>
      <c r="O786">
        <v>0</v>
      </c>
      <c r="P786">
        <v>0</v>
      </c>
    </row>
    <row r="787" spans="1:16" x14ac:dyDescent="0.3">
      <c r="A787" t="s">
        <v>652</v>
      </c>
      <c r="B787">
        <v>15</v>
      </c>
      <c r="D787">
        <v>0</v>
      </c>
      <c r="E787">
        <v>0</v>
      </c>
      <c r="F787">
        <v>0</v>
      </c>
      <c r="H787">
        <v>0</v>
      </c>
      <c r="I787">
        <v>0</v>
      </c>
      <c r="J787">
        <v>0</v>
      </c>
      <c r="K787">
        <v>0</v>
      </c>
      <c r="L787">
        <v>0</v>
      </c>
      <c r="M787">
        <v>0</v>
      </c>
      <c r="N787">
        <v>0</v>
      </c>
      <c r="O787">
        <v>0</v>
      </c>
      <c r="P787">
        <v>0</v>
      </c>
    </row>
    <row r="788" spans="1:16" x14ac:dyDescent="0.3">
      <c r="A788" t="s">
        <v>653</v>
      </c>
      <c r="B788">
        <v>15</v>
      </c>
      <c r="E788">
        <v>0</v>
      </c>
      <c r="I788">
        <v>0</v>
      </c>
    </row>
    <row r="789" spans="1:16" x14ac:dyDescent="0.3">
      <c r="A789" t="s">
        <v>654</v>
      </c>
      <c r="B789">
        <v>15</v>
      </c>
      <c r="E789">
        <v>0</v>
      </c>
      <c r="I789">
        <v>0</v>
      </c>
    </row>
    <row r="790" spans="1:16" x14ac:dyDescent="0.3">
      <c r="A790" t="s">
        <v>655</v>
      </c>
      <c r="B790">
        <v>15</v>
      </c>
      <c r="E790">
        <v>3</v>
      </c>
      <c r="I790">
        <v>3</v>
      </c>
    </row>
    <row r="791" spans="1:16" x14ac:dyDescent="0.3">
      <c r="A791" t="s">
        <v>656</v>
      </c>
      <c r="B791">
        <v>15</v>
      </c>
      <c r="E791">
        <v>0</v>
      </c>
      <c r="I791">
        <v>0</v>
      </c>
    </row>
    <row r="792" spans="1:16" x14ac:dyDescent="0.3">
      <c r="A792" t="s">
        <v>657</v>
      </c>
      <c r="B792">
        <v>15</v>
      </c>
      <c r="E792">
        <v>0</v>
      </c>
      <c r="I792">
        <v>0</v>
      </c>
      <c r="L792">
        <v>0</v>
      </c>
      <c r="O792">
        <v>0</v>
      </c>
    </row>
    <row r="793" spans="1:16" x14ac:dyDescent="0.3">
      <c r="A793" t="s">
        <v>408</v>
      </c>
      <c r="B793">
        <v>15</v>
      </c>
      <c r="E793">
        <v>0</v>
      </c>
    </row>
    <row r="794" spans="1:16" x14ac:dyDescent="0.3">
      <c r="A794" t="s">
        <v>659</v>
      </c>
      <c r="B794">
        <v>15</v>
      </c>
      <c r="K794">
        <v>45</v>
      </c>
    </row>
    <row r="795" spans="1:16" x14ac:dyDescent="0.3">
      <c r="A795" t="s">
        <v>658</v>
      </c>
      <c r="B795">
        <v>15</v>
      </c>
      <c r="C795">
        <v>0</v>
      </c>
      <c r="D795">
        <v>61</v>
      </c>
      <c r="E795">
        <v>1126</v>
      </c>
      <c r="F795">
        <v>5</v>
      </c>
      <c r="G795">
        <v>0</v>
      </c>
      <c r="H795">
        <v>5</v>
      </c>
      <c r="I795">
        <v>493</v>
      </c>
      <c r="J795">
        <v>52</v>
      </c>
      <c r="K795">
        <v>25</v>
      </c>
      <c r="L795">
        <v>26</v>
      </c>
      <c r="M795">
        <v>8</v>
      </c>
      <c r="N795">
        <v>25</v>
      </c>
      <c r="O795">
        <v>11</v>
      </c>
      <c r="P795">
        <v>16</v>
      </c>
    </row>
    <row r="796" spans="1:16" x14ac:dyDescent="0.3">
      <c r="A796" t="s">
        <v>34</v>
      </c>
      <c r="B796">
        <v>16</v>
      </c>
      <c r="C796">
        <v>15</v>
      </c>
      <c r="D796">
        <v>15</v>
      </c>
      <c r="E796">
        <v>15</v>
      </c>
      <c r="F796">
        <v>15</v>
      </c>
      <c r="G796">
        <v>19</v>
      </c>
      <c r="H796">
        <v>19</v>
      </c>
      <c r="I796">
        <v>19</v>
      </c>
      <c r="J796">
        <v>19</v>
      </c>
      <c r="K796">
        <v>130</v>
      </c>
      <c r="L796">
        <v>130</v>
      </c>
      <c r="M796">
        <v>130</v>
      </c>
      <c r="N796">
        <v>131</v>
      </c>
      <c r="O796">
        <v>131</v>
      </c>
      <c r="P796">
        <v>131</v>
      </c>
    </row>
    <row r="797" spans="1:16" x14ac:dyDescent="0.3">
      <c r="A797" t="s">
        <v>35</v>
      </c>
      <c r="B797">
        <v>16</v>
      </c>
      <c r="C797">
        <v>15</v>
      </c>
      <c r="D797">
        <v>130</v>
      </c>
      <c r="E797">
        <v>19</v>
      </c>
      <c r="F797">
        <v>131</v>
      </c>
      <c r="G797">
        <v>19</v>
      </c>
      <c r="H797">
        <v>131</v>
      </c>
      <c r="I797">
        <v>15</v>
      </c>
      <c r="J797">
        <v>130</v>
      </c>
      <c r="K797">
        <v>19</v>
      </c>
      <c r="L797">
        <v>131</v>
      </c>
      <c r="M797">
        <v>15</v>
      </c>
      <c r="N797">
        <v>15</v>
      </c>
      <c r="O797">
        <v>130</v>
      </c>
      <c r="P797">
        <v>19</v>
      </c>
    </row>
    <row r="798" spans="1:16" x14ac:dyDescent="0.3">
      <c r="A798" t="s">
        <v>36</v>
      </c>
      <c r="B798">
        <v>16</v>
      </c>
      <c r="C798">
        <v>0</v>
      </c>
      <c r="D798">
        <v>1</v>
      </c>
      <c r="E798">
        <v>2</v>
      </c>
      <c r="F798">
        <v>1</v>
      </c>
      <c r="G798">
        <v>0</v>
      </c>
      <c r="H798">
        <v>1</v>
      </c>
      <c r="I798">
        <v>2</v>
      </c>
      <c r="J798">
        <v>1</v>
      </c>
      <c r="K798">
        <v>0</v>
      </c>
      <c r="L798">
        <v>1</v>
      </c>
      <c r="M798">
        <v>1</v>
      </c>
      <c r="N798">
        <v>0</v>
      </c>
      <c r="O798">
        <v>1</v>
      </c>
      <c r="P798">
        <v>1</v>
      </c>
    </row>
    <row r="799" spans="1:16" x14ac:dyDescent="0.3">
      <c r="A799" t="s">
        <v>37</v>
      </c>
      <c r="B799">
        <v>16</v>
      </c>
      <c r="D799">
        <v>0</v>
      </c>
      <c r="E799">
        <v>0</v>
      </c>
      <c r="H799">
        <v>0</v>
      </c>
      <c r="I799">
        <v>0</v>
      </c>
      <c r="K799">
        <v>0</v>
      </c>
      <c r="L799">
        <v>1</v>
      </c>
      <c r="N799">
        <v>0</v>
      </c>
      <c r="O799">
        <v>1</v>
      </c>
    </row>
    <row r="800" spans="1:16" x14ac:dyDescent="0.3">
      <c r="A800" t="s">
        <v>38</v>
      </c>
      <c r="B800">
        <v>16</v>
      </c>
      <c r="C800">
        <v>12</v>
      </c>
      <c r="D800">
        <v>12</v>
      </c>
      <c r="E800">
        <v>12</v>
      </c>
      <c r="F800">
        <v>12</v>
      </c>
      <c r="G800">
        <v>12</v>
      </c>
      <c r="H800">
        <v>12</v>
      </c>
      <c r="I800">
        <v>12</v>
      </c>
      <c r="J800">
        <v>12</v>
      </c>
      <c r="K800">
        <v>12</v>
      </c>
      <c r="L800">
        <v>12</v>
      </c>
      <c r="M800">
        <v>12</v>
      </c>
      <c r="N800">
        <v>12</v>
      </c>
      <c r="O800">
        <v>12</v>
      </c>
      <c r="P800">
        <v>12</v>
      </c>
    </row>
    <row r="801" spans="1:16" x14ac:dyDescent="0.3">
      <c r="A801" t="s">
        <v>39</v>
      </c>
      <c r="B801">
        <v>16</v>
      </c>
      <c r="D801">
        <v>200</v>
      </c>
      <c r="F801">
        <v>200</v>
      </c>
      <c r="H801">
        <v>200</v>
      </c>
      <c r="J801">
        <v>200</v>
      </c>
      <c r="M801">
        <v>150</v>
      </c>
      <c r="P801">
        <v>150</v>
      </c>
    </row>
    <row r="802" spans="1:16" x14ac:dyDescent="0.3">
      <c r="A802" t="s">
        <v>631</v>
      </c>
      <c r="B802">
        <v>16</v>
      </c>
      <c r="D802">
        <v>25</v>
      </c>
      <c r="F802">
        <v>25</v>
      </c>
      <c r="H802">
        <v>25</v>
      </c>
      <c r="J802">
        <v>25</v>
      </c>
      <c r="M802">
        <v>25</v>
      </c>
      <c r="P802">
        <v>25</v>
      </c>
    </row>
    <row r="803" spans="1:16" x14ac:dyDescent="0.3">
      <c r="A803" t="s">
        <v>40</v>
      </c>
      <c r="B803">
        <v>16</v>
      </c>
      <c r="D803">
        <v>1</v>
      </c>
      <c r="F803">
        <v>1</v>
      </c>
      <c r="H803">
        <v>1</v>
      </c>
      <c r="J803">
        <v>1</v>
      </c>
      <c r="M803">
        <v>1</v>
      </c>
      <c r="P803">
        <v>1</v>
      </c>
    </row>
    <row r="804" spans="1:16" x14ac:dyDescent="0.3">
      <c r="A804" t="s">
        <v>41</v>
      </c>
      <c r="B804">
        <v>16</v>
      </c>
    </row>
    <row r="805" spans="1:16" x14ac:dyDescent="0.3">
      <c r="A805" t="s">
        <v>42</v>
      </c>
      <c r="B805">
        <v>16</v>
      </c>
      <c r="E805">
        <v>45</v>
      </c>
      <c r="I805">
        <v>55</v>
      </c>
      <c r="L805">
        <v>30</v>
      </c>
      <c r="O805">
        <v>30</v>
      </c>
    </row>
    <row r="806" spans="1:16" x14ac:dyDescent="0.3">
      <c r="A806" t="s">
        <v>45</v>
      </c>
      <c r="B806">
        <v>16</v>
      </c>
      <c r="E806">
        <v>6</v>
      </c>
      <c r="H806">
        <v>5</v>
      </c>
      <c r="I806">
        <v>2</v>
      </c>
      <c r="L806">
        <v>8</v>
      </c>
      <c r="O806">
        <v>4</v>
      </c>
    </row>
    <row r="807" spans="1:16" x14ac:dyDescent="0.3">
      <c r="A807" t="s">
        <v>46</v>
      </c>
      <c r="B807">
        <v>16</v>
      </c>
      <c r="D807">
        <v>6</v>
      </c>
      <c r="F807">
        <v>6</v>
      </c>
      <c r="H807">
        <v>2</v>
      </c>
      <c r="J807">
        <v>2</v>
      </c>
      <c r="K807">
        <v>8</v>
      </c>
      <c r="M807">
        <v>8</v>
      </c>
      <c r="N807">
        <v>4</v>
      </c>
      <c r="P807">
        <v>4</v>
      </c>
    </row>
    <row r="808" spans="1:16" x14ac:dyDescent="0.3">
      <c r="A808" t="s">
        <v>49</v>
      </c>
      <c r="B808">
        <v>16</v>
      </c>
      <c r="C808">
        <v>4</v>
      </c>
      <c r="D808">
        <v>6.5</v>
      </c>
      <c r="E808">
        <v>6.5</v>
      </c>
      <c r="F808">
        <v>6.5</v>
      </c>
      <c r="G808">
        <v>4</v>
      </c>
      <c r="H808">
        <v>4</v>
      </c>
      <c r="I808">
        <v>6.5</v>
      </c>
      <c r="J808">
        <v>6.5</v>
      </c>
      <c r="K808">
        <v>6.6</v>
      </c>
      <c r="L808">
        <v>6.6</v>
      </c>
      <c r="M808">
        <v>6.6</v>
      </c>
      <c r="N808">
        <v>6.6</v>
      </c>
      <c r="O808">
        <v>6.6</v>
      </c>
      <c r="P808">
        <v>6.6</v>
      </c>
    </row>
    <row r="809" spans="1:16" x14ac:dyDescent="0.3">
      <c r="A809" t="s">
        <v>632</v>
      </c>
      <c r="B809">
        <v>16</v>
      </c>
      <c r="C809">
        <v>0</v>
      </c>
      <c r="D809">
        <v>0</v>
      </c>
      <c r="E809">
        <v>0</v>
      </c>
      <c r="F809">
        <v>0</v>
      </c>
      <c r="G809">
        <v>0</v>
      </c>
      <c r="H809">
        <v>0</v>
      </c>
      <c r="I809">
        <v>0</v>
      </c>
      <c r="J809">
        <v>0</v>
      </c>
      <c r="K809">
        <v>0</v>
      </c>
      <c r="L809">
        <v>0</v>
      </c>
      <c r="M809">
        <v>0</v>
      </c>
      <c r="N809">
        <v>0</v>
      </c>
      <c r="O809">
        <v>0</v>
      </c>
      <c r="P809">
        <v>0</v>
      </c>
    </row>
    <row r="810" spans="1:16" x14ac:dyDescent="0.3">
      <c r="A810" t="s">
        <v>48</v>
      </c>
      <c r="B810">
        <v>16</v>
      </c>
      <c r="C810">
        <v>1900</v>
      </c>
      <c r="D810">
        <v>1900</v>
      </c>
      <c r="E810">
        <v>1900</v>
      </c>
      <c r="F810">
        <v>1900</v>
      </c>
      <c r="G810">
        <v>1900</v>
      </c>
      <c r="H810">
        <v>1900</v>
      </c>
      <c r="I810">
        <v>1900</v>
      </c>
      <c r="J810">
        <v>1900</v>
      </c>
      <c r="K810">
        <v>1900</v>
      </c>
      <c r="L810">
        <v>1900</v>
      </c>
      <c r="M810">
        <v>1900</v>
      </c>
      <c r="N810">
        <v>1900</v>
      </c>
      <c r="O810">
        <v>1900</v>
      </c>
      <c r="P810">
        <v>1900</v>
      </c>
    </row>
    <row r="811" spans="1:16" x14ac:dyDescent="0.3">
      <c r="A811" t="s">
        <v>633</v>
      </c>
      <c r="B811">
        <v>16</v>
      </c>
      <c r="C811">
        <v>0</v>
      </c>
      <c r="D811">
        <v>1770</v>
      </c>
      <c r="E811">
        <v>3539</v>
      </c>
      <c r="F811">
        <v>1583</v>
      </c>
      <c r="G811">
        <v>0</v>
      </c>
      <c r="H811">
        <v>1770</v>
      </c>
      <c r="I811">
        <v>3539</v>
      </c>
      <c r="J811">
        <v>1583</v>
      </c>
      <c r="K811">
        <v>0</v>
      </c>
      <c r="L811">
        <v>1809</v>
      </c>
      <c r="M811">
        <v>1583</v>
      </c>
      <c r="N811">
        <v>0</v>
      </c>
      <c r="O811">
        <v>1809</v>
      </c>
      <c r="P811">
        <v>1583</v>
      </c>
    </row>
    <row r="812" spans="1:16" x14ac:dyDescent="0.3">
      <c r="A812" t="s">
        <v>50</v>
      </c>
      <c r="B812">
        <v>16</v>
      </c>
      <c r="C812">
        <v>0</v>
      </c>
      <c r="D812">
        <v>794</v>
      </c>
      <c r="E812">
        <v>3539</v>
      </c>
      <c r="F812">
        <v>1583</v>
      </c>
      <c r="G812">
        <v>0</v>
      </c>
      <c r="H812">
        <v>421</v>
      </c>
      <c r="I812">
        <v>3539</v>
      </c>
      <c r="J812">
        <v>1583</v>
      </c>
      <c r="K812">
        <v>0</v>
      </c>
      <c r="L812">
        <v>1494</v>
      </c>
      <c r="M812">
        <v>1583</v>
      </c>
      <c r="N812">
        <v>0</v>
      </c>
      <c r="O812">
        <v>1494</v>
      </c>
      <c r="P812">
        <v>1583</v>
      </c>
    </row>
    <row r="813" spans="1:16" x14ac:dyDescent="0.3">
      <c r="A813" t="s">
        <v>634</v>
      </c>
      <c r="B813">
        <v>16</v>
      </c>
      <c r="C813">
        <v>1</v>
      </c>
      <c r="D813">
        <v>1</v>
      </c>
      <c r="E813">
        <v>1</v>
      </c>
      <c r="F813">
        <v>1</v>
      </c>
      <c r="G813">
        <v>1</v>
      </c>
      <c r="H813">
        <v>1</v>
      </c>
      <c r="I813">
        <v>1</v>
      </c>
      <c r="J813">
        <v>1</v>
      </c>
      <c r="K813">
        <v>1</v>
      </c>
      <c r="L813">
        <v>1</v>
      </c>
      <c r="M813">
        <v>1</v>
      </c>
      <c r="N813">
        <v>1</v>
      </c>
      <c r="O813">
        <v>1</v>
      </c>
      <c r="P813">
        <v>1</v>
      </c>
    </row>
    <row r="814" spans="1:16" x14ac:dyDescent="0.3">
      <c r="A814" t="s">
        <v>51</v>
      </c>
      <c r="B814">
        <v>16</v>
      </c>
      <c r="C814">
        <v>0</v>
      </c>
      <c r="D814">
        <v>0</v>
      </c>
      <c r="E814">
        <v>0</v>
      </c>
      <c r="F814">
        <v>69</v>
      </c>
      <c r="G814">
        <v>0</v>
      </c>
      <c r="H814">
        <v>0</v>
      </c>
      <c r="I814">
        <v>0</v>
      </c>
      <c r="J814">
        <v>33</v>
      </c>
      <c r="K814">
        <v>0</v>
      </c>
      <c r="L814">
        <v>0</v>
      </c>
      <c r="M814">
        <v>68</v>
      </c>
      <c r="N814">
        <v>0</v>
      </c>
      <c r="O814">
        <v>0</v>
      </c>
      <c r="P814">
        <v>68</v>
      </c>
    </row>
    <row r="815" spans="1:16" x14ac:dyDescent="0.3">
      <c r="A815" t="s">
        <v>53</v>
      </c>
      <c r="B815">
        <v>16</v>
      </c>
      <c r="C815">
        <v>0</v>
      </c>
      <c r="D815">
        <v>15</v>
      </c>
      <c r="E815">
        <v>1050</v>
      </c>
      <c r="F815">
        <v>5</v>
      </c>
      <c r="G815">
        <v>0</v>
      </c>
      <c r="H815">
        <v>8</v>
      </c>
      <c r="I815">
        <v>550</v>
      </c>
      <c r="J815">
        <v>5</v>
      </c>
      <c r="K815">
        <v>15</v>
      </c>
      <c r="L815">
        <v>10</v>
      </c>
      <c r="M815">
        <v>10</v>
      </c>
      <c r="N815">
        <v>15</v>
      </c>
      <c r="O815">
        <v>10</v>
      </c>
      <c r="P815">
        <v>15</v>
      </c>
    </row>
    <row r="816" spans="1:16" x14ac:dyDescent="0.3">
      <c r="A816" t="s">
        <v>54</v>
      </c>
      <c r="B816">
        <v>16</v>
      </c>
      <c r="C816">
        <v>0</v>
      </c>
      <c r="D816">
        <v>0</v>
      </c>
      <c r="E816">
        <v>0</v>
      </c>
      <c r="F816">
        <v>0</v>
      </c>
      <c r="G816">
        <v>0</v>
      </c>
      <c r="H816">
        <v>0</v>
      </c>
      <c r="I816">
        <v>0</v>
      </c>
      <c r="J816">
        <v>0</v>
      </c>
      <c r="K816">
        <v>0</v>
      </c>
      <c r="L816">
        <v>0</v>
      </c>
      <c r="M816">
        <v>0</v>
      </c>
      <c r="N816">
        <v>0</v>
      </c>
      <c r="O816">
        <v>0</v>
      </c>
      <c r="P816">
        <v>0</v>
      </c>
    </row>
    <row r="817" spans="1:16" x14ac:dyDescent="0.3">
      <c r="A817" t="s">
        <v>55</v>
      </c>
      <c r="B817">
        <v>16</v>
      </c>
      <c r="C817">
        <v>0</v>
      </c>
      <c r="D817">
        <v>0</v>
      </c>
      <c r="E817">
        <v>0</v>
      </c>
      <c r="F817">
        <v>0</v>
      </c>
      <c r="G817">
        <v>0</v>
      </c>
      <c r="H817">
        <v>0</v>
      </c>
      <c r="I817">
        <v>0</v>
      </c>
      <c r="J817">
        <v>0</v>
      </c>
      <c r="K817">
        <v>0</v>
      </c>
      <c r="L817">
        <v>0</v>
      </c>
      <c r="M817">
        <v>0</v>
      </c>
      <c r="N817">
        <v>0</v>
      </c>
      <c r="O817">
        <v>0</v>
      </c>
      <c r="P817">
        <v>0</v>
      </c>
    </row>
    <row r="818" spans="1:16" x14ac:dyDescent="0.3">
      <c r="A818" t="s">
        <v>56</v>
      </c>
      <c r="B818">
        <v>16</v>
      </c>
      <c r="C818">
        <v>0.92</v>
      </c>
      <c r="D818">
        <v>0.92</v>
      </c>
      <c r="E818">
        <v>0.92</v>
      </c>
      <c r="F818">
        <v>0.92</v>
      </c>
      <c r="G818">
        <v>0.92</v>
      </c>
      <c r="H818">
        <v>0.92</v>
      </c>
      <c r="I818">
        <v>0.92</v>
      </c>
      <c r="J818">
        <v>0.92</v>
      </c>
      <c r="K818">
        <v>0.92</v>
      </c>
      <c r="L818">
        <v>0.92</v>
      </c>
      <c r="M818">
        <v>0.92</v>
      </c>
      <c r="N818">
        <v>0.92</v>
      </c>
      <c r="O818">
        <v>0.92</v>
      </c>
      <c r="P818">
        <v>0.92</v>
      </c>
    </row>
    <row r="819" spans="1:16" x14ac:dyDescent="0.3">
      <c r="A819" t="s">
        <v>57</v>
      </c>
      <c r="B819">
        <v>16</v>
      </c>
      <c r="C819">
        <v>100</v>
      </c>
      <c r="D819">
        <v>100</v>
      </c>
      <c r="E819">
        <v>100</v>
      </c>
      <c r="F819">
        <v>100</v>
      </c>
      <c r="G819">
        <v>100</v>
      </c>
      <c r="H819">
        <v>100</v>
      </c>
      <c r="I819">
        <v>100</v>
      </c>
      <c r="J819">
        <v>100</v>
      </c>
      <c r="K819">
        <v>100</v>
      </c>
      <c r="L819">
        <v>100</v>
      </c>
      <c r="M819">
        <v>100</v>
      </c>
      <c r="N819">
        <v>100</v>
      </c>
      <c r="O819">
        <v>100</v>
      </c>
      <c r="P819">
        <v>100</v>
      </c>
    </row>
    <row r="820" spans="1:16" x14ac:dyDescent="0.3">
      <c r="A820" t="s">
        <v>58</v>
      </c>
      <c r="B820">
        <v>16</v>
      </c>
      <c r="C820">
        <v>2</v>
      </c>
      <c r="D820">
        <v>2</v>
      </c>
      <c r="E820">
        <v>2</v>
      </c>
      <c r="F820">
        <v>2</v>
      </c>
      <c r="G820">
        <v>2</v>
      </c>
      <c r="H820">
        <v>2</v>
      </c>
      <c r="I820">
        <v>2</v>
      </c>
      <c r="J820">
        <v>2</v>
      </c>
      <c r="K820">
        <v>2</v>
      </c>
      <c r="L820">
        <v>2</v>
      </c>
      <c r="M820">
        <v>2</v>
      </c>
      <c r="N820">
        <v>2</v>
      </c>
      <c r="O820">
        <v>2</v>
      </c>
      <c r="P820">
        <v>2</v>
      </c>
    </row>
    <row r="821" spans="1:16" x14ac:dyDescent="0.3">
      <c r="A821" t="s">
        <v>59</v>
      </c>
      <c r="B821">
        <v>16</v>
      </c>
      <c r="C821">
        <v>0</v>
      </c>
      <c r="D821">
        <v>0</v>
      </c>
      <c r="E821">
        <v>0</v>
      </c>
      <c r="F821">
        <v>0</v>
      </c>
      <c r="G821">
        <v>0</v>
      </c>
      <c r="H821">
        <v>0</v>
      </c>
      <c r="I821">
        <v>0</v>
      </c>
      <c r="J821">
        <v>0</v>
      </c>
      <c r="K821">
        <v>0</v>
      </c>
      <c r="L821">
        <v>0</v>
      </c>
      <c r="M821">
        <v>0</v>
      </c>
      <c r="N821">
        <v>0</v>
      </c>
      <c r="O821">
        <v>0</v>
      </c>
      <c r="P821">
        <v>0</v>
      </c>
    </row>
    <row r="822" spans="1:16" x14ac:dyDescent="0.3">
      <c r="A822" t="s">
        <v>635</v>
      </c>
      <c r="B822">
        <v>16</v>
      </c>
      <c r="E822">
        <v>0</v>
      </c>
      <c r="I822">
        <v>0</v>
      </c>
      <c r="L822">
        <v>0</v>
      </c>
      <c r="O822">
        <v>0</v>
      </c>
    </row>
    <row r="823" spans="1:16" x14ac:dyDescent="0.3">
      <c r="A823" t="s">
        <v>574</v>
      </c>
      <c r="B823">
        <v>16</v>
      </c>
      <c r="E823">
        <v>1304</v>
      </c>
      <c r="I823">
        <v>7582</v>
      </c>
      <c r="L823">
        <v>832</v>
      </c>
      <c r="O823">
        <v>1238</v>
      </c>
    </row>
    <row r="824" spans="1:16" x14ac:dyDescent="0.3">
      <c r="A824" t="s">
        <v>78</v>
      </c>
      <c r="B824">
        <v>16</v>
      </c>
      <c r="E824">
        <v>19.8</v>
      </c>
      <c r="I824">
        <v>94</v>
      </c>
      <c r="L824">
        <v>18.899999999999999</v>
      </c>
      <c r="O824">
        <v>28.1</v>
      </c>
    </row>
    <row r="825" spans="1:16" x14ac:dyDescent="0.3">
      <c r="A825" t="s">
        <v>636</v>
      </c>
      <c r="B825">
        <v>16</v>
      </c>
      <c r="F825">
        <v>1</v>
      </c>
      <c r="J825">
        <v>1</v>
      </c>
      <c r="M825">
        <v>1</v>
      </c>
      <c r="P825">
        <v>1</v>
      </c>
    </row>
    <row r="826" spans="1:16" x14ac:dyDescent="0.3">
      <c r="A826" t="s">
        <v>637</v>
      </c>
      <c r="B826">
        <v>16</v>
      </c>
      <c r="F826">
        <v>50</v>
      </c>
      <c r="J826">
        <v>50</v>
      </c>
      <c r="M826">
        <v>50</v>
      </c>
      <c r="P826">
        <v>50</v>
      </c>
    </row>
    <row r="827" spans="1:16" x14ac:dyDescent="0.3">
      <c r="A827" t="s">
        <v>638</v>
      </c>
      <c r="B827">
        <v>16</v>
      </c>
      <c r="F827">
        <v>0</v>
      </c>
      <c r="J827">
        <v>0</v>
      </c>
      <c r="M827">
        <v>0</v>
      </c>
      <c r="P827">
        <v>0</v>
      </c>
    </row>
    <row r="828" spans="1:16" x14ac:dyDescent="0.3">
      <c r="A828" t="s">
        <v>639</v>
      </c>
      <c r="B828">
        <v>16</v>
      </c>
      <c r="C828">
        <v>3</v>
      </c>
      <c r="D828">
        <v>0</v>
      </c>
      <c r="E828">
        <v>0</v>
      </c>
      <c r="F828">
        <v>1</v>
      </c>
      <c r="G828">
        <v>3</v>
      </c>
      <c r="H828">
        <v>0</v>
      </c>
      <c r="I828">
        <v>0</v>
      </c>
      <c r="J828">
        <v>1</v>
      </c>
      <c r="K828">
        <v>0</v>
      </c>
      <c r="L828">
        <v>0</v>
      </c>
      <c r="M828">
        <v>1</v>
      </c>
      <c r="N828">
        <v>0</v>
      </c>
      <c r="O828">
        <v>0</v>
      </c>
      <c r="P828">
        <v>1</v>
      </c>
    </row>
    <row r="829" spans="1:16" x14ac:dyDescent="0.3">
      <c r="A829" t="s">
        <v>640</v>
      </c>
      <c r="B829">
        <v>16</v>
      </c>
      <c r="C829">
        <v>0</v>
      </c>
      <c r="D829">
        <v>0</v>
      </c>
      <c r="E829">
        <v>0</v>
      </c>
      <c r="F829">
        <v>0</v>
      </c>
      <c r="G829">
        <v>0</v>
      </c>
      <c r="H829">
        <v>0</v>
      </c>
      <c r="I829">
        <v>0</v>
      </c>
      <c r="J829">
        <v>0</v>
      </c>
      <c r="K829">
        <v>0</v>
      </c>
      <c r="L829">
        <v>0</v>
      </c>
      <c r="M829">
        <v>0</v>
      </c>
      <c r="N829">
        <v>0</v>
      </c>
      <c r="O829">
        <v>0</v>
      </c>
      <c r="P829">
        <v>0</v>
      </c>
    </row>
    <row r="830" spans="1:16" x14ac:dyDescent="0.3">
      <c r="A830" t="s">
        <v>52</v>
      </c>
      <c r="B830">
        <v>16</v>
      </c>
      <c r="C830">
        <v>1</v>
      </c>
      <c r="D830">
        <v>1</v>
      </c>
      <c r="E830">
        <v>1</v>
      </c>
      <c r="F830">
        <v>1</v>
      </c>
      <c r="G830">
        <v>1</v>
      </c>
      <c r="H830">
        <v>1</v>
      </c>
      <c r="I830">
        <v>1</v>
      </c>
      <c r="J830">
        <v>1</v>
      </c>
      <c r="K830">
        <v>1</v>
      </c>
      <c r="L830">
        <v>1</v>
      </c>
      <c r="M830">
        <v>1</v>
      </c>
      <c r="N830">
        <v>1</v>
      </c>
      <c r="O830">
        <v>1</v>
      </c>
      <c r="P830">
        <v>1</v>
      </c>
    </row>
    <row r="831" spans="1:16" x14ac:dyDescent="0.3">
      <c r="A831" t="s">
        <v>641</v>
      </c>
      <c r="B831">
        <v>16</v>
      </c>
      <c r="C831">
        <v>9</v>
      </c>
      <c r="D831">
        <v>15</v>
      </c>
      <c r="E831">
        <v>60</v>
      </c>
      <c r="F831">
        <v>9</v>
      </c>
      <c r="G831">
        <v>9</v>
      </c>
      <c r="H831">
        <v>15</v>
      </c>
      <c r="I831">
        <v>60</v>
      </c>
      <c r="J831">
        <v>9</v>
      </c>
      <c r="K831">
        <v>15</v>
      </c>
      <c r="L831">
        <v>60</v>
      </c>
      <c r="M831">
        <v>9</v>
      </c>
      <c r="N831">
        <v>15</v>
      </c>
      <c r="O831">
        <v>60</v>
      </c>
      <c r="P831">
        <v>9</v>
      </c>
    </row>
    <row r="832" spans="1:16" x14ac:dyDescent="0.3">
      <c r="A832" t="s">
        <v>43</v>
      </c>
      <c r="B832">
        <v>16</v>
      </c>
      <c r="D832">
        <v>40</v>
      </c>
      <c r="E832">
        <v>336</v>
      </c>
      <c r="F832">
        <v>0</v>
      </c>
      <c r="H832">
        <v>40</v>
      </c>
      <c r="I832">
        <v>336</v>
      </c>
      <c r="J832">
        <v>0</v>
      </c>
      <c r="K832">
        <v>40</v>
      </c>
      <c r="L832">
        <v>40</v>
      </c>
      <c r="M832">
        <v>0</v>
      </c>
      <c r="N832">
        <v>40</v>
      </c>
      <c r="O832">
        <v>40</v>
      </c>
      <c r="P832">
        <v>0</v>
      </c>
    </row>
    <row r="833" spans="1:16" x14ac:dyDescent="0.3">
      <c r="A833" t="s">
        <v>44</v>
      </c>
      <c r="B833">
        <v>16</v>
      </c>
      <c r="D833">
        <v>0</v>
      </c>
      <c r="E833">
        <v>0</v>
      </c>
      <c r="F833">
        <v>0</v>
      </c>
      <c r="H833">
        <v>0</v>
      </c>
      <c r="I833">
        <v>0</v>
      </c>
      <c r="J833">
        <v>0</v>
      </c>
      <c r="K833">
        <v>0</v>
      </c>
      <c r="L833">
        <v>0</v>
      </c>
      <c r="M833">
        <v>0</v>
      </c>
      <c r="N833">
        <v>0</v>
      </c>
      <c r="O833">
        <v>0</v>
      </c>
      <c r="P833">
        <v>0</v>
      </c>
    </row>
    <row r="834" spans="1:16" x14ac:dyDescent="0.3">
      <c r="A834" t="s">
        <v>47</v>
      </c>
      <c r="B834">
        <v>16</v>
      </c>
      <c r="D834">
        <v>6</v>
      </c>
      <c r="E834">
        <v>6</v>
      </c>
      <c r="F834">
        <v>6</v>
      </c>
      <c r="H834">
        <v>5</v>
      </c>
      <c r="I834">
        <v>2</v>
      </c>
      <c r="J834">
        <v>2</v>
      </c>
      <c r="K834">
        <v>8</v>
      </c>
      <c r="L834">
        <v>8</v>
      </c>
      <c r="M834">
        <v>8</v>
      </c>
      <c r="N834">
        <v>4</v>
      </c>
      <c r="O834">
        <v>4</v>
      </c>
      <c r="P834">
        <v>4</v>
      </c>
    </row>
    <row r="835" spans="1:16" x14ac:dyDescent="0.3">
      <c r="A835" t="s">
        <v>642</v>
      </c>
      <c r="B835">
        <v>16</v>
      </c>
      <c r="D835">
        <v>0</v>
      </c>
      <c r="E835">
        <v>0</v>
      </c>
      <c r="F835">
        <v>0</v>
      </c>
      <c r="H835">
        <v>0</v>
      </c>
      <c r="I835">
        <v>0</v>
      </c>
      <c r="J835">
        <v>0</v>
      </c>
      <c r="K835">
        <v>0</v>
      </c>
      <c r="L835">
        <v>0</v>
      </c>
      <c r="M835">
        <v>0</v>
      </c>
      <c r="N835">
        <v>0</v>
      </c>
      <c r="O835">
        <v>0</v>
      </c>
      <c r="P835">
        <v>0</v>
      </c>
    </row>
    <row r="836" spans="1:16" x14ac:dyDescent="0.3">
      <c r="A836" t="s">
        <v>643</v>
      </c>
      <c r="B836">
        <v>16</v>
      </c>
      <c r="D836">
        <v>0</v>
      </c>
      <c r="E836">
        <v>0</v>
      </c>
      <c r="F836">
        <v>0</v>
      </c>
      <c r="H836">
        <v>0</v>
      </c>
      <c r="I836">
        <v>0</v>
      </c>
      <c r="J836">
        <v>0</v>
      </c>
      <c r="K836">
        <v>0</v>
      </c>
      <c r="L836">
        <v>0</v>
      </c>
      <c r="M836">
        <v>0</v>
      </c>
      <c r="N836">
        <v>0</v>
      </c>
      <c r="O836">
        <v>0</v>
      </c>
      <c r="P836">
        <v>0</v>
      </c>
    </row>
    <row r="837" spans="1:16" x14ac:dyDescent="0.3">
      <c r="A837" t="s">
        <v>644</v>
      </c>
      <c r="B837">
        <v>16</v>
      </c>
      <c r="D837">
        <v>0</v>
      </c>
      <c r="E837">
        <v>0</v>
      </c>
      <c r="F837">
        <v>0</v>
      </c>
      <c r="H837">
        <v>0</v>
      </c>
      <c r="I837">
        <v>0</v>
      </c>
      <c r="J837">
        <v>0</v>
      </c>
      <c r="K837">
        <v>0</v>
      </c>
      <c r="L837">
        <v>0</v>
      </c>
      <c r="M837">
        <v>0</v>
      </c>
      <c r="N837">
        <v>0</v>
      </c>
      <c r="O837">
        <v>0</v>
      </c>
      <c r="P837">
        <v>0</v>
      </c>
    </row>
    <row r="838" spans="1:16" x14ac:dyDescent="0.3">
      <c r="A838" t="s">
        <v>645</v>
      </c>
      <c r="B838">
        <v>16</v>
      </c>
      <c r="D838">
        <v>0</v>
      </c>
      <c r="E838">
        <v>0</v>
      </c>
      <c r="F838">
        <v>0</v>
      </c>
      <c r="H838">
        <v>0</v>
      </c>
      <c r="I838">
        <v>0</v>
      </c>
      <c r="J838">
        <v>0</v>
      </c>
      <c r="K838">
        <v>0</v>
      </c>
      <c r="L838">
        <v>0</v>
      </c>
      <c r="M838">
        <v>0</v>
      </c>
      <c r="N838">
        <v>0</v>
      </c>
      <c r="O838">
        <v>0</v>
      </c>
      <c r="P838">
        <v>0</v>
      </c>
    </row>
    <row r="839" spans="1:16" x14ac:dyDescent="0.3">
      <c r="A839" t="s">
        <v>646</v>
      </c>
      <c r="B839">
        <v>16</v>
      </c>
      <c r="D839">
        <v>1</v>
      </c>
      <c r="E839">
        <v>2</v>
      </c>
      <c r="F839">
        <v>1</v>
      </c>
      <c r="H839">
        <v>1</v>
      </c>
      <c r="I839">
        <v>2</v>
      </c>
      <c r="J839">
        <v>1</v>
      </c>
      <c r="K839">
        <v>1</v>
      </c>
      <c r="L839">
        <v>1</v>
      </c>
      <c r="M839">
        <v>1</v>
      </c>
      <c r="N839">
        <v>1</v>
      </c>
      <c r="O839">
        <v>1</v>
      </c>
      <c r="P839">
        <v>1</v>
      </c>
    </row>
    <row r="840" spans="1:16" x14ac:dyDescent="0.3">
      <c r="A840" t="s">
        <v>647</v>
      </c>
      <c r="B840">
        <v>16</v>
      </c>
      <c r="D840">
        <v>0</v>
      </c>
      <c r="E840">
        <v>330</v>
      </c>
      <c r="F840">
        <v>0</v>
      </c>
      <c r="H840">
        <v>0</v>
      </c>
      <c r="I840">
        <v>330</v>
      </c>
      <c r="J840">
        <v>0</v>
      </c>
      <c r="K840">
        <v>0</v>
      </c>
      <c r="L840">
        <v>0</v>
      </c>
      <c r="M840">
        <v>0</v>
      </c>
      <c r="N840">
        <v>0</v>
      </c>
      <c r="O840">
        <v>0</v>
      </c>
      <c r="P840">
        <v>0</v>
      </c>
    </row>
    <row r="841" spans="1:16" x14ac:dyDescent="0.3">
      <c r="A841" t="s">
        <v>648</v>
      </c>
      <c r="B841">
        <v>16</v>
      </c>
      <c r="D841">
        <v>40</v>
      </c>
      <c r="E841">
        <v>6</v>
      </c>
      <c r="F841">
        <v>0</v>
      </c>
      <c r="H841">
        <v>40</v>
      </c>
      <c r="I841">
        <v>6</v>
      </c>
      <c r="J841">
        <v>0</v>
      </c>
      <c r="K841">
        <v>40</v>
      </c>
      <c r="L841">
        <v>40</v>
      </c>
      <c r="M841">
        <v>0</v>
      </c>
      <c r="N841">
        <v>40</v>
      </c>
      <c r="O841">
        <v>40</v>
      </c>
      <c r="P841">
        <v>0</v>
      </c>
    </row>
    <row r="842" spans="1:16" x14ac:dyDescent="0.3">
      <c r="A842" t="s">
        <v>649</v>
      </c>
      <c r="B842">
        <v>16</v>
      </c>
      <c r="D842">
        <v>3</v>
      </c>
      <c r="E842">
        <v>3</v>
      </c>
      <c r="F842">
        <v>3</v>
      </c>
      <c r="H842">
        <v>3</v>
      </c>
      <c r="I842">
        <v>3</v>
      </c>
      <c r="J842">
        <v>3</v>
      </c>
      <c r="K842">
        <v>3</v>
      </c>
      <c r="L842">
        <v>3</v>
      </c>
      <c r="M842">
        <v>3</v>
      </c>
      <c r="N842">
        <v>3</v>
      </c>
      <c r="O842">
        <v>3</v>
      </c>
      <c r="P842">
        <v>3</v>
      </c>
    </row>
    <row r="843" spans="1:16" x14ac:dyDescent="0.3">
      <c r="A843" t="s">
        <v>650</v>
      </c>
      <c r="B843">
        <v>16</v>
      </c>
      <c r="D843">
        <v>0</v>
      </c>
      <c r="E843">
        <v>0</v>
      </c>
      <c r="F843">
        <v>0</v>
      </c>
      <c r="H843">
        <v>0</v>
      </c>
      <c r="I843">
        <v>0</v>
      </c>
      <c r="J843">
        <v>0</v>
      </c>
      <c r="K843">
        <v>0</v>
      </c>
      <c r="L843">
        <v>0</v>
      </c>
      <c r="M843">
        <v>0</v>
      </c>
      <c r="N843">
        <v>0</v>
      </c>
      <c r="O843">
        <v>0</v>
      </c>
      <c r="P843">
        <v>0</v>
      </c>
    </row>
    <row r="844" spans="1:16" x14ac:dyDescent="0.3">
      <c r="A844" t="s">
        <v>651</v>
      </c>
      <c r="B844">
        <v>16</v>
      </c>
      <c r="D844">
        <v>0</v>
      </c>
      <c r="E844">
        <v>0</v>
      </c>
      <c r="F844">
        <v>0</v>
      </c>
      <c r="H844">
        <v>0</v>
      </c>
      <c r="I844">
        <v>0</v>
      </c>
      <c r="J844">
        <v>0</v>
      </c>
      <c r="K844">
        <v>0</v>
      </c>
      <c r="L844">
        <v>0</v>
      </c>
      <c r="M844">
        <v>0</v>
      </c>
      <c r="N844">
        <v>0</v>
      </c>
      <c r="O844">
        <v>0</v>
      </c>
      <c r="P844">
        <v>0</v>
      </c>
    </row>
    <row r="845" spans="1:16" x14ac:dyDescent="0.3">
      <c r="A845" t="s">
        <v>652</v>
      </c>
      <c r="B845">
        <v>16</v>
      </c>
      <c r="D845">
        <v>0</v>
      </c>
      <c r="E845">
        <v>0</v>
      </c>
      <c r="F845">
        <v>0</v>
      </c>
      <c r="H845">
        <v>0</v>
      </c>
      <c r="I845">
        <v>0</v>
      </c>
      <c r="J845">
        <v>0</v>
      </c>
      <c r="K845">
        <v>0</v>
      </c>
      <c r="L845">
        <v>0</v>
      </c>
      <c r="M845">
        <v>0</v>
      </c>
      <c r="N845">
        <v>0</v>
      </c>
      <c r="O845">
        <v>0</v>
      </c>
      <c r="P845">
        <v>0</v>
      </c>
    </row>
    <row r="846" spans="1:16" x14ac:dyDescent="0.3">
      <c r="A846" t="s">
        <v>653</v>
      </c>
      <c r="B846">
        <v>16</v>
      </c>
      <c r="E846">
        <v>0</v>
      </c>
      <c r="I846">
        <v>0</v>
      </c>
    </row>
    <row r="847" spans="1:16" x14ac:dyDescent="0.3">
      <c r="A847" t="s">
        <v>654</v>
      </c>
      <c r="B847">
        <v>16</v>
      </c>
      <c r="E847">
        <v>0</v>
      </c>
      <c r="I847">
        <v>0</v>
      </c>
    </row>
    <row r="848" spans="1:16" x14ac:dyDescent="0.3">
      <c r="A848" t="s">
        <v>655</v>
      </c>
      <c r="B848">
        <v>16</v>
      </c>
      <c r="E848">
        <v>3</v>
      </c>
      <c r="I848">
        <v>3</v>
      </c>
    </row>
    <row r="849" spans="1:16" x14ac:dyDescent="0.3">
      <c r="A849" t="s">
        <v>656</v>
      </c>
      <c r="B849">
        <v>16</v>
      </c>
      <c r="E849">
        <v>0</v>
      </c>
      <c r="I849">
        <v>0</v>
      </c>
    </row>
    <row r="850" spans="1:16" x14ac:dyDescent="0.3">
      <c r="A850" t="s">
        <v>657</v>
      </c>
      <c r="B850">
        <v>16</v>
      </c>
      <c r="E850">
        <v>0</v>
      </c>
      <c r="I850">
        <v>0</v>
      </c>
      <c r="L850">
        <v>0</v>
      </c>
      <c r="O850">
        <v>0</v>
      </c>
    </row>
    <row r="851" spans="1:16" x14ac:dyDescent="0.3">
      <c r="A851" t="s">
        <v>408</v>
      </c>
      <c r="B851">
        <v>16</v>
      </c>
      <c r="E851">
        <v>0</v>
      </c>
    </row>
    <row r="852" spans="1:16" x14ac:dyDescent="0.3">
      <c r="A852" t="s">
        <v>658</v>
      </c>
      <c r="B852">
        <v>16</v>
      </c>
      <c r="C852">
        <v>0</v>
      </c>
      <c r="D852">
        <v>16</v>
      </c>
      <c r="E852">
        <v>1141</v>
      </c>
      <c r="F852">
        <v>5</v>
      </c>
      <c r="G852">
        <v>0</v>
      </c>
      <c r="H852">
        <v>9</v>
      </c>
      <c r="I852">
        <v>598</v>
      </c>
      <c r="J852">
        <v>5</v>
      </c>
      <c r="K852">
        <v>0</v>
      </c>
      <c r="L852">
        <v>27</v>
      </c>
      <c r="M852">
        <v>11</v>
      </c>
      <c r="N852">
        <v>0</v>
      </c>
      <c r="O852">
        <v>27</v>
      </c>
      <c r="P852">
        <v>16</v>
      </c>
    </row>
    <row r="853" spans="1:16" x14ac:dyDescent="0.3">
      <c r="A853" t="s">
        <v>34</v>
      </c>
      <c r="B853">
        <v>19</v>
      </c>
      <c r="C853">
        <v>16</v>
      </c>
      <c r="E853">
        <v>16</v>
      </c>
      <c r="F853">
        <v>16</v>
      </c>
      <c r="G853">
        <v>21</v>
      </c>
      <c r="H853">
        <v>21</v>
      </c>
      <c r="I853">
        <v>21</v>
      </c>
      <c r="N853">
        <v>132</v>
      </c>
      <c r="P853">
        <v>132</v>
      </c>
    </row>
    <row r="854" spans="1:16" x14ac:dyDescent="0.3">
      <c r="A854" t="s">
        <v>35</v>
      </c>
      <c r="B854">
        <v>19</v>
      </c>
      <c r="C854">
        <v>16</v>
      </c>
      <c r="E854">
        <v>21</v>
      </c>
      <c r="F854">
        <v>132</v>
      </c>
      <c r="G854">
        <v>21</v>
      </c>
      <c r="H854">
        <v>132</v>
      </c>
      <c r="I854">
        <v>16</v>
      </c>
      <c r="N854">
        <v>16</v>
      </c>
      <c r="P854">
        <v>21</v>
      </c>
    </row>
    <row r="855" spans="1:16" x14ac:dyDescent="0.3">
      <c r="A855" t="s">
        <v>36</v>
      </c>
      <c r="B855">
        <v>19</v>
      </c>
      <c r="C855">
        <v>1</v>
      </c>
      <c r="E855">
        <v>2</v>
      </c>
      <c r="F855">
        <v>1</v>
      </c>
      <c r="G855">
        <v>0</v>
      </c>
      <c r="H855">
        <v>1</v>
      </c>
      <c r="I855">
        <v>2</v>
      </c>
      <c r="N855">
        <v>1</v>
      </c>
      <c r="P855">
        <v>1</v>
      </c>
    </row>
    <row r="856" spans="1:16" x14ac:dyDescent="0.3">
      <c r="A856" t="s">
        <v>37</v>
      </c>
      <c r="B856">
        <v>19</v>
      </c>
      <c r="E856">
        <v>0</v>
      </c>
      <c r="H856">
        <v>0</v>
      </c>
      <c r="I856">
        <v>0</v>
      </c>
      <c r="N856">
        <v>0</v>
      </c>
    </row>
    <row r="857" spans="1:16" x14ac:dyDescent="0.3">
      <c r="A857" t="s">
        <v>38</v>
      </c>
      <c r="B857">
        <v>19</v>
      </c>
      <c r="C857">
        <v>12</v>
      </c>
      <c r="E857">
        <v>12</v>
      </c>
      <c r="F857">
        <v>12</v>
      </c>
      <c r="G857">
        <v>12</v>
      </c>
      <c r="H857">
        <v>12</v>
      </c>
      <c r="I857">
        <v>12</v>
      </c>
      <c r="N857">
        <v>12</v>
      </c>
      <c r="P857">
        <v>12</v>
      </c>
    </row>
    <row r="858" spans="1:16" x14ac:dyDescent="0.3">
      <c r="A858" t="s">
        <v>39</v>
      </c>
      <c r="B858">
        <v>19</v>
      </c>
      <c r="C858">
        <v>200</v>
      </c>
      <c r="F858">
        <v>200</v>
      </c>
      <c r="H858">
        <v>200</v>
      </c>
      <c r="P858">
        <v>500</v>
      </c>
    </row>
    <row r="859" spans="1:16" x14ac:dyDescent="0.3">
      <c r="A859" t="s">
        <v>631</v>
      </c>
      <c r="B859">
        <v>19</v>
      </c>
      <c r="C859">
        <v>25</v>
      </c>
      <c r="F859">
        <v>25</v>
      </c>
      <c r="H859">
        <v>25</v>
      </c>
      <c r="P859">
        <v>25</v>
      </c>
    </row>
    <row r="860" spans="1:16" x14ac:dyDescent="0.3">
      <c r="A860" t="s">
        <v>40</v>
      </c>
      <c r="B860">
        <v>19</v>
      </c>
      <c r="C860">
        <v>1</v>
      </c>
      <c r="F860">
        <v>1</v>
      </c>
      <c r="H860">
        <v>1</v>
      </c>
      <c r="P860">
        <v>1</v>
      </c>
    </row>
    <row r="861" spans="1:16" x14ac:dyDescent="0.3">
      <c r="A861" t="s">
        <v>41</v>
      </c>
      <c r="B861">
        <v>19</v>
      </c>
    </row>
    <row r="862" spans="1:16" x14ac:dyDescent="0.3">
      <c r="A862" t="s">
        <v>42</v>
      </c>
      <c r="B862">
        <v>19</v>
      </c>
      <c r="E862">
        <v>55</v>
      </c>
      <c r="I862">
        <v>55</v>
      </c>
      <c r="N862">
        <v>30</v>
      </c>
    </row>
    <row r="863" spans="1:16" x14ac:dyDescent="0.3">
      <c r="A863" t="s">
        <v>45</v>
      </c>
      <c r="B863">
        <v>19</v>
      </c>
      <c r="C863">
        <v>1</v>
      </c>
      <c r="E863">
        <v>6</v>
      </c>
      <c r="H863">
        <v>5</v>
      </c>
      <c r="I863">
        <v>2</v>
      </c>
      <c r="N863">
        <v>8</v>
      </c>
    </row>
    <row r="864" spans="1:16" x14ac:dyDescent="0.3">
      <c r="A864" t="s">
        <v>46</v>
      </c>
      <c r="B864">
        <v>19</v>
      </c>
      <c r="C864">
        <v>6</v>
      </c>
      <c r="F864">
        <v>6</v>
      </c>
      <c r="H864">
        <v>2</v>
      </c>
      <c r="P864">
        <v>8</v>
      </c>
    </row>
    <row r="865" spans="1:16" x14ac:dyDescent="0.3">
      <c r="A865" t="s">
        <v>49</v>
      </c>
      <c r="B865">
        <v>19</v>
      </c>
      <c r="C865">
        <v>6</v>
      </c>
      <c r="E865">
        <v>7</v>
      </c>
      <c r="F865">
        <v>7</v>
      </c>
      <c r="G865">
        <v>4</v>
      </c>
      <c r="H865">
        <v>6</v>
      </c>
      <c r="I865">
        <v>7</v>
      </c>
      <c r="N865">
        <v>6.8</v>
      </c>
      <c r="P865">
        <v>6.8</v>
      </c>
    </row>
    <row r="866" spans="1:16" x14ac:dyDescent="0.3">
      <c r="A866" t="s">
        <v>632</v>
      </c>
      <c r="B866">
        <v>19</v>
      </c>
      <c r="C866">
        <v>0</v>
      </c>
      <c r="E866">
        <v>0</v>
      </c>
      <c r="F866">
        <v>0</v>
      </c>
      <c r="G866">
        <v>0</v>
      </c>
      <c r="H866">
        <v>0</v>
      </c>
      <c r="I866">
        <v>0</v>
      </c>
      <c r="N866">
        <v>0</v>
      </c>
      <c r="P866">
        <v>0</v>
      </c>
    </row>
    <row r="867" spans="1:16" x14ac:dyDescent="0.3">
      <c r="A867" t="s">
        <v>48</v>
      </c>
      <c r="B867">
        <v>19</v>
      </c>
      <c r="C867">
        <v>1900</v>
      </c>
      <c r="E867">
        <v>1900</v>
      </c>
      <c r="F867">
        <v>1900</v>
      </c>
      <c r="G867">
        <v>1900</v>
      </c>
      <c r="H867">
        <v>1900</v>
      </c>
      <c r="I867">
        <v>1900</v>
      </c>
      <c r="N867">
        <v>1900</v>
      </c>
      <c r="P867">
        <v>1900</v>
      </c>
    </row>
    <row r="868" spans="1:16" x14ac:dyDescent="0.3">
      <c r="A868" t="s">
        <v>633</v>
      </c>
      <c r="B868">
        <v>19</v>
      </c>
      <c r="C868">
        <v>1770</v>
      </c>
      <c r="E868">
        <v>3539</v>
      </c>
      <c r="F868">
        <v>1583</v>
      </c>
      <c r="G868">
        <v>0</v>
      </c>
      <c r="H868">
        <v>1770</v>
      </c>
      <c r="I868">
        <v>3539</v>
      </c>
      <c r="N868">
        <v>1743</v>
      </c>
      <c r="P868">
        <v>1560</v>
      </c>
    </row>
    <row r="869" spans="1:16" x14ac:dyDescent="0.3">
      <c r="A869" t="s">
        <v>50</v>
      </c>
      <c r="B869">
        <v>19</v>
      </c>
      <c r="C869">
        <v>794</v>
      </c>
      <c r="E869">
        <v>3539</v>
      </c>
      <c r="F869">
        <v>1583</v>
      </c>
      <c r="G869">
        <v>0</v>
      </c>
      <c r="H869">
        <v>425</v>
      </c>
      <c r="I869">
        <v>3539</v>
      </c>
      <c r="N869">
        <v>1743</v>
      </c>
      <c r="P869">
        <v>1560</v>
      </c>
    </row>
    <row r="870" spans="1:16" x14ac:dyDescent="0.3">
      <c r="A870" t="s">
        <v>634</v>
      </c>
      <c r="B870">
        <v>19</v>
      </c>
      <c r="C870">
        <v>1</v>
      </c>
      <c r="E870">
        <v>1</v>
      </c>
      <c r="F870">
        <v>1</v>
      </c>
      <c r="G870">
        <v>1</v>
      </c>
      <c r="H870">
        <v>1</v>
      </c>
      <c r="I870">
        <v>1</v>
      </c>
      <c r="N870">
        <v>1</v>
      </c>
      <c r="P870">
        <v>1</v>
      </c>
    </row>
    <row r="871" spans="1:16" x14ac:dyDescent="0.3">
      <c r="A871" t="s">
        <v>51</v>
      </c>
      <c r="B871">
        <v>19</v>
      </c>
      <c r="C871">
        <v>0</v>
      </c>
      <c r="E871">
        <v>0</v>
      </c>
      <c r="F871">
        <v>70</v>
      </c>
      <c r="G871">
        <v>0</v>
      </c>
      <c r="H871">
        <v>0</v>
      </c>
      <c r="I871">
        <v>0</v>
      </c>
      <c r="N871">
        <v>0</v>
      </c>
      <c r="P871">
        <v>193</v>
      </c>
    </row>
    <row r="872" spans="1:16" x14ac:dyDescent="0.3">
      <c r="A872" t="s">
        <v>53</v>
      </c>
      <c r="B872">
        <v>19</v>
      </c>
      <c r="C872">
        <v>15</v>
      </c>
      <c r="E872">
        <v>990</v>
      </c>
      <c r="F872">
        <v>75</v>
      </c>
      <c r="G872">
        <v>0</v>
      </c>
      <c r="H872">
        <v>45</v>
      </c>
      <c r="I872">
        <v>550</v>
      </c>
      <c r="N872">
        <v>35</v>
      </c>
      <c r="P872">
        <v>210</v>
      </c>
    </row>
    <row r="873" spans="1:16" x14ac:dyDescent="0.3">
      <c r="A873" t="s">
        <v>54</v>
      </c>
      <c r="B873">
        <v>19</v>
      </c>
      <c r="C873">
        <v>0</v>
      </c>
      <c r="E873">
        <v>0</v>
      </c>
      <c r="F873">
        <v>0</v>
      </c>
      <c r="G873">
        <v>0</v>
      </c>
      <c r="H873">
        <v>0</v>
      </c>
      <c r="I873">
        <v>0</v>
      </c>
      <c r="N873">
        <v>0</v>
      </c>
      <c r="P873">
        <v>0</v>
      </c>
    </row>
    <row r="874" spans="1:16" x14ac:dyDescent="0.3">
      <c r="A874" t="s">
        <v>55</v>
      </c>
      <c r="B874">
        <v>19</v>
      </c>
      <c r="C874">
        <v>0</v>
      </c>
      <c r="E874">
        <v>0</v>
      </c>
      <c r="F874">
        <v>0</v>
      </c>
      <c r="G874">
        <v>0</v>
      </c>
      <c r="H874">
        <v>0</v>
      </c>
      <c r="I874">
        <v>0</v>
      </c>
      <c r="N874">
        <v>0</v>
      </c>
      <c r="P874">
        <v>0</v>
      </c>
    </row>
    <row r="875" spans="1:16" x14ac:dyDescent="0.3">
      <c r="A875" t="s">
        <v>56</v>
      </c>
      <c r="B875">
        <v>19</v>
      </c>
      <c r="C875">
        <v>0.92</v>
      </c>
      <c r="E875">
        <v>0.92</v>
      </c>
      <c r="F875">
        <v>0.92</v>
      </c>
      <c r="G875">
        <v>0.92</v>
      </c>
      <c r="H875">
        <v>0.92</v>
      </c>
      <c r="I875">
        <v>0.92</v>
      </c>
      <c r="N875">
        <v>0.92</v>
      </c>
      <c r="P875">
        <v>0.92</v>
      </c>
    </row>
    <row r="876" spans="1:16" x14ac:dyDescent="0.3">
      <c r="A876" t="s">
        <v>57</v>
      </c>
      <c r="B876">
        <v>19</v>
      </c>
      <c r="C876">
        <v>100</v>
      </c>
      <c r="E876">
        <v>100</v>
      </c>
      <c r="F876">
        <v>100</v>
      </c>
      <c r="G876">
        <v>100</v>
      </c>
      <c r="H876">
        <v>100</v>
      </c>
      <c r="I876">
        <v>100</v>
      </c>
      <c r="N876">
        <v>100</v>
      </c>
      <c r="P876">
        <v>100</v>
      </c>
    </row>
    <row r="877" spans="1:16" x14ac:dyDescent="0.3">
      <c r="A877" t="s">
        <v>58</v>
      </c>
      <c r="B877">
        <v>19</v>
      </c>
      <c r="C877">
        <v>2</v>
      </c>
      <c r="E877">
        <v>2</v>
      </c>
      <c r="F877">
        <v>2</v>
      </c>
      <c r="G877">
        <v>2</v>
      </c>
      <c r="H877">
        <v>2</v>
      </c>
      <c r="I877">
        <v>2</v>
      </c>
      <c r="N877">
        <v>2</v>
      </c>
      <c r="P877">
        <v>2</v>
      </c>
    </row>
    <row r="878" spans="1:16" x14ac:dyDescent="0.3">
      <c r="A878" t="s">
        <v>59</v>
      </c>
      <c r="B878">
        <v>19</v>
      </c>
      <c r="C878">
        <v>0</v>
      </c>
      <c r="E878">
        <v>0</v>
      </c>
      <c r="F878">
        <v>0</v>
      </c>
      <c r="G878">
        <v>0</v>
      </c>
      <c r="H878">
        <v>0</v>
      </c>
      <c r="I878">
        <v>0</v>
      </c>
      <c r="N878">
        <v>0</v>
      </c>
      <c r="P878">
        <v>0</v>
      </c>
    </row>
    <row r="879" spans="1:16" x14ac:dyDescent="0.3">
      <c r="A879" t="s">
        <v>635</v>
      </c>
      <c r="B879">
        <v>19</v>
      </c>
      <c r="E879">
        <v>0</v>
      </c>
      <c r="I879">
        <v>0</v>
      </c>
      <c r="N879">
        <v>0</v>
      </c>
    </row>
    <row r="880" spans="1:16" x14ac:dyDescent="0.3">
      <c r="A880" t="s">
        <v>574</v>
      </c>
      <c r="B880">
        <v>19</v>
      </c>
      <c r="E880">
        <v>7582</v>
      </c>
      <c r="I880">
        <v>2522</v>
      </c>
      <c r="N880">
        <v>1265</v>
      </c>
    </row>
    <row r="881" spans="1:16" x14ac:dyDescent="0.3">
      <c r="A881" t="s">
        <v>78</v>
      </c>
      <c r="B881">
        <v>19</v>
      </c>
      <c r="E881">
        <v>94</v>
      </c>
      <c r="I881">
        <v>31.3</v>
      </c>
      <c r="N881">
        <v>28.8</v>
      </c>
    </row>
    <row r="882" spans="1:16" x14ac:dyDescent="0.3">
      <c r="A882" t="s">
        <v>636</v>
      </c>
      <c r="B882">
        <v>19</v>
      </c>
      <c r="F882">
        <v>0</v>
      </c>
      <c r="I882">
        <v>0</v>
      </c>
      <c r="P882">
        <v>0</v>
      </c>
    </row>
    <row r="883" spans="1:16" x14ac:dyDescent="0.3">
      <c r="A883" t="s">
        <v>639</v>
      </c>
      <c r="B883">
        <v>19</v>
      </c>
      <c r="C883">
        <v>3</v>
      </c>
      <c r="E883">
        <v>0</v>
      </c>
      <c r="F883">
        <v>1</v>
      </c>
      <c r="G883">
        <v>3</v>
      </c>
      <c r="H883">
        <v>0</v>
      </c>
      <c r="I883">
        <v>0</v>
      </c>
      <c r="N883">
        <v>0</v>
      </c>
      <c r="P883">
        <v>1</v>
      </c>
    </row>
    <row r="884" spans="1:16" x14ac:dyDescent="0.3">
      <c r="A884" t="s">
        <v>640</v>
      </c>
      <c r="B884">
        <v>19</v>
      </c>
      <c r="C884">
        <v>0</v>
      </c>
      <c r="E884">
        <v>0</v>
      </c>
      <c r="F884">
        <v>0</v>
      </c>
      <c r="G884">
        <v>0</v>
      </c>
      <c r="H884">
        <v>0</v>
      </c>
      <c r="I884">
        <v>0</v>
      </c>
      <c r="N884">
        <v>0</v>
      </c>
      <c r="P884">
        <v>0</v>
      </c>
    </row>
    <row r="885" spans="1:16" x14ac:dyDescent="0.3">
      <c r="A885" t="s">
        <v>52</v>
      </c>
      <c r="B885">
        <v>19</v>
      </c>
      <c r="C885">
        <v>1</v>
      </c>
      <c r="E885">
        <v>1</v>
      </c>
      <c r="F885">
        <v>1</v>
      </c>
      <c r="G885">
        <v>1</v>
      </c>
      <c r="H885">
        <v>1</v>
      </c>
      <c r="I885">
        <v>1</v>
      </c>
      <c r="N885">
        <v>1.02</v>
      </c>
      <c r="P885">
        <v>1.02</v>
      </c>
    </row>
    <row r="886" spans="1:16" x14ac:dyDescent="0.3">
      <c r="A886" t="s">
        <v>641</v>
      </c>
      <c r="B886">
        <v>19</v>
      </c>
      <c r="C886">
        <v>9</v>
      </c>
      <c r="E886">
        <v>60</v>
      </c>
      <c r="F886">
        <v>9</v>
      </c>
      <c r="G886">
        <v>9</v>
      </c>
      <c r="H886">
        <v>15</v>
      </c>
      <c r="I886">
        <v>60</v>
      </c>
      <c r="N886">
        <v>15</v>
      </c>
      <c r="P886">
        <v>9</v>
      </c>
    </row>
    <row r="887" spans="1:16" x14ac:dyDescent="0.3">
      <c r="A887" t="s">
        <v>43</v>
      </c>
      <c r="B887">
        <v>19</v>
      </c>
      <c r="C887">
        <v>40</v>
      </c>
      <c r="E887">
        <v>336</v>
      </c>
      <c r="F887">
        <v>0</v>
      </c>
      <c r="H887">
        <v>40</v>
      </c>
      <c r="I887">
        <v>336</v>
      </c>
      <c r="N887">
        <v>40</v>
      </c>
      <c r="P887">
        <v>0</v>
      </c>
    </row>
    <row r="888" spans="1:16" x14ac:dyDescent="0.3">
      <c r="A888" t="s">
        <v>44</v>
      </c>
      <c r="B888">
        <v>19</v>
      </c>
      <c r="C888">
        <v>0</v>
      </c>
      <c r="E888">
        <v>0</v>
      </c>
      <c r="F888">
        <v>0</v>
      </c>
      <c r="H888">
        <v>0</v>
      </c>
      <c r="I888">
        <v>0</v>
      </c>
      <c r="N888">
        <v>0</v>
      </c>
      <c r="P888">
        <v>0</v>
      </c>
    </row>
    <row r="889" spans="1:16" x14ac:dyDescent="0.3">
      <c r="A889" t="s">
        <v>47</v>
      </c>
      <c r="B889">
        <v>19</v>
      </c>
      <c r="C889">
        <v>1</v>
      </c>
      <c r="E889">
        <v>6</v>
      </c>
      <c r="F889">
        <v>6</v>
      </c>
      <c r="H889">
        <v>5</v>
      </c>
      <c r="I889">
        <v>2</v>
      </c>
      <c r="N889">
        <v>8</v>
      </c>
      <c r="P889">
        <v>8</v>
      </c>
    </row>
    <row r="890" spans="1:16" x14ac:dyDescent="0.3">
      <c r="A890" t="s">
        <v>642</v>
      </c>
      <c r="B890">
        <v>19</v>
      </c>
      <c r="C890">
        <v>0</v>
      </c>
      <c r="E890">
        <v>0</v>
      </c>
      <c r="F890">
        <v>0</v>
      </c>
      <c r="H890">
        <v>0</v>
      </c>
      <c r="I890">
        <v>0</v>
      </c>
      <c r="N890">
        <v>0</v>
      </c>
      <c r="P890">
        <v>0</v>
      </c>
    </row>
    <row r="891" spans="1:16" x14ac:dyDescent="0.3">
      <c r="A891" t="s">
        <v>643</v>
      </c>
      <c r="B891">
        <v>19</v>
      </c>
      <c r="C891">
        <v>0</v>
      </c>
      <c r="E891">
        <v>0</v>
      </c>
      <c r="F891">
        <v>0</v>
      </c>
      <c r="H891">
        <v>0</v>
      </c>
      <c r="I891">
        <v>0</v>
      </c>
      <c r="N891">
        <v>0</v>
      </c>
      <c r="P891">
        <v>0</v>
      </c>
    </row>
    <row r="892" spans="1:16" x14ac:dyDescent="0.3">
      <c r="A892" t="s">
        <v>644</v>
      </c>
      <c r="B892">
        <v>19</v>
      </c>
      <c r="C892">
        <v>0</v>
      </c>
      <c r="E892">
        <v>0</v>
      </c>
      <c r="F892">
        <v>0</v>
      </c>
      <c r="H892">
        <v>0</v>
      </c>
      <c r="I892">
        <v>0</v>
      </c>
      <c r="N892">
        <v>0</v>
      </c>
      <c r="P892">
        <v>0</v>
      </c>
    </row>
    <row r="893" spans="1:16" x14ac:dyDescent="0.3">
      <c r="A893" t="s">
        <v>645</v>
      </c>
      <c r="B893">
        <v>19</v>
      </c>
      <c r="C893">
        <v>0</v>
      </c>
      <c r="E893">
        <v>0</v>
      </c>
      <c r="F893">
        <v>0</v>
      </c>
      <c r="H893">
        <v>0</v>
      </c>
      <c r="I893">
        <v>0</v>
      </c>
      <c r="N893">
        <v>0</v>
      </c>
      <c r="P893">
        <v>0</v>
      </c>
    </row>
    <row r="894" spans="1:16" x14ac:dyDescent="0.3">
      <c r="A894" t="s">
        <v>646</v>
      </c>
      <c r="B894">
        <v>19</v>
      </c>
      <c r="C894">
        <v>1</v>
      </c>
      <c r="E894">
        <v>2</v>
      </c>
      <c r="F894">
        <v>1</v>
      </c>
      <c r="H894">
        <v>1</v>
      </c>
      <c r="I894">
        <v>2</v>
      </c>
      <c r="N894">
        <v>1</v>
      </c>
      <c r="P894">
        <v>1</v>
      </c>
    </row>
    <row r="895" spans="1:16" x14ac:dyDescent="0.3">
      <c r="A895" t="s">
        <v>647</v>
      </c>
      <c r="B895">
        <v>19</v>
      </c>
      <c r="C895">
        <v>0</v>
      </c>
      <c r="E895">
        <v>330</v>
      </c>
      <c r="F895">
        <v>0</v>
      </c>
      <c r="H895">
        <v>0</v>
      </c>
      <c r="I895">
        <v>330</v>
      </c>
      <c r="N895">
        <v>0</v>
      </c>
      <c r="P895">
        <v>0</v>
      </c>
    </row>
    <row r="896" spans="1:16" x14ac:dyDescent="0.3">
      <c r="A896" t="s">
        <v>648</v>
      </c>
      <c r="B896">
        <v>19</v>
      </c>
      <c r="C896">
        <v>40</v>
      </c>
      <c r="E896">
        <v>6</v>
      </c>
      <c r="F896">
        <v>0</v>
      </c>
      <c r="H896">
        <v>40</v>
      </c>
      <c r="I896">
        <v>6</v>
      </c>
      <c r="N896">
        <v>40</v>
      </c>
      <c r="P896">
        <v>0</v>
      </c>
    </row>
    <row r="897" spans="1:16" x14ac:dyDescent="0.3">
      <c r="A897" t="s">
        <v>649</v>
      </c>
      <c r="B897">
        <v>19</v>
      </c>
      <c r="C897">
        <v>3</v>
      </c>
      <c r="E897">
        <v>3</v>
      </c>
      <c r="F897">
        <v>3</v>
      </c>
      <c r="H897">
        <v>3</v>
      </c>
      <c r="I897">
        <v>3</v>
      </c>
      <c r="N897">
        <v>3</v>
      </c>
      <c r="P897">
        <v>3</v>
      </c>
    </row>
    <row r="898" spans="1:16" x14ac:dyDescent="0.3">
      <c r="A898" t="s">
        <v>650</v>
      </c>
      <c r="B898">
        <v>19</v>
      </c>
      <c r="C898">
        <v>0</v>
      </c>
      <c r="E898">
        <v>0</v>
      </c>
      <c r="F898">
        <v>0</v>
      </c>
      <c r="H898">
        <v>0</v>
      </c>
      <c r="I898">
        <v>0</v>
      </c>
      <c r="N898">
        <v>0</v>
      </c>
      <c r="P898">
        <v>0</v>
      </c>
    </row>
    <row r="899" spans="1:16" x14ac:dyDescent="0.3">
      <c r="A899" t="s">
        <v>651</v>
      </c>
      <c r="B899">
        <v>19</v>
      </c>
      <c r="C899">
        <v>0</v>
      </c>
      <c r="E899">
        <v>0</v>
      </c>
      <c r="F899">
        <v>0</v>
      </c>
      <c r="H899">
        <v>0</v>
      </c>
      <c r="I899">
        <v>0</v>
      </c>
      <c r="N899">
        <v>0</v>
      </c>
      <c r="P899">
        <v>0</v>
      </c>
    </row>
    <row r="900" spans="1:16" x14ac:dyDescent="0.3">
      <c r="A900" t="s">
        <v>652</v>
      </c>
      <c r="B900">
        <v>19</v>
      </c>
      <c r="C900">
        <v>0</v>
      </c>
      <c r="E900">
        <v>0</v>
      </c>
      <c r="F900">
        <v>0</v>
      </c>
      <c r="H900">
        <v>0</v>
      </c>
      <c r="I900">
        <v>0</v>
      </c>
      <c r="N900">
        <v>0</v>
      </c>
      <c r="P900">
        <v>0</v>
      </c>
    </row>
    <row r="901" spans="1:16" x14ac:dyDescent="0.3">
      <c r="A901" t="s">
        <v>653</v>
      </c>
      <c r="B901">
        <v>19</v>
      </c>
      <c r="E901">
        <v>0</v>
      </c>
      <c r="I901">
        <v>0</v>
      </c>
    </row>
    <row r="902" spans="1:16" x14ac:dyDescent="0.3">
      <c r="A902" t="s">
        <v>654</v>
      </c>
      <c r="B902">
        <v>19</v>
      </c>
      <c r="E902">
        <v>0</v>
      </c>
      <c r="I902">
        <v>0</v>
      </c>
    </row>
    <row r="903" spans="1:16" x14ac:dyDescent="0.3">
      <c r="A903" t="s">
        <v>655</v>
      </c>
      <c r="B903">
        <v>19</v>
      </c>
      <c r="E903">
        <v>3</v>
      </c>
      <c r="I903">
        <v>3</v>
      </c>
    </row>
    <row r="904" spans="1:16" x14ac:dyDescent="0.3">
      <c r="A904" t="s">
        <v>656</v>
      </c>
      <c r="B904">
        <v>19</v>
      </c>
      <c r="E904">
        <v>0</v>
      </c>
      <c r="I904">
        <v>0</v>
      </c>
    </row>
    <row r="905" spans="1:16" x14ac:dyDescent="0.3">
      <c r="A905" t="s">
        <v>657</v>
      </c>
      <c r="B905">
        <v>19</v>
      </c>
      <c r="E905">
        <v>0</v>
      </c>
      <c r="I905">
        <v>0</v>
      </c>
      <c r="N905">
        <v>0</v>
      </c>
    </row>
    <row r="906" spans="1:16" x14ac:dyDescent="0.3">
      <c r="A906" t="s">
        <v>408</v>
      </c>
      <c r="B906">
        <v>19</v>
      </c>
      <c r="E906">
        <v>0</v>
      </c>
    </row>
    <row r="907" spans="1:16" x14ac:dyDescent="0.3">
      <c r="A907" t="s">
        <v>658</v>
      </c>
      <c r="B907">
        <v>19</v>
      </c>
      <c r="C907">
        <v>16</v>
      </c>
      <c r="E907">
        <v>1076</v>
      </c>
      <c r="F907">
        <v>82</v>
      </c>
      <c r="G907">
        <v>0</v>
      </c>
      <c r="H907">
        <v>49</v>
      </c>
      <c r="I907">
        <v>598</v>
      </c>
      <c r="N907">
        <v>38</v>
      </c>
      <c r="P907">
        <v>228</v>
      </c>
    </row>
    <row r="908" spans="1:16" x14ac:dyDescent="0.3">
      <c r="A908" t="s">
        <v>34</v>
      </c>
      <c r="B908">
        <v>21</v>
      </c>
      <c r="C908">
        <v>19</v>
      </c>
      <c r="D908">
        <v>19</v>
      </c>
      <c r="E908">
        <v>19</v>
      </c>
      <c r="F908">
        <v>19</v>
      </c>
      <c r="G908">
        <v>61</v>
      </c>
      <c r="H908">
        <v>61</v>
      </c>
      <c r="I908">
        <v>61</v>
      </c>
      <c r="J908">
        <v>61</v>
      </c>
      <c r="K908">
        <v>133</v>
      </c>
      <c r="L908">
        <v>133</v>
      </c>
      <c r="M908">
        <v>133</v>
      </c>
      <c r="N908">
        <v>134</v>
      </c>
      <c r="O908">
        <v>134</v>
      </c>
      <c r="P908">
        <v>134</v>
      </c>
    </row>
    <row r="909" spans="1:16" x14ac:dyDescent="0.3">
      <c r="A909" t="s">
        <v>35</v>
      </c>
      <c r="B909">
        <v>21</v>
      </c>
      <c r="C909">
        <v>19</v>
      </c>
      <c r="D909">
        <v>133</v>
      </c>
      <c r="E909">
        <v>61</v>
      </c>
      <c r="F909">
        <v>134</v>
      </c>
      <c r="G909">
        <v>61</v>
      </c>
      <c r="H909">
        <v>134</v>
      </c>
      <c r="I909">
        <v>19</v>
      </c>
      <c r="J909">
        <v>133</v>
      </c>
      <c r="K909">
        <v>61</v>
      </c>
      <c r="L909">
        <v>134</v>
      </c>
      <c r="M909">
        <v>19</v>
      </c>
      <c r="N909">
        <v>19</v>
      </c>
      <c r="O909">
        <v>133</v>
      </c>
      <c r="P909">
        <v>61</v>
      </c>
    </row>
    <row r="910" spans="1:16" x14ac:dyDescent="0.3">
      <c r="A910" t="s">
        <v>36</v>
      </c>
      <c r="B910">
        <v>21</v>
      </c>
      <c r="C910">
        <v>0</v>
      </c>
      <c r="D910">
        <v>1</v>
      </c>
      <c r="E910">
        <v>2</v>
      </c>
      <c r="F910">
        <v>1</v>
      </c>
      <c r="G910">
        <v>0</v>
      </c>
      <c r="H910">
        <v>1</v>
      </c>
      <c r="I910">
        <v>2</v>
      </c>
      <c r="J910">
        <v>1</v>
      </c>
      <c r="K910">
        <v>0</v>
      </c>
      <c r="L910">
        <v>1</v>
      </c>
      <c r="M910">
        <v>1</v>
      </c>
      <c r="N910">
        <v>0</v>
      </c>
      <c r="O910">
        <v>1</v>
      </c>
      <c r="P910">
        <v>0</v>
      </c>
    </row>
    <row r="911" spans="1:16" x14ac:dyDescent="0.3">
      <c r="A911" t="s">
        <v>37</v>
      </c>
      <c r="B911">
        <v>21</v>
      </c>
      <c r="D911">
        <v>0</v>
      </c>
      <c r="E911">
        <v>0</v>
      </c>
      <c r="H911">
        <v>0</v>
      </c>
      <c r="I911">
        <v>0</v>
      </c>
      <c r="K911">
        <v>0</v>
      </c>
      <c r="L911">
        <v>1</v>
      </c>
      <c r="N911">
        <v>0</v>
      </c>
      <c r="O911">
        <v>3</v>
      </c>
    </row>
    <row r="912" spans="1:16" x14ac:dyDescent="0.3">
      <c r="A912" t="s">
        <v>38</v>
      </c>
      <c r="B912">
        <v>21</v>
      </c>
      <c r="C912">
        <v>12</v>
      </c>
      <c r="D912">
        <v>12</v>
      </c>
      <c r="E912">
        <v>12</v>
      </c>
      <c r="F912">
        <v>12</v>
      </c>
      <c r="G912">
        <v>12</v>
      </c>
      <c r="H912">
        <v>12</v>
      </c>
      <c r="I912">
        <v>12</v>
      </c>
      <c r="J912">
        <v>12</v>
      </c>
      <c r="K912">
        <v>12</v>
      </c>
      <c r="L912">
        <v>12</v>
      </c>
      <c r="M912">
        <v>12</v>
      </c>
      <c r="N912">
        <v>12</v>
      </c>
      <c r="O912">
        <v>12</v>
      </c>
      <c r="P912">
        <v>12</v>
      </c>
    </row>
    <row r="913" spans="1:16" x14ac:dyDescent="0.3">
      <c r="A913" t="s">
        <v>39</v>
      </c>
      <c r="B913">
        <v>21</v>
      </c>
      <c r="D913">
        <v>200</v>
      </c>
      <c r="F913">
        <v>250</v>
      </c>
      <c r="H913">
        <v>300</v>
      </c>
      <c r="J913">
        <v>300</v>
      </c>
      <c r="M913">
        <v>1000</v>
      </c>
    </row>
    <row r="914" spans="1:16" x14ac:dyDescent="0.3">
      <c r="A914" t="s">
        <v>631</v>
      </c>
      <c r="B914">
        <v>21</v>
      </c>
      <c r="D914">
        <v>25</v>
      </c>
      <c r="F914">
        <v>25</v>
      </c>
      <c r="H914">
        <v>25</v>
      </c>
      <c r="J914">
        <v>25</v>
      </c>
      <c r="M914">
        <v>25</v>
      </c>
    </row>
    <row r="915" spans="1:16" x14ac:dyDescent="0.3">
      <c r="A915" t="s">
        <v>40</v>
      </c>
      <c r="B915">
        <v>21</v>
      </c>
      <c r="D915">
        <v>1</v>
      </c>
      <c r="F915">
        <v>1</v>
      </c>
      <c r="H915">
        <v>1</v>
      </c>
      <c r="J915">
        <v>1</v>
      </c>
      <c r="M915">
        <v>1</v>
      </c>
    </row>
    <row r="916" spans="1:16" x14ac:dyDescent="0.3">
      <c r="A916" t="s">
        <v>41</v>
      </c>
      <c r="B916">
        <v>21</v>
      </c>
    </row>
    <row r="917" spans="1:16" x14ac:dyDescent="0.3">
      <c r="A917" t="s">
        <v>42</v>
      </c>
      <c r="B917">
        <v>21</v>
      </c>
      <c r="E917">
        <v>55</v>
      </c>
      <c r="I917">
        <v>55</v>
      </c>
      <c r="L917">
        <v>30</v>
      </c>
      <c r="O917">
        <v>30</v>
      </c>
    </row>
    <row r="918" spans="1:16" x14ac:dyDescent="0.3">
      <c r="A918" t="s">
        <v>45</v>
      </c>
      <c r="B918">
        <v>21</v>
      </c>
      <c r="D918">
        <v>1</v>
      </c>
      <c r="E918">
        <v>6</v>
      </c>
      <c r="H918">
        <v>5</v>
      </c>
      <c r="I918">
        <v>2</v>
      </c>
      <c r="L918">
        <v>8</v>
      </c>
      <c r="O918">
        <v>4</v>
      </c>
    </row>
    <row r="919" spans="1:16" x14ac:dyDescent="0.3">
      <c r="A919" t="s">
        <v>46</v>
      </c>
      <c r="B919">
        <v>21</v>
      </c>
      <c r="F919">
        <v>6</v>
      </c>
      <c r="J919">
        <v>2</v>
      </c>
      <c r="K919">
        <v>8</v>
      </c>
      <c r="M919">
        <v>8</v>
      </c>
      <c r="N919">
        <v>4</v>
      </c>
    </row>
    <row r="920" spans="1:16" x14ac:dyDescent="0.3">
      <c r="A920" t="s">
        <v>49</v>
      </c>
      <c r="B920">
        <v>21</v>
      </c>
      <c r="C920">
        <v>4</v>
      </c>
      <c r="D920">
        <v>6.5</v>
      </c>
      <c r="E920">
        <v>7</v>
      </c>
      <c r="F920">
        <v>7</v>
      </c>
      <c r="G920">
        <v>4</v>
      </c>
      <c r="H920">
        <v>6.5</v>
      </c>
      <c r="I920">
        <v>7</v>
      </c>
      <c r="J920">
        <v>7</v>
      </c>
      <c r="K920">
        <v>7</v>
      </c>
      <c r="L920">
        <v>7</v>
      </c>
      <c r="M920">
        <v>7</v>
      </c>
      <c r="N920">
        <v>7</v>
      </c>
      <c r="O920">
        <v>7</v>
      </c>
      <c r="P920">
        <v>4</v>
      </c>
    </row>
    <row r="921" spans="1:16" x14ac:dyDescent="0.3">
      <c r="A921" t="s">
        <v>632</v>
      </c>
      <c r="B921">
        <v>21</v>
      </c>
      <c r="C921">
        <v>0</v>
      </c>
      <c r="D921">
        <v>0</v>
      </c>
      <c r="E921">
        <v>0</v>
      </c>
      <c r="F921">
        <v>0</v>
      </c>
      <c r="G921">
        <v>0</v>
      </c>
      <c r="H921">
        <v>0</v>
      </c>
      <c r="I921">
        <v>0</v>
      </c>
      <c r="J921">
        <v>0</v>
      </c>
      <c r="K921">
        <v>0</v>
      </c>
      <c r="L921">
        <v>0</v>
      </c>
      <c r="M921">
        <v>0</v>
      </c>
      <c r="N921">
        <v>0</v>
      </c>
      <c r="O921">
        <v>0</v>
      </c>
      <c r="P921">
        <v>0</v>
      </c>
    </row>
    <row r="922" spans="1:16" x14ac:dyDescent="0.3">
      <c r="A922" t="s">
        <v>48</v>
      </c>
      <c r="B922">
        <v>21</v>
      </c>
      <c r="C922">
        <v>1900</v>
      </c>
      <c r="D922">
        <v>1900</v>
      </c>
      <c r="E922">
        <v>1900</v>
      </c>
      <c r="F922">
        <v>1900</v>
      </c>
      <c r="G922">
        <v>1900</v>
      </c>
      <c r="H922">
        <v>1900</v>
      </c>
      <c r="I922">
        <v>1900</v>
      </c>
      <c r="J922">
        <v>1900</v>
      </c>
      <c r="K922">
        <v>1900</v>
      </c>
      <c r="L922">
        <v>1900</v>
      </c>
      <c r="M922">
        <v>1900</v>
      </c>
      <c r="N922">
        <v>1900</v>
      </c>
      <c r="O922">
        <v>1900</v>
      </c>
      <c r="P922">
        <v>1900</v>
      </c>
    </row>
    <row r="923" spans="1:16" x14ac:dyDescent="0.3">
      <c r="A923" t="s">
        <v>633</v>
      </c>
      <c r="B923">
        <v>21</v>
      </c>
      <c r="C923">
        <v>0</v>
      </c>
      <c r="D923">
        <v>1770</v>
      </c>
      <c r="E923">
        <v>3539</v>
      </c>
      <c r="F923">
        <v>1583</v>
      </c>
      <c r="G923">
        <v>0</v>
      </c>
      <c r="H923">
        <v>1770</v>
      </c>
      <c r="I923">
        <v>3539</v>
      </c>
      <c r="J923">
        <v>1583</v>
      </c>
      <c r="K923">
        <v>0</v>
      </c>
      <c r="L923">
        <v>1796</v>
      </c>
      <c r="M923">
        <v>1583</v>
      </c>
      <c r="N923">
        <v>0</v>
      </c>
      <c r="O923">
        <v>1749</v>
      </c>
      <c r="P923">
        <v>0</v>
      </c>
    </row>
    <row r="924" spans="1:16" x14ac:dyDescent="0.3">
      <c r="A924" t="s">
        <v>50</v>
      </c>
      <c r="B924">
        <v>21</v>
      </c>
      <c r="C924">
        <v>0</v>
      </c>
      <c r="D924">
        <v>1770</v>
      </c>
      <c r="E924">
        <v>3539</v>
      </c>
      <c r="F924">
        <v>1583</v>
      </c>
      <c r="G924">
        <v>0</v>
      </c>
      <c r="H924">
        <v>1770</v>
      </c>
      <c r="I924">
        <v>3539</v>
      </c>
      <c r="J924">
        <v>1583</v>
      </c>
      <c r="K924">
        <v>0</v>
      </c>
      <c r="L924">
        <v>1405</v>
      </c>
      <c r="M924">
        <v>1583</v>
      </c>
      <c r="N924">
        <v>0</v>
      </c>
      <c r="O924">
        <v>1618</v>
      </c>
      <c r="P924">
        <v>0</v>
      </c>
    </row>
    <row r="925" spans="1:16" x14ac:dyDescent="0.3">
      <c r="A925" t="s">
        <v>634</v>
      </c>
      <c r="B925">
        <v>21</v>
      </c>
      <c r="C925">
        <v>1</v>
      </c>
      <c r="D925">
        <v>1</v>
      </c>
      <c r="E925">
        <v>1</v>
      </c>
      <c r="F925">
        <v>1</v>
      </c>
      <c r="G925">
        <v>1</v>
      </c>
      <c r="H925">
        <v>1</v>
      </c>
      <c r="I925">
        <v>1</v>
      </c>
      <c r="J925">
        <v>1</v>
      </c>
      <c r="K925">
        <v>1</v>
      </c>
      <c r="L925">
        <v>1</v>
      </c>
      <c r="M925">
        <v>1</v>
      </c>
      <c r="N925">
        <v>1</v>
      </c>
      <c r="O925">
        <v>1</v>
      </c>
      <c r="P925">
        <v>1</v>
      </c>
    </row>
    <row r="926" spans="1:16" x14ac:dyDescent="0.3">
      <c r="A926" t="s">
        <v>51</v>
      </c>
      <c r="B926">
        <v>21</v>
      </c>
      <c r="C926">
        <v>0</v>
      </c>
      <c r="D926">
        <v>0</v>
      </c>
      <c r="E926">
        <v>0</v>
      </c>
      <c r="F926">
        <v>95</v>
      </c>
      <c r="G926">
        <v>0</v>
      </c>
      <c r="H926">
        <v>0</v>
      </c>
      <c r="I926">
        <v>0</v>
      </c>
      <c r="J926">
        <v>155</v>
      </c>
      <c r="K926">
        <v>0</v>
      </c>
      <c r="L926">
        <v>0</v>
      </c>
      <c r="M926">
        <v>155</v>
      </c>
      <c r="N926">
        <v>0</v>
      </c>
      <c r="O926">
        <v>11</v>
      </c>
      <c r="P926">
        <v>0</v>
      </c>
    </row>
    <row r="927" spans="1:16" x14ac:dyDescent="0.3">
      <c r="A927" t="s">
        <v>53</v>
      </c>
      <c r="B927">
        <v>21</v>
      </c>
      <c r="C927">
        <v>0</v>
      </c>
      <c r="D927">
        <v>245</v>
      </c>
      <c r="E927">
        <v>943</v>
      </c>
      <c r="F927">
        <v>40</v>
      </c>
      <c r="G927">
        <v>0</v>
      </c>
      <c r="H927">
        <v>27</v>
      </c>
      <c r="I927">
        <v>551</v>
      </c>
      <c r="J927">
        <v>86</v>
      </c>
      <c r="K927">
        <v>90</v>
      </c>
      <c r="L927">
        <v>30</v>
      </c>
      <c r="M927">
        <v>63</v>
      </c>
      <c r="N927">
        <v>8</v>
      </c>
      <c r="O927">
        <v>19</v>
      </c>
      <c r="P927">
        <v>10</v>
      </c>
    </row>
    <row r="928" spans="1:16" x14ac:dyDescent="0.3">
      <c r="A928" t="s">
        <v>54</v>
      </c>
      <c r="B928">
        <v>21</v>
      </c>
      <c r="C928">
        <v>0</v>
      </c>
      <c r="D928">
        <v>0</v>
      </c>
      <c r="E928">
        <v>0</v>
      </c>
      <c r="F928">
        <v>0</v>
      </c>
      <c r="G928">
        <v>0</v>
      </c>
      <c r="H928">
        <v>0</v>
      </c>
      <c r="I928">
        <v>0</v>
      </c>
      <c r="J928">
        <v>0</v>
      </c>
      <c r="K928">
        <v>0</v>
      </c>
      <c r="L928">
        <v>0</v>
      </c>
      <c r="M928">
        <v>0</v>
      </c>
      <c r="N928">
        <v>0</v>
      </c>
      <c r="O928">
        <v>0</v>
      </c>
      <c r="P928">
        <v>0</v>
      </c>
    </row>
    <row r="929" spans="1:16" x14ac:dyDescent="0.3">
      <c r="A929" t="s">
        <v>55</v>
      </c>
      <c r="B929">
        <v>21</v>
      </c>
      <c r="C929">
        <v>0</v>
      </c>
      <c r="D929">
        <v>0</v>
      </c>
      <c r="E929">
        <v>0</v>
      </c>
      <c r="F929">
        <v>0</v>
      </c>
      <c r="G929">
        <v>0</v>
      </c>
      <c r="H929">
        <v>0</v>
      </c>
      <c r="I929">
        <v>0</v>
      </c>
      <c r="J929">
        <v>0</v>
      </c>
      <c r="K929">
        <v>0</v>
      </c>
      <c r="L929">
        <v>0</v>
      </c>
      <c r="M929">
        <v>0</v>
      </c>
      <c r="N929">
        <v>0</v>
      </c>
      <c r="O929">
        <v>0</v>
      </c>
      <c r="P929">
        <v>0</v>
      </c>
    </row>
    <row r="930" spans="1:16" x14ac:dyDescent="0.3">
      <c r="A930" t="s">
        <v>56</v>
      </c>
      <c r="B930">
        <v>21</v>
      </c>
      <c r="C930">
        <v>0.92</v>
      </c>
      <c r="D930">
        <v>0.92</v>
      </c>
      <c r="E930">
        <v>0.92</v>
      </c>
      <c r="F930">
        <v>0.92</v>
      </c>
      <c r="G930">
        <v>0.92</v>
      </c>
      <c r="H930">
        <v>0.92</v>
      </c>
      <c r="I930">
        <v>0.92</v>
      </c>
      <c r="J930">
        <v>0.92</v>
      </c>
      <c r="K930">
        <v>0.92</v>
      </c>
      <c r="L930">
        <v>0.92</v>
      </c>
      <c r="M930">
        <v>0.92</v>
      </c>
      <c r="N930">
        <v>0.92</v>
      </c>
      <c r="O930">
        <v>0.92</v>
      </c>
      <c r="P930">
        <v>0.92</v>
      </c>
    </row>
    <row r="931" spans="1:16" x14ac:dyDescent="0.3">
      <c r="A931" t="s">
        <v>57</v>
      </c>
      <c r="B931">
        <v>21</v>
      </c>
      <c r="C931">
        <v>100</v>
      </c>
      <c r="D931">
        <v>100</v>
      </c>
      <c r="E931">
        <v>100</v>
      </c>
      <c r="F931">
        <v>100</v>
      </c>
      <c r="G931">
        <v>100</v>
      </c>
      <c r="H931">
        <v>100</v>
      </c>
      <c r="I931">
        <v>100</v>
      </c>
      <c r="J931">
        <v>100</v>
      </c>
      <c r="K931">
        <v>100</v>
      </c>
      <c r="L931">
        <v>100</v>
      </c>
      <c r="M931">
        <v>100</v>
      </c>
      <c r="N931">
        <v>100</v>
      </c>
      <c r="O931">
        <v>100</v>
      </c>
      <c r="P931">
        <v>100</v>
      </c>
    </row>
    <row r="932" spans="1:16" x14ac:dyDescent="0.3">
      <c r="A932" t="s">
        <v>58</v>
      </c>
      <c r="B932">
        <v>21</v>
      </c>
      <c r="C932">
        <v>2</v>
      </c>
      <c r="D932">
        <v>2</v>
      </c>
      <c r="E932">
        <v>2</v>
      </c>
      <c r="F932">
        <v>2</v>
      </c>
      <c r="G932">
        <v>2</v>
      </c>
      <c r="H932">
        <v>2</v>
      </c>
      <c r="I932">
        <v>2</v>
      </c>
      <c r="J932">
        <v>2</v>
      </c>
      <c r="K932">
        <v>2</v>
      </c>
      <c r="L932">
        <v>2</v>
      </c>
      <c r="M932">
        <v>2</v>
      </c>
      <c r="N932">
        <v>2</v>
      </c>
      <c r="O932">
        <v>2</v>
      </c>
      <c r="P932">
        <v>2</v>
      </c>
    </row>
    <row r="933" spans="1:16" x14ac:dyDescent="0.3">
      <c r="A933" t="s">
        <v>59</v>
      </c>
      <c r="B933">
        <v>21</v>
      </c>
      <c r="C933">
        <v>0</v>
      </c>
      <c r="D933">
        <v>0</v>
      </c>
      <c r="E933">
        <v>0</v>
      </c>
      <c r="F933">
        <v>0</v>
      </c>
      <c r="G933">
        <v>0</v>
      </c>
      <c r="H933">
        <v>0</v>
      </c>
      <c r="I933">
        <v>0</v>
      </c>
      <c r="J933">
        <v>0</v>
      </c>
      <c r="K933">
        <v>0</v>
      </c>
      <c r="L933">
        <v>0</v>
      </c>
      <c r="M933">
        <v>0</v>
      </c>
      <c r="N933">
        <v>0</v>
      </c>
      <c r="O933">
        <v>0</v>
      </c>
      <c r="P933">
        <v>0</v>
      </c>
    </row>
    <row r="934" spans="1:16" x14ac:dyDescent="0.3">
      <c r="A934" t="s">
        <v>635</v>
      </c>
      <c r="B934">
        <v>21</v>
      </c>
      <c r="E934">
        <v>0</v>
      </c>
      <c r="I934">
        <v>0</v>
      </c>
      <c r="L934">
        <v>0</v>
      </c>
      <c r="O934">
        <v>0</v>
      </c>
    </row>
    <row r="935" spans="1:16" x14ac:dyDescent="0.3">
      <c r="A935" t="s">
        <v>574</v>
      </c>
      <c r="B935">
        <v>21</v>
      </c>
      <c r="E935">
        <v>2522</v>
      </c>
      <c r="I935">
        <v>875</v>
      </c>
      <c r="L935">
        <v>1474</v>
      </c>
      <c r="O935">
        <v>760</v>
      </c>
    </row>
    <row r="936" spans="1:16" x14ac:dyDescent="0.3">
      <c r="A936" t="s">
        <v>78</v>
      </c>
      <c r="B936">
        <v>21</v>
      </c>
      <c r="E936">
        <v>31.3</v>
      </c>
      <c r="I936">
        <v>10.8</v>
      </c>
      <c r="L936">
        <v>33.5</v>
      </c>
      <c r="O936">
        <v>17.3</v>
      </c>
    </row>
    <row r="937" spans="1:16" x14ac:dyDescent="0.3">
      <c r="A937" t="s">
        <v>636</v>
      </c>
      <c r="B937">
        <v>21</v>
      </c>
      <c r="F937">
        <v>0</v>
      </c>
      <c r="J937">
        <v>0</v>
      </c>
      <c r="M937">
        <v>0</v>
      </c>
      <c r="P937">
        <v>0</v>
      </c>
    </row>
    <row r="938" spans="1:16" x14ac:dyDescent="0.3">
      <c r="A938" t="s">
        <v>639</v>
      </c>
      <c r="B938">
        <v>21</v>
      </c>
      <c r="C938">
        <v>3</v>
      </c>
      <c r="D938">
        <v>0</v>
      </c>
      <c r="E938">
        <v>0</v>
      </c>
      <c r="F938">
        <v>1</v>
      </c>
      <c r="G938">
        <v>3</v>
      </c>
      <c r="H938">
        <v>0</v>
      </c>
      <c r="I938">
        <v>0</v>
      </c>
      <c r="J938">
        <v>1</v>
      </c>
      <c r="K938">
        <v>0</v>
      </c>
      <c r="L938">
        <v>0</v>
      </c>
      <c r="M938">
        <v>1</v>
      </c>
      <c r="N938">
        <v>0</v>
      </c>
      <c r="O938">
        <v>0</v>
      </c>
      <c r="P938">
        <v>1</v>
      </c>
    </row>
    <row r="939" spans="1:16" x14ac:dyDescent="0.3">
      <c r="A939" t="s">
        <v>640</v>
      </c>
      <c r="B939">
        <v>21</v>
      </c>
      <c r="C939">
        <v>0</v>
      </c>
      <c r="D939">
        <v>0</v>
      </c>
      <c r="E939">
        <v>0</v>
      </c>
      <c r="F939">
        <v>0</v>
      </c>
      <c r="G939">
        <v>0</v>
      </c>
      <c r="H939">
        <v>0</v>
      </c>
      <c r="I939">
        <v>0</v>
      </c>
      <c r="J939">
        <v>0</v>
      </c>
      <c r="K939">
        <v>0</v>
      </c>
      <c r="L939">
        <v>0</v>
      </c>
      <c r="M939">
        <v>0</v>
      </c>
      <c r="N939">
        <v>0</v>
      </c>
      <c r="O939">
        <v>0</v>
      </c>
      <c r="P939">
        <v>0</v>
      </c>
    </row>
    <row r="940" spans="1:16" x14ac:dyDescent="0.3">
      <c r="A940" t="s">
        <v>52</v>
      </c>
      <c r="B940">
        <v>21</v>
      </c>
      <c r="C940">
        <v>1</v>
      </c>
      <c r="D940">
        <v>1</v>
      </c>
      <c r="E940">
        <v>1</v>
      </c>
      <c r="F940">
        <v>1</v>
      </c>
      <c r="G940">
        <v>1</v>
      </c>
      <c r="H940">
        <v>1</v>
      </c>
      <c r="I940">
        <v>1</v>
      </c>
      <c r="J940">
        <v>1</v>
      </c>
      <c r="K940">
        <v>1</v>
      </c>
      <c r="L940">
        <v>1</v>
      </c>
      <c r="M940">
        <v>1</v>
      </c>
      <c r="N940">
        <v>1.02</v>
      </c>
      <c r="O940">
        <v>1.02</v>
      </c>
      <c r="P940">
        <v>1.02</v>
      </c>
    </row>
    <row r="941" spans="1:16" x14ac:dyDescent="0.3">
      <c r="A941" t="s">
        <v>641</v>
      </c>
      <c r="B941">
        <v>21</v>
      </c>
      <c r="C941">
        <v>9</v>
      </c>
      <c r="D941">
        <v>15</v>
      </c>
      <c r="E941">
        <v>60</v>
      </c>
      <c r="F941">
        <v>9</v>
      </c>
      <c r="G941">
        <v>9</v>
      </c>
      <c r="H941">
        <v>15</v>
      </c>
      <c r="I941">
        <v>60</v>
      </c>
      <c r="J941">
        <v>9</v>
      </c>
      <c r="K941">
        <v>15</v>
      </c>
      <c r="L941">
        <v>60</v>
      </c>
      <c r="M941">
        <v>9</v>
      </c>
      <c r="N941">
        <v>15</v>
      </c>
      <c r="O941">
        <v>60</v>
      </c>
      <c r="P941">
        <v>9</v>
      </c>
    </row>
    <row r="942" spans="1:16" x14ac:dyDescent="0.3">
      <c r="A942" t="s">
        <v>43</v>
      </c>
      <c r="B942">
        <v>21</v>
      </c>
      <c r="D942">
        <v>40</v>
      </c>
      <c r="E942">
        <v>336</v>
      </c>
      <c r="F942">
        <v>0</v>
      </c>
      <c r="H942">
        <v>40</v>
      </c>
      <c r="I942">
        <v>336</v>
      </c>
      <c r="J942">
        <v>0</v>
      </c>
      <c r="K942">
        <v>40</v>
      </c>
      <c r="L942">
        <v>40</v>
      </c>
      <c r="M942">
        <v>0</v>
      </c>
      <c r="N942">
        <v>40</v>
      </c>
      <c r="O942">
        <v>40</v>
      </c>
    </row>
    <row r="943" spans="1:16" x14ac:dyDescent="0.3">
      <c r="A943" t="s">
        <v>44</v>
      </c>
      <c r="B943">
        <v>21</v>
      </c>
      <c r="D943">
        <v>0</v>
      </c>
      <c r="E943">
        <v>0</v>
      </c>
      <c r="F943">
        <v>0</v>
      </c>
      <c r="H943">
        <v>0</v>
      </c>
      <c r="I943">
        <v>0</v>
      </c>
      <c r="J943">
        <v>0</v>
      </c>
      <c r="K943">
        <v>0</v>
      </c>
      <c r="L943">
        <v>0</v>
      </c>
      <c r="M943">
        <v>0</v>
      </c>
      <c r="N943">
        <v>0</v>
      </c>
      <c r="O943">
        <v>0</v>
      </c>
    </row>
    <row r="944" spans="1:16" x14ac:dyDescent="0.3">
      <c r="A944" t="s">
        <v>47</v>
      </c>
      <c r="B944">
        <v>21</v>
      </c>
      <c r="D944">
        <v>1</v>
      </c>
      <c r="E944">
        <v>6</v>
      </c>
      <c r="F944">
        <v>6</v>
      </c>
      <c r="H944">
        <v>5</v>
      </c>
      <c r="I944">
        <v>2</v>
      </c>
      <c r="J944">
        <v>2</v>
      </c>
      <c r="K944">
        <v>8</v>
      </c>
      <c r="L944">
        <v>8</v>
      </c>
      <c r="M944">
        <v>8</v>
      </c>
      <c r="N944">
        <v>4</v>
      </c>
      <c r="O944">
        <v>4</v>
      </c>
    </row>
    <row r="945" spans="1:15" x14ac:dyDescent="0.3">
      <c r="A945" t="s">
        <v>642</v>
      </c>
      <c r="B945">
        <v>21</v>
      </c>
      <c r="D945">
        <v>0</v>
      </c>
      <c r="E945">
        <v>0</v>
      </c>
      <c r="F945">
        <v>0</v>
      </c>
      <c r="H945">
        <v>0</v>
      </c>
      <c r="I945">
        <v>0</v>
      </c>
      <c r="J945">
        <v>0</v>
      </c>
      <c r="K945">
        <v>0</v>
      </c>
      <c r="L945">
        <v>0</v>
      </c>
      <c r="M945">
        <v>0</v>
      </c>
      <c r="N945">
        <v>0</v>
      </c>
      <c r="O945">
        <v>0</v>
      </c>
    </row>
    <row r="946" spans="1:15" x14ac:dyDescent="0.3">
      <c r="A946" t="s">
        <v>643</v>
      </c>
      <c r="B946">
        <v>21</v>
      </c>
      <c r="D946">
        <v>0</v>
      </c>
      <c r="E946">
        <v>0</v>
      </c>
      <c r="F946">
        <v>0</v>
      </c>
      <c r="H946">
        <v>0</v>
      </c>
      <c r="I946">
        <v>0</v>
      </c>
      <c r="J946">
        <v>0</v>
      </c>
      <c r="K946">
        <v>0</v>
      </c>
      <c r="L946">
        <v>0</v>
      </c>
      <c r="M946">
        <v>0</v>
      </c>
      <c r="N946">
        <v>0</v>
      </c>
      <c r="O946">
        <v>0</v>
      </c>
    </row>
    <row r="947" spans="1:15" x14ac:dyDescent="0.3">
      <c r="A947" t="s">
        <v>644</v>
      </c>
      <c r="B947">
        <v>21</v>
      </c>
      <c r="D947">
        <v>0</v>
      </c>
      <c r="E947">
        <v>0</v>
      </c>
      <c r="F947">
        <v>0</v>
      </c>
      <c r="H947">
        <v>0</v>
      </c>
      <c r="I947">
        <v>0</v>
      </c>
      <c r="J947">
        <v>0</v>
      </c>
      <c r="K947">
        <v>0</v>
      </c>
      <c r="L947">
        <v>0</v>
      </c>
      <c r="M947">
        <v>0</v>
      </c>
      <c r="N947">
        <v>0</v>
      </c>
      <c r="O947">
        <v>0</v>
      </c>
    </row>
    <row r="948" spans="1:15" x14ac:dyDescent="0.3">
      <c r="A948" t="s">
        <v>645</v>
      </c>
      <c r="B948">
        <v>21</v>
      </c>
      <c r="D948">
        <v>0</v>
      </c>
      <c r="E948">
        <v>0</v>
      </c>
      <c r="F948">
        <v>0</v>
      </c>
      <c r="H948">
        <v>0</v>
      </c>
      <c r="I948">
        <v>0</v>
      </c>
      <c r="J948">
        <v>0</v>
      </c>
      <c r="K948">
        <v>0</v>
      </c>
      <c r="L948">
        <v>0</v>
      </c>
      <c r="M948">
        <v>0</v>
      </c>
      <c r="N948">
        <v>0</v>
      </c>
      <c r="O948">
        <v>0</v>
      </c>
    </row>
    <row r="949" spans="1:15" x14ac:dyDescent="0.3">
      <c r="A949" t="s">
        <v>646</v>
      </c>
      <c r="B949">
        <v>21</v>
      </c>
      <c r="D949">
        <v>1</v>
      </c>
      <c r="E949">
        <v>2</v>
      </c>
      <c r="F949">
        <v>1</v>
      </c>
      <c r="H949">
        <v>1</v>
      </c>
      <c r="I949">
        <v>2</v>
      </c>
      <c r="J949">
        <v>1</v>
      </c>
      <c r="K949">
        <v>1</v>
      </c>
      <c r="L949">
        <v>2</v>
      </c>
      <c r="M949">
        <v>1</v>
      </c>
      <c r="N949">
        <v>1</v>
      </c>
      <c r="O949">
        <v>2</v>
      </c>
    </row>
    <row r="950" spans="1:15" x14ac:dyDescent="0.3">
      <c r="A950" t="s">
        <v>647</v>
      </c>
      <c r="B950">
        <v>21</v>
      </c>
      <c r="D950">
        <v>0</v>
      </c>
      <c r="E950">
        <v>330</v>
      </c>
      <c r="F950">
        <v>0</v>
      </c>
      <c r="H950">
        <v>0</v>
      </c>
      <c r="I950">
        <v>330</v>
      </c>
      <c r="J950">
        <v>0</v>
      </c>
      <c r="K950">
        <v>0</v>
      </c>
      <c r="L950">
        <v>0</v>
      </c>
      <c r="M950">
        <v>0</v>
      </c>
      <c r="N950">
        <v>0</v>
      </c>
      <c r="O950">
        <v>0</v>
      </c>
    </row>
    <row r="951" spans="1:15" x14ac:dyDescent="0.3">
      <c r="A951" t="s">
        <v>648</v>
      </c>
      <c r="B951">
        <v>21</v>
      </c>
      <c r="D951">
        <v>40</v>
      </c>
      <c r="E951">
        <v>6</v>
      </c>
      <c r="F951">
        <v>0</v>
      </c>
      <c r="H951">
        <v>40</v>
      </c>
      <c r="I951">
        <v>6</v>
      </c>
      <c r="J951">
        <v>0</v>
      </c>
      <c r="K951">
        <v>40</v>
      </c>
      <c r="L951">
        <v>40</v>
      </c>
      <c r="M951">
        <v>0</v>
      </c>
      <c r="N951">
        <v>40</v>
      </c>
      <c r="O951">
        <v>40</v>
      </c>
    </row>
    <row r="952" spans="1:15" x14ac:dyDescent="0.3">
      <c r="A952" t="s">
        <v>649</v>
      </c>
      <c r="B952">
        <v>21</v>
      </c>
      <c r="D952">
        <v>3</v>
      </c>
      <c r="E952">
        <v>3</v>
      </c>
      <c r="F952">
        <v>3</v>
      </c>
      <c r="H952">
        <v>3</v>
      </c>
      <c r="I952">
        <v>3</v>
      </c>
      <c r="J952">
        <v>3</v>
      </c>
      <c r="K952">
        <v>3</v>
      </c>
      <c r="L952">
        <v>3</v>
      </c>
      <c r="M952">
        <v>3</v>
      </c>
      <c r="N952">
        <v>3</v>
      </c>
      <c r="O952">
        <v>3</v>
      </c>
    </row>
    <row r="953" spans="1:15" x14ac:dyDescent="0.3">
      <c r="A953" t="s">
        <v>650</v>
      </c>
      <c r="B953">
        <v>21</v>
      </c>
      <c r="D953">
        <v>0</v>
      </c>
      <c r="E953">
        <v>0</v>
      </c>
      <c r="F953">
        <v>0</v>
      </c>
      <c r="H953">
        <v>0</v>
      </c>
      <c r="I953">
        <v>0</v>
      </c>
      <c r="J953">
        <v>0</v>
      </c>
      <c r="K953">
        <v>0</v>
      </c>
      <c r="L953">
        <v>0</v>
      </c>
      <c r="M953">
        <v>0</v>
      </c>
      <c r="N953">
        <v>0</v>
      </c>
      <c r="O953">
        <v>0</v>
      </c>
    </row>
    <row r="954" spans="1:15" x14ac:dyDescent="0.3">
      <c r="A954" t="s">
        <v>651</v>
      </c>
      <c r="B954">
        <v>21</v>
      </c>
      <c r="D954">
        <v>0</v>
      </c>
      <c r="E954">
        <v>0</v>
      </c>
      <c r="F954">
        <v>0</v>
      </c>
      <c r="H954">
        <v>0</v>
      </c>
      <c r="I954">
        <v>0</v>
      </c>
      <c r="J954">
        <v>0</v>
      </c>
      <c r="K954">
        <v>0</v>
      </c>
      <c r="L954">
        <v>0</v>
      </c>
      <c r="M954">
        <v>0</v>
      </c>
      <c r="N954">
        <v>0</v>
      </c>
      <c r="O954">
        <v>0</v>
      </c>
    </row>
    <row r="955" spans="1:15" x14ac:dyDescent="0.3">
      <c r="A955" t="s">
        <v>652</v>
      </c>
      <c r="B955">
        <v>21</v>
      </c>
      <c r="D955">
        <v>0</v>
      </c>
      <c r="E955">
        <v>0</v>
      </c>
      <c r="F955">
        <v>0</v>
      </c>
      <c r="H955">
        <v>0</v>
      </c>
      <c r="I955">
        <v>0</v>
      </c>
      <c r="J955">
        <v>0</v>
      </c>
      <c r="K955">
        <v>0</v>
      </c>
      <c r="L955">
        <v>0</v>
      </c>
      <c r="M955">
        <v>0</v>
      </c>
      <c r="N955">
        <v>0</v>
      </c>
      <c r="O955">
        <v>0</v>
      </c>
    </row>
    <row r="956" spans="1:15" x14ac:dyDescent="0.3">
      <c r="A956" t="s">
        <v>653</v>
      </c>
      <c r="B956">
        <v>21</v>
      </c>
      <c r="E956">
        <v>0</v>
      </c>
      <c r="I956">
        <v>0</v>
      </c>
      <c r="L956">
        <v>0</v>
      </c>
      <c r="O956">
        <v>0</v>
      </c>
    </row>
    <row r="957" spans="1:15" x14ac:dyDescent="0.3">
      <c r="A957" t="s">
        <v>654</v>
      </c>
      <c r="B957">
        <v>21</v>
      </c>
      <c r="E957">
        <v>0</v>
      </c>
      <c r="I957">
        <v>0</v>
      </c>
      <c r="L957">
        <v>0</v>
      </c>
      <c r="O957">
        <v>0</v>
      </c>
    </row>
    <row r="958" spans="1:15" x14ac:dyDescent="0.3">
      <c r="A958" t="s">
        <v>655</v>
      </c>
      <c r="B958">
        <v>21</v>
      </c>
      <c r="E958">
        <v>3</v>
      </c>
      <c r="I958">
        <v>3</v>
      </c>
      <c r="L958">
        <v>3</v>
      </c>
      <c r="O958">
        <v>3</v>
      </c>
    </row>
    <row r="959" spans="1:15" x14ac:dyDescent="0.3">
      <c r="A959" t="s">
        <v>656</v>
      </c>
      <c r="B959">
        <v>21</v>
      </c>
      <c r="E959">
        <v>0</v>
      </c>
      <c r="I959">
        <v>0</v>
      </c>
      <c r="L959">
        <v>0</v>
      </c>
      <c r="O959">
        <v>0</v>
      </c>
    </row>
    <row r="960" spans="1:15" x14ac:dyDescent="0.3">
      <c r="A960" t="s">
        <v>657</v>
      </c>
      <c r="B960">
        <v>21</v>
      </c>
      <c r="E960">
        <v>0</v>
      </c>
      <c r="I960">
        <v>0</v>
      </c>
      <c r="L960">
        <v>0</v>
      </c>
      <c r="O960">
        <v>0</v>
      </c>
    </row>
    <row r="961" spans="1:16" x14ac:dyDescent="0.3">
      <c r="A961" t="s">
        <v>408</v>
      </c>
      <c r="B961">
        <v>21</v>
      </c>
      <c r="E961">
        <v>0</v>
      </c>
    </row>
    <row r="962" spans="1:16" x14ac:dyDescent="0.3">
      <c r="A962" t="s">
        <v>658</v>
      </c>
      <c r="B962">
        <v>21</v>
      </c>
      <c r="C962">
        <v>0</v>
      </c>
      <c r="D962">
        <v>266</v>
      </c>
      <c r="E962">
        <v>1025</v>
      </c>
      <c r="F962">
        <v>43</v>
      </c>
      <c r="G962">
        <v>0</v>
      </c>
      <c r="H962">
        <v>29</v>
      </c>
      <c r="I962">
        <v>599</v>
      </c>
      <c r="J962">
        <v>93</v>
      </c>
      <c r="K962">
        <v>0</v>
      </c>
      <c r="L962">
        <v>131</v>
      </c>
      <c r="M962">
        <v>68</v>
      </c>
      <c r="N962">
        <v>0</v>
      </c>
      <c r="O962">
        <v>41</v>
      </c>
      <c r="P962">
        <v>0</v>
      </c>
    </row>
    <row r="963" spans="1:16" x14ac:dyDescent="0.3">
      <c r="A963" t="s">
        <v>34</v>
      </c>
      <c r="B963">
        <v>22</v>
      </c>
      <c r="C963">
        <v>46</v>
      </c>
      <c r="D963">
        <v>46</v>
      </c>
      <c r="E963">
        <v>46</v>
      </c>
      <c r="F963">
        <v>46</v>
      </c>
      <c r="G963">
        <v>23</v>
      </c>
      <c r="H963">
        <v>23</v>
      </c>
      <c r="I963">
        <v>23</v>
      </c>
      <c r="J963">
        <v>23</v>
      </c>
      <c r="K963">
        <v>115</v>
      </c>
      <c r="L963">
        <v>115</v>
      </c>
      <c r="M963">
        <v>115</v>
      </c>
      <c r="N963">
        <v>11</v>
      </c>
      <c r="O963">
        <v>11</v>
      </c>
      <c r="P963">
        <v>11</v>
      </c>
    </row>
    <row r="964" spans="1:16" x14ac:dyDescent="0.3">
      <c r="A964" t="s">
        <v>35</v>
      </c>
      <c r="B964">
        <v>22</v>
      </c>
      <c r="C964">
        <v>46</v>
      </c>
      <c r="D964">
        <v>115</v>
      </c>
      <c r="E964">
        <v>23</v>
      </c>
      <c r="F964">
        <v>11</v>
      </c>
      <c r="G964">
        <v>23</v>
      </c>
      <c r="H964">
        <v>11</v>
      </c>
      <c r="I964">
        <v>46</v>
      </c>
      <c r="J964">
        <v>115</v>
      </c>
      <c r="K964">
        <v>23</v>
      </c>
      <c r="L964">
        <v>11</v>
      </c>
      <c r="M964">
        <v>46</v>
      </c>
      <c r="N964">
        <v>46</v>
      </c>
      <c r="O964">
        <v>115</v>
      </c>
      <c r="P964">
        <v>23</v>
      </c>
    </row>
    <row r="965" spans="1:16" x14ac:dyDescent="0.3">
      <c r="A965" t="s">
        <v>36</v>
      </c>
      <c r="B965">
        <v>22</v>
      </c>
      <c r="C965">
        <v>0</v>
      </c>
      <c r="D965">
        <v>1</v>
      </c>
      <c r="E965">
        <v>2</v>
      </c>
      <c r="F965">
        <v>1</v>
      </c>
      <c r="G965">
        <v>0</v>
      </c>
      <c r="H965">
        <v>1</v>
      </c>
      <c r="I965">
        <v>2</v>
      </c>
      <c r="J965">
        <v>1</v>
      </c>
      <c r="K965">
        <v>0</v>
      </c>
      <c r="L965">
        <v>1</v>
      </c>
      <c r="M965">
        <v>0</v>
      </c>
      <c r="N965">
        <v>0</v>
      </c>
      <c r="O965">
        <v>1</v>
      </c>
      <c r="P965">
        <v>1</v>
      </c>
    </row>
    <row r="966" spans="1:16" x14ac:dyDescent="0.3">
      <c r="A966" t="s">
        <v>37</v>
      </c>
      <c r="B966">
        <v>22</v>
      </c>
      <c r="D966">
        <v>0</v>
      </c>
      <c r="E966">
        <v>0</v>
      </c>
      <c r="H966">
        <v>0</v>
      </c>
      <c r="I966">
        <v>0</v>
      </c>
      <c r="K966">
        <v>0</v>
      </c>
      <c r="L966">
        <v>3</v>
      </c>
      <c r="N966">
        <v>0</v>
      </c>
      <c r="O966">
        <v>1</v>
      </c>
    </row>
    <row r="967" spans="1:16" x14ac:dyDescent="0.3">
      <c r="A967" t="s">
        <v>38</v>
      </c>
      <c r="B967">
        <v>22</v>
      </c>
      <c r="C967">
        <v>12</v>
      </c>
      <c r="D967">
        <v>12</v>
      </c>
      <c r="E967">
        <v>12</v>
      </c>
      <c r="F967">
        <v>12</v>
      </c>
      <c r="G967">
        <v>12</v>
      </c>
      <c r="H967">
        <v>12</v>
      </c>
      <c r="I967">
        <v>12</v>
      </c>
      <c r="J967">
        <v>12</v>
      </c>
      <c r="K967">
        <v>12</v>
      </c>
      <c r="L967">
        <v>12</v>
      </c>
      <c r="M967">
        <v>12</v>
      </c>
      <c r="N967">
        <v>12</v>
      </c>
      <c r="O967">
        <v>12</v>
      </c>
      <c r="P967">
        <v>12</v>
      </c>
    </row>
    <row r="968" spans="1:16" x14ac:dyDescent="0.3">
      <c r="A968" t="s">
        <v>39</v>
      </c>
      <c r="B968">
        <v>22</v>
      </c>
      <c r="D968">
        <v>250</v>
      </c>
      <c r="F968">
        <v>250</v>
      </c>
      <c r="H968">
        <v>250</v>
      </c>
      <c r="J968">
        <v>250</v>
      </c>
      <c r="P968">
        <v>75</v>
      </c>
    </row>
    <row r="969" spans="1:16" x14ac:dyDescent="0.3">
      <c r="A969" t="s">
        <v>631</v>
      </c>
      <c r="B969">
        <v>22</v>
      </c>
      <c r="D969">
        <v>25</v>
      </c>
      <c r="F969">
        <v>25</v>
      </c>
      <c r="H969">
        <v>25</v>
      </c>
      <c r="J969">
        <v>25</v>
      </c>
      <c r="P969">
        <v>25</v>
      </c>
    </row>
    <row r="970" spans="1:16" x14ac:dyDescent="0.3">
      <c r="A970" t="s">
        <v>40</v>
      </c>
      <c r="B970">
        <v>22</v>
      </c>
      <c r="D970">
        <v>1</v>
      </c>
      <c r="F970">
        <v>1</v>
      </c>
      <c r="H970">
        <v>1</v>
      </c>
      <c r="J970">
        <v>1</v>
      </c>
      <c r="P970">
        <v>1</v>
      </c>
    </row>
    <row r="971" spans="1:16" x14ac:dyDescent="0.3">
      <c r="A971" t="s">
        <v>41</v>
      </c>
      <c r="B971">
        <v>22</v>
      </c>
    </row>
    <row r="972" spans="1:16" x14ac:dyDescent="0.3">
      <c r="A972" t="s">
        <v>42</v>
      </c>
      <c r="B972">
        <v>22</v>
      </c>
      <c r="E972">
        <v>45</v>
      </c>
      <c r="I972">
        <v>30</v>
      </c>
      <c r="L972">
        <v>30</v>
      </c>
      <c r="O972">
        <v>30</v>
      </c>
    </row>
    <row r="973" spans="1:16" x14ac:dyDescent="0.3">
      <c r="A973" t="s">
        <v>45</v>
      </c>
      <c r="B973">
        <v>22</v>
      </c>
      <c r="D973">
        <v>5</v>
      </c>
      <c r="E973">
        <v>2</v>
      </c>
      <c r="H973">
        <v>1</v>
      </c>
      <c r="I973">
        <v>6</v>
      </c>
      <c r="L973">
        <v>4</v>
      </c>
      <c r="O973">
        <v>8</v>
      </c>
    </row>
    <row r="974" spans="1:16" x14ac:dyDescent="0.3">
      <c r="A974" t="s">
        <v>46</v>
      </c>
      <c r="B974">
        <v>22</v>
      </c>
      <c r="D974">
        <v>2</v>
      </c>
      <c r="F974">
        <v>2</v>
      </c>
      <c r="H974">
        <v>6</v>
      </c>
      <c r="J974">
        <v>6</v>
      </c>
      <c r="K974">
        <v>4</v>
      </c>
      <c r="N974">
        <v>8</v>
      </c>
      <c r="P974">
        <v>8</v>
      </c>
    </row>
    <row r="975" spans="1:16" x14ac:dyDescent="0.3">
      <c r="A975" t="s">
        <v>49</v>
      </c>
      <c r="B975">
        <v>22</v>
      </c>
      <c r="C975">
        <v>4</v>
      </c>
      <c r="D975">
        <v>6.6</v>
      </c>
      <c r="E975">
        <v>5.2</v>
      </c>
      <c r="F975">
        <v>5.2</v>
      </c>
      <c r="G975">
        <v>4</v>
      </c>
      <c r="H975">
        <v>6.6</v>
      </c>
      <c r="I975">
        <v>5.2</v>
      </c>
      <c r="J975">
        <v>5.2</v>
      </c>
      <c r="K975">
        <v>6.5</v>
      </c>
      <c r="L975">
        <v>6.5</v>
      </c>
      <c r="M975">
        <v>4</v>
      </c>
      <c r="N975">
        <v>6.5</v>
      </c>
      <c r="O975">
        <v>6.5</v>
      </c>
      <c r="P975">
        <v>6.5</v>
      </c>
    </row>
    <row r="976" spans="1:16" x14ac:dyDescent="0.3">
      <c r="A976" t="s">
        <v>632</v>
      </c>
      <c r="B976">
        <v>22</v>
      </c>
      <c r="C976">
        <v>0</v>
      </c>
      <c r="D976">
        <v>0</v>
      </c>
      <c r="E976">
        <v>0</v>
      </c>
      <c r="F976">
        <v>0</v>
      </c>
      <c r="G976">
        <v>0</v>
      </c>
      <c r="H976">
        <v>0</v>
      </c>
      <c r="I976">
        <v>0</v>
      </c>
      <c r="J976">
        <v>0</v>
      </c>
      <c r="K976">
        <v>0</v>
      </c>
      <c r="L976">
        <v>0</v>
      </c>
      <c r="M976">
        <v>0</v>
      </c>
      <c r="N976">
        <v>0</v>
      </c>
      <c r="O976">
        <v>0</v>
      </c>
      <c r="P976">
        <v>0</v>
      </c>
    </row>
    <row r="977" spans="1:16" x14ac:dyDescent="0.3">
      <c r="A977" t="s">
        <v>48</v>
      </c>
      <c r="B977">
        <v>22</v>
      </c>
      <c r="C977">
        <v>1900</v>
      </c>
      <c r="D977">
        <v>1900</v>
      </c>
      <c r="E977">
        <v>1900</v>
      </c>
      <c r="F977">
        <v>1900</v>
      </c>
      <c r="G977">
        <v>1900</v>
      </c>
      <c r="H977">
        <v>1900</v>
      </c>
      <c r="I977">
        <v>1900</v>
      </c>
      <c r="J977">
        <v>1900</v>
      </c>
      <c r="K977">
        <v>1900</v>
      </c>
      <c r="L977">
        <v>1900</v>
      </c>
      <c r="M977">
        <v>1900</v>
      </c>
      <c r="N977">
        <v>1900</v>
      </c>
      <c r="O977">
        <v>1900</v>
      </c>
      <c r="P977">
        <v>1900</v>
      </c>
    </row>
    <row r="978" spans="1:16" x14ac:dyDescent="0.3">
      <c r="A978" t="s">
        <v>633</v>
      </c>
      <c r="B978">
        <v>22</v>
      </c>
      <c r="C978">
        <v>0</v>
      </c>
      <c r="D978">
        <v>1770</v>
      </c>
      <c r="E978">
        <v>3539</v>
      </c>
      <c r="F978">
        <v>1583</v>
      </c>
      <c r="G978">
        <v>0</v>
      </c>
      <c r="H978">
        <v>1770</v>
      </c>
      <c r="I978">
        <v>3539</v>
      </c>
      <c r="J978">
        <v>1583</v>
      </c>
      <c r="K978">
        <v>0</v>
      </c>
      <c r="L978">
        <v>1782</v>
      </c>
      <c r="M978">
        <v>0</v>
      </c>
      <c r="N978">
        <v>0</v>
      </c>
      <c r="O978">
        <v>1846</v>
      </c>
      <c r="P978">
        <v>1583</v>
      </c>
    </row>
    <row r="979" spans="1:16" x14ac:dyDescent="0.3">
      <c r="A979" t="s">
        <v>50</v>
      </c>
      <c r="B979">
        <v>22</v>
      </c>
      <c r="C979">
        <v>0</v>
      </c>
      <c r="D979">
        <v>1034</v>
      </c>
      <c r="E979">
        <v>3539</v>
      </c>
      <c r="F979">
        <v>1583</v>
      </c>
      <c r="G979">
        <v>0</v>
      </c>
      <c r="H979">
        <v>572</v>
      </c>
      <c r="I979">
        <v>3539</v>
      </c>
      <c r="J979">
        <v>1583</v>
      </c>
      <c r="K979">
        <v>0</v>
      </c>
      <c r="L979">
        <v>1614</v>
      </c>
      <c r="M979">
        <v>0</v>
      </c>
      <c r="N979">
        <v>0</v>
      </c>
      <c r="O979">
        <v>1686</v>
      </c>
      <c r="P979">
        <v>1583</v>
      </c>
    </row>
    <row r="980" spans="1:16" x14ac:dyDescent="0.3">
      <c r="A980" t="s">
        <v>634</v>
      </c>
      <c r="B980">
        <v>22</v>
      </c>
      <c r="C980">
        <v>1</v>
      </c>
      <c r="D980">
        <v>1</v>
      </c>
      <c r="E980">
        <v>1</v>
      </c>
      <c r="F980">
        <v>1</v>
      </c>
      <c r="G980">
        <v>1</v>
      </c>
      <c r="H980">
        <v>1</v>
      </c>
      <c r="I980">
        <v>1</v>
      </c>
      <c r="J980">
        <v>1</v>
      </c>
      <c r="K980">
        <v>1</v>
      </c>
      <c r="L980">
        <v>1</v>
      </c>
      <c r="M980">
        <v>1</v>
      </c>
      <c r="N980">
        <v>1</v>
      </c>
      <c r="O980">
        <v>1</v>
      </c>
      <c r="P980">
        <v>1</v>
      </c>
    </row>
    <row r="981" spans="1:16" x14ac:dyDescent="0.3">
      <c r="A981" t="s">
        <v>51</v>
      </c>
      <c r="B981">
        <v>22</v>
      </c>
      <c r="C981">
        <v>0</v>
      </c>
      <c r="D981">
        <v>0</v>
      </c>
      <c r="E981">
        <v>0</v>
      </c>
      <c r="F981">
        <v>92</v>
      </c>
      <c r="G981">
        <v>0</v>
      </c>
      <c r="H981">
        <v>0</v>
      </c>
      <c r="I981">
        <v>0</v>
      </c>
      <c r="J981">
        <v>92</v>
      </c>
      <c r="K981">
        <v>0</v>
      </c>
      <c r="L981">
        <v>12</v>
      </c>
      <c r="M981">
        <v>0</v>
      </c>
      <c r="N981">
        <v>0</v>
      </c>
      <c r="O981">
        <v>0</v>
      </c>
      <c r="P981">
        <v>80</v>
      </c>
    </row>
    <row r="982" spans="1:16" x14ac:dyDescent="0.3">
      <c r="A982" t="s">
        <v>53</v>
      </c>
      <c r="B982">
        <v>22</v>
      </c>
      <c r="C982">
        <v>0</v>
      </c>
      <c r="D982">
        <v>40</v>
      </c>
      <c r="E982">
        <v>750</v>
      </c>
      <c r="F982">
        <v>30</v>
      </c>
      <c r="G982">
        <v>0</v>
      </c>
      <c r="H982">
        <v>45</v>
      </c>
      <c r="I982">
        <v>300</v>
      </c>
      <c r="J982">
        <v>40</v>
      </c>
      <c r="K982">
        <v>50</v>
      </c>
      <c r="L982">
        <v>100</v>
      </c>
      <c r="M982">
        <v>45</v>
      </c>
      <c r="N982">
        <v>10</v>
      </c>
      <c r="O982">
        <v>45</v>
      </c>
      <c r="P982">
        <v>65</v>
      </c>
    </row>
    <row r="983" spans="1:16" x14ac:dyDescent="0.3">
      <c r="A983" t="s">
        <v>54</v>
      </c>
      <c r="B983">
        <v>22</v>
      </c>
      <c r="C983">
        <v>0</v>
      </c>
      <c r="D983">
        <v>0</v>
      </c>
      <c r="E983">
        <v>0</v>
      </c>
      <c r="F983">
        <v>0</v>
      </c>
      <c r="G983">
        <v>0</v>
      </c>
      <c r="H983">
        <v>0</v>
      </c>
      <c r="I983">
        <v>0</v>
      </c>
      <c r="J983">
        <v>0</v>
      </c>
      <c r="K983">
        <v>0</v>
      </c>
      <c r="L983">
        <v>0</v>
      </c>
      <c r="M983">
        <v>0</v>
      </c>
      <c r="N983">
        <v>0</v>
      </c>
      <c r="O983">
        <v>0</v>
      </c>
      <c r="P983">
        <v>0</v>
      </c>
    </row>
    <row r="984" spans="1:16" x14ac:dyDescent="0.3">
      <c r="A984" t="s">
        <v>55</v>
      </c>
      <c r="B984">
        <v>22</v>
      </c>
      <c r="C984">
        <v>0</v>
      </c>
      <c r="D984">
        <v>0</v>
      </c>
      <c r="E984">
        <v>0</v>
      </c>
      <c r="F984">
        <v>0</v>
      </c>
      <c r="G984">
        <v>0</v>
      </c>
      <c r="H984">
        <v>0</v>
      </c>
      <c r="I984">
        <v>0</v>
      </c>
      <c r="J984">
        <v>0</v>
      </c>
      <c r="K984">
        <v>0</v>
      </c>
      <c r="L984">
        <v>0</v>
      </c>
      <c r="M984">
        <v>0</v>
      </c>
      <c r="N984">
        <v>0</v>
      </c>
      <c r="O984">
        <v>0</v>
      </c>
      <c r="P984">
        <v>0</v>
      </c>
    </row>
    <row r="985" spans="1:16" x14ac:dyDescent="0.3">
      <c r="A985" t="s">
        <v>56</v>
      </c>
      <c r="B985">
        <v>22</v>
      </c>
      <c r="C985">
        <v>0.92</v>
      </c>
      <c r="D985">
        <v>0.92</v>
      </c>
      <c r="E985">
        <v>0.92</v>
      </c>
      <c r="F985">
        <v>0.92</v>
      </c>
      <c r="G985">
        <v>0.92</v>
      </c>
      <c r="H985">
        <v>0.92</v>
      </c>
      <c r="I985">
        <v>0.92</v>
      </c>
      <c r="J985">
        <v>0.92</v>
      </c>
      <c r="K985">
        <v>0.92</v>
      </c>
      <c r="L985">
        <v>0.92</v>
      </c>
      <c r="M985">
        <v>0.92</v>
      </c>
      <c r="N985">
        <v>0.92</v>
      </c>
      <c r="O985">
        <v>0.92</v>
      </c>
      <c r="P985">
        <v>0.92</v>
      </c>
    </row>
    <row r="986" spans="1:16" x14ac:dyDescent="0.3">
      <c r="A986" t="s">
        <v>57</v>
      </c>
      <c r="B986">
        <v>22</v>
      </c>
      <c r="C986">
        <v>100</v>
      </c>
      <c r="D986">
        <v>100</v>
      </c>
      <c r="E986">
        <v>100</v>
      </c>
      <c r="F986">
        <v>100</v>
      </c>
      <c r="G986">
        <v>100</v>
      </c>
      <c r="H986">
        <v>100</v>
      </c>
      <c r="I986">
        <v>100</v>
      </c>
      <c r="J986">
        <v>100</v>
      </c>
      <c r="K986">
        <v>100</v>
      </c>
      <c r="L986">
        <v>100</v>
      </c>
      <c r="M986">
        <v>100</v>
      </c>
      <c r="N986">
        <v>100</v>
      </c>
      <c r="O986">
        <v>100</v>
      </c>
      <c r="P986">
        <v>100</v>
      </c>
    </row>
    <row r="987" spans="1:16" x14ac:dyDescent="0.3">
      <c r="A987" t="s">
        <v>58</v>
      </c>
      <c r="B987">
        <v>22</v>
      </c>
      <c r="C987">
        <v>2</v>
      </c>
      <c r="D987">
        <v>2</v>
      </c>
      <c r="E987">
        <v>2</v>
      </c>
      <c r="F987">
        <v>2</v>
      </c>
      <c r="G987">
        <v>2</v>
      </c>
      <c r="H987">
        <v>2</v>
      </c>
      <c r="I987">
        <v>2</v>
      </c>
      <c r="J987">
        <v>2</v>
      </c>
      <c r="K987">
        <v>2</v>
      </c>
      <c r="L987">
        <v>2</v>
      </c>
      <c r="M987">
        <v>2</v>
      </c>
      <c r="N987">
        <v>2</v>
      </c>
      <c r="O987">
        <v>2</v>
      </c>
      <c r="P987">
        <v>2</v>
      </c>
    </row>
    <row r="988" spans="1:16" x14ac:dyDescent="0.3">
      <c r="A988" t="s">
        <v>59</v>
      </c>
      <c r="B988">
        <v>22</v>
      </c>
      <c r="C988">
        <v>0</v>
      </c>
      <c r="D988">
        <v>0</v>
      </c>
      <c r="E988">
        <v>0</v>
      </c>
      <c r="F988">
        <v>0</v>
      </c>
      <c r="G988">
        <v>0</v>
      </c>
      <c r="H988">
        <v>0</v>
      </c>
      <c r="I988">
        <v>0</v>
      </c>
      <c r="J988">
        <v>0</v>
      </c>
      <c r="K988">
        <v>0</v>
      </c>
      <c r="L988">
        <v>0</v>
      </c>
      <c r="M988">
        <v>0</v>
      </c>
      <c r="N988">
        <v>0</v>
      </c>
      <c r="O988">
        <v>0</v>
      </c>
      <c r="P988">
        <v>0</v>
      </c>
    </row>
    <row r="989" spans="1:16" x14ac:dyDescent="0.3">
      <c r="A989" t="s">
        <v>635</v>
      </c>
      <c r="B989">
        <v>22</v>
      </c>
      <c r="E989">
        <v>0</v>
      </c>
      <c r="I989">
        <v>0</v>
      </c>
      <c r="L989">
        <v>0</v>
      </c>
      <c r="O989">
        <v>0</v>
      </c>
    </row>
    <row r="990" spans="1:16" x14ac:dyDescent="0.3">
      <c r="A990" t="s">
        <v>574</v>
      </c>
      <c r="B990">
        <v>22</v>
      </c>
      <c r="E990">
        <v>358</v>
      </c>
      <c r="I990">
        <v>773</v>
      </c>
      <c r="L990">
        <v>931</v>
      </c>
      <c r="O990">
        <v>713</v>
      </c>
    </row>
    <row r="991" spans="1:16" x14ac:dyDescent="0.3">
      <c r="A991" t="s">
        <v>78</v>
      </c>
      <c r="B991">
        <v>22</v>
      </c>
      <c r="E991">
        <v>5.4</v>
      </c>
      <c r="I991">
        <v>17.600000000000001</v>
      </c>
      <c r="L991">
        <v>21.2</v>
      </c>
      <c r="O991">
        <v>16.2</v>
      </c>
    </row>
    <row r="992" spans="1:16" x14ac:dyDescent="0.3">
      <c r="A992" t="s">
        <v>636</v>
      </c>
      <c r="B992">
        <v>22</v>
      </c>
      <c r="F992">
        <v>1</v>
      </c>
      <c r="J992">
        <v>0</v>
      </c>
      <c r="M992">
        <v>0</v>
      </c>
      <c r="P992">
        <v>1</v>
      </c>
    </row>
    <row r="993" spans="1:16" x14ac:dyDescent="0.3">
      <c r="A993" t="s">
        <v>637</v>
      </c>
      <c r="B993">
        <v>22</v>
      </c>
      <c r="F993">
        <v>50</v>
      </c>
      <c r="P993">
        <v>50</v>
      </c>
    </row>
    <row r="994" spans="1:16" x14ac:dyDescent="0.3">
      <c r="A994" t="s">
        <v>638</v>
      </c>
      <c r="B994">
        <v>22</v>
      </c>
      <c r="F994">
        <v>0</v>
      </c>
      <c r="P994">
        <v>0</v>
      </c>
    </row>
    <row r="995" spans="1:16" x14ac:dyDescent="0.3">
      <c r="A995" t="s">
        <v>639</v>
      </c>
      <c r="B995">
        <v>22</v>
      </c>
      <c r="C995">
        <v>3</v>
      </c>
      <c r="D995">
        <v>0</v>
      </c>
      <c r="E995">
        <v>0</v>
      </c>
      <c r="F995">
        <v>1</v>
      </c>
      <c r="G995">
        <v>3</v>
      </c>
      <c r="H995">
        <v>0</v>
      </c>
      <c r="I995">
        <v>0</v>
      </c>
      <c r="J995">
        <v>1</v>
      </c>
      <c r="K995">
        <v>0</v>
      </c>
      <c r="L995">
        <v>0</v>
      </c>
      <c r="M995">
        <v>1</v>
      </c>
      <c r="N995">
        <v>0</v>
      </c>
      <c r="O995">
        <v>0</v>
      </c>
      <c r="P995">
        <v>1</v>
      </c>
    </row>
    <row r="996" spans="1:16" x14ac:dyDescent="0.3">
      <c r="A996" t="s">
        <v>640</v>
      </c>
      <c r="B996">
        <v>22</v>
      </c>
      <c r="C996">
        <v>0</v>
      </c>
      <c r="D996">
        <v>0</v>
      </c>
      <c r="E996">
        <v>0</v>
      </c>
      <c r="F996">
        <v>0</v>
      </c>
      <c r="G996">
        <v>0</v>
      </c>
      <c r="H996">
        <v>0</v>
      </c>
      <c r="I996">
        <v>0</v>
      </c>
      <c r="J996">
        <v>0</v>
      </c>
      <c r="K996">
        <v>0</v>
      </c>
      <c r="L996">
        <v>0</v>
      </c>
      <c r="M996">
        <v>0</v>
      </c>
      <c r="N996">
        <v>0</v>
      </c>
      <c r="O996">
        <v>0</v>
      </c>
      <c r="P996">
        <v>0</v>
      </c>
    </row>
    <row r="997" spans="1:16" x14ac:dyDescent="0.3">
      <c r="A997" t="s">
        <v>52</v>
      </c>
      <c r="B997">
        <v>22</v>
      </c>
      <c r="C997">
        <v>1</v>
      </c>
      <c r="D997">
        <v>1</v>
      </c>
      <c r="E997">
        <v>1</v>
      </c>
      <c r="F997">
        <v>1</v>
      </c>
      <c r="G997">
        <v>1</v>
      </c>
      <c r="H997">
        <v>1</v>
      </c>
      <c r="I997">
        <v>1</v>
      </c>
      <c r="J997">
        <v>1</v>
      </c>
      <c r="K997">
        <v>1</v>
      </c>
      <c r="L997">
        <v>1</v>
      </c>
      <c r="M997">
        <v>1</v>
      </c>
      <c r="N997">
        <v>1</v>
      </c>
      <c r="O997">
        <v>1</v>
      </c>
      <c r="P997">
        <v>1</v>
      </c>
    </row>
    <row r="998" spans="1:16" x14ac:dyDescent="0.3">
      <c r="A998" t="s">
        <v>641</v>
      </c>
      <c r="B998">
        <v>22</v>
      </c>
      <c r="C998">
        <v>9</v>
      </c>
      <c r="D998">
        <v>15</v>
      </c>
      <c r="E998">
        <v>60</v>
      </c>
      <c r="F998">
        <v>9</v>
      </c>
      <c r="G998">
        <v>9</v>
      </c>
      <c r="H998">
        <v>15</v>
      </c>
      <c r="I998">
        <v>60</v>
      </c>
      <c r="J998">
        <v>9</v>
      </c>
      <c r="K998">
        <v>15</v>
      </c>
      <c r="L998">
        <v>60</v>
      </c>
      <c r="M998">
        <v>9</v>
      </c>
      <c r="N998">
        <v>15</v>
      </c>
      <c r="O998">
        <v>60</v>
      </c>
      <c r="P998">
        <v>9</v>
      </c>
    </row>
    <row r="999" spans="1:16" x14ac:dyDescent="0.3">
      <c r="A999" t="s">
        <v>43</v>
      </c>
      <c r="B999">
        <v>22</v>
      </c>
      <c r="D999">
        <v>40</v>
      </c>
      <c r="E999">
        <v>336</v>
      </c>
      <c r="F999">
        <v>0</v>
      </c>
      <c r="H999">
        <v>40</v>
      </c>
      <c r="I999">
        <v>336</v>
      </c>
      <c r="J999">
        <v>0</v>
      </c>
      <c r="K999">
        <v>40</v>
      </c>
      <c r="L999">
        <v>40</v>
      </c>
      <c r="N999">
        <v>40</v>
      </c>
      <c r="O999">
        <v>40</v>
      </c>
      <c r="P999">
        <v>0</v>
      </c>
    </row>
    <row r="1000" spans="1:16" x14ac:dyDescent="0.3">
      <c r="A1000" t="s">
        <v>44</v>
      </c>
      <c r="B1000">
        <v>22</v>
      </c>
      <c r="D1000">
        <v>0</v>
      </c>
      <c r="E1000">
        <v>0</v>
      </c>
      <c r="F1000">
        <v>0</v>
      </c>
      <c r="H1000">
        <v>0</v>
      </c>
      <c r="I1000">
        <v>0</v>
      </c>
      <c r="J1000">
        <v>0</v>
      </c>
      <c r="K1000">
        <v>0</v>
      </c>
      <c r="L1000">
        <v>0</v>
      </c>
      <c r="N1000">
        <v>0</v>
      </c>
      <c r="O1000">
        <v>0</v>
      </c>
      <c r="P1000">
        <v>0</v>
      </c>
    </row>
    <row r="1001" spans="1:16" x14ac:dyDescent="0.3">
      <c r="A1001" t="s">
        <v>47</v>
      </c>
      <c r="B1001">
        <v>22</v>
      </c>
      <c r="D1001">
        <v>5</v>
      </c>
      <c r="E1001">
        <v>2</v>
      </c>
      <c r="F1001">
        <v>2</v>
      </c>
      <c r="H1001">
        <v>1</v>
      </c>
      <c r="I1001">
        <v>6</v>
      </c>
      <c r="J1001">
        <v>6</v>
      </c>
      <c r="K1001">
        <v>4</v>
      </c>
      <c r="L1001">
        <v>4</v>
      </c>
      <c r="N1001">
        <v>8</v>
      </c>
      <c r="O1001">
        <v>8</v>
      </c>
      <c r="P1001">
        <v>8</v>
      </c>
    </row>
    <row r="1002" spans="1:16" x14ac:dyDescent="0.3">
      <c r="A1002" t="s">
        <v>642</v>
      </c>
      <c r="B1002">
        <v>22</v>
      </c>
      <c r="D1002">
        <v>0</v>
      </c>
      <c r="E1002">
        <v>0</v>
      </c>
      <c r="F1002">
        <v>0</v>
      </c>
      <c r="H1002">
        <v>0</v>
      </c>
      <c r="I1002">
        <v>0</v>
      </c>
      <c r="J1002">
        <v>0</v>
      </c>
      <c r="K1002">
        <v>0</v>
      </c>
      <c r="L1002">
        <v>0</v>
      </c>
      <c r="N1002">
        <v>0</v>
      </c>
      <c r="O1002">
        <v>0</v>
      </c>
      <c r="P1002">
        <v>0</v>
      </c>
    </row>
    <row r="1003" spans="1:16" x14ac:dyDescent="0.3">
      <c r="A1003" t="s">
        <v>643</v>
      </c>
      <c r="B1003">
        <v>22</v>
      </c>
      <c r="D1003">
        <v>0</v>
      </c>
      <c r="E1003">
        <v>0</v>
      </c>
      <c r="F1003">
        <v>0</v>
      </c>
      <c r="H1003">
        <v>0</v>
      </c>
      <c r="I1003">
        <v>0</v>
      </c>
      <c r="J1003">
        <v>0</v>
      </c>
      <c r="K1003">
        <v>0</v>
      </c>
      <c r="L1003">
        <v>0</v>
      </c>
      <c r="N1003">
        <v>0</v>
      </c>
      <c r="O1003">
        <v>0</v>
      </c>
      <c r="P1003">
        <v>0</v>
      </c>
    </row>
    <row r="1004" spans="1:16" x14ac:dyDescent="0.3">
      <c r="A1004" t="s">
        <v>644</v>
      </c>
      <c r="B1004">
        <v>22</v>
      </c>
      <c r="D1004">
        <v>0</v>
      </c>
      <c r="E1004">
        <v>0</v>
      </c>
      <c r="F1004">
        <v>0</v>
      </c>
      <c r="H1004">
        <v>0</v>
      </c>
      <c r="I1004">
        <v>0</v>
      </c>
      <c r="J1004">
        <v>0</v>
      </c>
      <c r="K1004">
        <v>0</v>
      </c>
      <c r="L1004">
        <v>0</v>
      </c>
      <c r="N1004">
        <v>0</v>
      </c>
      <c r="O1004">
        <v>0</v>
      </c>
      <c r="P1004">
        <v>0</v>
      </c>
    </row>
    <row r="1005" spans="1:16" x14ac:dyDescent="0.3">
      <c r="A1005" t="s">
        <v>645</v>
      </c>
      <c r="B1005">
        <v>22</v>
      </c>
      <c r="D1005">
        <v>0</v>
      </c>
      <c r="E1005">
        <v>0</v>
      </c>
      <c r="F1005">
        <v>0</v>
      </c>
      <c r="H1005">
        <v>0</v>
      </c>
      <c r="I1005">
        <v>0</v>
      </c>
      <c r="J1005">
        <v>0</v>
      </c>
      <c r="K1005">
        <v>0</v>
      </c>
      <c r="L1005">
        <v>0</v>
      </c>
      <c r="N1005">
        <v>0</v>
      </c>
      <c r="O1005">
        <v>0</v>
      </c>
      <c r="P1005">
        <v>0</v>
      </c>
    </row>
    <row r="1006" spans="1:16" x14ac:dyDescent="0.3">
      <c r="A1006" t="s">
        <v>646</v>
      </c>
      <c r="B1006">
        <v>22</v>
      </c>
      <c r="D1006">
        <v>1</v>
      </c>
      <c r="E1006">
        <v>2</v>
      </c>
      <c r="F1006">
        <v>1</v>
      </c>
      <c r="H1006">
        <v>1</v>
      </c>
      <c r="I1006">
        <v>2</v>
      </c>
      <c r="J1006">
        <v>1</v>
      </c>
      <c r="K1006">
        <v>1</v>
      </c>
      <c r="L1006">
        <v>1</v>
      </c>
      <c r="N1006">
        <v>1</v>
      </c>
      <c r="O1006">
        <v>1</v>
      </c>
      <c r="P1006">
        <v>1</v>
      </c>
    </row>
    <row r="1007" spans="1:16" x14ac:dyDescent="0.3">
      <c r="A1007" t="s">
        <v>647</v>
      </c>
      <c r="B1007">
        <v>22</v>
      </c>
      <c r="D1007">
        <v>0</v>
      </c>
      <c r="E1007">
        <v>330</v>
      </c>
      <c r="F1007">
        <v>0</v>
      </c>
      <c r="H1007">
        <v>0</v>
      </c>
      <c r="I1007">
        <v>330</v>
      </c>
      <c r="J1007">
        <v>0</v>
      </c>
      <c r="K1007">
        <v>0</v>
      </c>
      <c r="L1007">
        <v>0</v>
      </c>
      <c r="N1007">
        <v>0</v>
      </c>
      <c r="O1007">
        <v>0</v>
      </c>
      <c r="P1007">
        <v>0</v>
      </c>
    </row>
    <row r="1008" spans="1:16" x14ac:dyDescent="0.3">
      <c r="A1008" t="s">
        <v>648</v>
      </c>
      <c r="B1008">
        <v>22</v>
      </c>
      <c r="D1008">
        <v>40</v>
      </c>
      <c r="E1008">
        <v>6</v>
      </c>
      <c r="F1008">
        <v>0</v>
      </c>
      <c r="H1008">
        <v>40</v>
      </c>
      <c r="I1008">
        <v>6</v>
      </c>
      <c r="J1008">
        <v>0</v>
      </c>
      <c r="K1008">
        <v>40</v>
      </c>
      <c r="L1008">
        <v>40</v>
      </c>
      <c r="N1008">
        <v>40</v>
      </c>
      <c r="O1008">
        <v>40</v>
      </c>
      <c r="P1008">
        <v>0</v>
      </c>
    </row>
    <row r="1009" spans="1:16" x14ac:dyDescent="0.3">
      <c r="A1009" t="s">
        <v>649</v>
      </c>
      <c r="B1009">
        <v>22</v>
      </c>
      <c r="D1009">
        <v>3</v>
      </c>
      <c r="E1009">
        <v>3</v>
      </c>
      <c r="F1009">
        <v>3</v>
      </c>
      <c r="H1009">
        <v>3</v>
      </c>
      <c r="I1009">
        <v>3</v>
      </c>
      <c r="J1009">
        <v>3</v>
      </c>
      <c r="K1009">
        <v>3</v>
      </c>
      <c r="L1009">
        <v>3</v>
      </c>
      <c r="N1009">
        <v>3</v>
      </c>
      <c r="O1009">
        <v>3</v>
      </c>
      <c r="P1009">
        <v>3</v>
      </c>
    </row>
    <row r="1010" spans="1:16" x14ac:dyDescent="0.3">
      <c r="A1010" t="s">
        <v>650</v>
      </c>
      <c r="B1010">
        <v>22</v>
      </c>
      <c r="D1010">
        <v>0</v>
      </c>
      <c r="E1010">
        <v>0</v>
      </c>
      <c r="F1010">
        <v>0</v>
      </c>
      <c r="H1010">
        <v>0</v>
      </c>
      <c r="I1010">
        <v>0</v>
      </c>
      <c r="J1010">
        <v>0</v>
      </c>
      <c r="K1010">
        <v>0</v>
      </c>
      <c r="L1010">
        <v>0</v>
      </c>
      <c r="N1010">
        <v>0</v>
      </c>
      <c r="O1010">
        <v>0</v>
      </c>
      <c r="P1010">
        <v>0</v>
      </c>
    </row>
    <row r="1011" spans="1:16" x14ac:dyDescent="0.3">
      <c r="A1011" t="s">
        <v>651</v>
      </c>
      <c r="B1011">
        <v>22</v>
      </c>
      <c r="D1011">
        <v>0</v>
      </c>
      <c r="E1011">
        <v>0</v>
      </c>
      <c r="F1011">
        <v>0</v>
      </c>
      <c r="H1011">
        <v>0</v>
      </c>
      <c r="I1011">
        <v>0</v>
      </c>
      <c r="J1011">
        <v>0</v>
      </c>
      <c r="K1011">
        <v>0</v>
      </c>
      <c r="L1011">
        <v>0</v>
      </c>
      <c r="N1011">
        <v>0</v>
      </c>
      <c r="O1011">
        <v>0</v>
      </c>
      <c r="P1011">
        <v>0</v>
      </c>
    </row>
    <row r="1012" spans="1:16" x14ac:dyDescent="0.3">
      <c r="A1012" t="s">
        <v>652</v>
      </c>
      <c r="B1012">
        <v>22</v>
      </c>
      <c r="D1012">
        <v>0</v>
      </c>
      <c r="E1012">
        <v>0</v>
      </c>
      <c r="F1012">
        <v>0</v>
      </c>
      <c r="H1012">
        <v>0</v>
      </c>
      <c r="I1012">
        <v>0</v>
      </c>
      <c r="J1012">
        <v>0</v>
      </c>
      <c r="K1012">
        <v>0</v>
      </c>
      <c r="L1012">
        <v>0</v>
      </c>
      <c r="N1012">
        <v>0</v>
      </c>
      <c r="O1012">
        <v>0</v>
      </c>
      <c r="P1012">
        <v>0</v>
      </c>
    </row>
    <row r="1013" spans="1:16" x14ac:dyDescent="0.3">
      <c r="A1013" t="s">
        <v>653</v>
      </c>
      <c r="B1013">
        <v>22</v>
      </c>
      <c r="E1013">
        <v>0</v>
      </c>
      <c r="I1013">
        <v>0</v>
      </c>
    </row>
    <row r="1014" spans="1:16" x14ac:dyDescent="0.3">
      <c r="A1014" t="s">
        <v>654</v>
      </c>
      <c r="B1014">
        <v>22</v>
      </c>
      <c r="E1014">
        <v>0</v>
      </c>
      <c r="I1014">
        <v>0</v>
      </c>
    </row>
    <row r="1015" spans="1:16" x14ac:dyDescent="0.3">
      <c r="A1015" t="s">
        <v>655</v>
      </c>
      <c r="B1015">
        <v>22</v>
      </c>
      <c r="E1015">
        <v>3</v>
      </c>
      <c r="I1015">
        <v>3</v>
      </c>
    </row>
    <row r="1016" spans="1:16" x14ac:dyDescent="0.3">
      <c r="A1016" t="s">
        <v>656</v>
      </c>
      <c r="B1016">
        <v>22</v>
      </c>
      <c r="E1016">
        <v>0</v>
      </c>
      <c r="I1016">
        <v>0</v>
      </c>
    </row>
    <row r="1017" spans="1:16" x14ac:dyDescent="0.3">
      <c r="A1017" t="s">
        <v>657</v>
      </c>
      <c r="B1017">
        <v>22</v>
      </c>
      <c r="E1017">
        <v>0</v>
      </c>
      <c r="I1017">
        <v>0</v>
      </c>
      <c r="L1017">
        <v>0</v>
      </c>
      <c r="O1017">
        <v>0</v>
      </c>
    </row>
    <row r="1018" spans="1:16" x14ac:dyDescent="0.3">
      <c r="A1018" t="s">
        <v>408</v>
      </c>
      <c r="B1018">
        <v>22</v>
      </c>
      <c r="E1018">
        <v>0</v>
      </c>
    </row>
    <row r="1019" spans="1:16" x14ac:dyDescent="0.3">
      <c r="A1019" t="s">
        <v>658</v>
      </c>
      <c r="B1019">
        <v>22</v>
      </c>
      <c r="C1019">
        <v>0</v>
      </c>
      <c r="D1019">
        <v>43</v>
      </c>
      <c r="E1019">
        <v>815</v>
      </c>
      <c r="F1019">
        <v>33</v>
      </c>
      <c r="G1019">
        <v>0</v>
      </c>
      <c r="H1019">
        <v>49</v>
      </c>
      <c r="I1019">
        <v>326</v>
      </c>
      <c r="J1019">
        <v>43</v>
      </c>
      <c r="K1019">
        <v>0</v>
      </c>
      <c r="L1019">
        <v>212</v>
      </c>
      <c r="M1019">
        <v>0</v>
      </c>
      <c r="N1019">
        <v>0</v>
      </c>
      <c r="O1019">
        <v>60</v>
      </c>
      <c r="P1019">
        <v>71</v>
      </c>
    </row>
    <row r="1020" spans="1:16" x14ac:dyDescent="0.3">
      <c r="A1020" t="s">
        <v>34</v>
      </c>
      <c r="B1020">
        <v>23</v>
      </c>
      <c r="C1020">
        <v>22</v>
      </c>
      <c r="D1020">
        <v>22</v>
      </c>
      <c r="E1020">
        <v>22</v>
      </c>
      <c r="F1020">
        <v>22</v>
      </c>
      <c r="G1020">
        <v>24</v>
      </c>
      <c r="H1020">
        <v>24</v>
      </c>
      <c r="I1020">
        <v>24</v>
      </c>
      <c r="J1020">
        <v>24</v>
      </c>
      <c r="K1020">
        <v>117</v>
      </c>
      <c r="L1020">
        <v>117</v>
      </c>
      <c r="M1020">
        <v>117</v>
      </c>
      <c r="N1020">
        <v>17</v>
      </c>
      <c r="O1020">
        <v>17</v>
      </c>
      <c r="P1020">
        <v>17</v>
      </c>
    </row>
    <row r="1021" spans="1:16" x14ac:dyDescent="0.3">
      <c r="A1021" t="s">
        <v>35</v>
      </c>
      <c r="B1021">
        <v>23</v>
      </c>
      <c r="C1021">
        <v>22</v>
      </c>
      <c r="D1021">
        <v>117</v>
      </c>
      <c r="E1021">
        <v>24</v>
      </c>
      <c r="F1021">
        <v>17</v>
      </c>
      <c r="G1021">
        <v>24</v>
      </c>
      <c r="H1021">
        <v>17</v>
      </c>
      <c r="I1021">
        <v>22</v>
      </c>
      <c r="J1021">
        <v>117</v>
      </c>
      <c r="K1021">
        <v>24</v>
      </c>
      <c r="L1021">
        <v>17</v>
      </c>
      <c r="M1021">
        <v>22</v>
      </c>
      <c r="N1021">
        <v>22</v>
      </c>
      <c r="O1021">
        <v>117</v>
      </c>
      <c r="P1021">
        <v>24</v>
      </c>
    </row>
    <row r="1022" spans="1:16" x14ac:dyDescent="0.3">
      <c r="A1022" t="s">
        <v>36</v>
      </c>
      <c r="B1022">
        <v>23</v>
      </c>
      <c r="C1022">
        <v>0</v>
      </c>
      <c r="D1022">
        <v>1</v>
      </c>
      <c r="E1022">
        <v>2</v>
      </c>
      <c r="F1022">
        <v>1</v>
      </c>
      <c r="G1022">
        <v>0</v>
      </c>
      <c r="H1022">
        <v>1</v>
      </c>
      <c r="I1022">
        <v>2</v>
      </c>
      <c r="J1022">
        <v>1</v>
      </c>
      <c r="K1022">
        <v>0</v>
      </c>
      <c r="L1022">
        <v>1</v>
      </c>
      <c r="M1022">
        <v>0</v>
      </c>
      <c r="N1022">
        <v>1</v>
      </c>
      <c r="O1022">
        <v>1</v>
      </c>
      <c r="P1022">
        <v>0</v>
      </c>
    </row>
    <row r="1023" spans="1:16" x14ac:dyDescent="0.3">
      <c r="A1023" t="s">
        <v>37</v>
      </c>
      <c r="B1023">
        <v>23</v>
      </c>
      <c r="D1023">
        <v>0</v>
      </c>
      <c r="E1023">
        <v>0</v>
      </c>
      <c r="H1023">
        <v>0</v>
      </c>
      <c r="I1023">
        <v>0</v>
      </c>
      <c r="K1023">
        <v>0</v>
      </c>
      <c r="L1023">
        <v>3</v>
      </c>
      <c r="N1023">
        <v>0</v>
      </c>
      <c r="O1023">
        <v>2</v>
      </c>
    </row>
    <row r="1024" spans="1:16" x14ac:dyDescent="0.3">
      <c r="A1024" t="s">
        <v>38</v>
      </c>
      <c r="B1024">
        <v>23</v>
      </c>
      <c r="C1024">
        <v>12</v>
      </c>
      <c r="D1024">
        <v>12</v>
      </c>
      <c r="E1024">
        <v>12</v>
      </c>
      <c r="F1024">
        <v>12</v>
      </c>
      <c r="G1024">
        <v>12</v>
      </c>
      <c r="H1024">
        <v>12</v>
      </c>
      <c r="I1024">
        <v>12</v>
      </c>
      <c r="J1024">
        <v>12</v>
      </c>
      <c r="K1024">
        <v>12</v>
      </c>
      <c r="L1024">
        <v>12</v>
      </c>
      <c r="M1024">
        <v>12</v>
      </c>
      <c r="N1024">
        <v>12</v>
      </c>
      <c r="O1024">
        <v>12</v>
      </c>
      <c r="P1024">
        <v>12</v>
      </c>
    </row>
    <row r="1025" spans="1:16" x14ac:dyDescent="0.3">
      <c r="A1025" t="s">
        <v>39</v>
      </c>
      <c r="B1025">
        <v>23</v>
      </c>
      <c r="D1025">
        <v>300</v>
      </c>
      <c r="F1025">
        <v>300</v>
      </c>
      <c r="H1025">
        <v>300</v>
      </c>
      <c r="J1025">
        <v>300</v>
      </c>
      <c r="N1025">
        <v>140</v>
      </c>
    </row>
    <row r="1026" spans="1:16" x14ac:dyDescent="0.3">
      <c r="A1026" t="s">
        <v>631</v>
      </c>
      <c r="B1026">
        <v>23</v>
      </c>
      <c r="D1026">
        <v>25</v>
      </c>
      <c r="F1026">
        <v>25</v>
      </c>
      <c r="H1026">
        <v>25</v>
      </c>
      <c r="J1026">
        <v>25</v>
      </c>
      <c r="N1026">
        <v>25</v>
      </c>
    </row>
    <row r="1027" spans="1:16" x14ac:dyDescent="0.3">
      <c r="A1027" t="s">
        <v>40</v>
      </c>
      <c r="B1027">
        <v>23</v>
      </c>
      <c r="D1027">
        <v>1</v>
      </c>
      <c r="F1027">
        <v>1</v>
      </c>
      <c r="H1027">
        <v>1</v>
      </c>
      <c r="J1027">
        <v>1</v>
      </c>
      <c r="N1027">
        <v>1</v>
      </c>
    </row>
    <row r="1028" spans="1:16" x14ac:dyDescent="0.3">
      <c r="A1028" t="s">
        <v>41</v>
      </c>
      <c r="B1028">
        <v>23</v>
      </c>
    </row>
    <row r="1029" spans="1:16" x14ac:dyDescent="0.3">
      <c r="A1029" t="s">
        <v>42</v>
      </c>
      <c r="B1029">
        <v>23</v>
      </c>
      <c r="E1029">
        <v>45</v>
      </c>
      <c r="I1029">
        <v>45</v>
      </c>
      <c r="L1029">
        <v>30</v>
      </c>
      <c r="O1029">
        <v>30</v>
      </c>
    </row>
    <row r="1030" spans="1:16" x14ac:dyDescent="0.3">
      <c r="A1030" t="s">
        <v>45</v>
      </c>
      <c r="B1030">
        <v>23</v>
      </c>
      <c r="D1030">
        <v>5</v>
      </c>
      <c r="E1030">
        <v>2</v>
      </c>
      <c r="H1030">
        <v>1</v>
      </c>
      <c r="I1030">
        <v>6</v>
      </c>
      <c r="L1030">
        <v>4</v>
      </c>
      <c r="O1030">
        <v>8</v>
      </c>
    </row>
    <row r="1031" spans="1:16" x14ac:dyDescent="0.3">
      <c r="A1031" t="s">
        <v>46</v>
      </c>
      <c r="B1031">
        <v>23</v>
      </c>
      <c r="F1031">
        <v>2</v>
      </c>
      <c r="J1031">
        <v>6</v>
      </c>
      <c r="K1031">
        <v>4</v>
      </c>
      <c r="N1031">
        <v>8</v>
      </c>
    </row>
    <row r="1032" spans="1:16" x14ac:dyDescent="0.3">
      <c r="A1032" t="s">
        <v>49</v>
      </c>
      <c r="B1032">
        <v>23</v>
      </c>
      <c r="C1032">
        <v>4</v>
      </c>
      <c r="D1032">
        <v>5.7</v>
      </c>
      <c r="E1032">
        <v>5.5</v>
      </c>
      <c r="F1032">
        <v>5.5</v>
      </c>
      <c r="G1032">
        <v>4</v>
      </c>
      <c r="H1032">
        <v>5.7</v>
      </c>
      <c r="I1032">
        <v>5.5</v>
      </c>
      <c r="J1032">
        <v>5.5</v>
      </c>
      <c r="K1032">
        <v>5.9</v>
      </c>
      <c r="L1032">
        <v>5.9</v>
      </c>
      <c r="M1032">
        <v>4</v>
      </c>
      <c r="N1032">
        <v>6</v>
      </c>
      <c r="O1032">
        <v>6</v>
      </c>
      <c r="P1032">
        <v>4</v>
      </c>
    </row>
    <row r="1033" spans="1:16" x14ac:dyDescent="0.3">
      <c r="A1033" t="s">
        <v>632</v>
      </c>
      <c r="B1033">
        <v>23</v>
      </c>
      <c r="C1033">
        <v>0</v>
      </c>
      <c r="D1033">
        <v>0</v>
      </c>
      <c r="E1033">
        <v>0</v>
      </c>
      <c r="F1033">
        <v>0</v>
      </c>
      <c r="G1033">
        <v>0</v>
      </c>
      <c r="H1033">
        <v>0</v>
      </c>
      <c r="I1033">
        <v>0</v>
      </c>
      <c r="J1033">
        <v>0</v>
      </c>
      <c r="K1033">
        <v>0</v>
      </c>
      <c r="L1033">
        <v>0</v>
      </c>
      <c r="M1033">
        <v>0</v>
      </c>
      <c r="N1033">
        <v>0</v>
      </c>
      <c r="O1033">
        <v>0</v>
      </c>
      <c r="P1033">
        <v>0</v>
      </c>
    </row>
    <row r="1034" spans="1:16" x14ac:dyDescent="0.3">
      <c r="A1034" t="s">
        <v>48</v>
      </c>
      <c r="B1034">
        <v>23</v>
      </c>
      <c r="C1034">
        <v>1900</v>
      </c>
      <c r="D1034">
        <v>1900</v>
      </c>
      <c r="E1034">
        <v>1900</v>
      </c>
      <c r="F1034">
        <v>1900</v>
      </c>
      <c r="G1034">
        <v>1900</v>
      </c>
      <c r="H1034">
        <v>1900</v>
      </c>
      <c r="I1034">
        <v>1900</v>
      </c>
      <c r="J1034">
        <v>1900</v>
      </c>
      <c r="K1034">
        <v>1900</v>
      </c>
      <c r="L1034">
        <v>1900</v>
      </c>
      <c r="M1034">
        <v>1900</v>
      </c>
      <c r="N1034">
        <v>1900</v>
      </c>
      <c r="O1034">
        <v>1900</v>
      </c>
      <c r="P1034">
        <v>1900</v>
      </c>
    </row>
    <row r="1035" spans="1:16" x14ac:dyDescent="0.3">
      <c r="A1035" t="s">
        <v>633</v>
      </c>
      <c r="B1035">
        <v>23</v>
      </c>
      <c r="C1035">
        <v>0</v>
      </c>
      <c r="D1035">
        <v>1770</v>
      </c>
      <c r="E1035">
        <v>3539</v>
      </c>
      <c r="F1035">
        <v>1583</v>
      </c>
      <c r="G1035">
        <v>0</v>
      </c>
      <c r="H1035">
        <v>1770</v>
      </c>
      <c r="I1035">
        <v>3539</v>
      </c>
      <c r="J1035">
        <v>1583</v>
      </c>
      <c r="K1035">
        <v>0</v>
      </c>
      <c r="L1035">
        <v>1761</v>
      </c>
      <c r="M1035">
        <v>0</v>
      </c>
      <c r="N1035">
        <v>1770</v>
      </c>
      <c r="O1035">
        <v>1706</v>
      </c>
      <c r="P1035">
        <v>0</v>
      </c>
    </row>
    <row r="1036" spans="1:16" x14ac:dyDescent="0.3">
      <c r="A1036" t="s">
        <v>50</v>
      </c>
      <c r="B1036">
        <v>23</v>
      </c>
      <c r="C1036">
        <v>0</v>
      </c>
      <c r="D1036">
        <v>1770</v>
      </c>
      <c r="E1036">
        <v>3539</v>
      </c>
      <c r="F1036">
        <v>1583</v>
      </c>
      <c r="G1036">
        <v>0</v>
      </c>
      <c r="H1036">
        <v>1770</v>
      </c>
      <c r="I1036">
        <v>3539</v>
      </c>
      <c r="J1036">
        <v>1583</v>
      </c>
      <c r="K1036">
        <v>0</v>
      </c>
      <c r="L1036">
        <v>1281</v>
      </c>
      <c r="M1036">
        <v>0</v>
      </c>
      <c r="N1036">
        <v>831</v>
      </c>
      <c r="O1036">
        <v>1706</v>
      </c>
      <c r="P1036">
        <v>0</v>
      </c>
    </row>
    <row r="1037" spans="1:16" x14ac:dyDescent="0.3">
      <c r="A1037" t="s">
        <v>634</v>
      </c>
      <c r="B1037">
        <v>23</v>
      </c>
      <c r="C1037">
        <v>1</v>
      </c>
      <c r="D1037">
        <v>1</v>
      </c>
      <c r="E1037">
        <v>1</v>
      </c>
      <c r="F1037">
        <v>1</v>
      </c>
      <c r="G1037">
        <v>1</v>
      </c>
      <c r="H1037">
        <v>1</v>
      </c>
      <c r="I1037">
        <v>1</v>
      </c>
      <c r="J1037">
        <v>1</v>
      </c>
      <c r="K1037">
        <v>1</v>
      </c>
      <c r="L1037">
        <v>1</v>
      </c>
      <c r="M1037">
        <v>1</v>
      </c>
      <c r="N1037">
        <v>1</v>
      </c>
      <c r="O1037">
        <v>1</v>
      </c>
      <c r="P1037">
        <v>1</v>
      </c>
    </row>
    <row r="1038" spans="1:16" x14ac:dyDescent="0.3">
      <c r="A1038" t="s">
        <v>51</v>
      </c>
      <c r="B1038">
        <v>23</v>
      </c>
      <c r="C1038">
        <v>0</v>
      </c>
      <c r="D1038">
        <v>0</v>
      </c>
      <c r="E1038">
        <v>0</v>
      </c>
      <c r="F1038">
        <v>79</v>
      </c>
      <c r="G1038">
        <v>0</v>
      </c>
      <c r="H1038">
        <v>0</v>
      </c>
      <c r="I1038">
        <v>0</v>
      </c>
      <c r="J1038">
        <v>79</v>
      </c>
      <c r="K1038">
        <v>0</v>
      </c>
      <c r="L1038">
        <v>17</v>
      </c>
      <c r="M1038">
        <v>0</v>
      </c>
      <c r="N1038">
        <v>0</v>
      </c>
      <c r="O1038">
        <v>47</v>
      </c>
      <c r="P1038">
        <v>0</v>
      </c>
    </row>
    <row r="1039" spans="1:16" x14ac:dyDescent="0.3">
      <c r="A1039" t="s">
        <v>53</v>
      </c>
      <c r="B1039">
        <v>23</v>
      </c>
      <c r="C1039">
        <v>0</v>
      </c>
      <c r="D1039">
        <v>35</v>
      </c>
      <c r="E1039">
        <v>800</v>
      </c>
      <c r="F1039">
        <v>30</v>
      </c>
      <c r="G1039">
        <v>0</v>
      </c>
      <c r="H1039">
        <v>50</v>
      </c>
      <c r="I1039">
        <v>400</v>
      </c>
      <c r="J1039">
        <v>24</v>
      </c>
      <c r="K1039">
        <v>50</v>
      </c>
      <c r="L1039">
        <v>75</v>
      </c>
      <c r="M1039">
        <v>55</v>
      </c>
      <c r="N1039">
        <v>35</v>
      </c>
      <c r="O1039">
        <v>60</v>
      </c>
      <c r="P1039">
        <v>75</v>
      </c>
    </row>
    <row r="1040" spans="1:16" x14ac:dyDescent="0.3">
      <c r="A1040" t="s">
        <v>54</v>
      </c>
      <c r="B1040">
        <v>23</v>
      </c>
      <c r="C1040">
        <v>0</v>
      </c>
      <c r="D1040">
        <v>0</v>
      </c>
      <c r="E1040">
        <v>0</v>
      </c>
      <c r="F1040">
        <v>0</v>
      </c>
      <c r="G1040">
        <v>0</v>
      </c>
      <c r="H1040">
        <v>0</v>
      </c>
      <c r="I1040">
        <v>0</v>
      </c>
      <c r="J1040">
        <v>0</v>
      </c>
      <c r="K1040">
        <v>0</v>
      </c>
      <c r="L1040">
        <v>0</v>
      </c>
      <c r="M1040">
        <v>0</v>
      </c>
      <c r="N1040">
        <v>0</v>
      </c>
      <c r="O1040">
        <v>0</v>
      </c>
      <c r="P1040">
        <v>0</v>
      </c>
    </row>
    <row r="1041" spans="1:16" x14ac:dyDescent="0.3">
      <c r="A1041" t="s">
        <v>55</v>
      </c>
      <c r="B1041">
        <v>23</v>
      </c>
      <c r="C1041">
        <v>0</v>
      </c>
      <c r="D1041">
        <v>0</v>
      </c>
      <c r="E1041">
        <v>0</v>
      </c>
      <c r="F1041">
        <v>0</v>
      </c>
      <c r="G1041">
        <v>0</v>
      </c>
      <c r="H1041">
        <v>0</v>
      </c>
      <c r="I1041">
        <v>0</v>
      </c>
      <c r="J1041">
        <v>0</v>
      </c>
      <c r="K1041">
        <v>0</v>
      </c>
      <c r="L1041">
        <v>0</v>
      </c>
      <c r="M1041">
        <v>0</v>
      </c>
      <c r="N1041">
        <v>0</v>
      </c>
      <c r="O1041">
        <v>0</v>
      </c>
      <c r="P1041">
        <v>0</v>
      </c>
    </row>
    <row r="1042" spans="1:16" x14ac:dyDescent="0.3">
      <c r="A1042" t="s">
        <v>56</v>
      </c>
      <c r="B1042">
        <v>23</v>
      </c>
      <c r="C1042">
        <v>0.92</v>
      </c>
      <c r="D1042">
        <v>0.92</v>
      </c>
      <c r="E1042">
        <v>0.92</v>
      </c>
      <c r="F1042">
        <v>0.92</v>
      </c>
      <c r="G1042">
        <v>0.92</v>
      </c>
      <c r="H1042">
        <v>0.92</v>
      </c>
      <c r="I1042">
        <v>0.92</v>
      </c>
      <c r="J1042">
        <v>0.92</v>
      </c>
      <c r="K1042">
        <v>0.92</v>
      </c>
      <c r="L1042">
        <v>0.92</v>
      </c>
      <c r="M1042">
        <v>0.92</v>
      </c>
      <c r="N1042">
        <v>0.92</v>
      </c>
      <c r="O1042">
        <v>0.92</v>
      </c>
      <c r="P1042">
        <v>0.92</v>
      </c>
    </row>
    <row r="1043" spans="1:16" x14ac:dyDescent="0.3">
      <c r="A1043" t="s">
        <v>57</v>
      </c>
      <c r="B1043">
        <v>23</v>
      </c>
      <c r="C1043">
        <v>100</v>
      </c>
      <c r="D1043">
        <v>100</v>
      </c>
      <c r="E1043">
        <v>100</v>
      </c>
      <c r="F1043">
        <v>100</v>
      </c>
      <c r="G1043">
        <v>100</v>
      </c>
      <c r="H1043">
        <v>100</v>
      </c>
      <c r="I1043">
        <v>100</v>
      </c>
      <c r="J1043">
        <v>100</v>
      </c>
      <c r="K1043">
        <v>100</v>
      </c>
      <c r="L1043">
        <v>100</v>
      </c>
      <c r="M1043">
        <v>100</v>
      </c>
      <c r="N1043">
        <v>100</v>
      </c>
      <c r="O1043">
        <v>100</v>
      </c>
      <c r="P1043">
        <v>100</v>
      </c>
    </row>
    <row r="1044" spans="1:16" x14ac:dyDescent="0.3">
      <c r="A1044" t="s">
        <v>58</v>
      </c>
      <c r="B1044">
        <v>23</v>
      </c>
      <c r="C1044">
        <v>2</v>
      </c>
      <c r="D1044">
        <v>2</v>
      </c>
      <c r="E1044">
        <v>2</v>
      </c>
      <c r="F1044">
        <v>2</v>
      </c>
      <c r="G1044">
        <v>2</v>
      </c>
      <c r="H1044">
        <v>2</v>
      </c>
      <c r="I1044">
        <v>2</v>
      </c>
      <c r="J1044">
        <v>2</v>
      </c>
      <c r="K1044">
        <v>2</v>
      </c>
      <c r="L1044">
        <v>2</v>
      </c>
      <c r="M1044">
        <v>2</v>
      </c>
      <c r="N1044">
        <v>2</v>
      </c>
      <c r="O1044">
        <v>2</v>
      </c>
      <c r="P1044">
        <v>2</v>
      </c>
    </row>
    <row r="1045" spans="1:16" x14ac:dyDescent="0.3">
      <c r="A1045" t="s">
        <v>59</v>
      </c>
      <c r="B1045">
        <v>23</v>
      </c>
      <c r="C1045">
        <v>0</v>
      </c>
      <c r="D1045">
        <v>0</v>
      </c>
      <c r="E1045">
        <v>0</v>
      </c>
      <c r="F1045">
        <v>0</v>
      </c>
      <c r="G1045">
        <v>0</v>
      </c>
      <c r="H1045">
        <v>0</v>
      </c>
      <c r="I1045">
        <v>0</v>
      </c>
      <c r="J1045">
        <v>0</v>
      </c>
      <c r="K1045">
        <v>0</v>
      </c>
      <c r="L1045">
        <v>0</v>
      </c>
      <c r="M1045">
        <v>0</v>
      </c>
      <c r="N1045">
        <v>0</v>
      </c>
      <c r="O1045">
        <v>0</v>
      </c>
      <c r="P1045">
        <v>0</v>
      </c>
    </row>
    <row r="1046" spans="1:16" x14ac:dyDescent="0.3">
      <c r="A1046" t="s">
        <v>635</v>
      </c>
      <c r="B1046">
        <v>23</v>
      </c>
      <c r="E1046">
        <v>0</v>
      </c>
      <c r="I1046">
        <v>0</v>
      </c>
      <c r="L1046">
        <v>0</v>
      </c>
      <c r="O1046">
        <v>0</v>
      </c>
    </row>
    <row r="1047" spans="1:16" x14ac:dyDescent="0.3">
      <c r="A1047" t="s">
        <v>574</v>
      </c>
      <c r="B1047">
        <v>23</v>
      </c>
      <c r="E1047">
        <v>773</v>
      </c>
      <c r="I1047">
        <v>1523</v>
      </c>
      <c r="L1047">
        <v>1131</v>
      </c>
      <c r="O1047">
        <v>523</v>
      </c>
    </row>
    <row r="1048" spans="1:16" x14ac:dyDescent="0.3">
      <c r="A1048" t="s">
        <v>78</v>
      </c>
      <c r="B1048">
        <v>23</v>
      </c>
      <c r="E1048">
        <v>11.7</v>
      </c>
      <c r="I1048">
        <v>23.1</v>
      </c>
      <c r="L1048">
        <v>25.7</v>
      </c>
      <c r="O1048">
        <v>11.9</v>
      </c>
    </row>
    <row r="1049" spans="1:16" x14ac:dyDescent="0.3">
      <c r="A1049" t="s">
        <v>636</v>
      </c>
      <c r="B1049">
        <v>23</v>
      </c>
      <c r="F1049">
        <v>1</v>
      </c>
      <c r="J1049">
        <v>1</v>
      </c>
      <c r="M1049">
        <v>1</v>
      </c>
      <c r="P1049">
        <v>1</v>
      </c>
    </row>
    <row r="1050" spans="1:16" x14ac:dyDescent="0.3">
      <c r="A1050" t="s">
        <v>637</v>
      </c>
      <c r="B1050">
        <v>23</v>
      </c>
      <c r="F1050">
        <v>50</v>
      </c>
      <c r="J1050">
        <v>50</v>
      </c>
      <c r="M1050">
        <v>50</v>
      </c>
      <c r="P1050">
        <v>50</v>
      </c>
    </row>
    <row r="1051" spans="1:16" x14ac:dyDescent="0.3">
      <c r="A1051" t="s">
        <v>638</v>
      </c>
      <c r="B1051">
        <v>23</v>
      </c>
      <c r="F1051">
        <v>0</v>
      </c>
      <c r="J1051">
        <v>0</v>
      </c>
      <c r="M1051">
        <v>0</v>
      </c>
      <c r="P1051">
        <v>0</v>
      </c>
    </row>
    <row r="1052" spans="1:16" x14ac:dyDescent="0.3">
      <c r="A1052" t="s">
        <v>639</v>
      </c>
      <c r="B1052">
        <v>23</v>
      </c>
      <c r="C1052">
        <v>3</v>
      </c>
      <c r="D1052">
        <v>0</v>
      </c>
      <c r="E1052">
        <v>0</v>
      </c>
      <c r="F1052">
        <v>1</v>
      </c>
      <c r="G1052">
        <v>3</v>
      </c>
      <c r="H1052">
        <v>0</v>
      </c>
      <c r="I1052">
        <v>0</v>
      </c>
      <c r="J1052">
        <v>1</v>
      </c>
      <c r="K1052">
        <v>0</v>
      </c>
      <c r="L1052">
        <v>0</v>
      </c>
      <c r="M1052">
        <v>1</v>
      </c>
      <c r="N1052">
        <v>0</v>
      </c>
      <c r="O1052">
        <v>0</v>
      </c>
      <c r="P1052">
        <v>1</v>
      </c>
    </row>
    <row r="1053" spans="1:16" x14ac:dyDescent="0.3">
      <c r="A1053" t="s">
        <v>640</v>
      </c>
      <c r="B1053">
        <v>23</v>
      </c>
      <c r="C1053">
        <v>0</v>
      </c>
      <c r="D1053">
        <v>0</v>
      </c>
      <c r="E1053">
        <v>0</v>
      </c>
      <c r="F1053">
        <v>0</v>
      </c>
      <c r="G1053">
        <v>0</v>
      </c>
      <c r="H1053">
        <v>0</v>
      </c>
      <c r="I1053">
        <v>0</v>
      </c>
      <c r="J1053">
        <v>0</v>
      </c>
      <c r="K1053">
        <v>0</v>
      </c>
      <c r="L1053">
        <v>0</v>
      </c>
      <c r="M1053">
        <v>0</v>
      </c>
      <c r="N1053">
        <v>0</v>
      </c>
      <c r="O1053">
        <v>0</v>
      </c>
      <c r="P1053">
        <v>0</v>
      </c>
    </row>
    <row r="1054" spans="1:16" x14ac:dyDescent="0.3">
      <c r="A1054" t="s">
        <v>52</v>
      </c>
      <c r="B1054">
        <v>23</v>
      </c>
      <c r="C1054">
        <v>1</v>
      </c>
      <c r="D1054">
        <v>1</v>
      </c>
      <c r="E1054">
        <v>1</v>
      </c>
      <c r="F1054">
        <v>1</v>
      </c>
      <c r="G1054">
        <v>1</v>
      </c>
      <c r="H1054">
        <v>1</v>
      </c>
      <c r="I1054">
        <v>1</v>
      </c>
      <c r="J1054">
        <v>1</v>
      </c>
      <c r="K1054">
        <v>1</v>
      </c>
      <c r="L1054">
        <v>1</v>
      </c>
      <c r="M1054">
        <v>1</v>
      </c>
      <c r="N1054">
        <v>1</v>
      </c>
      <c r="O1054">
        <v>1</v>
      </c>
      <c r="P1054">
        <v>1</v>
      </c>
    </row>
    <row r="1055" spans="1:16" x14ac:dyDescent="0.3">
      <c r="A1055" t="s">
        <v>641</v>
      </c>
      <c r="B1055">
        <v>23</v>
      </c>
      <c r="C1055">
        <v>9</v>
      </c>
      <c r="D1055">
        <v>15</v>
      </c>
      <c r="E1055">
        <v>60</v>
      </c>
      <c r="F1055">
        <v>9</v>
      </c>
      <c r="G1055">
        <v>9</v>
      </c>
      <c r="H1055">
        <v>15</v>
      </c>
      <c r="I1055">
        <v>60</v>
      </c>
      <c r="J1055">
        <v>9</v>
      </c>
      <c r="K1055">
        <v>15</v>
      </c>
      <c r="L1055">
        <v>60</v>
      </c>
      <c r="M1055">
        <v>9</v>
      </c>
      <c r="N1055">
        <v>15</v>
      </c>
      <c r="O1055">
        <v>60</v>
      </c>
      <c r="P1055">
        <v>9</v>
      </c>
    </row>
    <row r="1056" spans="1:16" x14ac:dyDescent="0.3">
      <c r="A1056" t="s">
        <v>43</v>
      </c>
      <c r="B1056">
        <v>23</v>
      </c>
      <c r="D1056">
        <v>40</v>
      </c>
      <c r="E1056">
        <v>336</v>
      </c>
      <c r="F1056">
        <v>0</v>
      </c>
      <c r="H1056">
        <v>40</v>
      </c>
      <c r="I1056">
        <v>336</v>
      </c>
      <c r="J1056">
        <v>0</v>
      </c>
      <c r="K1056">
        <v>40</v>
      </c>
      <c r="L1056">
        <v>40</v>
      </c>
      <c r="N1056">
        <v>40</v>
      </c>
      <c r="O1056">
        <v>40</v>
      </c>
    </row>
    <row r="1057" spans="1:15" x14ac:dyDescent="0.3">
      <c r="A1057" t="s">
        <v>44</v>
      </c>
      <c r="B1057">
        <v>23</v>
      </c>
      <c r="D1057">
        <v>0</v>
      </c>
      <c r="E1057">
        <v>0</v>
      </c>
      <c r="F1057">
        <v>0</v>
      </c>
      <c r="H1057">
        <v>0</v>
      </c>
      <c r="I1057">
        <v>0</v>
      </c>
      <c r="J1057">
        <v>0</v>
      </c>
      <c r="K1057">
        <v>0</v>
      </c>
      <c r="L1057">
        <v>0</v>
      </c>
      <c r="N1057">
        <v>0</v>
      </c>
      <c r="O1057">
        <v>0</v>
      </c>
    </row>
    <row r="1058" spans="1:15" x14ac:dyDescent="0.3">
      <c r="A1058" t="s">
        <v>47</v>
      </c>
      <c r="B1058">
        <v>23</v>
      </c>
      <c r="D1058">
        <v>5</v>
      </c>
      <c r="E1058">
        <v>2</v>
      </c>
      <c r="F1058">
        <v>2</v>
      </c>
      <c r="H1058">
        <v>1</v>
      </c>
      <c r="I1058">
        <v>6</v>
      </c>
      <c r="J1058">
        <v>6</v>
      </c>
      <c r="K1058">
        <v>4</v>
      </c>
      <c r="L1058">
        <v>4</v>
      </c>
      <c r="N1058">
        <v>8</v>
      </c>
      <c r="O1058">
        <v>8</v>
      </c>
    </row>
    <row r="1059" spans="1:15" x14ac:dyDescent="0.3">
      <c r="A1059" t="s">
        <v>642</v>
      </c>
      <c r="B1059">
        <v>23</v>
      </c>
      <c r="D1059">
        <v>0</v>
      </c>
      <c r="E1059">
        <v>0</v>
      </c>
      <c r="F1059">
        <v>0</v>
      </c>
      <c r="H1059">
        <v>0</v>
      </c>
      <c r="I1059">
        <v>0</v>
      </c>
      <c r="J1059">
        <v>0</v>
      </c>
      <c r="K1059">
        <v>0</v>
      </c>
      <c r="L1059">
        <v>0</v>
      </c>
      <c r="N1059">
        <v>0</v>
      </c>
      <c r="O1059">
        <v>0</v>
      </c>
    </row>
    <row r="1060" spans="1:15" x14ac:dyDescent="0.3">
      <c r="A1060" t="s">
        <v>643</v>
      </c>
      <c r="B1060">
        <v>23</v>
      </c>
      <c r="D1060">
        <v>0</v>
      </c>
      <c r="E1060">
        <v>0</v>
      </c>
      <c r="F1060">
        <v>0</v>
      </c>
      <c r="H1060">
        <v>0</v>
      </c>
      <c r="I1060">
        <v>0</v>
      </c>
      <c r="J1060">
        <v>0</v>
      </c>
      <c r="K1060">
        <v>0</v>
      </c>
      <c r="L1060">
        <v>0</v>
      </c>
      <c r="N1060">
        <v>0</v>
      </c>
      <c r="O1060">
        <v>0</v>
      </c>
    </row>
    <row r="1061" spans="1:15" x14ac:dyDescent="0.3">
      <c r="A1061" t="s">
        <v>644</v>
      </c>
      <c r="B1061">
        <v>23</v>
      </c>
      <c r="D1061">
        <v>0</v>
      </c>
      <c r="E1061">
        <v>0</v>
      </c>
      <c r="F1061">
        <v>0</v>
      </c>
      <c r="H1061">
        <v>0</v>
      </c>
      <c r="I1061">
        <v>0</v>
      </c>
      <c r="J1061">
        <v>0</v>
      </c>
      <c r="K1061">
        <v>0</v>
      </c>
      <c r="L1061">
        <v>0</v>
      </c>
      <c r="N1061">
        <v>0</v>
      </c>
      <c r="O1061">
        <v>0</v>
      </c>
    </row>
    <row r="1062" spans="1:15" x14ac:dyDescent="0.3">
      <c r="A1062" t="s">
        <v>645</v>
      </c>
      <c r="B1062">
        <v>23</v>
      </c>
      <c r="D1062">
        <v>0</v>
      </c>
      <c r="E1062">
        <v>0</v>
      </c>
      <c r="F1062">
        <v>0</v>
      </c>
      <c r="H1062">
        <v>0</v>
      </c>
      <c r="I1062">
        <v>0</v>
      </c>
      <c r="J1062">
        <v>0</v>
      </c>
      <c r="K1062">
        <v>0</v>
      </c>
      <c r="L1062">
        <v>0</v>
      </c>
      <c r="N1062">
        <v>0</v>
      </c>
      <c r="O1062">
        <v>0</v>
      </c>
    </row>
    <row r="1063" spans="1:15" x14ac:dyDescent="0.3">
      <c r="A1063" t="s">
        <v>646</v>
      </c>
      <c r="B1063">
        <v>23</v>
      </c>
      <c r="D1063">
        <v>1</v>
      </c>
      <c r="E1063">
        <v>2</v>
      </c>
      <c r="F1063">
        <v>1</v>
      </c>
      <c r="H1063">
        <v>1</v>
      </c>
      <c r="I1063">
        <v>2</v>
      </c>
      <c r="J1063">
        <v>1</v>
      </c>
      <c r="K1063">
        <v>1</v>
      </c>
      <c r="L1063">
        <v>1</v>
      </c>
      <c r="N1063">
        <v>1</v>
      </c>
      <c r="O1063">
        <v>1</v>
      </c>
    </row>
    <row r="1064" spans="1:15" x14ac:dyDescent="0.3">
      <c r="A1064" t="s">
        <v>647</v>
      </c>
      <c r="B1064">
        <v>23</v>
      </c>
      <c r="D1064">
        <v>0</v>
      </c>
      <c r="E1064">
        <v>330</v>
      </c>
      <c r="F1064">
        <v>0</v>
      </c>
      <c r="H1064">
        <v>0</v>
      </c>
      <c r="I1064">
        <v>330</v>
      </c>
      <c r="J1064">
        <v>0</v>
      </c>
      <c r="K1064">
        <v>0</v>
      </c>
      <c r="L1064">
        <v>0</v>
      </c>
      <c r="N1064">
        <v>0</v>
      </c>
      <c r="O1064">
        <v>0</v>
      </c>
    </row>
    <row r="1065" spans="1:15" x14ac:dyDescent="0.3">
      <c r="A1065" t="s">
        <v>648</v>
      </c>
      <c r="B1065">
        <v>23</v>
      </c>
      <c r="D1065">
        <v>40</v>
      </c>
      <c r="E1065">
        <v>6</v>
      </c>
      <c r="F1065">
        <v>0</v>
      </c>
      <c r="H1065">
        <v>40</v>
      </c>
      <c r="I1065">
        <v>6</v>
      </c>
      <c r="J1065">
        <v>0</v>
      </c>
      <c r="K1065">
        <v>40</v>
      </c>
      <c r="L1065">
        <v>40</v>
      </c>
      <c r="N1065">
        <v>40</v>
      </c>
      <c r="O1065">
        <v>40</v>
      </c>
    </row>
    <row r="1066" spans="1:15" x14ac:dyDescent="0.3">
      <c r="A1066" t="s">
        <v>649</v>
      </c>
      <c r="B1066">
        <v>23</v>
      </c>
      <c r="D1066">
        <v>3</v>
      </c>
      <c r="E1066">
        <v>3</v>
      </c>
      <c r="F1066">
        <v>3</v>
      </c>
      <c r="H1066">
        <v>3</v>
      </c>
      <c r="I1066">
        <v>3</v>
      </c>
      <c r="J1066">
        <v>3</v>
      </c>
      <c r="K1066">
        <v>3</v>
      </c>
      <c r="L1066">
        <v>3</v>
      </c>
      <c r="N1066">
        <v>3</v>
      </c>
      <c r="O1066">
        <v>3</v>
      </c>
    </row>
    <row r="1067" spans="1:15" x14ac:dyDescent="0.3">
      <c r="A1067" t="s">
        <v>650</v>
      </c>
      <c r="B1067">
        <v>23</v>
      </c>
      <c r="D1067">
        <v>0</v>
      </c>
      <c r="E1067">
        <v>0</v>
      </c>
      <c r="F1067">
        <v>0</v>
      </c>
      <c r="H1067">
        <v>0</v>
      </c>
      <c r="I1067">
        <v>0</v>
      </c>
      <c r="J1067">
        <v>0</v>
      </c>
      <c r="K1067">
        <v>0</v>
      </c>
      <c r="L1067">
        <v>0</v>
      </c>
      <c r="N1067">
        <v>0</v>
      </c>
      <c r="O1067">
        <v>0</v>
      </c>
    </row>
    <row r="1068" spans="1:15" x14ac:dyDescent="0.3">
      <c r="A1068" t="s">
        <v>651</v>
      </c>
      <c r="B1068">
        <v>23</v>
      </c>
      <c r="D1068">
        <v>0</v>
      </c>
      <c r="E1068">
        <v>0</v>
      </c>
      <c r="F1068">
        <v>0</v>
      </c>
      <c r="H1068">
        <v>0</v>
      </c>
      <c r="I1068">
        <v>0</v>
      </c>
      <c r="J1068">
        <v>0</v>
      </c>
      <c r="K1068">
        <v>0</v>
      </c>
      <c r="L1068">
        <v>0</v>
      </c>
      <c r="N1068">
        <v>0</v>
      </c>
      <c r="O1068">
        <v>0</v>
      </c>
    </row>
    <row r="1069" spans="1:15" x14ac:dyDescent="0.3">
      <c r="A1069" t="s">
        <v>652</v>
      </c>
      <c r="B1069">
        <v>23</v>
      </c>
      <c r="D1069">
        <v>0</v>
      </c>
      <c r="E1069">
        <v>0</v>
      </c>
      <c r="F1069">
        <v>0</v>
      </c>
      <c r="H1069">
        <v>0</v>
      </c>
      <c r="I1069">
        <v>0</v>
      </c>
      <c r="J1069">
        <v>0</v>
      </c>
      <c r="K1069">
        <v>0</v>
      </c>
      <c r="L1069">
        <v>0</v>
      </c>
      <c r="N1069">
        <v>0</v>
      </c>
      <c r="O1069">
        <v>0</v>
      </c>
    </row>
    <row r="1070" spans="1:15" x14ac:dyDescent="0.3">
      <c r="A1070" t="s">
        <v>653</v>
      </c>
      <c r="B1070">
        <v>23</v>
      </c>
      <c r="E1070">
        <v>0</v>
      </c>
      <c r="I1070">
        <v>0</v>
      </c>
    </row>
    <row r="1071" spans="1:15" x14ac:dyDescent="0.3">
      <c r="A1071" t="s">
        <v>654</v>
      </c>
      <c r="B1071">
        <v>23</v>
      </c>
      <c r="E1071">
        <v>0</v>
      </c>
      <c r="I1071">
        <v>0</v>
      </c>
    </row>
    <row r="1072" spans="1:15" x14ac:dyDescent="0.3">
      <c r="A1072" t="s">
        <v>655</v>
      </c>
      <c r="B1072">
        <v>23</v>
      </c>
      <c r="E1072">
        <v>3</v>
      </c>
      <c r="I1072">
        <v>3</v>
      </c>
    </row>
    <row r="1073" spans="1:16" x14ac:dyDescent="0.3">
      <c r="A1073" t="s">
        <v>656</v>
      </c>
      <c r="B1073">
        <v>23</v>
      </c>
      <c r="E1073">
        <v>0</v>
      </c>
      <c r="I1073">
        <v>0</v>
      </c>
    </row>
    <row r="1074" spans="1:16" x14ac:dyDescent="0.3">
      <c r="A1074" t="s">
        <v>657</v>
      </c>
      <c r="B1074">
        <v>23</v>
      </c>
      <c r="E1074">
        <v>0</v>
      </c>
      <c r="I1074">
        <v>0</v>
      </c>
      <c r="L1074">
        <v>0</v>
      </c>
      <c r="O1074">
        <v>0</v>
      </c>
    </row>
    <row r="1075" spans="1:16" x14ac:dyDescent="0.3">
      <c r="A1075" t="s">
        <v>408</v>
      </c>
      <c r="B1075">
        <v>23</v>
      </c>
      <c r="E1075">
        <v>0</v>
      </c>
    </row>
    <row r="1076" spans="1:16" x14ac:dyDescent="0.3">
      <c r="A1076" t="s">
        <v>658</v>
      </c>
      <c r="B1076">
        <v>23</v>
      </c>
      <c r="C1076">
        <v>0</v>
      </c>
      <c r="D1076">
        <v>38</v>
      </c>
      <c r="E1076">
        <v>870</v>
      </c>
      <c r="F1076">
        <v>33</v>
      </c>
      <c r="G1076">
        <v>0</v>
      </c>
      <c r="H1076">
        <v>54</v>
      </c>
      <c r="I1076">
        <v>435</v>
      </c>
      <c r="J1076">
        <v>26</v>
      </c>
      <c r="K1076">
        <v>0</v>
      </c>
      <c r="L1076">
        <v>196</v>
      </c>
      <c r="M1076">
        <v>0</v>
      </c>
      <c r="N1076">
        <v>38</v>
      </c>
      <c r="O1076">
        <v>147</v>
      </c>
      <c r="P1076">
        <v>0</v>
      </c>
    </row>
    <row r="1077" spans="1:16" x14ac:dyDescent="0.3">
      <c r="A1077" t="s">
        <v>34</v>
      </c>
      <c r="B1077">
        <v>24</v>
      </c>
      <c r="C1077">
        <v>23</v>
      </c>
      <c r="D1077">
        <v>23</v>
      </c>
      <c r="E1077">
        <v>23</v>
      </c>
      <c r="F1077">
        <v>23</v>
      </c>
      <c r="G1077">
        <v>25</v>
      </c>
      <c r="H1077">
        <v>25</v>
      </c>
      <c r="I1077">
        <v>25</v>
      </c>
      <c r="J1077">
        <v>25</v>
      </c>
      <c r="K1077">
        <v>119</v>
      </c>
      <c r="L1077">
        <v>119</v>
      </c>
      <c r="M1077">
        <v>119</v>
      </c>
      <c r="N1077">
        <v>13</v>
      </c>
      <c r="O1077">
        <v>13</v>
      </c>
      <c r="P1077">
        <v>13</v>
      </c>
    </row>
    <row r="1078" spans="1:16" x14ac:dyDescent="0.3">
      <c r="A1078" t="s">
        <v>35</v>
      </c>
      <c r="B1078">
        <v>24</v>
      </c>
      <c r="C1078">
        <v>23</v>
      </c>
      <c r="D1078">
        <v>119</v>
      </c>
      <c r="E1078">
        <v>25</v>
      </c>
      <c r="F1078">
        <v>13</v>
      </c>
      <c r="G1078">
        <v>25</v>
      </c>
      <c r="H1078">
        <v>13</v>
      </c>
      <c r="I1078">
        <v>23</v>
      </c>
      <c r="J1078">
        <v>119</v>
      </c>
      <c r="K1078">
        <v>25</v>
      </c>
      <c r="L1078">
        <v>13</v>
      </c>
      <c r="M1078">
        <v>23</v>
      </c>
      <c r="N1078">
        <v>23</v>
      </c>
      <c r="O1078">
        <v>119</v>
      </c>
      <c r="P1078">
        <v>25</v>
      </c>
    </row>
    <row r="1079" spans="1:16" x14ac:dyDescent="0.3">
      <c r="A1079" t="s">
        <v>36</v>
      </c>
      <c r="B1079">
        <v>24</v>
      </c>
      <c r="C1079">
        <v>0</v>
      </c>
      <c r="D1079">
        <v>1</v>
      </c>
      <c r="E1079">
        <v>2</v>
      </c>
      <c r="F1079">
        <v>1</v>
      </c>
      <c r="G1079">
        <v>0</v>
      </c>
      <c r="H1079">
        <v>1</v>
      </c>
      <c r="I1079">
        <v>2</v>
      </c>
      <c r="J1079">
        <v>1</v>
      </c>
      <c r="K1079">
        <v>0</v>
      </c>
      <c r="L1079">
        <v>1</v>
      </c>
      <c r="M1079">
        <v>0</v>
      </c>
      <c r="N1079">
        <v>0</v>
      </c>
      <c r="O1079">
        <v>1</v>
      </c>
      <c r="P1079">
        <v>1</v>
      </c>
    </row>
    <row r="1080" spans="1:16" x14ac:dyDescent="0.3">
      <c r="A1080" t="s">
        <v>37</v>
      </c>
      <c r="B1080">
        <v>24</v>
      </c>
      <c r="D1080">
        <v>0</v>
      </c>
      <c r="E1080">
        <v>0</v>
      </c>
      <c r="H1080">
        <v>0</v>
      </c>
      <c r="I1080">
        <v>0</v>
      </c>
      <c r="K1080">
        <v>0</v>
      </c>
      <c r="L1080">
        <v>3</v>
      </c>
      <c r="N1080">
        <v>0</v>
      </c>
      <c r="O1080">
        <v>1</v>
      </c>
    </row>
    <row r="1081" spans="1:16" x14ac:dyDescent="0.3">
      <c r="A1081" t="s">
        <v>38</v>
      </c>
      <c r="B1081">
        <v>24</v>
      </c>
      <c r="C1081">
        <v>12</v>
      </c>
      <c r="D1081">
        <v>12</v>
      </c>
      <c r="E1081">
        <v>12</v>
      </c>
      <c r="F1081">
        <v>12</v>
      </c>
      <c r="G1081">
        <v>12</v>
      </c>
      <c r="H1081">
        <v>12</v>
      </c>
      <c r="I1081">
        <v>12</v>
      </c>
      <c r="J1081">
        <v>12</v>
      </c>
      <c r="K1081">
        <v>12</v>
      </c>
      <c r="L1081">
        <v>12</v>
      </c>
      <c r="M1081">
        <v>12</v>
      </c>
      <c r="N1081">
        <v>12</v>
      </c>
      <c r="O1081">
        <v>12</v>
      </c>
      <c r="P1081">
        <v>12</v>
      </c>
    </row>
    <row r="1082" spans="1:16" x14ac:dyDescent="0.3">
      <c r="A1082" t="s">
        <v>39</v>
      </c>
      <c r="B1082">
        <v>24</v>
      </c>
      <c r="D1082">
        <v>200</v>
      </c>
      <c r="F1082">
        <v>200</v>
      </c>
      <c r="H1082">
        <v>200</v>
      </c>
      <c r="J1082">
        <v>200</v>
      </c>
      <c r="P1082">
        <v>150</v>
      </c>
    </row>
    <row r="1083" spans="1:16" x14ac:dyDescent="0.3">
      <c r="A1083" t="s">
        <v>631</v>
      </c>
      <c r="B1083">
        <v>24</v>
      </c>
      <c r="D1083">
        <v>25</v>
      </c>
      <c r="F1083">
        <v>25</v>
      </c>
      <c r="H1083">
        <v>25</v>
      </c>
      <c r="J1083">
        <v>25</v>
      </c>
      <c r="P1083">
        <v>25</v>
      </c>
    </row>
    <row r="1084" spans="1:16" x14ac:dyDescent="0.3">
      <c r="A1084" t="s">
        <v>40</v>
      </c>
      <c r="B1084">
        <v>24</v>
      </c>
      <c r="D1084">
        <v>1</v>
      </c>
      <c r="F1084">
        <v>1</v>
      </c>
      <c r="H1084">
        <v>1</v>
      </c>
      <c r="J1084">
        <v>1</v>
      </c>
      <c r="P1084">
        <v>1</v>
      </c>
    </row>
    <row r="1085" spans="1:16" x14ac:dyDescent="0.3">
      <c r="A1085" t="s">
        <v>41</v>
      </c>
      <c r="B1085">
        <v>24</v>
      </c>
    </row>
    <row r="1086" spans="1:16" x14ac:dyDescent="0.3">
      <c r="A1086" t="s">
        <v>42</v>
      </c>
      <c r="B1086">
        <v>24</v>
      </c>
      <c r="E1086">
        <v>45</v>
      </c>
      <c r="I1086">
        <v>45</v>
      </c>
      <c r="L1086">
        <v>30</v>
      </c>
      <c r="O1086">
        <v>30</v>
      </c>
    </row>
    <row r="1087" spans="1:16" x14ac:dyDescent="0.3">
      <c r="A1087" t="s">
        <v>45</v>
      </c>
      <c r="B1087">
        <v>24</v>
      </c>
      <c r="D1087">
        <v>5</v>
      </c>
      <c r="E1087">
        <v>2</v>
      </c>
      <c r="H1087">
        <v>1</v>
      </c>
      <c r="I1087">
        <v>6</v>
      </c>
      <c r="L1087">
        <v>4</v>
      </c>
      <c r="O1087">
        <v>8</v>
      </c>
    </row>
    <row r="1088" spans="1:16" x14ac:dyDescent="0.3">
      <c r="A1088" t="s">
        <v>46</v>
      </c>
      <c r="B1088">
        <v>24</v>
      </c>
      <c r="D1088">
        <v>2</v>
      </c>
      <c r="F1088">
        <v>2</v>
      </c>
      <c r="H1088">
        <v>6</v>
      </c>
      <c r="J1088">
        <v>6</v>
      </c>
      <c r="K1088">
        <v>4</v>
      </c>
      <c r="N1088">
        <v>8</v>
      </c>
      <c r="P1088">
        <v>8</v>
      </c>
    </row>
    <row r="1089" spans="1:16" x14ac:dyDescent="0.3">
      <c r="A1089" t="s">
        <v>49</v>
      </c>
      <c r="B1089">
        <v>24</v>
      </c>
      <c r="C1089">
        <v>4</v>
      </c>
      <c r="D1089">
        <v>6</v>
      </c>
      <c r="E1089">
        <v>6.3</v>
      </c>
      <c r="F1089">
        <v>6.3</v>
      </c>
      <c r="G1089">
        <v>4</v>
      </c>
      <c r="H1089">
        <v>6</v>
      </c>
      <c r="I1089">
        <v>6.3</v>
      </c>
      <c r="J1089">
        <v>6.3</v>
      </c>
      <c r="K1089">
        <v>6</v>
      </c>
      <c r="L1089">
        <v>6</v>
      </c>
      <c r="M1089">
        <v>4</v>
      </c>
      <c r="N1089">
        <v>6</v>
      </c>
      <c r="O1089">
        <v>6</v>
      </c>
      <c r="P1089">
        <v>6</v>
      </c>
    </row>
    <row r="1090" spans="1:16" x14ac:dyDescent="0.3">
      <c r="A1090" t="s">
        <v>632</v>
      </c>
      <c r="B1090">
        <v>24</v>
      </c>
      <c r="C1090">
        <v>0</v>
      </c>
      <c r="D1090">
        <v>0</v>
      </c>
      <c r="E1090">
        <v>0</v>
      </c>
      <c r="F1090">
        <v>0</v>
      </c>
      <c r="G1090">
        <v>0</v>
      </c>
      <c r="H1090">
        <v>0</v>
      </c>
      <c r="I1090">
        <v>0</v>
      </c>
      <c r="J1090">
        <v>0</v>
      </c>
      <c r="K1090">
        <v>0</v>
      </c>
      <c r="L1090">
        <v>0</v>
      </c>
      <c r="M1090">
        <v>0</v>
      </c>
      <c r="N1090">
        <v>0</v>
      </c>
      <c r="O1090">
        <v>0</v>
      </c>
      <c r="P1090">
        <v>0</v>
      </c>
    </row>
    <row r="1091" spans="1:16" x14ac:dyDescent="0.3">
      <c r="A1091" t="s">
        <v>48</v>
      </c>
      <c r="B1091">
        <v>24</v>
      </c>
      <c r="C1091">
        <v>1900</v>
      </c>
      <c r="D1091">
        <v>1900</v>
      </c>
      <c r="E1091">
        <v>1900</v>
      </c>
      <c r="F1091">
        <v>1900</v>
      </c>
      <c r="G1091">
        <v>1900</v>
      </c>
      <c r="H1091">
        <v>1900</v>
      </c>
      <c r="I1091">
        <v>1900</v>
      </c>
      <c r="J1091">
        <v>1900</v>
      </c>
      <c r="K1091">
        <v>1900</v>
      </c>
      <c r="L1091">
        <v>1900</v>
      </c>
      <c r="M1091">
        <v>1900</v>
      </c>
      <c r="N1091">
        <v>1900</v>
      </c>
      <c r="O1091">
        <v>1900</v>
      </c>
      <c r="P1091">
        <v>1900</v>
      </c>
    </row>
    <row r="1092" spans="1:16" x14ac:dyDescent="0.3">
      <c r="A1092" t="s">
        <v>633</v>
      </c>
      <c r="B1092">
        <v>24</v>
      </c>
      <c r="C1092">
        <v>0</v>
      </c>
      <c r="D1092">
        <v>1770</v>
      </c>
      <c r="E1092">
        <v>3539</v>
      </c>
      <c r="F1092">
        <v>1583</v>
      </c>
      <c r="G1092">
        <v>0</v>
      </c>
      <c r="H1092">
        <v>1770</v>
      </c>
      <c r="I1092">
        <v>3539</v>
      </c>
      <c r="J1092">
        <v>1583</v>
      </c>
      <c r="K1092">
        <v>0</v>
      </c>
      <c r="L1092">
        <v>1761</v>
      </c>
      <c r="M1092">
        <v>0</v>
      </c>
      <c r="N1092">
        <v>0</v>
      </c>
      <c r="O1092">
        <v>1820</v>
      </c>
      <c r="P1092">
        <v>1583</v>
      </c>
    </row>
    <row r="1093" spans="1:16" x14ac:dyDescent="0.3">
      <c r="A1093" t="s">
        <v>50</v>
      </c>
      <c r="B1093">
        <v>24</v>
      </c>
      <c r="C1093">
        <v>0</v>
      </c>
      <c r="D1093">
        <v>831</v>
      </c>
      <c r="E1093">
        <v>3539</v>
      </c>
      <c r="F1093">
        <v>1583</v>
      </c>
      <c r="G1093">
        <v>0</v>
      </c>
      <c r="H1093">
        <v>458</v>
      </c>
      <c r="I1093">
        <v>3539</v>
      </c>
      <c r="J1093">
        <v>1583</v>
      </c>
      <c r="K1093">
        <v>0</v>
      </c>
      <c r="L1093">
        <v>1558</v>
      </c>
      <c r="M1093">
        <v>0</v>
      </c>
      <c r="N1093">
        <v>0</v>
      </c>
      <c r="O1093">
        <v>1038</v>
      </c>
      <c r="P1093">
        <v>1583</v>
      </c>
    </row>
    <row r="1094" spans="1:16" x14ac:dyDescent="0.3">
      <c r="A1094" t="s">
        <v>634</v>
      </c>
      <c r="B1094">
        <v>24</v>
      </c>
      <c r="C1094">
        <v>1</v>
      </c>
      <c r="D1094">
        <v>1</v>
      </c>
      <c r="E1094">
        <v>1</v>
      </c>
      <c r="F1094">
        <v>1</v>
      </c>
      <c r="G1094">
        <v>1</v>
      </c>
      <c r="H1094">
        <v>1</v>
      </c>
      <c r="I1094">
        <v>1</v>
      </c>
      <c r="J1094">
        <v>1</v>
      </c>
      <c r="K1094">
        <v>1</v>
      </c>
      <c r="L1094">
        <v>1</v>
      </c>
      <c r="M1094">
        <v>1</v>
      </c>
      <c r="N1094">
        <v>1</v>
      </c>
      <c r="O1094">
        <v>1</v>
      </c>
      <c r="P1094">
        <v>1</v>
      </c>
    </row>
    <row r="1095" spans="1:16" x14ac:dyDescent="0.3">
      <c r="A1095" t="s">
        <v>51</v>
      </c>
      <c r="B1095">
        <v>24</v>
      </c>
      <c r="C1095">
        <v>0</v>
      </c>
      <c r="D1095">
        <v>0</v>
      </c>
      <c r="E1095">
        <v>0</v>
      </c>
      <c r="F1095">
        <v>82</v>
      </c>
      <c r="G1095">
        <v>0</v>
      </c>
      <c r="H1095">
        <v>0</v>
      </c>
      <c r="I1095">
        <v>0</v>
      </c>
      <c r="J1095">
        <v>82</v>
      </c>
      <c r="K1095">
        <v>0</v>
      </c>
      <c r="L1095">
        <v>17</v>
      </c>
      <c r="M1095">
        <v>0</v>
      </c>
      <c r="N1095">
        <v>0</v>
      </c>
      <c r="O1095">
        <v>0</v>
      </c>
      <c r="P1095">
        <v>85</v>
      </c>
    </row>
    <row r="1096" spans="1:16" x14ac:dyDescent="0.3">
      <c r="A1096" t="s">
        <v>53</v>
      </c>
      <c r="B1096">
        <v>24</v>
      </c>
      <c r="C1096">
        <v>0</v>
      </c>
      <c r="D1096">
        <v>35</v>
      </c>
      <c r="E1096">
        <v>900</v>
      </c>
      <c r="F1096">
        <v>50</v>
      </c>
      <c r="G1096">
        <v>0</v>
      </c>
      <c r="H1096">
        <v>50</v>
      </c>
      <c r="I1096">
        <v>500</v>
      </c>
      <c r="J1096">
        <v>35</v>
      </c>
      <c r="K1096">
        <v>65</v>
      </c>
      <c r="L1096">
        <v>100</v>
      </c>
      <c r="M1096">
        <v>75</v>
      </c>
      <c r="N1096">
        <v>45</v>
      </c>
      <c r="O1096">
        <v>50</v>
      </c>
      <c r="P1096">
        <v>75</v>
      </c>
    </row>
    <row r="1097" spans="1:16" x14ac:dyDescent="0.3">
      <c r="A1097" t="s">
        <v>54</v>
      </c>
      <c r="B1097">
        <v>24</v>
      </c>
      <c r="C1097">
        <v>0</v>
      </c>
      <c r="D1097">
        <v>0</v>
      </c>
      <c r="E1097">
        <v>0</v>
      </c>
      <c r="F1097">
        <v>0</v>
      </c>
      <c r="G1097">
        <v>0</v>
      </c>
      <c r="H1097">
        <v>0</v>
      </c>
      <c r="I1097">
        <v>0</v>
      </c>
      <c r="J1097">
        <v>0</v>
      </c>
      <c r="K1097">
        <v>0</v>
      </c>
      <c r="L1097">
        <v>0</v>
      </c>
      <c r="M1097">
        <v>0</v>
      </c>
      <c r="N1097">
        <v>0</v>
      </c>
      <c r="O1097">
        <v>0</v>
      </c>
      <c r="P1097">
        <v>0</v>
      </c>
    </row>
    <row r="1098" spans="1:16" x14ac:dyDescent="0.3">
      <c r="A1098" t="s">
        <v>55</v>
      </c>
      <c r="B1098">
        <v>24</v>
      </c>
      <c r="C1098">
        <v>0</v>
      </c>
      <c r="D1098">
        <v>0</v>
      </c>
      <c r="E1098">
        <v>0</v>
      </c>
      <c r="F1098">
        <v>0</v>
      </c>
      <c r="G1098">
        <v>0</v>
      </c>
      <c r="H1098">
        <v>0</v>
      </c>
      <c r="I1098">
        <v>0</v>
      </c>
      <c r="J1098">
        <v>0</v>
      </c>
      <c r="K1098">
        <v>0</v>
      </c>
      <c r="L1098">
        <v>0</v>
      </c>
      <c r="M1098">
        <v>0</v>
      </c>
      <c r="N1098">
        <v>0</v>
      </c>
      <c r="O1098">
        <v>0</v>
      </c>
      <c r="P1098">
        <v>0</v>
      </c>
    </row>
    <row r="1099" spans="1:16" x14ac:dyDescent="0.3">
      <c r="A1099" t="s">
        <v>56</v>
      </c>
      <c r="B1099">
        <v>24</v>
      </c>
      <c r="C1099">
        <v>0.92</v>
      </c>
      <c r="D1099">
        <v>0.92</v>
      </c>
      <c r="E1099">
        <v>0.92</v>
      </c>
      <c r="F1099">
        <v>0.92</v>
      </c>
      <c r="G1099">
        <v>0.92</v>
      </c>
      <c r="H1099">
        <v>0.92</v>
      </c>
      <c r="I1099">
        <v>0.92</v>
      </c>
      <c r="J1099">
        <v>0.92</v>
      </c>
      <c r="K1099">
        <v>0.92</v>
      </c>
      <c r="L1099">
        <v>0.92</v>
      </c>
      <c r="M1099">
        <v>0.92</v>
      </c>
      <c r="N1099">
        <v>0.92</v>
      </c>
      <c r="O1099">
        <v>0.92</v>
      </c>
      <c r="P1099">
        <v>0.92</v>
      </c>
    </row>
    <row r="1100" spans="1:16" x14ac:dyDescent="0.3">
      <c r="A1100" t="s">
        <v>57</v>
      </c>
      <c r="B1100">
        <v>24</v>
      </c>
      <c r="C1100">
        <v>100</v>
      </c>
      <c r="D1100">
        <v>100</v>
      </c>
      <c r="E1100">
        <v>100</v>
      </c>
      <c r="F1100">
        <v>100</v>
      </c>
      <c r="G1100">
        <v>100</v>
      </c>
      <c r="H1100">
        <v>100</v>
      </c>
      <c r="I1100">
        <v>100</v>
      </c>
      <c r="J1100">
        <v>100</v>
      </c>
      <c r="K1100">
        <v>100</v>
      </c>
      <c r="L1100">
        <v>100</v>
      </c>
      <c r="M1100">
        <v>100</v>
      </c>
      <c r="N1100">
        <v>100</v>
      </c>
      <c r="O1100">
        <v>100</v>
      </c>
      <c r="P1100">
        <v>100</v>
      </c>
    </row>
    <row r="1101" spans="1:16" x14ac:dyDescent="0.3">
      <c r="A1101" t="s">
        <v>58</v>
      </c>
      <c r="B1101">
        <v>24</v>
      </c>
      <c r="C1101">
        <v>2</v>
      </c>
      <c r="D1101">
        <v>2</v>
      </c>
      <c r="E1101">
        <v>2</v>
      </c>
      <c r="F1101">
        <v>2</v>
      </c>
      <c r="G1101">
        <v>2</v>
      </c>
      <c r="H1101">
        <v>2</v>
      </c>
      <c r="I1101">
        <v>2</v>
      </c>
      <c r="J1101">
        <v>2</v>
      </c>
      <c r="K1101">
        <v>2</v>
      </c>
      <c r="L1101">
        <v>2</v>
      </c>
      <c r="M1101">
        <v>2</v>
      </c>
      <c r="N1101">
        <v>2</v>
      </c>
      <c r="O1101">
        <v>2</v>
      </c>
      <c r="P1101">
        <v>2</v>
      </c>
    </row>
    <row r="1102" spans="1:16" x14ac:dyDescent="0.3">
      <c r="A1102" t="s">
        <v>59</v>
      </c>
      <c r="B1102">
        <v>24</v>
      </c>
      <c r="C1102">
        <v>0</v>
      </c>
      <c r="D1102">
        <v>0</v>
      </c>
      <c r="E1102">
        <v>0</v>
      </c>
      <c r="F1102">
        <v>0</v>
      </c>
      <c r="G1102">
        <v>0</v>
      </c>
      <c r="H1102">
        <v>0</v>
      </c>
      <c r="I1102">
        <v>0</v>
      </c>
      <c r="J1102">
        <v>0</v>
      </c>
      <c r="K1102">
        <v>0</v>
      </c>
      <c r="L1102">
        <v>0</v>
      </c>
      <c r="M1102">
        <v>0</v>
      </c>
      <c r="N1102">
        <v>0</v>
      </c>
      <c r="O1102">
        <v>0</v>
      </c>
      <c r="P1102">
        <v>0</v>
      </c>
    </row>
    <row r="1103" spans="1:16" x14ac:dyDescent="0.3">
      <c r="A1103" t="s">
        <v>635</v>
      </c>
      <c r="B1103">
        <v>24</v>
      </c>
      <c r="E1103">
        <v>0</v>
      </c>
      <c r="I1103">
        <v>0</v>
      </c>
      <c r="L1103">
        <v>0</v>
      </c>
      <c r="O1103">
        <v>0</v>
      </c>
    </row>
    <row r="1104" spans="1:16" x14ac:dyDescent="0.3">
      <c r="A1104" t="s">
        <v>574</v>
      </c>
      <c r="B1104">
        <v>24</v>
      </c>
      <c r="E1104">
        <v>1523</v>
      </c>
      <c r="I1104">
        <v>2106</v>
      </c>
      <c r="L1104">
        <v>787</v>
      </c>
      <c r="O1104">
        <v>1247</v>
      </c>
    </row>
    <row r="1105" spans="1:16" x14ac:dyDescent="0.3">
      <c r="A1105" t="s">
        <v>78</v>
      </c>
      <c r="B1105">
        <v>24</v>
      </c>
      <c r="E1105">
        <v>23.1</v>
      </c>
      <c r="I1105">
        <v>31.9</v>
      </c>
      <c r="L1105">
        <v>17.899999999999999</v>
      </c>
      <c r="O1105">
        <v>28.3</v>
      </c>
    </row>
    <row r="1106" spans="1:16" x14ac:dyDescent="0.3">
      <c r="A1106" t="s">
        <v>636</v>
      </c>
      <c r="B1106">
        <v>24</v>
      </c>
      <c r="F1106">
        <v>1</v>
      </c>
      <c r="J1106">
        <v>0</v>
      </c>
      <c r="M1106">
        <v>0</v>
      </c>
      <c r="P1106">
        <v>1</v>
      </c>
    </row>
    <row r="1107" spans="1:16" x14ac:dyDescent="0.3">
      <c r="A1107" t="s">
        <v>637</v>
      </c>
      <c r="B1107">
        <v>24</v>
      </c>
      <c r="F1107">
        <v>50</v>
      </c>
      <c r="P1107">
        <v>50</v>
      </c>
    </row>
    <row r="1108" spans="1:16" x14ac:dyDescent="0.3">
      <c r="A1108" t="s">
        <v>638</v>
      </c>
      <c r="B1108">
        <v>24</v>
      </c>
      <c r="F1108">
        <v>0</v>
      </c>
      <c r="P1108">
        <v>0</v>
      </c>
    </row>
    <row r="1109" spans="1:16" x14ac:dyDescent="0.3">
      <c r="A1109" t="s">
        <v>639</v>
      </c>
      <c r="B1109">
        <v>24</v>
      </c>
      <c r="C1109">
        <v>3</v>
      </c>
      <c r="D1109">
        <v>0</v>
      </c>
      <c r="E1109">
        <v>0</v>
      </c>
      <c r="F1109">
        <v>1</v>
      </c>
      <c r="G1109">
        <v>3</v>
      </c>
      <c r="H1109">
        <v>0</v>
      </c>
      <c r="I1109">
        <v>0</v>
      </c>
      <c r="J1109">
        <v>1</v>
      </c>
      <c r="K1109">
        <v>0</v>
      </c>
      <c r="L1109">
        <v>0</v>
      </c>
      <c r="M1109">
        <v>1</v>
      </c>
      <c r="N1109">
        <v>0</v>
      </c>
      <c r="O1109">
        <v>0</v>
      </c>
      <c r="P1109">
        <v>1</v>
      </c>
    </row>
    <row r="1110" spans="1:16" x14ac:dyDescent="0.3">
      <c r="A1110" t="s">
        <v>640</v>
      </c>
      <c r="B1110">
        <v>24</v>
      </c>
      <c r="C1110">
        <v>0</v>
      </c>
      <c r="D1110">
        <v>0</v>
      </c>
      <c r="E1110">
        <v>0</v>
      </c>
      <c r="F1110">
        <v>0</v>
      </c>
      <c r="G1110">
        <v>0</v>
      </c>
      <c r="H1110">
        <v>0</v>
      </c>
      <c r="I1110">
        <v>0</v>
      </c>
      <c r="J1110">
        <v>0</v>
      </c>
      <c r="K1110">
        <v>0</v>
      </c>
      <c r="L1110">
        <v>0</v>
      </c>
      <c r="M1110">
        <v>0</v>
      </c>
      <c r="N1110">
        <v>0</v>
      </c>
      <c r="O1110">
        <v>0</v>
      </c>
      <c r="P1110">
        <v>0</v>
      </c>
    </row>
    <row r="1111" spans="1:16" x14ac:dyDescent="0.3">
      <c r="A1111" t="s">
        <v>52</v>
      </c>
      <c r="B1111">
        <v>24</v>
      </c>
      <c r="C1111">
        <v>1</v>
      </c>
      <c r="D1111">
        <v>1</v>
      </c>
      <c r="E1111">
        <v>1</v>
      </c>
      <c r="F1111">
        <v>1</v>
      </c>
      <c r="G1111">
        <v>1</v>
      </c>
      <c r="H1111">
        <v>1</v>
      </c>
      <c r="I1111">
        <v>1</v>
      </c>
      <c r="J1111">
        <v>1</v>
      </c>
      <c r="K1111">
        <v>1</v>
      </c>
      <c r="L1111">
        <v>1</v>
      </c>
      <c r="M1111">
        <v>1</v>
      </c>
      <c r="N1111">
        <v>1</v>
      </c>
      <c r="O1111">
        <v>1</v>
      </c>
      <c r="P1111">
        <v>1</v>
      </c>
    </row>
    <row r="1112" spans="1:16" x14ac:dyDescent="0.3">
      <c r="A1112" t="s">
        <v>641</v>
      </c>
      <c r="B1112">
        <v>24</v>
      </c>
      <c r="C1112">
        <v>9</v>
      </c>
      <c r="D1112">
        <v>15</v>
      </c>
      <c r="E1112">
        <v>60</v>
      </c>
      <c r="F1112">
        <v>9</v>
      </c>
      <c r="G1112">
        <v>9</v>
      </c>
      <c r="H1112">
        <v>15</v>
      </c>
      <c r="I1112">
        <v>60</v>
      </c>
      <c r="J1112">
        <v>9</v>
      </c>
      <c r="K1112">
        <v>15</v>
      </c>
      <c r="L1112">
        <v>60</v>
      </c>
      <c r="M1112">
        <v>9</v>
      </c>
      <c r="N1112">
        <v>15</v>
      </c>
      <c r="O1112">
        <v>60</v>
      </c>
      <c r="P1112">
        <v>9</v>
      </c>
    </row>
    <row r="1113" spans="1:16" x14ac:dyDescent="0.3">
      <c r="A1113" t="s">
        <v>43</v>
      </c>
      <c r="B1113">
        <v>24</v>
      </c>
      <c r="D1113">
        <v>40</v>
      </c>
      <c r="E1113">
        <v>336</v>
      </c>
      <c r="F1113">
        <v>0</v>
      </c>
      <c r="H1113">
        <v>40</v>
      </c>
      <c r="I1113">
        <v>336</v>
      </c>
      <c r="J1113">
        <v>0</v>
      </c>
      <c r="K1113">
        <v>40</v>
      </c>
      <c r="L1113">
        <v>40</v>
      </c>
      <c r="N1113">
        <v>40</v>
      </c>
      <c r="O1113">
        <v>40</v>
      </c>
      <c r="P1113">
        <v>0</v>
      </c>
    </row>
    <row r="1114" spans="1:16" x14ac:dyDescent="0.3">
      <c r="A1114" t="s">
        <v>44</v>
      </c>
      <c r="B1114">
        <v>24</v>
      </c>
      <c r="D1114">
        <v>0</v>
      </c>
      <c r="E1114">
        <v>0</v>
      </c>
      <c r="F1114">
        <v>0</v>
      </c>
      <c r="H1114">
        <v>0</v>
      </c>
      <c r="I1114">
        <v>0</v>
      </c>
      <c r="J1114">
        <v>0</v>
      </c>
      <c r="K1114">
        <v>0</v>
      </c>
      <c r="L1114">
        <v>0</v>
      </c>
      <c r="N1114">
        <v>0</v>
      </c>
      <c r="O1114">
        <v>0</v>
      </c>
      <c r="P1114">
        <v>0</v>
      </c>
    </row>
    <row r="1115" spans="1:16" x14ac:dyDescent="0.3">
      <c r="A1115" t="s">
        <v>47</v>
      </c>
      <c r="B1115">
        <v>24</v>
      </c>
      <c r="D1115">
        <v>5</v>
      </c>
      <c r="E1115">
        <v>2</v>
      </c>
      <c r="F1115">
        <v>2</v>
      </c>
      <c r="H1115">
        <v>1</v>
      </c>
      <c r="I1115">
        <v>6</v>
      </c>
      <c r="J1115">
        <v>6</v>
      </c>
      <c r="K1115">
        <v>4</v>
      </c>
      <c r="L1115">
        <v>4</v>
      </c>
      <c r="N1115">
        <v>8</v>
      </c>
      <c r="O1115">
        <v>8</v>
      </c>
      <c r="P1115">
        <v>8</v>
      </c>
    </row>
    <row r="1116" spans="1:16" x14ac:dyDescent="0.3">
      <c r="A1116" t="s">
        <v>642</v>
      </c>
      <c r="B1116">
        <v>24</v>
      </c>
      <c r="D1116">
        <v>0</v>
      </c>
      <c r="E1116">
        <v>0</v>
      </c>
      <c r="F1116">
        <v>0</v>
      </c>
      <c r="H1116">
        <v>0</v>
      </c>
      <c r="I1116">
        <v>0</v>
      </c>
      <c r="J1116">
        <v>0</v>
      </c>
      <c r="K1116">
        <v>0</v>
      </c>
      <c r="L1116">
        <v>0</v>
      </c>
      <c r="N1116">
        <v>0</v>
      </c>
      <c r="O1116">
        <v>0</v>
      </c>
      <c r="P1116">
        <v>0</v>
      </c>
    </row>
    <row r="1117" spans="1:16" x14ac:dyDescent="0.3">
      <c r="A1117" t="s">
        <v>643</v>
      </c>
      <c r="B1117">
        <v>24</v>
      </c>
      <c r="D1117">
        <v>0</v>
      </c>
      <c r="E1117">
        <v>0</v>
      </c>
      <c r="F1117">
        <v>0</v>
      </c>
      <c r="H1117">
        <v>0</v>
      </c>
      <c r="I1117">
        <v>0</v>
      </c>
      <c r="J1117">
        <v>0</v>
      </c>
      <c r="K1117">
        <v>0</v>
      </c>
      <c r="L1117">
        <v>0</v>
      </c>
      <c r="N1117">
        <v>0</v>
      </c>
      <c r="O1117">
        <v>0</v>
      </c>
      <c r="P1117">
        <v>0</v>
      </c>
    </row>
    <row r="1118" spans="1:16" x14ac:dyDescent="0.3">
      <c r="A1118" t="s">
        <v>644</v>
      </c>
      <c r="B1118">
        <v>24</v>
      </c>
      <c r="D1118">
        <v>0</v>
      </c>
      <c r="E1118">
        <v>0</v>
      </c>
      <c r="F1118">
        <v>0</v>
      </c>
      <c r="H1118">
        <v>0</v>
      </c>
      <c r="I1118">
        <v>0</v>
      </c>
      <c r="J1118">
        <v>0</v>
      </c>
      <c r="K1118">
        <v>0</v>
      </c>
      <c r="L1118">
        <v>0</v>
      </c>
      <c r="N1118">
        <v>0</v>
      </c>
      <c r="O1118">
        <v>0</v>
      </c>
      <c r="P1118">
        <v>0</v>
      </c>
    </row>
    <row r="1119" spans="1:16" x14ac:dyDescent="0.3">
      <c r="A1119" t="s">
        <v>645</v>
      </c>
      <c r="B1119">
        <v>24</v>
      </c>
      <c r="D1119">
        <v>0</v>
      </c>
      <c r="E1119">
        <v>0</v>
      </c>
      <c r="F1119">
        <v>0</v>
      </c>
      <c r="H1119">
        <v>0</v>
      </c>
      <c r="I1119">
        <v>0</v>
      </c>
      <c r="J1119">
        <v>0</v>
      </c>
      <c r="K1119">
        <v>0</v>
      </c>
      <c r="L1119">
        <v>0</v>
      </c>
      <c r="N1119">
        <v>0</v>
      </c>
      <c r="O1119">
        <v>0</v>
      </c>
      <c r="P1119">
        <v>0</v>
      </c>
    </row>
    <row r="1120" spans="1:16" x14ac:dyDescent="0.3">
      <c r="A1120" t="s">
        <v>646</v>
      </c>
      <c r="B1120">
        <v>24</v>
      </c>
      <c r="D1120">
        <v>1</v>
      </c>
      <c r="E1120">
        <v>2</v>
      </c>
      <c r="F1120">
        <v>1</v>
      </c>
      <c r="H1120">
        <v>1</v>
      </c>
      <c r="I1120">
        <v>2</v>
      </c>
      <c r="J1120">
        <v>1</v>
      </c>
      <c r="K1120">
        <v>1</v>
      </c>
      <c r="L1120">
        <v>1</v>
      </c>
      <c r="N1120">
        <v>1</v>
      </c>
      <c r="O1120">
        <v>1</v>
      </c>
      <c r="P1120">
        <v>1</v>
      </c>
    </row>
    <row r="1121" spans="1:16" x14ac:dyDescent="0.3">
      <c r="A1121" t="s">
        <v>647</v>
      </c>
      <c r="B1121">
        <v>24</v>
      </c>
      <c r="D1121">
        <v>0</v>
      </c>
      <c r="E1121">
        <v>330</v>
      </c>
      <c r="F1121">
        <v>0</v>
      </c>
      <c r="H1121">
        <v>0</v>
      </c>
      <c r="I1121">
        <v>330</v>
      </c>
      <c r="J1121">
        <v>0</v>
      </c>
      <c r="K1121">
        <v>0</v>
      </c>
      <c r="L1121">
        <v>0</v>
      </c>
      <c r="N1121">
        <v>0</v>
      </c>
      <c r="O1121">
        <v>0</v>
      </c>
      <c r="P1121">
        <v>0</v>
      </c>
    </row>
    <row r="1122" spans="1:16" x14ac:dyDescent="0.3">
      <c r="A1122" t="s">
        <v>648</v>
      </c>
      <c r="B1122">
        <v>24</v>
      </c>
      <c r="D1122">
        <v>40</v>
      </c>
      <c r="E1122">
        <v>6</v>
      </c>
      <c r="F1122">
        <v>0</v>
      </c>
      <c r="H1122">
        <v>40</v>
      </c>
      <c r="I1122">
        <v>6</v>
      </c>
      <c r="J1122">
        <v>0</v>
      </c>
      <c r="K1122">
        <v>40</v>
      </c>
      <c r="L1122">
        <v>40</v>
      </c>
      <c r="N1122">
        <v>40</v>
      </c>
      <c r="O1122">
        <v>40</v>
      </c>
      <c r="P1122">
        <v>0</v>
      </c>
    </row>
    <row r="1123" spans="1:16" x14ac:dyDescent="0.3">
      <c r="A1123" t="s">
        <v>649</v>
      </c>
      <c r="B1123">
        <v>24</v>
      </c>
      <c r="D1123">
        <v>3</v>
      </c>
      <c r="E1123">
        <v>3</v>
      </c>
      <c r="F1123">
        <v>3</v>
      </c>
      <c r="H1123">
        <v>3</v>
      </c>
      <c r="I1123">
        <v>3</v>
      </c>
      <c r="J1123">
        <v>3</v>
      </c>
      <c r="K1123">
        <v>3</v>
      </c>
      <c r="L1123">
        <v>3</v>
      </c>
      <c r="N1123">
        <v>3</v>
      </c>
      <c r="O1123">
        <v>3</v>
      </c>
      <c r="P1123">
        <v>3</v>
      </c>
    </row>
    <row r="1124" spans="1:16" x14ac:dyDescent="0.3">
      <c r="A1124" t="s">
        <v>650</v>
      </c>
      <c r="B1124">
        <v>24</v>
      </c>
      <c r="D1124">
        <v>0</v>
      </c>
      <c r="E1124">
        <v>0</v>
      </c>
      <c r="F1124">
        <v>0</v>
      </c>
      <c r="H1124">
        <v>0</v>
      </c>
      <c r="I1124">
        <v>0</v>
      </c>
      <c r="J1124">
        <v>0</v>
      </c>
      <c r="K1124">
        <v>0</v>
      </c>
      <c r="L1124">
        <v>0</v>
      </c>
      <c r="N1124">
        <v>0</v>
      </c>
      <c r="O1124">
        <v>0</v>
      </c>
      <c r="P1124">
        <v>0</v>
      </c>
    </row>
    <row r="1125" spans="1:16" x14ac:dyDescent="0.3">
      <c r="A1125" t="s">
        <v>651</v>
      </c>
      <c r="B1125">
        <v>24</v>
      </c>
      <c r="D1125">
        <v>0</v>
      </c>
      <c r="E1125">
        <v>0</v>
      </c>
      <c r="F1125">
        <v>0</v>
      </c>
      <c r="H1125">
        <v>0</v>
      </c>
      <c r="I1125">
        <v>0</v>
      </c>
      <c r="J1125">
        <v>0</v>
      </c>
      <c r="K1125">
        <v>0</v>
      </c>
      <c r="L1125">
        <v>0</v>
      </c>
      <c r="N1125">
        <v>0</v>
      </c>
      <c r="O1125">
        <v>0</v>
      </c>
      <c r="P1125">
        <v>0</v>
      </c>
    </row>
    <row r="1126" spans="1:16" x14ac:dyDescent="0.3">
      <c r="A1126" t="s">
        <v>652</v>
      </c>
      <c r="B1126">
        <v>24</v>
      </c>
      <c r="D1126">
        <v>0</v>
      </c>
      <c r="E1126">
        <v>0</v>
      </c>
      <c r="F1126">
        <v>0</v>
      </c>
      <c r="H1126">
        <v>0</v>
      </c>
      <c r="I1126">
        <v>0</v>
      </c>
      <c r="J1126">
        <v>0</v>
      </c>
      <c r="K1126">
        <v>0</v>
      </c>
      <c r="L1126">
        <v>0</v>
      </c>
      <c r="N1126">
        <v>0</v>
      </c>
      <c r="O1126">
        <v>0</v>
      </c>
      <c r="P1126">
        <v>0</v>
      </c>
    </row>
    <row r="1127" spans="1:16" x14ac:dyDescent="0.3">
      <c r="A1127" t="s">
        <v>653</v>
      </c>
      <c r="B1127">
        <v>24</v>
      </c>
      <c r="E1127">
        <v>0</v>
      </c>
      <c r="I1127">
        <v>0</v>
      </c>
    </row>
    <row r="1128" spans="1:16" x14ac:dyDescent="0.3">
      <c r="A1128" t="s">
        <v>654</v>
      </c>
      <c r="B1128">
        <v>24</v>
      </c>
      <c r="E1128">
        <v>0</v>
      </c>
      <c r="I1128">
        <v>0</v>
      </c>
    </row>
    <row r="1129" spans="1:16" x14ac:dyDescent="0.3">
      <c r="A1129" t="s">
        <v>655</v>
      </c>
      <c r="B1129">
        <v>24</v>
      </c>
      <c r="E1129">
        <v>3</v>
      </c>
      <c r="I1129">
        <v>3</v>
      </c>
    </row>
    <row r="1130" spans="1:16" x14ac:dyDescent="0.3">
      <c r="A1130" t="s">
        <v>656</v>
      </c>
      <c r="B1130">
        <v>24</v>
      </c>
      <c r="E1130">
        <v>0</v>
      </c>
      <c r="I1130">
        <v>0</v>
      </c>
    </row>
    <row r="1131" spans="1:16" x14ac:dyDescent="0.3">
      <c r="A1131" t="s">
        <v>657</v>
      </c>
      <c r="B1131">
        <v>24</v>
      </c>
      <c r="E1131">
        <v>0</v>
      </c>
      <c r="I1131">
        <v>0</v>
      </c>
      <c r="L1131">
        <v>0</v>
      </c>
      <c r="O1131">
        <v>0</v>
      </c>
    </row>
    <row r="1132" spans="1:16" x14ac:dyDescent="0.3">
      <c r="A1132" t="s">
        <v>408</v>
      </c>
      <c r="B1132">
        <v>24</v>
      </c>
      <c r="E1132">
        <v>0</v>
      </c>
    </row>
    <row r="1133" spans="1:16" x14ac:dyDescent="0.3">
      <c r="A1133" t="s">
        <v>658</v>
      </c>
      <c r="B1133">
        <v>24</v>
      </c>
      <c r="C1133">
        <v>0</v>
      </c>
      <c r="D1133">
        <v>38</v>
      </c>
      <c r="E1133">
        <v>978</v>
      </c>
      <c r="F1133">
        <v>54</v>
      </c>
      <c r="G1133">
        <v>0</v>
      </c>
      <c r="H1133">
        <v>54</v>
      </c>
      <c r="I1133">
        <v>543</v>
      </c>
      <c r="J1133">
        <v>38</v>
      </c>
      <c r="K1133">
        <v>0</v>
      </c>
      <c r="L1133">
        <v>262</v>
      </c>
      <c r="M1133">
        <v>0</v>
      </c>
      <c r="N1133">
        <v>0</v>
      </c>
      <c r="O1133">
        <v>103</v>
      </c>
      <c r="P1133">
        <v>82</v>
      </c>
    </row>
    <row r="1134" spans="1:16" x14ac:dyDescent="0.3">
      <c r="A1134" t="s">
        <v>34</v>
      </c>
      <c r="B1134">
        <v>25</v>
      </c>
      <c r="C1134">
        <v>24</v>
      </c>
      <c r="D1134">
        <v>24</v>
      </c>
      <c r="E1134">
        <v>24</v>
      </c>
      <c r="F1134">
        <v>24</v>
      </c>
      <c r="G1134">
        <v>26</v>
      </c>
      <c r="H1134">
        <v>26</v>
      </c>
      <c r="I1134">
        <v>26</v>
      </c>
      <c r="J1134">
        <v>26</v>
      </c>
      <c r="K1134">
        <v>121</v>
      </c>
      <c r="L1134">
        <v>121</v>
      </c>
      <c r="M1134">
        <v>121</v>
      </c>
      <c r="N1134">
        <v>122</v>
      </c>
      <c r="O1134">
        <v>122</v>
      </c>
      <c r="P1134">
        <v>122</v>
      </c>
    </row>
    <row r="1135" spans="1:16" x14ac:dyDescent="0.3">
      <c r="A1135" t="s">
        <v>35</v>
      </c>
      <c r="B1135">
        <v>25</v>
      </c>
      <c r="C1135">
        <v>24</v>
      </c>
      <c r="D1135">
        <v>121</v>
      </c>
      <c r="E1135">
        <v>26</v>
      </c>
      <c r="F1135">
        <v>122</v>
      </c>
      <c r="G1135">
        <v>26</v>
      </c>
      <c r="H1135">
        <v>122</v>
      </c>
      <c r="I1135">
        <v>24</v>
      </c>
      <c r="J1135">
        <v>121</v>
      </c>
      <c r="K1135">
        <v>26</v>
      </c>
      <c r="L1135">
        <v>122</v>
      </c>
      <c r="M1135">
        <v>24</v>
      </c>
      <c r="N1135">
        <v>24</v>
      </c>
      <c r="O1135">
        <v>121</v>
      </c>
      <c r="P1135">
        <v>26</v>
      </c>
    </row>
    <row r="1136" spans="1:16" x14ac:dyDescent="0.3">
      <c r="A1136" t="s">
        <v>36</v>
      </c>
      <c r="B1136">
        <v>25</v>
      </c>
      <c r="C1136">
        <v>0</v>
      </c>
      <c r="D1136">
        <v>1</v>
      </c>
      <c r="E1136">
        <v>2</v>
      </c>
      <c r="F1136">
        <v>1</v>
      </c>
      <c r="G1136">
        <v>0</v>
      </c>
      <c r="H1136">
        <v>1</v>
      </c>
      <c r="I1136">
        <v>2</v>
      </c>
      <c r="J1136">
        <v>1</v>
      </c>
      <c r="K1136">
        <v>0</v>
      </c>
      <c r="L1136">
        <v>1</v>
      </c>
      <c r="M1136">
        <v>1</v>
      </c>
      <c r="N1136">
        <v>0</v>
      </c>
      <c r="O1136">
        <v>1</v>
      </c>
      <c r="P1136">
        <v>1</v>
      </c>
    </row>
    <row r="1137" spans="1:16" x14ac:dyDescent="0.3">
      <c r="A1137" t="s">
        <v>37</v>
      </c>
      <c r="B1137">
        <v>25</v>
      </c>
      <c r="D1137">
        <v>0</v>
      </c>
      <c r="E1137">
        <v>0</v>
      </c>
      <c r="H1137">
        <v>0</v>
      </c>
      <c r="I1137">
        <v>0</v>
      </c>
      <c r="K1137">
        <v>0</v>
      </c>
      <c r="L1137">
        <v>1</v>
      </c>
      <c r="N1137">
        <v>0</v>
      </c>
      <c r="O1137">
        <v>1</v>
      </c>
    </row>
    <row r="1138" spans="1:16" x14ac:dyDescent="0.3">
      <c r="A1138" t="s">
        <v>38</v>
      </c>
      <c r="B1138">
        <v>25</v>
      </c>
      <c r="C1138">
        <v>12</v>
      </c>
      <c r="D1138">
        <v>12</v>
      </c>
      <c r="E1138">
        <v>12</v>
      </c>
      <c r="F1138">
        <v>12</v>
      </c>
      <c r="G1138">
        <v>12</v>
      </c>
      <c r="H1138">
        <v>12</v>
      </c>
      <c r="I1138">
        <v>12</v>
      </c>
      <c r="J1138">
        <v>12</v>
      </c>
      <c r="K1138">
        <v>12</v>
      </c>
      <c r="L1138">
        <v>12</v>
      </c>
      <c r="M1138">
        <v>12</v>
      </c>
      <c r="N1138">
        <v>12</v>
      </c>
      <c r="O1138">
        <v>12</v>
      </c>
      <c r="P1138">
        <v>12</v>
      </c>
    </row>
    <row r="1139" spans="1:16" x14ac:dyDescent="0.3">
      <c r="A1139" t="s">
        <v>39</v>
      </c>
      <c r="B1139">
        <v>25</v>
      </c>
      <c r="D1139">
        <v>300</v>
      </c>
      <c r="F1139">
        <v>300</v>
      </c>
      <c r="H1139">
        <v>300</v>
      </c>
      <c r="J1139">
        <v>300</v>
      </c>
      <c r="M1139">
        <v>250</v>
      </c>
      <c r="P1139">
        <v>250</v>
      </c>
    </row>
    <row r="1140" spans="1:16" x14ac:dyDescent="0.3">
      <c r="A1140" t="s">
        <v>631</v>
      </c>
      <c r="B1140">
        <v>25</v>
      </c>
      <c r="D1140">
        <v>25</v>
      </c>
      <c r="F1140">
        <v>25</v>
      </c>
      <c r="H1140">
        <v>25</v>
      </c>
      <c r="J1140">
        <v>25</v>
      </c>
      <c r="M1140">
        <v>25</v>
      </c>
      <c r="P1140">
        <v>25</v>
      </c>
    </row>
    <row r="1141" spans="1:16" x14ac:dyDescent="0.3">
      <c r="A1141" t="s">
        <v>40</v>
      </c>
      <c r="B1141">
        <v>25</v>
      </c>
      <c r="D1141">
        <v>1</v>
      </c>
      <c r="F1141">
        <v>1</v>
      </c>
      <c r="H1141">
        <v>1</v>
      </c>
      <c r="J1141">
        <v>1</v>
      </c>
      <c r="M1141">
        <v>1</v>
      </c>
      <c r="P1141">
        <v>1</v>
      </c>
    </row>
    <row r="1142" spans="1:16" x14ac:dyDescent="0.3">
      <c r="A1142" t="s">
        <v>41</v>
      </c>
      <c r="B1142">
        <v>25</v>
      </c>
    </row>
    <row r="1143" spans="1:16" x14ac:dyDescent="0.3">
      <c r="A1143" t="s">
        <v>42</v>
      </c>
      <c r="B1143">
        <v>25</v>
      </c>
      <c r="E1143">
        <v>45</v>
      </c>
      <c r="I1143">
        <v>45</v>
      </c>
      <c r="L1143">
        <v>30</v>
      </c>
      <c r="O1143">
        <v>30</v>
      </c>
    </row>
    <row r="1144" spans="1:16" x14ac:dyDescent="0.3">
      <c r="A1144" t="s">
        <v>45</v>
      </c>
      <c r="B1144">
        <v>25</v>
      </c>
      <c r="D1144">
        <v>5</v>
      </c>
      <c r="E1144">
        <v>2</v>
      </c>
      <c r="I1144">
        <v>6</v>
      </c>
      <c r="L1144">
        <v>4</v>
      </c>
      <c r="O1144">
        <v>8</v>
      </c>
    </row>
    <row r="1145" spans="1:16" x14ac:dyDescent="0.3">
      <c r="A1145" t="s">
        <v>46</v>
      </c>
      <c r="B1145">
        <v>25</v>
      </c>
      <c r="D1145">
        <v>2</v>
      </c>
      <c r="F1145">
        <v>2</v>
      </c>
      <c r="H1145">
        <v>6</v>
      </c>
      <c r="J1145">
        <v>6</v>
      </c>
      <c r="K1145">
        <v>4</v>
      </c>
      <c r="M1145">
        <v>4</v>
      </c>
      <c r="N1145">
        <v>8</v>
      </c>
      <c r="P1145">
        <v>8</v>
      </c>
    </row>
    <row r="1146" spans="1:16" x14ac:dyDescent="0.3">
      <c r="A1146" t="s">
        <v>49</v>
      </c>
      <c r="B1146">
        <v>25</v>
      </c>
      <c r="C1146">
        <v>4</v>
      </c>
      <c r="D1146">
        <v>4</v>
      </c>
      <c r="E1146">
        <v>6.2</v>
      </c>
      <c r="F1146">
        <v>6.2</v>
      </c>
      <c r="G1146">
        <v>4</v>
      </c>
      <c r="H1146">
        <v>6.2</v>
      </c>
      <c r="I1146">
        <v>6.2</v>
      </c>
      <c r="J1146">
        <v>6.2</v>
      </c>
      <c r="K1146">
        <v>6.4</v>
      </c>
      <c r="L1146">
        <v>6.4</v>
      </c>
      <c r="M1146">
        <v>6.4</v>
      </c>
      <c r="N1146">
        <v>6.4</v>
      </c>
      <c r="O1146">
        <v>6.4</v>
      </c>
      <c r="P1146">
        <v>6.4</v>
      </c>
    </row>
    <row r="1147" spans="1:16" x14ac:dyDescent="0.3">
      <c r="A1147" t="s">
        <v>632</v>
      </c>
      <c r="B1147">
        <v>25</v>
      </c>
      <c r="C1147">
        <v>0</v>
      </c>
      <c r="D1147">
        <v>0</v>
      </c>
      <c r="E1147">
        <v>0</v>
      </c>
      <c r="F1147">
        <v>0</v>
      </c>
      <c r="G1147">
        <v>0</v>
      </c>
      <c r="H1147">
        <v>0</v>
      </c>
      <c r="I1147">
        <v>0</v>
      </c>
      <c r="J1147">
        <v>0</v>
      </c>
      <c r="K1147">
        <v>0</v>
      </c>
      <c r="L1147">
        <v>0</v>
      </c>
      <c r="M1147">
        <v>0</v>
      </c>
      <c r="N1147">
        <v>0</v>
      </c>
      <c r="O1147">
        <v>0</v>
      </c>
      <c r="P1147">
        <v>0</v>
      </c>
    </row>
    <row r="1148" spans="1:16" x14ac:dyDescent="0.3">
      <c r="A1148" t="s">
        <v>48</v>
      </c>
      <c r="B1148">
        <v>25</v>
      </c>
      <c r="C1148">
        <v>1900</v>
      </c>
      <c r="D1148">
        <v>1900</v>
      </c>
      <c r="E1148">
        <v>1900</v>
      </c>
      <c r="F1148">
        <v>1900</v>
      </c>
      <c r="G1148">
        <v>1900</v>
      </c>
      <c r="H1148">
        <v>1900</v>
      </c>
      <c r="I1148">
        <v>1900</v>
      </c>
      <c r="J1148">
        <v>1900</v>
      </c>
      <c r="K1148">
        <v>1900</v>
      </c>
      <c r="L1148">
        <v>1900</v>
      </c>
      <c r="M1148">
        <v>1900</v>
      </c>
      <c r="N1148">
        <v>1900</v>
      </c>
      <c r="O1148">
        <v>1900</v>
      </c>
      <c r="P1148">
        <v>1900</v>
      </c>
    </row>
    <row r="1149" spans="1:16" x14ac:dyDescent="0.3">
      <c r="A1149" t="s">
        <v>633</v>
      </c>
      <c r="B1149">
        <v>25</v>
      </c>
      <c r="C1149">
        <v>0</v>
      </c>
      <c r="D1149">
        <v>1770</v>
      </c>
      <c r="E1149">
        <v>3539</v>
      </c>
      <c r="F1149">
        <v>1583</v>
      </c>
      <c r="G1149">
        <v>0</v>
      </c>
      <c r="H1149">
        <v>1770</v>
      </c>
      <c r="I1149">
        <v>3539</v>
      </c>
      <c r="J1149">
        <v>1583</v>
      </c>
      <c r="K1149">
        <v>0</v>
      </c>
      <c r="L1149">
        <v>1833</v>
      </c>
      <c r="M1149">
        <v>1583</v>
      </c>
      <c r="N1149">
        <v>0</v>
      </c>
      <c r="O1149">
        <v>1844</v>
      </c>
      <c r="P1149">
        <v>1583</v>
      </c>
    </row>
    <row r="1150" spans="1:16" x14ac:dyDescent="0.3">
      <c r="A1150" t="s">
        <v>50</v>
      </c>
      <c r="B1150">
        <v>25</v>
      </c>
      <c r="C1150">
        <v>0</v>
      </c>
      <c r="D1150">
        <v>691</v>
      </c>
      <c r="E1150">
        <v>3539</v>
      </c>
      <c r="F1150">
        <v>1583</v>
      </c>
      <c r="G1150">
        <v>0</v>
      </c>
      <c r="H1150">
        <v>607</v>
      </c>
      <c r="I1150">
        <v>3539</v>
      </c>
      <c r="J1150">
        <v>1583</v>
      </c>
      <c r="K1150">
        <v>0</v>
      </c>
      <c r="L1150">
        <v>1581</v>
      </c>
      <c r="M1150">
        <v>1583</v>
      </c>
      <c r="N1150">
        <v>0</v>
      </c>
      <c r="O1150">
        <v>1514</v>
      </c>
      <c r="P1150">
        <v>1583</v>
      </c>
    </row>
    <row r="1151" spans="1:16" x14ac:dyDescent="0.3">
      <c r="A1151" t="s">
        <v>634</v>
      </c>
      <c r="B1151">
        <v>25</v>
      </c>
      <c r="C1151">
        <v>1</v>
      </c>
      <c r="D1151">
        <v>1</v>
      </c>
      <c r="E1151">
        <v>1</v>
      </c>
      <c r="F1151">
        <v>1</v>
      </c>
      <c r="G1151">
        <v>1</v>
      </c>
      <c r="H1151">
        <v>1</v>
      </c>
      <c r="I1151">
        <v>1</v>
      </c>
      <c r="J1151">
        <v>1</v>
      </c>
      <c r="K1151">
        <v>1</v>
      </c>
      <c r="L1151">
        <v>1</v>
      </c>
      <c r="M1151">
        <v>1</v>
      </c>
      <c r="N1151">
        <v>1</v>
      </c>
      <c r="O1151">
        <v>1</v>
      </c>
      <c r="P1151">
        <v>1</v>
      </c>
    </row>
    <row r="1152" spans="1:16" x14ac:dyDescent="0.3">
      <c r="A1152" t="s">
        <v>51</v>
      </c>
      <c r="B1152">
        <v>25</v>
      </c>
      <c r="C1152">
        <v>0</v>
      </c>
      <c r="D1152">
        <v>0</v>
      </c>
      <c r="E1152">
        <v>0</v>
      </c>
      <c r="F1152">
        <v>43</v>
      </c>
      <c r="G1152">
        <v>0</v>
      </c>
      <c r="H1152">
        <v>0</v>
      </c>
      <c r="I1152">
        <v>0</v>
      </c>
      <c r="J1152">
        <v>67</v>
      </c>
      <c r="K1152">
        <v>0</v>
      </c>
      <c r="L1152">
        <v>0</v>
      </c>
      <c r="M1152">
        <v>65</v>
      </c>
      <c r="N1152">
        <v>0</v>
      </c>
      <c r="O1152">
        <v>0</v>
      </c>
      <c r="P1152">
        <v>65</v>
      </c>
    </row>
    <row r="1153" spans="1:16" x14ac:dyDescent="0.3">
      <c r="A1153" t="s">
        <v>53</v>
      </c>
      <c r="B1153">
        <v>25</v>
      </c>
      <c r="C1153">
        <v>0</v>
      </c>
      <c r="D1153">
        <v>45</v>
      </c>
      <c r="E1153">
        <v>800</v>
      </c>
      <c r="F1153">
        <v>40</v>
      </c>
      <c r="G1153">
        <v>0</v>
      </c>
      <c r="H1153">
        <v>50</v>
      </c>
      <c r="I1153">
        <v>600</v>
      </c>
      <c r="J1153">
        <v>43</v>
      </c>
      <c r="K1153">
        <v>50</v>
      </c>
      <c r="L1153">
        <v>100</v>
      </c>
      <c r="M1153">
        <v>20</v>
      </c>
      <c r="N1153">
        <v>20</v>
      </c>
      <c r="O1153">
        <v>75</v>
      </c>
      <c r="P1153">
        <v>50</v>
      </c>
    </row>
    <row r="1154" spans="1:16" x14ac:dyDescent="0.3">
      <c r="A1154" t="s">
        <v>54</v>
      </c>
      <c r="B1154">
        <v>25</v>
      </c>
      <c r="C1154">
        <v>0</v>
      </c>
      <c r="D1154">
        <v>0</v>
      </c>
      <c r="E1154">
        <v>0</v>
      </c>
      <c r="F1154">
        <v>0</v>
      </c>
      <c r="G1154">
        <v>0</v>
      </c>
      <c r="H1154">
        <v>0</v>
      </c>
      <c r="I1154">
        <v>0</v>
      </c>
      <c r="J1154">
        <v>0</v>
      </c>
      <c r="K1154">
        <v>0</v>
      </c>
      <c r="L1154">
        <v>0</v>
      </c>
      <c r="M1154">
        <v>0</v>
      </c>
      <c r="N1154">
        <v>0</v>
      </c>
      <c r="O1154">
        <v>0</v>
      </c>
      <c r="P1154">
        <v>0</v>
      </c>
    </row>
    <row r="1155" spans="1:16" x14ac:dyDescent="0.3">
      <c r="A1155" t="s">
        <v>55</v>
      </c>
      <c r="B1155">
        <v>25</v>
      </c>
      <c r="C1155">
        <v>0</v>
      </c>
      <c r="D1155">
        <v>0</v>
      </c>
      <c r="E1155">
        <v>0</v>
      </c>
      <c r="F1155">
        <v>0</v>
      </c>
      <c r="G1155">
        <v>0</v>
      </c>
      <c r="H1155">
        <v>0</v>
      </c>
      <c r="I1155">
        <v>0</v>
      </c>
      <c r="J1155">
        <v>0</v>
      </c>
      <c r="K1155">
        <v>0</v>
      </c>
      <c r="L1155">
        <v>0</v>
      </c>
      <c r="M1155">
        <v>0</v>
      </c>
      <c r="N1155">
        <v>0</v>
      </c>
      <c r="O1155">
        <v>0</v>
      </c>
      <c r="P1155">
        <v>0</v>
      </c>
    </row>
    <row r="1156" spans="1:16" x14ac:dyDescent="0.3">
      <c r="A1156" t="s">
        <v>56</v>
      </c>
      <c r="B1156">
        <v>25</v>
      </c>
      <c r="C1156">
        <v>0.92</v>
      </c>
      <c r="D1156">
        <v>0.92</v>
      </c>
      <c r="E1156">
        <v>0.92</v>
      </c>
      <c r="F1156">
        <v>0.92</v>
      </c>
      <c r="G1156">
        <v>0.92</v>
      </c>
      <c r="H1156">
        <v>0.92</v>
      </c>
      <c r="I1156">
        <v>0.92</v>
      </c>
      <c r="J1156">
        <v>0.92</v>
      </c>
      <c r="K1156">
        <v>0.92</v>
      </c>
      <c r="L1156">
        <v>0.92</v>
      </c>
      <c r="M1156">
        <v>0.92</v>
      </c>
      <c r="N1156">
        <v>0.92</v>
      </c>
      <c r="O1156">
        <v>0.92</v>
      </c>
      <c r="P1156">
        <v>0.92</v>
      </c>
    </row>
    <row r="1157" spans="1:16" x14ac:dyDescent="0.3">
      <c r="A1157" t="s">
        <v>57</v>
      </c>
      <c r="B1157">
        <v>25</v>
      </c>
      <c r="C1157">
        <v>100</v>
      </c>
      <c r="D1157">
        <v>100</v>
      </c>
      <c r="E1157">
        <v>100</v>
      </c>
      <c r="F1157">
        <v>100</v>
      </c>
      <c r="G1157">
        <v>100</v>
      </c>
      <c r="H1157">
        <v>100</v>
      </c>
      <c r="I1157">
        <v>100</v>
      </c>
      <c r="J1157">
        <v>100</v>
      </c>
      <c r="K1157">
        <v>100</v>
      </c>
      <c r="L1157">
        <v>100</v>
      </c>
      <c r="M1157">
        <v>100</v>
      </c>
      <c r="N1157">
        <v>100</v>
      </c>
      <c r="O1157">
        <v>100</v>
      </c>
      <c r="P1157">
        <v>100</v>
      </c>
    </row>
    <row r="1158" spans="1:16" x14ac:dyDescent="0.3">
      <c r="A1158" t="s">
        <v>58</v>
      </c>
      <c r="B1158">
        <v>25</v>
      </c>
      <c r="C1158">
        <v>2</v>
      </c>
      <c r="D1158">
        <v>2</v>
      </c>
      <c r="E1158">
        <v>2</v>
      </c>
      <c r="F1158">
        <v>2</v>
      </c>
      <c r="G1158">
        <v>2</v>
      </c>
      <c r="H1158">
        <v>2</v>
      </c>
      <c r="I1158">
        <v>2</v>
      </c>
      <c r="J1158">
        <v>2</v>
      </c>
      <c r="K1158">
        <v>2</v>
      </c>
      <c r="L1158">
        <v>2</v>
      </c>
      <c r="M1158">
        <v>2</v>
      </c>
      <c r="N1158">
        <v>2</v>
      </c>
      <c r="O1158">
        <v>2</v>
      </c>
      <c r="P1158">
        <v>2</v>
      </c>
    </row>
    <row r="1159" spans="1:16" x14ac:dyDescent="0.3">
      <c r="A1159" t="s">
        <v>59</v>
      </c>
      <c r="B1159">
        <v>25</v>
      </c>
      <c r="C1159">
        <v>0</v>
      </c>
      <c r="D1159">
        <v>0</v>
      </c>
      <c r="E1159">
        <v>0</v>
      </c>
      <c r="F1159">
        <v>0</v>
      </c>
      <c r="G1159">
        <v>0</v>
      </c>
      <c r="H1159">
        <v>0</v>
      </c>
      <c r="I1159">
        <v>0</v>
      </c>
      <c r="J1159">
        <v>0</v>
      </c>
      <c r="K1159">
        <v>0</v>
      </c>
      <c r="L1159">
        <v>0</v>
      </c>
      <c r="M1159">
        <v>0</v>
      </c>
      <c r="N1159">
        <v>0</v>
      </c>
      <c r="O1159">
        <v>0</v>
      </c>
      <c r="P1159">
        <v>0</v>
      </c>
    </row>
    <row r="1160" spans="1:16" x14ac:dyDescent="0.3">
      <c r="A1160" t="s">
        <v>635</v>
      </c>
      <c r="B1160">
        <v>25</v>
      </c>
      <c r="E1160">
        <v>0</v>
      </c>
      <c r="I1160">
        <v>0</v>
      </c>
      <c r="L1160">
        <v>0</v>
      </c>
      <c r="O1160">
        <v>0</v>
      </c>
    </row>
    <row r="1161" spans="1:16" x14ac:dyDescent="0.3">
      <c r="A1161" t="s">
        <v>574</v>
      </c>
      <c r="B1161">
        <v>25</v>
      </c>
      <c r="E1161">
        <v>2106</v>
      </c>
      <c r="I1161">
        <v>1026</v>
      </c>
      <c r="L1161">
        <v>1101</v>
      </c>
      <c r="O1161">
        <v>919</v>
      </c>
    </row>
    <row r="1162" spans="1:16" x14ac:dyDescent="0.3">
      <c r="A1162" t="s">
        <v>78</v>
      </c>
      <c r="B1162">
        <v>25</v>
      </c>
      <c r="E1162">
        <v>31.9</v>
      </c>
      <c r="I1162">
        <v>15.5</v>
      </c>
      <c r="L1162">
        <v>25</v>
      </c>
      <c r="O1162">
        <v>20.9</v>
      </c>
    </row>
    <row r="1163" spans="1:16" x14ac:dyDescent="0.3">
      <c r="A1163" t="s">
        <v>636</v>
      </c>
      <c r="B1163">
        <v>25</v>
      </c>
      <c r="F1163">
        <v>0</v>
      </c>
      <c r="J1163">
        <v>0</v>
      </c>
      <c r="M1163">
        <v>0</v>
      </c>
      <c r="P1163">
        <v>0</v>
      </c>
    </row>
    <row r="1164" spans="1:16" x14ac:dyDescent="0.3">
      <c r="A1164" t="s">
        <v>639</v>
      </c>
      <c r="B1164">
        <v>25</v>
      </c>
      <c r="C1164">
        <v>3</v>
      </c>
      <c r="D1164">
        <v>0</v>
      </c>
      <c r="E1164">
        <v>0</v>
      </c>
      <c r="F1164">
        <v>1</v>
      </c>
      <c r="G1164">
        <v>3</v>
      </c>
      <c r="H1164">
        <v>0</v>
      </c>
      <c r="I1164">
        <v>0</v>
      </c>
      <c r="J1164">
        <v>1</v>
      </c>
      <c r="K1164">
        <v>0</v>
      </c>
      <c r="L1164">
        <v>0</v>
      </c>
      <c r="M1164">
        <v>1</v>
      </c>
      <c r="N1164">
        <v>0</v>
      </c>
      <c r="O1164">
        <v>0</v>
      </c>
      <c r="P1164">
        <v>1</v>
      </c>
    </row>
    <row r="1165" spans="1:16" x14ac:dyDescent="0.3">
      <c r="A1165" t="s">
        <v>640</v>
      </c>
      <c r="B1165">
        <v>25</v>
      </c>
      <c r="C1165">
        <v>0</v>
      </c>
      <c r="D1165">
        <v>0</v>
      </c>
      <c r="E1165">
        <v>0</v>
      </c>
      <c r="F1165">
        <v>0</v>
      </c>
      <c r="G1165">
        <v>0</v>
      </c>
      <c r="H1165">
        <v>0</v>
      </c>
      <c r="I1165">
        <v>0</v>
      </c>
      <c r="J1165">
        <v>0</v>
      </c>
      <c r="K1165">
        <v>0</v>
      </c>
      <c r="L1165">
        <v>0</v>
      </c>
      <c r="M1165">
        <v>0</v>
      </c>
      <c r="N1165">
        <v>0</v>
      </c>
      <c r="O1165">
        <v>0</v>
      </c>
      <c r="P1165">
        <v>0</v>
      </c>
    </row>
    <row r="1166" spans="1:16" x14ac:dyDescent="0.3">
      <c r="A1166" t="s">
        <v>52</v>
      </c>
      <c r="B1166">
        <v>25</v>
      </c>
      <c r="C1166">
        <v>1</v>
      </c>
      <c r="D1166">
        <v>1</v>
      </c>
      <c r="E1166">
        <v>1</v>
      </c>
      <c r="F1166">
        <v>1</v>
      </c>
      <c r="G1166">
        <v>1</v>
      </c>
      <c r="H1166">
        <v>1</v>
      </c>
      <c r="I1166">
        <v>1</v>
      </c>
      <c r="J1166">
        <v>1</v>
      </c>
      <c r="K1166">
        <v>1</v>
      </c>
      <c r="L1166">
        <v>1</v>
      </c>
      <c r="M1166">
        <v>1</v>
      </c>
      <c r="N1166">
        <v>1</v>
      </c>
      <c r="O1166">
        <v>1</v>
      </c>
      <c r="P1166">
        <v>1</v>
      </c>
    </row>
    <row r="1167" spans="1:16" x14ac:dyDescent="0.3">
      <c r="A1167" t="s">
        <v>641</v>
      </c>
      <c r="B1167">
        <v>25</v>
      </c>
      <c r="C1167">
        <v>9</v>
      </c>
      <c r="D1167">
        <v>15</v>
      </c>
      <c r="E1167">
        <v>60</v>
      </c>
      <c r="F1167">
        <v>9</v>
      </c>
      <c r="G1167">
        <v>9</v>
      </c>
      <c r="H1167">
        <v>15</v>
      </c>
      <c r="I1167">
        <v>60</v>
      </c>
      <c r="J1167">
        <v>9</v>
      </c>
      <c r="K1167">
        <v>15</v>
      </c>
      <c r="L1167">
        <v>60</v>
      </c>
      <c r="M1167">
        <v>9</v>
      </c>
      <c r="N1167">
        <v>15</v>
      </c>
      <c r="O1167">
        <v>60</v>
      </c>
      <c r="P1167">
        <v>9</v>
      </c>
    </row>
    <row r="1168" spans="1:16" x14ac:dyDescent="0.3">
      <c r="A1168" t="s">
        <v>43</v>
      </c>
      <c r="B1168">
        <v>25</v>
      </c>
      <c r="D1168">
        <v>40</v>
      </c>
      <c r="E1168">
        <v>336</v>
      </c>
      <c r="F1168">
        <v>0</v>
      </c>
      <c r="H1168">
        <v>40</v>
      </c>
      <c r="I1168">
        <v>336</v>
      </c>
      <c r="J1168">
        <v>0</v>
      </c>
      <c r="K1168">
        <v>40</v>
      </c>
      <c r="L1168">
        <v>40</v>
      </c>
      <c r="M1168">
        <v>0</v>
      </c>
      <c r="N1168">
        <v>40</v>
      </c>
      <c r="O1168">
        <v>40</v>
      </c>
      <c r="P1168">
        <v>0</v>
      </c>
    </row>
    <row r="1169" spans="1:16" x14ac:dyDescent="0.3">
      <c r="A1169" t="s">
        <v>44</v>
      </c>
      <c r="B1169">
        <v>25</v>
      </c>
      <c r="D1169">
        <v>0</v>
      </c>
      <c r="E1169">
        <v>0</v>
      </c>
      <c r="F1169">
        <v>0</v>
      </c>
      <c r="H1169">
        <v>0</v>
      </c>
      <c r="I1169">
        <v>0</v>
      </c>
      <c r="J1169">
        <v>0</v>
      </c>
      <c r="K1169">
        <v>0</v>
      </c>
      <c r="L1169">
        <v>0</v>
      </c>
      <c r="M1169">
        <v>0</v>
      </c>
      <c r="N1169">
        <v>0</v>
      </c>
      <c r="O1169">
        <v>0</v>
      </c>
      <c r="P1169">
        <v>0</v>
      </c>
    </row>
    <row r="1170" spans="1:16" x14ac:dyDescent="0.3">
      <c r="A1170" t="s">
        <v>47</v>
      </c>
      <c r="B1170">
        <v>25</v>
      </c>
      <c r="D1170">
        <v>5</v>
      </c>
      <c r="E1170">
        <v>2</v>
      </c>
      <c r="F1170">
        <v>2</v>
      </c>
      <c r="H1170">
        <v>6</v>
      </c>
      <c r="I1170">
        <v>6</v>
      </c>
      <c r="J1170">
        <v>6</v>
      </c>
      <c r="K1170">
        <v>4</v>
      </c>
      <c r="L1170">
        <v>4</v>
      </c>
      <c r="M1170">
        <v>4</v>
      </c>
      <c r="N1170">
        <v>8</v>
      </c>
      <c r="O1170">
        <v>8</v>
      </c>
      <c r="P1170">
        <v>8</v>
      </c>
    </row>
    <row r="1171" spans="1:16" x14ac:dyDescent="0.3">
      <c r="A1171" t="s">
        <v>642</v>
      </c>
      <c r="B1171">
        <v>25</v>
      </c>
      <c r="D1171">
        <v>0</v>
      </c>
      <c r="E1171">
        <v>0</v>
      </c>
      <c r="F1171">
        <v>0</v>
      </c>
      <c r="H1171">
        <v>0</v>
      </c>
      <c r="I1171">
        <v>0</v>
      </c>
      <c r="J1171">
        <v>0</v>
      </c>
      <c r="K1171">
        <v>0</v>
      </c>
      <c r="L1171">
        <v>0</v>
      </c>
      <c r="M1171">
        <v>0</v>
      </c>
      <c r="N1171">
        <v>0</v>
      </c>
      <c r="O1171">
        <v>0</v>
      </c>
      <c r="P1171">
        <v>0</v>
      </c>
    </row>
    <row r="1172" spans="1:16" x14ac:dyDescent="0.3">
      <c r="A1172" t="s">
        <v>643</v>
      </c>
      <c r="B1172">
        <v>25</v>
      </c>
      <c r="D1172">
        <v>0</v>
      </c>
      <c r="E1172">
        <v>0</v>
      </c>
      <c r="F1172">
        <v>0</v>
      </c>
      <c r="H1172">
        <v>0</v>
      </c>
      <c r="I1172">
        <v>0</v>
      </c>
      <c r="J1172">
        <v>0</v>
      </c>
      <c r="K1172">
        <v>0</v>
      </c>
      <c r="L1172">
        <v>0</v>
      </c>
      <c r="M1172">
        <v>0</v>
      </c>
      <c r="N1172">
        <v>0</v>
      </c>
      <c r="O1172">
        <v>0</v>
      </c>
      <c r="P1172">
        <v>0</v>
      </c>
    </row>
    <row r="1173" spans="1:16" x14ac:dyDescent="0.3">
      <c r="A1173" t="s">
        <v>644</v>
      </c>
      <c r="B1173">
        <v>25</v>
      </c>
      <c r="D1173">
        <v>0</v>
      </c>
      <c r="E1173">
        <v>0</v>
      </c>
      <c r="F1173">
        <v>0</v>
      </c>
      <c r="H1173">
        <v>0</v>
      </c>
      <c r="I1173">
        <v>0</v>
      </c>
      <c r="J1173">
        <v>0</v>
      </c>
      <c r="K1173">
        <v>0</v>
      </c>
      <c r="L1173">
        <v>0</v>
      </c>
      <c r="M1173">
        <v>0</v>
      </c>
      <c r="N1173">
        <v>0</v>
      </c>
      <c r="O1173">
        <v>0</v>
      </c>
      <c r="P1173">
        <v>0</v>
      </c>
    </row>
    <row r="1174" spans="1:16" x14ac:dyDescent="0.3">
      <c r="A1174" t="s">
        <v>645</v>
      </c>
      <c r="B1174">
        <v>25</v>
      </c>
      <c r="D1174">
        <v>0</v>
      </c>
      <c r="E1174">
        <v>0</v>
      </c>
      <c r="F1174">
        <v>0</v>
      </c>
      <c r="H1174">
        <v>0</v>
      </c>
      <c r="I1174">
        <v>0</v>
      </c>
      <c r="J1174">
        <v>0</v>
      </c>
      <c r="K1174">
        <v>0</v>
      </c>
      <c r="L1174">
        <v>0</v>
      </c>
      <c r="M1174">
        <v>0</v>
      </c>
      <c r="N1174">
        <v>0</v>
      </c>
      <c r="O1174">
        <v>0</v>
      </c>
      <c r="P1174">
        <v>0</v>
      </c>
    </row>
    <row r="1175" spans="1:16" x14ac:dyDescent="0.3">
      <c r="A1175" t="s">
        <v>646</v>
      </c>
      <c r="B1175">
        <v>25</v>
      </c>
      <c r="D1175">
        <v>1</v>
      </c>
      <c r="E1175">
        <v>2</v>
      </c>
      <c r="F1175">
        <v>1</v>
      </c>
      <c r="H1175">
        <v>1</v>
      </c>
      <c r="I1175">
        <v>2</v>
      </c>
      <c r="J1175">
        <v>1</v>
      </c>
      <c r="K1175">
        <v>1</v>
      </c>
      <c r="L1175">
        <v>1</v>
      </c>
      <c r="M1175">
        <v>1</v>
      </c>
      <c r="N1175">
        <v>1</v>
      </c>
      <c r="O1175">
        <v>1</v>
      </c>
      <c r="P1175">
        <v>1</v>
      </c>
    </row>
    <row r="1176" spans="1:16" x14ac:dyDescent="0.3">
      <c r="A1176" t="s">
        <v>647</v>
      </c>
      <c r="B1176">
        <v>25</v>
      </c>
      <c r="D1176">
        <v>0</v>
      </c>
      <c r="E1176">
        <v>330</v>
      </c>
      <c r="F1176">
        <v>0</v>
      </c>
      <c r="H1176">
        <v>0</v>
      </c>
      <c r="I1176">
        <v>330</v>
      </c>
      <c r="J1176">
        <v>0</v>
      </c>
      <c r="K1176">
        <v>0</v>
      </c>
      <c r="L1176">
        <v>0</v>
      </c>
      <c r="M1176">
        <v>0</v>
      </c>
      <c r="N1176">
        <v>0</v>
      </c>
      <c r="O1176">
        <v>0</v>
      </c>
      <c r="P1176">
        <v>0</v>
      </c>
    </row>
    <row r="1177" spans="1:16" x14ac:dyDescent="0.3">
      <c r="A1177" t="s">
        <v>648</v>
      </c>
      <c r="B1177">
        <v>25</v>
      </c>
      <c r="D1177">
        <v>40</v>
      </c>
      <c r="E1177">
        <v>6</v>
      </c>
      <c r="F1177">
        <v>0</v>
      </c>
      <c r="H1177">
        <v>40</v>
      </c>
      <c r="I1177">
        <v>6</v>
      </c>
      <c r="J1177">
        <v>0</v>
      </c>
      <c r="K1177">
        <v>40</v>
      </c>
      <c r="L1177">
        <v>40</v>
      </c>
      <c r="M1177">
        <v>0</v>
      </c>
      <c r="N1177">
        <v>40</v>
      </c>
      <c r="O1177">
        <v>40</v>
      </c>
      <c r="P1177">
        <v>0</v>
      </c>
    </row>
    <row r="1178" spans="1:16" x14ac:dyDescent="0.3">
      <c r="A1178" t="s">
        <v>649</v>
      </c>
      <c r="B1178">
        <v>25</v>
      </c>
      <c r="D1178">
        <v>3</v>
      </c>
      <c r="E1178">
        <v>3</v>
      </c>
      <c r="F1178">
        <v>3</v>
      </c>
      <c r="H1178">
        <v>3</v>
      </c>
      <c r="I1178">
        <v>3</v>
      </c>
      <c r="J1178">
        <v>3</v>
      </c>
      <c r="K1178">
        <v>3</v>
      </c>
      <c r="L1178">
        <v>3</v>
      </c>
      <c r="M1178">
        <v>3</v>
      </c>
      <c r="N1178">
        <v>3</v>
      </c>
      <c r="O1178">
        <v>3</v>
      </c>
      <c r="P1178">
        <v>3</v>
      </c>
    </row>
    <row r="1179" spans="1:16" x14ac:dyDescent="0.3">
      <c r="A1179" t="s">
        <v>650</v>
      </c>
      <c r="B1179">
        <v>25</v>
      </c>
      <c r="D1179">
        <v>0</v>
      </c>
      <c r="E1179">
        <v>0</v>
      </c>
      <c r="F1179">
        <v>0</v>
      </c>
      <c r="H1179">
        <v>0</v>
      </c>
      <c r="I1179">
        <v>0</v>
      </c>
      <c r="J1179">
        <v>0</v>
      </c>
      <c r="K1179">
        <v>0</v>
      </c>
      <c r="L1179">
        <v>0</v>
      </c>
      <c r="M1179">
        <v>0</v>
      </c>
      <c r="N1179">
        <v>0</v>
      </c>
      <c r="O1179">
        <v>0</v>
      </c>
      <c r="P1179">
        <v>0</v>
      </c>
    </row>
    <row r="1180" spans="1:16" x14ac:dyDescent="0.3">
      <c r="A1180" t="s">
        <v>651</v>
      </c>
      <c r="B1180">
        <v>25</v>
      </c>
      <c r="D1180">
        <v>0</v>
      </c>
      <c r="E1180">
        <v>0</v>
      </c>
      <c r="F1180">
        <v>0</v>
      </c>
      <c r="H1180">
        <v>0</v>
      </c>
      <c r="I1180">
        <v>0</v>
      </c>
      <c r="J1180">
        <v>0</v>
      </c>
      <c r="K1180">
        <v>0</v>
      </c>
      <c r="L1180">
        <v>0</v>
      </c>
      <c r="M1180">
        <v>0</v>
      </c>
      <c r="N1180">
        <v>0</v>
      </c>
      <c r="O1180">
        <v>0</v>
      </c>
      <c r="P1180">
        <v>0</v>
      </c>
    </row>
    <row r="1181" spans="1:16" x14ac:dyDescent="0.3">
      <c r="A1181" t="s">
        <v>652</v>
      </c>
      <c r="B1181">
        <v>25</v>
      </c>
      <c r="D1181">
        <v>0</v>
      </c>
      <c r="E1181">
        <v>0</v>
      </c>
      <c r="F1181">
        <v>0</v>
      </c>
      <c r="H1181">
        <v>0</v>
      </c>
      <c r="I1181">
        <v>0</v>
      </c>
      <c r="J1181">
        <v>0</v>
      </c>
      <c r="K1181">
        <v>0</v>
      </c>
      <c r="L1181">
        <v>0</v>
      </c>
      <c r="M1181">
        <v>0</v>
      </c>
      <c r="N1181">
        <v>0</v>
      </c>
      <c r="O1181">
        <v>0</v>
      </c>
      <c r="P1181">
        <v>0</v>
      </c>
    </row>
    <row r="1182" spans="1:16" x14ac:dyDescent="0.3">
      <c r="A1182" t="s">
        <v>653</v>
      </c>
      <c r="B1182">
        <v>25</v>
      </c>
      <c r="E1182">
        <v>0</v>
      </c>
      <c r="I1182">
        <v>0</v>
      </c>
    </row>
    <row r="1183" spans="1:16" x14ac:dyDescent="0.3">
      <c r="A1183" t="s">
        <v>654</v>
      </c>
      <c r="B1183">
        <v>25</v>
      </c>
      <c r="E1183">
        <v>0</v>
      </c>
      <c r="I1183">
        <v>0</v>
      </c>
    </row>
    <row r="1184" spans="1:16" x14ac:dyDescent="0.3">
      <c r="A1184" t="s">
        <v>655</v>
      </c>
      <c r="B1184">
        <v>25</v>
      </c>
      <c r="E1184">
        <v>3</v>
      </c>
      <c r="I1184">
        <v>3</v>
      </c>
    </row>
    <row r="1185" spans="1:16" x14ac:dyDescent="0.3">
      <c r="A1185" t="s">
        <v>656</v>
      </c>
      <c r="B1185">
        <v>25</v>
      </c>
      <c r="E1185">
        <v>0</v>
      </c>
      <c r="I1185">
        <v>0</v>
      </c>
    </row>
    <row r="1186" spans="1:16" x14ac:dyDescent="0.3">
      <c r="A1186" t="s">
        <v>657</v>
      </c>
      <c r="B1186">
        <v>25</v>
      </c>
      <c r="E1186">
        <v>0</v>
      </c>
      <c r="I1186">
        <v>0</v>
      </c>
      <c r="L1186">
        <v>0</v>
      </c>
      <c r="O1186">
        <v>0</v>
      </c>
    </row>
    <row r="1187" spans="1:16" x14ac:dyDescent="0.3">
      <c r="A1187" t="s">
        <v>408</v>
      </c>
      <c r="B1187">
        <v>25</v>
      </c>
      <c r="E1187">
        <v>0</v>
      </c>
    </row>
    <row r="1188" spans="1:16" x14ac:dyDescent="0.3">
      <c r="A1188" t="s">
        <v>658</v>
      </c>
      <c r="B1188">
        <v>25</v>
      </c>
      <c r="C1188">
        <v>0</v>
      </c>
      <c r="D1188">
        <v>49</v>
      </c>
      <c r="E1188">
        <v>870</v>
      </c>
      <c r="F1188">
        <v>43</v>
      </c>
      <c r="G1188">
        <v>0</v>
      </c>
      <c r="H1188">
        <v>54</v>
      </c>
      <c r="I1188">
        <v>652</v>
      </c>
      <c r="J1188">
        <v>47</v>
      </c>
      <c r="K1188">
        <v>0</v>
      </c>
      <c r="L1188">
        <v>163</v>
      </c>
      <c r="M1188">
        <v>22</v>
      </c>
      <c r="N1188">
        <v>0</v>
      </c>
      <c r="O1188">
        <v>104</v>
      </c>
      <c r="P1188">
        <v>54</v>
      </c>
    </row>
    <row r="1189" spans="1:16" x14ac:dyDescent="0.3">
      <c r="A1189" t="s">
        <v>34</v>
      </c>
      <c r="B1189">
        <v>26</v>
      </c>
      <c r="C1189">
        <v>25</v>
      </c>
      <c r="D1189">
        <v>25</v>
      </c>
      <c r="E1189">
        <v>25</v>
      </c>
      <c r="F1189">
        <v>25</v>
      </c>
      <c r="G1189">
        <v>127</v>
      </c>
      <c r="H1189">
        <v>127</v>
      </c>
      <c r="I1189">
        <v>127</v>
      </c>
      <c r="J1189">
        <v>127</v>
      </c>
      <c r="K1189">
        <v>125</v>
      </c>
      <c r="L1189">
        <v>125</v>
      </c>
      <c r="M1189">
        <v>125</v>
      </c>
      <c r="N1189">
        <v>126</v>
      </c>
      <c r="O1189">
        <v>126</v>
      </c>
      <c r="P1189">
        <v>126</v>
      </c>
    </row>
    <row r="1190" spans="1:16" x14ac:dyDescent="0.3">
      <c r="A1190" t="s">
        <v>35</v>
      </c>
      <c r="B1190">
        <v>26</v>
      </c>
      <c r="C1190">
        <v>25</v>
      </c>
      <c r="D1190">
        <v>125</v>
      </c>
      <c r="E1190">
        <v>127</v>
      </c>
      <c r="F1190">
        <v>126</v>
      </c>
      <c r="G1190">
        <v>127</v>
      </c>
      <c r="H1190">
        <v>126</v>
      </c>
      <c r="I1190">
        <v>25</v>
      </c>
      <c r="J1190">
        <v>125</v>
      </c>
      <c r="K1190">
        <v>127</v>
      </c>
      <c r="L1190">
        <v>126</v>
      </c>
      <c r="M1190">
        <v>25</v>
      </c>
      <c r="N1190">
        <v>25</v>
      </c>
      <c r="O1190">
        <v>125</v>
      </c>
      <c r="P1190">
        <v>127</v>
      </c>
    </row>
    <row r="1191" spans="1:16" x14ac:dyDescent="0.3">
      <c r="A1191" t="s">
        <v>36</v>
      </c>
      <c r="B1191">
        <v>26</v>
      </c>
      <c r="C1191">
        <v>0</v>
      </c>
      <c r="D1191">
        <v>1</v>
      </c>
      <c r="E1191">
        <v>2</v>
      </c>
      <c r="F1191">
        <v>1</v>
      </c>
      <c r="G1191">
        <v>0</v>
      </c>
      <c r="H1191">
        <v>1</v>
      </c>
      <c r="I1191">
        <v>2</v>
      </c>
      <c r="J1191">
        <v>1</v>
      </c>
      <c r="K1191">
        <v>0</v>
      </c>
      <c r="L1191">
        <v>1</v>
      </c>
      <c r="M1191">
        <v>0</v>
      </c>
      <c r="N1191">
        <v>1</v>
      </c>
      <c r="O1191">
        <v>1</v>
      </c>
      <c r="P1191">
        <v>1</v>
      </c>
    </row>
    <row r="1192" spans="1:16" x14ac:dyDescent="0.3">
      <c r="A1192" t="s">
        <v>37</v>
      </c>
      <c r="B1192">
        <v>26</v>
      </c>
      <c r="D1192">
        <v>0</v>
      </c>
      <c r="E1192">
        <v>0</v>
      </c>
      <c r="H1192">
        <v>0</v>
      </c>
      <c r="I1192">
        <v>0</v>
      </c>
      <c r="K1192">
        <v>0</v>
      </c>
      <c r="L1192">
        <v>3</v>
      </c>
      <c r="N1192">
        <v>0</v>
      </c>
      <c r="O1192">
        <v>1</v>
      </c>
    </row>
    <row r="1193" spans="1:16" x14ac:dyDescent="0.3">
      <c r="A1193" t="s">
        <v>38</v>
      </c>
      <c r="B1193">
        <v>26</v>
      </c>
      <c r="C1193">
        <v>12</v>
      </c>
      <c r="D1193">
        <v>12</v>
      </c>
      <c r="E1193">
        <v>12</v>
      </c>
      <c r="F1193">
        <v>12</v>
      </c>
      <c r="G1193">
        <v>12</v>
      </c>
      <c r="H1193">
        <v>12</v>
      </c>
      <c r="I1193">
        <v>12</v>
      </c>
      <c r="J1193">
        <v>12</v>
      </c>
      <c r="K1193">
        <v>12</v>
      </c>
      <c r="L1193">
        <v>12</v>
      </c>
      <c r="M1193">
        <v>12</v>
      </c>
      <c r="N1193">
        <v>12</v>
      </c>
      <c r="O1193">
        <v>12</v>
      </c>
      <c r="P1193">
        <v>12</v>
      </c>
    </row>
    <row r="1194" spans="1:16" x14ac:dyDescent="0.3">
      <c r="A1194" t="s">
        <v>39</v>
      </c>
      <c r="B1194">
        <v>26</v>
      </c>
      <c r="D1194">
        <v>400</v>
      </c>
      <c r="F1194">
        <v>400</v>
      </c>
      <c r="H1194">
        <v>400</v>
      </c>
      <c r="J1194">
        <v>400</v>
      </c>
      <c r="P1194">
        <v>250</v>
      </c>
    </row>
    <row r="1195" spans="1:16" x14ac:dyDescent="0.3">
      <c r="A1195" t="s">
        <v>631</v>
      </c>
      <c r="B1195">
        <v>26</v>
      </c>
      <c r="D1195">
        <v>25</v>
      </c>
      <c r="F1195">
        <v>25</v>
      </c>
      <c r="H1195">
        <v>25</v>
      </c>
      <c r="J1195">
        <v>25</v>
      </c>
      <c r="P1195">
        <v>25</v>
      </c>
    </row>
    <row r="1196" spans="1:16" x14ac:dyDescent="0.3">
      <c r="A1196" t="s">
        <v>40</v>
      </c>
      <c r="B1196">
        <v>26</v>
      </c>
      <c r="D1196">
        <v>1</v>
      </c>
      <c r="F1196">
        <v>1</v>
      </c>
      <c r="H1196">
        <v>1</v>
      </c>
      <c r="J1196">
        <v>1</v>
      </c>
      <c r="P1196">
        <v>1</v>
      </c>
    </row>
    <row r="1197" spans="1:16" x14ac:dyDescent="0.3">
      <c r="A1197" t="s">
        <v>41</v>
      </c>
      <c r="B1197">
        <v>26</v>
      </c>
    </row>
    <row r="1198" spans="1:16" x14ac:dyDescent="0.3">
      <c r="A1198" t="s">
        <v>42</v>
      </c>
      <c r="B1198">
        <v>26</v>
      </c>
      <c r="E1198">
        <v>45</v>
      </c>
      <c r="I1198">
        <v>45</v>
      </c>
      <c r="L1198">
        <v>30</v>
      </c>
      <c r="O1198">
        <v>30</v>
      </c>
    </row>
    <row r="1199" spans="1:16" x14ac:dyDescent="0.3">
      <c r="A1199" t="s">
        <v>45</v>
      </c>
      <c r="B1199">
        <v>26</v>
      </c>
      <c r="D1199">
        <v>5</v>
      </c>
      <c r="E1199">
        <v>2</v>
      </c>
      <c r="H1199">
        <v>1</v>
      </c>
      <c r="I1199">
        <v>6</v>
      </c>
      <c r="K1199">
        <v>8</v>
      </c>
      <c r="L1199">
        <v>8</v>
      </c>
      <c r="N1199">
        <v>7</v>
      </c>
      <c r="O1199">
        <v>7</v>
      </c>
    </row>
    <row r="1200" spans="1:16" x14ac:dyDescent="0.3">
      <c r="A1200" t="s">
        <v>46</v>
      </c>
      <c r="B1200">
        <v>26</v>
      </c>
      <c r="D1200">
        <v>2</v>
      </c>
      <c r="F1200">
        <v>2</v>
      </c>
      <c r="H1200">
        <v>6</v>
      </c>
      <c r="J1200">
        <v>6</v>
      </c>
      <c r="P1200">
        <v>7</v>
      </c>
    </row>
    <row r="1201" spans="1:16" x14ac:dyDescent="0.3">
      <c r="A1201" t="s">
        <v>49</v>
      </c>
      <c r="B1201">
        <v>26</v>
      </c>
      <c r="C1201">
        <v>4</v>
      </c>
      <c r="D1201">
        <v>6.1</v>
      </c>
      <c r="E1201">
        <v>5.9</v>
      </c>
      <c r="F1201">
        <v>5.9</v>
      </c>
      <c r="G1201">
        <v>4</v>
      </c>
      <c r="H1201">
        <v>6.1</v>
      </c>
      <c r="I1201">
        <v>5.9</v>
      </c>
      <c r="J1201">
        <v>5.9</v>
      </c>
      <c r="K1201">
        <v>6.9</v>
      </c>
      <c r="L1201">
        <v>6.9</v>
      </c>
      <c r="M1201">
        <v>4</v>
      </c>
      <c r="N1201">
        <v>6.9</v>
      </c>
      <c r="O1201">
        <v>6.9</v>
      </c>
      <c r="P1201">
        <v>6.9</v>
      </c>
    </row>
    <row r="1202" spans="1:16" x14ac:dyDescent="0.3">
      <c r="A1202" t="s">
        <v>632</v>
      </c>
      <c r="B1202">
        <v>26</v>
      </c>
      <c r="C1202">
        <v>0</v>
      </c>
      <c r="D1202">
        <v>0</v>
      </c>
      <c r="E1202">
        <v>0</v>
      </c>
      <c r="F1202">
        <v>0</v>
      </c>
      <c r="G1202">
        <v>0</v>
      </c>
      <c r="H1202">
        <v>0</v>
      </c>
      <c r="I1202">
        <v>0</v>
      </c>
      <c r="J1202">
        <v>0</v>
      </c>
      <c r="K1202">
        <v>0</v>
      </c>
      <c r="L1202">
        <v>0</v>
      </c>
      <c r="M1202">
        <v>0</v>
      </c>
      <c r="N1202">
        <v>0</v>
      </c>
      <c r="O1202">
        <v>0</v>
      </c>
      <c r="P1202">
        <v>0</v>
      </c>
    </row>
    <row r="1203" spans="1:16" x14ac:dyDescent="0.3">
      <c r="A1203" t="s">
        <v>48</v>
      </c>
      <c r="B1203">
        <v>26</v>
      </c>
      <c r="C1203">
        <v>1900</v>
      </c>
      <c r="D1203">
        <v>1900</v>
      </c>
      <c r="E1203">
        <v>1900</v>
      </c>
      <c r="F1203">
        <v>1900</v>
      </c>
      <c r="G1203">
        <v>1900</v>
      </c>
      <c r="H1203">
        <v>1900</v>
      </c>
      <c r="I1203">
        <v>1900</v>
      </c>
      <c r="J1203">
        <v>1900</v>
      </c>
      <c r="K1203">
        <v>1900</v>
      </c>
      <c r="L1203">
        <v>1900</v>
      </c>
      <c r="M1203">
        <v>1900</v>
      </c>
      <c r="N1203">
        <v>1900</v>
      </c>
      <c r="O1203">
        <v>1900</v>
      </c>
      <c r="P1203">
        <v>1900</v>
      </c>
    </row>
    <row r="1204" spans="1:16" x14ac:dyDescent="0.3">
      <c r="A1204" t="s">
        <v>633</v>
      </c>
      <c r="B1204">
        <v>26</v>
      </c>
      <c r="C1204">
        <v>0</v>
      </c>
      <c r="D1204">
        <v>1770</v>
      </c>
      <c r="E1204">
        <v>3539</v>
      </c>
      <c r="F1204">
        <v>1583</v>
      </c>
      <c r="G1204">
        <v>0</v>
      </c>
      <c r="H1204">
        <v>1770</v>
      </c>
      <c r="I1204">
        <v>3539</v>
      </c>
      <c r="J1204">
        <v>1583</v>
      </c>
      <c r="K1204">
        <v>0</v>
      </c>
      <c r="L1204">
        <v>1770</v>
      </c>
      <c r="M1204">
        <v>0</v>
      </c>
      <c r="N1204">
        <v>1681</v>
      </c>
      <c r="O1204">
        <v>1732</v>
      </c>
      <c r="P1204">
        <v>1583</v>
      </c>
    </row>
    <row r="1205" spans="1:16" x14ac:dyDescent="0.3">
      <c r="A1205" t="s">
        <v>50</v>
      </c>
      <c r="B1205">
        <v>26</v>
      </c>
      <c r="C1205">
        <v>0</v>
      </c>
      <c r="D1205">
        <v>710</v>
      </c>
      <c r="E1205">
        <v>3539</v>
      </c>
      <c r="F1205">
        <v>1583</v>
      </c>
      <c r="G1205">
        <v>0</v>
      </c>
      <c r="H1205">
        <v>402</v>
      </c>
      <c r="I1205">
        <v>3539</v>
      </c>
      <c r="J1205">
        <v>1583</v>
      </c>
      <c r="K1205">
        <v>0</v>
      </c>
      <c r="L1205">
        <v>1770</v>
      </c>
      <c r="M1205">
        <v>0</v>
      </c>
      <c r="N1205">
        <v>1681</v>
      </c>
      <c r="O1205">
        <v>1732</v>
      </c>
      <c r="P1205">
        <v>1583</v>
      </c>
    </row>
    <row r="1206" spans="1:16" x14ac:dyDescent="0.3">
      <c r="A1206" t="s">
        <v>634</v>
      </c>
      <c r="B1206">
        <v>26</v>
      </c>
      <c r="C1206">
        <v>1</v>
      </c>
      <c r="D1206">
        <v>1</v>
      </c>
      <c r="E1206">
        <v>1</v>
      </c>
      <c r="F1206">
        <v>1</v>
      </c>
      <c r="G1206">
        <v>1</v>
      </c>
      <c r="H1206">
        <v>1</v>
      </c>
      <c r="I1206">
        <v>1</v>
      </c>
      <c r="J1206">
        <v>1</v>
      </c>
      <c r="K1206">
        <v>1</v>
      </c>
      <c r="L1206">
        <v>1</v>
      </c>
      <c r="M1206">
        <v>1</v>
      </c>
      <c r="N1206">
        <v>1</v>
      </c>
      <c r="O1206">
        <v>1</v>
      </c>
      <c r="P1206">
        <v>1</v>
      </c>
    </row>
    <row r="1207" spans="1:16" x14ac:dyDescent="0.3">
      <c r="A1207" t="s">
        <v>51</v>
      </c>
      <c r="B1207">
        <v>26</v>
      </c>
      <c r="C1207">
        <v>0</v>
      </c>
      <c r="D1207">
        <v>0</v>
      </c>
      <c r="E1207">
        <v>0</v>
      </c>
      <c r="F1207">
        <v>154</v>
      </c>
      <c r="G1207">
        <v>0</v>
      </c>
      <c r="H1207">
        <v>0</v>
      </c>
      <c r="I1207">
        <v>0</v>
      </c>
      <c r="J1207">
        <v>154</v>
      </c>
      <c r="K1207">
        <v>0</v>
      </c>
      <c r="L1207">
        <v>16</v>
      </c>
      <c r="M1207">
        <v>0</v>
      </c>
      <c r="N1207">
        <v>0</v>
      </c>
      <c r="O1207">
        <v>0</v>
      </c>
      <c r="P1207">
        <v>145</v>
      </c>
    </row>
    <row r="1208" spans="1:16" x14ac:dyDescent="0.3">
      <c r="A1208" t="s">
        <v>53</v>
      </c>
      <c r="B1208">
        <v>26</v>
      </c>
      <c r="C1208">
        <v>0</v>
      </c>
      <c r="D1208">
        <v>10</v>
      </c>
      <c r="E1208">
        <v>865</v>
      </c>
      <c r="F1208">
        <v>100</v>
      </c>
      <c r="G1208">
        <v>0</v>
      </c>
      <c r="H1208">
        <v>100</v>
      </c>
      <c r="I1208">
        <v>650</v>
      </c>
      <c r="J1208">
        <v>40</v>
      </c>
      <c r="K1208">
        <v>20</v>
      </c>
      <c r="L1208">
        <v>75</v>
      </c>
      <c r="M1208">
        <v>45</v>
      </c>
      <c r="N1208">
        <v>50</v>
      </c>
      <c r="O1208">
        <v>20</v>
      </c>
      <c r="P1208">
        <v>40</v>
      </c>
    </row>
    <row r="1209" spans="1:16" x14ac:dyDescent="0.3">
      <c r="A1209" t="s">
        <v>54</v>
      </c>
      <c r="B1209">
        <v>26</v>
      </c>
      <c r="C1209">
        <v>0</v>
      </c>
      <c r="D1209">
        <v>0</v>
      </c>
      <c r="E1209">
        <v>0</v>
      </c>
      <c r="F1209">
        <v>0</v>
      </c>
      <c r="G1209">
        <v>0</v>
      </c>
      <c r="H1209">
        <v>0</v>
      </c>
      <c r="I1209">
        <v>0</v>
      </c>
      <c r="J1209">
        <v>0</v>
      </c>
      <c r="K1209">
        <v>0</v>
      </c>
      <c r="L1209">
        <v>0</v>
      </c>
      <c r="M1209">
        <v>0</v>
      </c>
      <c r="N1209">
        <v>0</v>
      </c>
      <c r="O1209">
        <v>0</v>
      </c>
      <c r="P1209">
        <v>0</v>
      </c>
    </row>
    <row r="1210" spans="1:16" x14ac:dyDescent="0.3">
      <c r="A1210" t="s">
        <v>55</v>
      </c>
      <c r="B1210">
        <v>26</v>
      </c>
      <c r="C1210">
        <v>0</v>
      </c>
      <c r="D1210">
        <v>0</v>
      </c>
      <c r="E1210">
        <v>0</v>
      </c>
      <c r="F1210">
        <v>0</v>
      </c>
      <c r="G1210">
        <v>0</v>
      </c>
      <c r="H1210">
        <v>0</v>
      </c>
      <c r="I1210">
        <v>0</v>
      </c>
      <c r="J1210">
        <v>0</v>
      </c>
      <c r="K1210">
        <v>0</v>
      </c>
      <c r="L1210">
        <v>0</v>
      </c>
      <c r="M1210">
        <v>0</v>
      </c>
      <c r="N1210">
        <v>0</v>
      </c>
      <c r="O1210">
        <v>0</v>
      </c>
      <c r="P1210">
        <v>0</v>
      </c>
    </row>
    <row r="1211" spans="1:16" x14ac:dyDescent="0.3">
      <c r="A1211" t="s">
        <v>56</v>
      </c>
      <c r="B1211">
        <v>26</v>
      </c>
      <c r="C1211">
        <v>0.92</v>
      </c>
      <c r="D1211">
        <v>0.92</v>
      </c>
      <c r="E1211">
        <v>0.92</v>
      </c>
      <c r="F1211">
        <v>0.92</v>
      </c>
      <c r="G1211">
        <v>0.92</v>
      </c>
      <c r="H1211">
        <v>0.92</v>
      </c>
      <c r="I1211">
        <v>0.92</v>
      </c>
      <c r="J1211">
        <v>0.92</v>
      </c>
      <c r="K1211">
        <v>0.92</v>
      </c>
      <c r="L1211">
        <v>0.92</v>
      </c>
      <c r="M1211">
        <v>0.92</v>
      </c>
      <c r="N1211">
        <v>0.92</v>
      </c>
      <c r="O1211">
        <v>0.92</v>
      </c>
      <c r="P1211">
        <v>0.92</v>
      </c>
    </row>
    <row r="1212" spans="1:16" x14ac:dyDescent="0.3">
      <c r="A1212" t="s">
        <v>57</v>
      </c>
      <c r="B1212">
        <v>26</v>
      </c>
      <c r="C1212">
        <v>100</v>
      </c>
      <c r="D1212">
        <v>100</v>
      </c>
      <c r="E1212">
        <v>100</v>
      </c>
      <c r="F1212">
        <v>100</v>
      </c>
      <c r="G1212">
        <v>100</v>
      </c>
      <c r="H1212">
        <v>100</v>
      </c>
      <c r="I1212">
        <v>100</v>
      </c>
      <c r="J1212">
        <v>100</v>
      </c>
      <c r="K1212">
        <v>100</v>
      </c>
      <c r="L1212">
        <v>100</v>
      </c>
      <c r="M1212">
        <v>100</v>
      </c>
      <c r="N1212">
        <v>100</v>
      </c>
      <c r="O1212">
        <v>100</v>
      </c>
      <c r="P1212">
        <v>100</v>
      </c>
    </row>
    <row r="1213" spans="1:16" x14ac:dyDescent="0.3">
      <c r="A1213" t="s">
        <v>58</v>
      </c>
      <c r="B1213">
        <v>26</v>
      </c>
      <c r="C1213">
        <v>2</v>
      </c>
      <c r="D1213">
        <v>2</v>
      </c>
      <c r="E1213">
        <v>2</v>
      </c>
      <c r="F1213">
        <v>2</v>
      </c>
      <c r="G1213">
        <v>2</v>
      </c>
      <c r="H1213">
        <v>2</v>
      </c>
      <c r="I1213">
        <v>2</v>
      </c>
      <c r="J1213">
        <v>2</v>
      </c>
      <c r="K1213">
        <v>2</v>
      </c>
      <c r="L1213">
        <v>2</v>
      </c>
      <c r="M1213">
        <v>2</v>
      </c>
      <c r="N1213">
        <v>2</v>
      </c>
      <c r="O1213">
        <v>2</v>
      </c>
      <c r="P1213">
        <v>2</v>
      </c>
    </row>
    <row r="1214" spans="1:16" x14ac:dyDescent="0.3">
      <c r="A1214" t="s">
        <v>59</v>
      </c>
      <c r="B1214">
        <v>26</v>
      </c>
      <c r="C1214">
        <v>0</v>
      </c>
      <c r="D1214">
        <v>0</v>
      </c>
      <c r="E1214">
        <v>0</v>
      </c>
      <c r="F1214">
        <v>0</v>
      </c>
      <c r="G1214">
        <v>0</v>
      </c>
      <c r="H1214">
        <v>0</v>
      </c>
      <c r="I1214">
        <v>0</v>
      </c>
      <c r="J1214">
        <v>0</v>
      </c>
      <c r="K1214">
        <v>0</v>
      </c>
      <c r="L1214">
        <v>0</v>
      </c>
      <c r="M1214">
        <v>0</v>
      </c>
      <c r="N1214">
        <v>0</v>
      </c>
      <c r="O1214">
        <v>0</v>
      </c>
      <c r="P1214">
        <v>0</v>
      </c>
    </row>
    <row r="1215" spans="1:16" x14ac:dyDescent="0.3">
      <c r="A1215" t="s">
        <v>635</v>
      </c>
      <c r="B1215">
        <v>26</v>
      </c>
      <c r="E1215">
        <v>0</v>
      </c>
      <c r="I1215">
        <v>0</v>
      </c>
      <c r="L1215">
        <v>0</v>
      </c>
      <c r="O1215">
        <v>0</v>
      </c>
    </row>
    <row r="1216" spans="1:16" x14ac:dyDescent="0.3">
      <c r="A1216" t="s">
        <v>574</v>
      </c>
      <c r="B1216">
        <v>26</v>
      </c>
      <c r="E1216">
        <v>1026</v>
      </c>
      <c r="I1216">
        <v>830</v>
      </c>
      <c r="L1216">
        <v>424</v>
      </c>
      <c r="O1216">
        <v>581</v>
      </c>
    </row>
    <row r="1217" spans="1:16" x14ac:dyDescent="0.3">
      <c r="A1217" t="s">
        <v>78</v>
      </c>
      <c r="B1217">
        <v>26</v>
      </c>
      <c r="E1217">
        <v>15.5</v>
      </c>
      <c r="I1217">
        <v>12.6</v>
      </c>
      <c r="L1217">
        <v>9.6</v>
      </c>
      <c r="O1217">
        <v>13.2</v>
      </c>
    </row>
    <row r="1218" spans="1:16" x14ac:dyDescent="0.3">
      <c r="A1218" t="s">
        <v>636</v>
      </c>
      <c r="B1218">
        <v>26</v>
      </c>
      <c r="F1218">
        <v>1</v>
      </c>
      <c r="J1218">
        <v>1</v>
      </c>
      <c r="M1218">
        <v>0</v>
      </c>
      <c r="P1218">
        <v>1</v>
      </c>
    </row>
    <row r="1219" spans="1:16" x14ac:dyDescent="0.3">
      <c r="A1219" t="s">
        <v>637</v>
      </c>
      <c r="B1219">
        <v>26</v>
      </c>
      <c r="F1219">
        <v>50</v>
      </c>
      <c r="J1219">
        <v>50</v>
      </c>
      <c r="P1219">
        <v>50</v>
      </c>
    </row>
    <row r="1220" spans="1:16" x14ac:dyDescent="0.3">
      <c r="A1220" t="s">
        <v>638</v>
      </c>
      <c r="B1220">
        <v>26</v>
      </c>
      <c r="F1220">
        <v>0</v>
      </c>
      <c r="J1220">
        <v>0</v>
      </c>
      <c r="P1220">
        <v>0</v>
      </c>
    </row>
    <row r="1221" spans="1:16" x14ac:dyDescent="0.3">
      <c r="A1221" t="s">
        <v>639</v>
      </c>
      <c r="B1221">
        <v>26</v>
      </c>
      <c r="C1221">
        <v>3</v>
      </c>
      <c r="D1221">
        <v>0</v>
      </c>
      <c r="E1221">
        <v>0</v>
      </c>
      <c r="F1221">
        <v>1</v>
      </c>
      <c r="G1221">
        <v>3</v>
      </c>
      <c r="H1221">
        <v>0</v>
      </c>
      <c r="I1221">
        <v>0</v>
      </c>
      <c r="J1221">
        <v>1</v>
      </c>
      <c r="K1221">
        <v>0</v>
      </c>
      <c r="L1221">
        <v>0</v>
      </c>
      <c r="M1221">
        <v>1</v>
      </c>
      <c r="N1221">
        <v>0</v>
      </c>
      <c r="O1221">
        <v>0</v>
      </c>
      <c r="P1221">
        <v>1</v>
      </c>
    </row>
    <row r="1222" spans="1:16" x14ac:dyDescent="0.3">
      <c r="A1222" t="s">
        <v>640</v>
      </c>
      <c r="B1222">
        <v>26</v>
      </c>
      <c r="C1222">
        <v>0</v>
      </c>
      <c r="D1222">
        <v>0</v>
      </c>
      <c r="E1222">
        <v>0</v>
      </c>
      <c r="F1222">
        <v>0</v>
      </c>
      <c r="G1222">
        <v>0</v>
      </c>
      <c r="H1222">
        <v>0</v>
      </c>
      <c r="I1222">
        <v>0</v>
      </c>
      <c r="J1222">
        <v>0</v>
      </c>
      <c r="K1222">
        <v>0</v>
      </c>
      <c r="L1222">
        <v>0</v>
      </c>
      <c r="M1222">
        <v>0</v>
      </c>
      <c r="N1222">
        <v>0</v>
      </c>
      <c r="O1222">
        <v>0</v>
      </c>
      <c r="P1222">
        <v>0</v>
      </c>
    </row>
    <row r="1223" spans="1:16" x14ac:dyDescent="0.3">
      <c r="A1223" t="s">
        <v>52</v>
      </c>
      <c r="B1223">
        <v>26</v>
      </c>
      <c r="C1223">
        <v>1</v>
      </c>
      <c r="D1223">
        <v>1</v>
      </c>
      <c r="E1223">
        <v>1</v>
      </c>
      <c r="F1223">
        <v>1</v>
      </c>
      <c r="G1223">
        <v>1</v>
      </c>
      <c r="H1223">
        <v>1</v>
      </c>
      <c r="I1223">
        <v>1</v>
      </c>
      <c r="J1223">
        <v>1</v>
      </c>
      <c r="K1223">
        <v>1</v>
      </c>
      <c r="L1223">
        <v>1</v>
      </c>
      <c r="M1223">
        <v>1</v>
      </c>
      <c r="N1223">
        <v>1</v>
      </c>
      <c r="O1223">
        <v>1</v>
      </c>
      <c r="P1223">
        <v>1</v>
      </c>
    </row>
    <row r="1224" spans="1:16" x14ac:dyDescent="0.3">
      <c r="A1224" t="s">
        <v>641</v>
      </c>
      <c r="B1224">
        <v>26</v>
      </c>
      <c r="C1224">
        <v>9</v>
      </c>
      <c r="D1224">
        <v>15</v>
      </c>
      <c r="E1224">
        <v>60</v>
      </c>
      <c r="F1224">
        <v>9</v>
      </c>
      <c r="G1224">
        <v>9</v>
      </c>
      <c r="H1224">
        <v>15</v>
      </c>
      <c r="I1224">
        <v>60</v>
      </c>
      <c r="J1224">
        <v>9</v>
      </c>
      <c r="K1224">
        <v>15</v>
      </c>
      <c r="L1224">
        <v>60</v>
      </c>
      <c r="M1224">
        <v>9</v>
      </c>
      <c r="N1224">
        <v>15</v>
      </c>
      <c r="O1224">
        <v>60</v>
      </c>
      <c r="P1224">
        <v>9</v>
      </c>
    </row>
    <row r="1225" spans="1:16" x14ac:dyDescent="0.3">
      <c r="A1225" t="s">
        <v>43</v>
      </c>
      <c r="B1225">
        <v>26</v>
      </c>
      <c r="D1225">
        <v>40</v>
      </c>
      <c r="E1225">
        <v>336</v>
      </c>
      <c r="F1225">
        <v>0</v>
      </c>
      <c r="H1225">
        <v>40</v>
      </c>
      <c r="I1225">
        <v>336</v>
      </c>
      <c r="J1225">
        <v>0</v>
      </c>
      <c r="K1225">
        <v>40</v>
      </c>
      <c r="L1225">
        <v>40</v>
      </c>
      <c r="N1225">
        <v>40</v>
      </c>
      <c r="O1225">
        <v>40</v>
      </c>
      <c r="P1225">
        <v>0</v>
      </c>
    </row>
    <row r="1226" spans="1:16" x14ac:dyDescent="0.3">
      <c r="A1226" t="s">
        <v>44</v>
      </c>
      <c r="B1226">
        <v>26</v>
      </c>
      <c r="D1226">
        <v>0</v>
      </c>
      <c r="E1226">
        <v>0</v>
      </c>
      <c r="F1226">
        <v>0</v>
      </c>
      <c r="H1226">
        <v>0</v>
      </c>
      <c r="I1226">
        <v>0</v>
      </c>
      <c r="J1226">
        <v>0</v>
      </c>
      <c r="K1226">
        <v>0</v>
      </c>
      <c r="L1226">
        <v>0</v>
      </c>
      <c r="N1226">
        <v>0</v>
      </c>
      <c r="O1226">
        <v>0</v>
      </c>
      <c r="P1226">
        <v>0</v>
      </c>
    </row>
    <row r="1227" spans="1:16" x14ac:dyDescent="0.3">
      <c r="A1227" t="s">
        <v>47</v>
      </c>
      <c r="B1227">
        <v>26</v>
      </c>
      <c r="D1227">
        <v>5</v>
      </c>
      <c r="E1227">
        <v>2</v>
      </c>
      <c r="F1227">
        <v>2</v>
      </c>
      <c r="H1227">
        <v>1</v>
      </c>
      <c r="I1227">
        <v>6</v>
      </c>
      <c r="J1227">
        <v>6</v>
      </c>
      <c r="K1227">
        <v>8</v>
      </c>
      <c r="L1227">
        <v>8</v>
      </c>
      <c r="N1227">
        <v>7</v>
      </c>
      <c r="O1227">
        <v>7</v>
      </c>
      <c r="P1227">
        <v>7</v>
      </c>
    </row>
    <row r="1228" spans="1:16" x14ac:dyDescent="0.3">
      <c r="A1228" t="s">
        <v>642</v>
      </c>
      <c r="B1228">
        <v>26</v>
      </c>
      <c r="D1228">
        <v>0</v>
      </c>
      <c r="E1228">
        <v>0</v>
      </c>
      <c r="F1228">
        <v>0</v>
      </c>
      <c r="H1228">
        <v>0</v>
      </c>
      <c r="I1228">
        <v>0</v>
      </c>
      <c r="J1228">
        <v>0</v>
      </c>
      <c r="K1228">
        <v>0</v>
      </c>
      <c r="L1228">
        <v>0</v>
      </c>
      <c r="N1228">
        <v>0</v>
      </c>
      <c r="O1228">
        <v>0</v>
      </c>
      <c r="P1228">
        <v>0</v>
      </c>
    </row>
    <row r="1229" spans="1:16" x14ac:dyDescent="0.3">
      <c r="A1229" t="s">
        <v>643</v>
      </c>
      <c r="B1229">
        <v>26</v>
      </c>
      <c r="D1229">
        <v>0</v>
      </c>
      <c r="E1229">
        <v>0</v>
      </c>
      <c r="F1229">
        <v>0</v>
      </c>
      <c r="H1229">
        <v>0</v>
      </c>
      <c r="I1229">
        <v>0</v>
      </c>
      <c r="J1229">
        <v>0</v>
      </c>
      <c r="K1229">
        <v>0</v>
      </c>
      <c r="L1229">
        <v>0</v>
      </c>
      <c r="N1229">
        <v>0</v>
      </c>
      <c r="O1229">
        <v>0</v>
      </c>
      <c r="P1229">
        <v>0</v>
      </c>
    </row>
    <row r="1230" spans="1:16" x14ac:dyDescent="0.3">
      <c r="A1230" t="s">
        <v>644</v>
      </c>
      <c r="B1230">
        <v>26</v>
      </c>
      <c r="D1230">
        <v>0</v>
      </c>
      <c r="E1230">
        <v>0</v>
      </c>
      <c r="F1230">
        <v>0</v>
      </c>
      <c r="H1230">
        <v>0</v>
      </c>
      <c r="I1230">
        <v>0</v>
      </c>
      <c r="J1230">
        <v>0</v>
      </c>
      <c r="K1230">
        <v>0</v>
      </c>
      <c r="L1230">
        <v>0</v>
      </c>
      <c r="N1230">
        <v>0</v>
      </c>
      <c r="O1230">
        <v>0</v>
      </c>
      <c r="P1230">
        <v>0</v>
      </c>
    </row>
    <row r="1231" spans="1:16" x14ac:dyDescent="0.3">
      <c r="A1231" t="s">
        <v>645</v>
      </c>
      <c r="B1231">
        <v>26</v>
      </c>
      <c r="D1231">
        <v>0</v>
      </c>
      <c r="E1231">
        <v>0</v>
      </c>
      <c r="F1231">
        <v>0</v>
      </c>
      <c r="H1231">
        <v>0</v>
      </c>
      <c r="I1231">
        <v>0</v>
      </c>
      <c r="J1231">
        <v>0</v>
      </c>
      <c r="K1231">
        <v>0</v>
      </c>
      <c r="L1231">
        <v>0</v>
      </c>
      <c r="N1231">
        <v>0</v>
      </c>
      <c r="O1231">
        <v>0</v>
      </c>
      <c r="P1231">
        <v>0</v>
      </c>
    </row>
    <row r="1232" spans="1:16" x14ac:dyDescent="0.3">
      <c r="A1232" t="s">
        <v>646</v>
      </c>
      <c r="B1232">
        <v>26</v>
      </c>
      <c r="D1232">
        <v>1</v>
      </c>
      <c r="E1232">
        <v>2</v>
      </c>
      <c r="F1232">
        <v>1</v>
      </c>
      <c r="H1232">
        <v>1</v>
      </c>
      <c r="I1232">
        <v>2</v>
      </c>
      <c r="J1232">
        <v>1</v>
      </c>
      <c r="K1232">
        <v>1</v>
      </c>
      <c r="L1232">
        <v>1</v>
      </c>
      <c r="N1232">
        <v>1</v>
      </c>
      <c r="O1232">
        <v>1</v>
      </c>
      <c r="P1232">
        <v>1</v>
      </c>
    </row>
    <row r="1233" spans="1:16" x14ac:dyDescent="0.3">
      <c r="A1233" t="s">
        <v>647</v>
      </c>
      <c r="B1233">
        <v>26</v>
      </c>
      <c r="D1233">
        <v>0</v>
      </c>
      <c r="E1233">
        <v>330</v>
      </c>
      <c r="F1233">
        <v>0</v>
      </c>
      <c r="H1233">
        <v>0</v>
      </c>
      <c r="I1233">
        <v>330</v>
      </c>
      <c r="J1233">
        <v>0</v>
      </c>
      <c r="K1233">
        <v>0</v>
      </c>
      <c r="L1233">
        <v>0</v>
      </c>
      <c r="N1233">
        <v>0</v>
      </c>
      <c r="O1233">
        <v>0</v>
      </c>
      <c r="P1233">
        <v>0</v>
      </c>
    </row>
    <row r="1234" spans="1:16" x14ac:dyDescent="0.3">
      <c r="A1234" t="s">
        <v>648</v>
      </c>
      <c r="B1234">
        <v>26</v>
      </c>
      <c r="D1234">
        <v>40</v>
      </c>
      <c r="E1234">
        <v>6</v>
      </c>
      <c r="F1234">
        <v>0</v>
      </c>
      <c r="H1234">
        <v>40</v>
      </c>
      <c r="I1234">
        <v>6</v>
      </c>
      <c r="J1234">
        <v>0</v>
      </c>
      <c r="K1234">
        <v>40</v>
      </c>
      <c r="L1234">
        <v>40</v>
      </c>
      <c r="N1234">
        <v>40</v>
      </c>
      <c r="O1234">
        <v>40</v>
      </c>
      <c r="P1234">
        <v>0</v>
      </c>
    </row>
    <row r="1235" spans="1:16" x14ac:dyDescent="0.3">
      <c r="A1235" t="s">
        <v>649</v>
      </c>
      <c r="B1235">
        <v>26</v>
      </c>
      <c r="D1235">
        <v>3</v>
      </c>
      <c r="E1235">
        <v>3</v>
      </c>
      <c r="F1235">
        <v>3</v>
      </c>
      <c r="H1235">
        <v>3</v>
      </c>
      <c r="I1235">
        <v>3</v>
      </c>
      <c r="J1235">
        <v>3</v>
      </c>
      <c r="K1235">
        <v>3</v>
      </c>
      <c r="L1235">
        <v>3</v>
      </c>
      <c r="N1235">
        <v>3</v>
      </c>
      <c r="O1235">
        <v>3</v>
      </c>
      <c r="P1235">
        <v>3</v>
      </c>
    </row>
    <row r="1236" spans="1:16" x14ac:dyDescent="0.3">
      <c r="A1236" t="s">
        <v>650</v>
      </c>
      <c r="B1236">
        <v>26</v>
      </c>
      <c r="D1236">
        <v>0</v>
      </c>
      <c r="E1236">
        <v>0</v>
      </c>
      <c r="F1236">
        <v>0</v>
      </c>
      <c r="H1236">
        <v>0</v>
      </c>
      <c r="I1236">
        <v>0</v>
      </c>
      <c r="J1236">
        <v>0</v>
      </c>
      <c r="K1236">
        <v>0</v>
      </c>
      <c r="L1236">
        <v>0</v>
      </c>
      <c r="N1236">
        <v>0</v>
      </c>
      <c r="O1236">
        <v>0</v>
      </c>
      <c r="P1236">
        <v>0</v>
      </c>
    </row>
    <row r="1237" spans="1:16" x14ac:dyDescent="0.3">
      <c r="A1237" t="s">
        <v>651</v>
      </c>
      <c r="B1237">
        <v>26</v>
      </c>
      <c r="D1237">
        <v>0</v>
      </c>
      <c r="E1237">
        <v>0</v>
      </c>
      <c r="F1237">
        <v>0</v>
      </c>
      <c r="H1237">
        <v>0</v>
      </c>
      <c r="I1237">
        <v>0</v>
      </c>
      <c r="J1237">
        <v>0</v>
      </c>
      <c r="K1237">
        <v>0</v>
      </c>
      <c r="L1237">
        <v>0</v>
      </c>
      <c r="N1237">
        <v>0</v>
      </c>
      <c r="O1237">
        <v>0</v>
      </c>
      <c r="P1237">
        <v>0</v>
      </c>
    </row>
    <row r="1238" spans="1:16" x14ac:dyDescent="0.3">
      <c r="A1238" t="s">
        <v>652</v>
      </c>
      <c r="B1238">
        <v>26</v>
      </c>
      <c r="D1238">
        <v>0</v>
      </c>
      <c r="E1238">
        <v>0</v>
      </c>
      <c r="F1238">
        <v>0</v>
      </c>
      <c r="H1238">
        <v>0</v>
      </c>
      <c r="I1238">
        <v>0</v>
      </c>
      <c r="J1238">
        <v>0</v>
      </c>
      <c r="K1238">
        <v>0</v>
      </c>
      <c r="L1238">
        <v>0</v>
      </c>
      <c r="N1238">
        <v>0</v>
      </c>
      <c r="O1238">
        <v>0</v>
      </c>
      <c r="P1238">
        <v>0</v>
      </c>
    </row>
    <row r="1239" spans="1:16" x14ac:dyDescent="0.3">
      <c r="A1239" t="s">
        <v>653</v>
      </c>
      <c r="B1239">
        <v>26</v>
      </c>
      <c r="E1239">
        <v>0</v>
      </c>
      <c r="I1239">
        <v>0</v>
      </c>
    </row>
    <row r="1240" spans="1:16" x14ac:dyDescent="0.3">
      <c r="A1240" t="s">
        <v>654</v>
      </c>
      <c r="B1240">
        <v>26</v>
      </c>
      <c r="E1240">
        <v>0</v>
      </c>
      <c r="I1240">
        <v>0</v>
      </c>
    </row>
    <row r="1241" spans="1:16" x14ac:dyDescent="0.3">
      <c r="A1241" t="s">
        <v>655</v>
      </c>
      <c r="B1241">
        <v>26</v>
      </c>
      <c r="E1241">
        <v>3</v>
      </c>
      <c r="I1241">
        <v>3</v>
      </c>
    </row>
    <row r="1242" spans="1:16" x14ac:dyDescent="0.3">
      <c r="A1242" t="s">
        <v>656</v>
      </c>
      <c r="B1242">
        <v>26</v>
      </c>
      <c r="E1242">
        <v>0</v>
      </c>
      <c r="I1242">
        <v>0</v>
      </c>
    </row>
    <row r="1243" spans="1:16" x14ac:dyDescent="0.3">
      <c r="A1243" t="s">
        <v>657</v>
      </c>
      <c r="B1243">
        <v>26</v>
      </c>
      <c r="E1243">
        <v>0</v>
      </c>
      <c r="I1243">
        <v>0</v>
      </c>
      <c r="L1243">
        <v>0</v>
      </c>
      <c r="O1243">
        <v>0</v>
      </c>
    </row>
    <row r="1244" spans="1:16" x14ac:dyDescent="0.3">
      <c r="A1244" t="s">
        <v>408</v>
      </c>
      <c r="B1244">
        <v>26</v>
      </c>
      <c r="E1244">
        <v>0</v>
      </c>
    </row>
    <row r="1245" spans="1:16" x14ac:dyDescent="0.3">
      <c r="A1245" t="s">
        <v>659</v>
      </c>
      <c r="B1245">
        <v>26</v>
      </c>
      <c r="N1245">
        <v>31</v>
      </c>
    </row>
    <row r="1246" spans="1:16" x14ac:dyDescent="0.3">
      <c r="A1246" t="s">
        <v>658</v>
      </c>
      <c r="B1246">
        <v>26</v>
      </c>
      <c r="C1246">
        <v>0</v>
      </c>
      <c r="D1246">
        <v>11</v>
      </c>
      <c r="E1246">
        <v>940</v>
      </c>
      <c r="F1246">
        <v>109</v>
      </c>
      <c r="G1246">
        <v>0</v>
      </c>
      <c r="H1246">
        <v>109</v>
      </c>
      <c r="I1246">
        <v>707</v>
      </c>
      <c r="J1246">
        <v>43</v>
      </c>
      <c r="K1246">
        <v>0</v>
      </c>
      <c r="L1246">
        <v>153</v>
      </c>
      <c r="M1246">
        <v>0</v>
      </c>
      <c r="N1246">
        <v>37</v>
      </c>
      <c r="O1246">
        <v>39</v>
      </c>
      <c r="P1246">
        <v>43</v>
      </c>
    </row>
    <row r="1247" spans="1:16" x14ac:dyDescent="0.3">
      <c r="A1247" t="s">
        <v>34</v>
      </c>
      <c r="B1247">
        <v>30</v>
      </c>
      <c r="C1247">
        <v>61</v>
      </c>
      <c r="E1247">
        <v>61</v>
      </c>
      <c r="F1247">
        <v>61</v>
      </c>
      <c r="G1247">
        <v>31</v>
      </c>
      <c r="H1247">
        <v>31</v>
      </c>
      <c r="I1247">
        <v>31</v>
      </c>
      <c r="N1247">
        <v>135</v>
      </c>
      <c r="P1247">
        <v>135</v>
      </c>
    </row>
    <row r="1248" spans="1:16" x14ac:dyDescent="0.3">
      <c r="A1248" t="s">
        <v>35</v>
      </c>
      <c r="B1248">
        <v>30</v>
      </c>
      <c r="C1248">
        <v>61</v>
      </c>
      <c r="E1248">
        <v>31</v>
      </c>
      <c r="F1248">
        <v>135</v>
      </c>
      <c r="G1248">
        <v>31</v>
      </c>
      <c r="H1248">
        <v>135</v>
      </c>
      <c r="I1248">
        <v>61</v>
      </c>
      <c r="N1248">
        <v>61</v>
      </c>
      <c r="P1248">
        <v>31</v>
      </c>
    </row>
    <row r="1249" spans="1:23" x14ac:dyDescent="0.3">
      <c r="A1249" t="s">
        <v>36</v>
      </c>
      <c r="B1249">
        <v>30</v>
      </c>
      <c r="C1249">
        <v>1</v>
      </c>
      <c r="E1249">
        <v>2</v>
      </c>
      <c r="F1249">
        <v>1</v>
      </c>
      <c r="G1249">
        <v>0</v>
      </c>
      <c r="H1249">
        <v>1</v>
      </c>
      <c r="I1249">
        <v>2</v>
      </c>
      <c r="N1249">
        <v>1</v>
      </c>
      <c r="P1249">
        <v>1</v>
      </c>
    </row>
    <row r="1250" spans="1:23" x14ac:dyDescent="0.3">
      <c r="A1250" t="s">
        <v>37</v>
      </c>
      <c r="B1250">
        <v>30</v>
      </c>
      <c r="E1250">
        <v>0</v>
      </c>
      <c r="H1250">
        <v>0</v>
      </c>
      <c r="I1250">
        <v>0</v>
      </c>
      <c r="N1250">
        <v>0</v>
      </c>
    </row>
    <row r="1251" spans="1:23" x14ac:dyDescent="0.3">
      <c r="A1251" t="s">
        <v>38</v>
      </c>
      <c r="B1251">
        <v>30</v>
      </c>
      <c r="C1251">
        <v>12</v>
      </c>
      <c r="E1251">
        <v>12</v>
      </c>
      <c r="F1251">
        <v>12</v>
      </c>
      <c r="G1251">
        <v>12</v>
      </c>
      <c r="H1251">
        <v>12</v>
      </c>
      <c r="I1251">
        <v>12</v>
      </c>
      <c r="N1251">
        <v>12</v>
      </c>
      <c r="P1251">
        <v>12</v>
      </c>
    </row>
    <row r="1252" spans="1:23" x14ac:dyDescent="0.3">
      <c r="A1252" t="s">
        <v>39</v>
      </c>
      <c r="B1252">
        <v>30</v>
      </c>
      <c r="C1252">
        <v>272</v>
      </c>
      <c r="F1252">
        <v>253</v>
      </c>
      <c r="H1252">
        <v>301</v>
      </c>
      <c r="P1252">
        <v>187</v>
      </c>
    </row>
    <row r="1253" spans="1:23" x14ac:dyDescent="0.3">
      <c r="A1253" t="s">
        <v>631</v>
      </c>
      <c r="B1253">
        <v>30</v>
      </c>
      <c r="C1253">
        <v>25</v>
      </c>
      <c r="F1253">
        <v>25</v>
      </c>
      <c r="H1253">
        <v>25</v>
      </c>
      <c r="P1253">
        <v>25</v>
      </c>
    </row>
    <row r="1254" spans="1:23" x14ac:dyDescent="0.3">
      <c r="A1254" t="s">
        <v>40</v>
      </c>
      <c r="B1254">
        <v>30</v>
      </c>
      <c r="C1254">
        <v>1</v>
      </c>
      <c r="F1254">
        <v>1</v>
      </c>
      <c r="H1254">
        <v>1</v>
      </c>
      <c r="P1254">
        <v>1</v>
      </c>
    </row>
    <row r="1255" spans="1:23" x14ac:dyDescent="0.3">
      <c r="A1255" t="s">
        <v>41</v>
      </c>
      <c r="B1255">
        <v>30</v>
      </c>
    </row>
    <row r="1256" spans="1:23" x14ac:dyDescent="0.3">
      <c r="A1256" t="s">
        <v>42</v>
      </c>
      <c r="B1256">
        <v>30</v>
      </c>
      <c r="E1256">
        <v>55</v>
      </c>
      <c r="I1256">
        <v>55</v>
      </c>
      <c r="N1256">
        <v>25</v>
      </c>
    </row>
    <row r="1257" spans="1:23" x14ac:dyDescent="0.3">
      <c r="A1257" t="s">
        <v>45</v>
      </c>
      <c r="B1257">
        <v>30</v>
      </c>
      <c r="E1257">
        <v>6</v>
      </c>
      <c r="H1257">
        <v>5</v>
      </c>
      <c r="I1257">
        <v>2</v>
      </c>
      <c r="N1257">
        <v>4</v>
      </c>
      <c r="W1257">
        <v>8</v>
      </c>
    </row>
    <row r="1258" spans="1:23" x14ac:dyDescent="0.3">
      <c r="A1258" t="s">
        <v>46</v>
      </c>
      <c r="B1258">
        <v>30</v>
      </c>
      <c r="C1258">
        <v>6</v>
      </c>
      <c r="F1258">
        <v>6</v>
      </c>
      <c r="H1258">
        <v>2</v>
      </c>
      <c r="P1258">
        <v>4</v>
      </c>
    </row>
    <row r="1259" spans="1:23" x14ac:dyDescent="0.3">
      <c r="A1259" t="s">
        <v>49</v>
      </c>
      <c r="B1259">
        <v>30</v>
      </c>
      <c r="C1259">
        <v>7.4</v>
      </c>
      <c r="E1259">
        <v>7.4</v>
      </c>
      <c r="F1259">
        <v>7.4</v>
      </c>
      <c r="G1259">
        <v>4</v>
      </c>
      <c r="H1259">
        <v>5.7</v>
      </c>
      <c r="I1259">
        <v>7.4</v>
      </c>
      <c r="N1259">
        <v>5.8</v>
      </c>
      <c r="P1259">
        <v>5.8</v>
      </c>
    </row>
    <row r="1260" spans="1:23" x14ac:dyDescent="0.3">
      <c r="A1260" t="s">
        <v>632</v>
      </c>
      <c r="B1260">
        <v>30</v>
      </c>
      <c r="C1260">
        <v>0</v>
      </c>
      <c r="E1260">
        <v>0</v>
      </c>
      <c r="F1260">
        <v>0</v>
      </c>
      <c r="G1260">
        <v>0</v>
      </c>
      <c r="H1260">
        <v>0</v>
      </c>
      <c r="I1260">
        <v>0</v>
      </c>
      <c r="N1260">
        <v>0</v>
      </c>
      <c r="P1260">
        <v>0</v>
      </c>
    </row>
    <row r="1261" spans="1:23" x14ac:dyDescent="0.3">
      <c r="A1261" t="s">
        <v>48</v>
      </c>
      <c r="B1261">
        <v>30</v>
      </c>
      <c r="C1261">
        <v>1900</v>
      </c>
      <c r="E1261">
        <v>1900</v>
      </c>
      <c r="F1261">
        <v>1900</v>
      </c>
      <c r="G1261">
        <v>1900</v>
      </c>
      <c r="H1261">
        <v>1900</v>
      </c>
      <c r="I1261">
        <v>1900</v>
      </c>
      <c r="N1261">
        <v>1900</v>
      </c>
      <c r="P1261">
        <v>1900</v>
      </c>
    </row>
    <row r="1262" spans="1:23" x14ac:dyDescent="0.3">
      <c r="A1262" t="s">
        <v>633</v>
      </c>
      <c r="B1262">
        <v>30</v>
      </c>
      <c r="C1262">
        <v>1770</v>
      </c>
      <c r="E1262">
        <v>3539</v>
      </c>
      <c r="F1262">
        <v>1583</v>
      </c>
      <c r="G1262">
        <v>0</v>
      </c>
      <c r="H1262">
        <v>1778</v>
      </c>
      <c r="I1262">
        <v>3557</v>
      </c>
      <c r="N1262">
        <v>1752</v>
      </c>
      <c r="P1262">
        <v>1567</v>
      </c>
    </row>
    <row r="1263" spans="1:23" x14ac:dyDescent="0.3">
      <c r="A1263" t="s">
        <v>50</v>
      </c>
      <c r="B1263">
        <v>30</v>
      </c>
      <c r="C1263">
        <v>652</v>
      </c>
      <c r="E1263">
        <v>3539</v>
      </c>
      <c r="F1263">
        <v>1583</v>
      </c>
      <c r="G1263">
        <v>0</v>
      </c>
      <c r="H1263">
        <v>389</v>
      </c>
      <c r="I1263">
        <v>3557</v>
      </c>
      <c r="N1263">
        <v>1752</v>
      </c>
      <c r="P1263">
        <v>1567</v>
      </c>
    </row>
    <row r="1264" spans="1:23" x14ac:dyDescent="0.3">
      <c r="A1264" t="s">
        <v>634</v>
      </c>
      <c r="B1264">
        <v>30</v>
      </c>
      <c r="C1264">
        <v>1</v>
      </c>
      <c r="E1264">
        <v>1</v>
      </c>
      <c r="F1264">
        <v>1</v>
      </c>
      <c r="G1264">
        <v>1</v>
      </c>
      <c r="H1264">
        <v>1</v>
      </c>
      <c r="I1264">
        <v>1</v>
      </c>
      <c r="N1264">
        <v>1</v>
      </c>
      <c r="P1264">
        <v>1</v>
      </c>
    </row>
    <row r="1265" spans="1:16" x14ac:dyDescent="0.3">
      <c r="A1265" t="s">
        <v>51</v>
      </c>
      <c r="B1265">
        <v>30</v>
      </c>
      <c r="C1265">
        <v>0</v>
      </c>
      <c r="E1265">
        <v>0</v>
      </c>
      <c r="F1265">
        <v>6</v>
      </c>
      <c r="G1265">
        <v>0</v>
      </c>
      <c r="H1265">
        <v>0</v>
      </c>
      <c r="I1265">
        <v>0</v>
      </c>
      <c r="N1265">
        <v>0</v>
      </c>
      <c r="P1265">
        <v>60</v>
      </c>
    </row>
    <row r="1266" spans="1:16" x14ac:dyDescent="0.3">
      <c r="A1266" t="s">
        <v>53</v>
      </c>
      <c r="B1266">
        <v>30</v>
      </c>
      <c r="C1266">
        <v>2</v>
      </c>
      <c r="E1266">
        <v>1078</v>
      </c>
      <c r="F1266">
        <v>6</v>
      </c>
      <c r="G1266">
        <v>0</v>
      </c>
      <c r="H1266">
        <v>20</v>
      </c>
      <c r="I1266">
        <v>735</v>
      </c>
      <c r="N1266">
        <v>23</v>
      </c>
      <c r="P1266">
        <v>55</v>
      </c>
    </row>
    <row r="1267" spans="1:16" x14ac:dyDescent="0.3">
      <c r="A1267" t="s">
        <v>54</v>
      </c>
      <c r="B1267">
        <v>30</v>
      </c>
      <c r="C1267">
        <v>0</v>
      </c>
      <c r="E1267">
        <v>0</v>
      </c>
      <c r="F1267">
        <v>0</v>
      </c>
      <c r="G1267">
        <v>0</v>
      </c>
      <c r="H1267">
        <v>0</v>
      </c>
      <c r="I1267">
        <v>0</v>
      </c>
      <c r="N1267">
        <v>0</v>
      </c>
      <c r="P1267">
        <v>0</v>
      </c>
    </row>
    <row r="1268" spans="1:16" x14ac:dyDescent="0.3">
      <c r="A1268" t="s">
        <v>55</v>
      </c>
      <c r="B1268">
        <v>30</v>
      </c>
      <c r="C1268">
        <v>0</v>
      </c>
      <c r="E1268">
        <v>0</v>
      </c>
      <c r="F1268">
        <v>0</v>
      </c>
      <c r="G1268">
        <v>0</v>
      </c>
      <c r="H1268">
        <v>0</v>
      </c>
      <c r="I1268">
        <v>0</v>
      </c>
      <c r="N1268">
        <v>0</v>
      </c>
      <c r="P1268">
        <v>0</v>
      </c>
    </row>
    <row r="1269" spans="1:16" x14ac:dyDescent="0.3">
      <c r="A1269" t="s">
        <v>56</v>
      </c>
      <c r="B1269">
        <v>30</v>
      </c>
      <c r="C1269">
        <v>0.92</v>
      </c>
      <c r="E1269">
        <v>0.92</v>
      </c>
      <c r="F1269">
        <v>0.92</v>
      </c>
      <c r="G1269">
        <v>0.92</v>
      </c>
      <c r="H1269">
        <v>0.92</v>
      </c>
      <c r="I1269">
        <v>0.92</v>
      </c>
      <c r="N1269">
        <v>0.92</v>
      </c>
      <c r="P1269">
        <v>0.92</v>
      </c>
    </row>
    <row r="1270" spans="1:16" x14ac:dyDescent="0.3">
      <c r="A1270" t="s">
        <v>57</v>
      </c>
      <c r="B1270">
        <v>30</v>
      </c>
      <c r="C1270">
        <v>100</v>
      </c>
      <c r="E1270">
        <v>100</v>
      </c>
      <c r="F1270">
        <v>100</v>
      </c>
      <c r="G1270">
        <v>100</v>
      </c>
      <c r="H1270">
        <v>100</v>
      </c>
      <c r="I1270">
        <v>100</v>
      </c>
      <c r="N1270">
        <v>100</v>
      </c>
      <c r="P1270">
        <v>100</v>
      </c>
    </row>
    <row r="1271" spans="1:16" x14ac:dyDescent="0.3">
      <c r="A1271" t="s">
        <v>58</v>
      </c>
      <c r="B1271">
        <v>30</v>
      </c>
      <c r="C1271">
        <v>2</v>
      </c>
      <c r="E1271">
        <v>2</v>
      </c>
      <c r="F1271">
        <v>2</v>
      </c>
      <c r="G1271">
        <v>2</v>
      </c>
      <c r="H1271">
        <v>2</v>
      </c>
      <c r="I1271">
        <v>2</v>
      </c>
      <c r="N1271">
        <v>2</v>
      </c>
      <c r="P1271">
        <v>2</v>
      </c>
    </row>
    <row r="1272" spans="1:16" x14ac:dyDescent="0.3">
      <c r="A1272" t="s">
        <v>59</v>
      </c>
      <c r="B1272">
        <v>30</v>
      </c>
      <c r="C1272">
        <v>0</v>
      </c>
      <c r="E1272">
        <v>0</v>
      </c>
      <c r="F1272">
        <v>0</v>
      </c>
      <c r="G1272">
        <v>0</v>
      </c>
      <c r="H1272">
        <v>0</v>
      </c>
      <c r="I1272">
        <v>0</v>
      </c>
      <c r="N1272">
        <v>0</v>
      </c>
      <c r="P1272">
        <v>0</v>
      </c>
    </row>
    <row r="1273" spans="1:16" x14ac:dyDescent="0.3">
      <c r="A1273" t="s">
        <v>635</v>
      </c>
      <c r="B1273">
        <v>30</v>
      </c>
      <c r="E1273">
        <v>0</v>
      </c>
      <c r="I1273">
        <v>0</v>
      </c>
      <c r="N1273">
        <v>0</v>
      </c>
    </row>
    <row r="1274" spans="1:16" x14ac:dyDescent="0.3">
      <c r="A1274" t="s">
        <v>574</v>
      </c>
      <c r="B1274">
        <v>30</v>
      </c>
      <c r="E1274">
        <v>2237</v>
      </c>
      <c r="I1274">
        <v>1575</v>
      </c>
      <c r="N1274">
        <v>618</v>
      </c>
    </row>
    <row r="1275" spans="1:16" x14ac:dyDescent="0.3">
      <c r="A1275" t="s">
        <v>78</v>
      </c>
      <c r="B1275">
        <v>30</v>
      </c>
      <c r="E1275">
        <v>27.7</v>
      </c>
      <c r="I1275">
        <v>19.5</v>
      </c>
      <c r="N1275">
        <v>16.899999999999999</v>
      </c>
    </row>
    <row r="1276" spans="1:16" x14ac:dyDescent="0.3">
      <c r="A1276" t="s">
        <v>636</v>
      </c>
      <c r="B1276">
        <v>30</v>
      </c>
      <c r="F1276">
        <v>1</v>
      </c>
      <c r="I1276">
        <v>0</v>
      </c>
      <c r="P1276">
        <v>1</v>
      </c>
    </row>
    <row r="1277" spans="1:16" x14ac:dyDescent="0.3">
      <c r="A1277" t="s">
        <v>637</v>
      </c>
      <c r="B1277">
        <v>30</v>
      </c>
      <c r="F1277">
        <v>50</v>
      </c>
      <c r="P1277">
        <v>50</v>
      </c>
    </row>
    <row r="1278" spans="1:16" x14ac:dyDescent="0.3">
      <c r="A1278" t="s">
        <v>638</v>
      </c>
      <c r="B1278">
        <v>30</v>
      </c>
      <c r="F1278">
        <v>0</v>
      </c>
      <c r="P1278">
        <v>0</v>
      </c>
    </row>
    <row r="1279" spans="1:16" x14ac:dyDescent="0.3">
      <c r="A1279" t="s">
        <v>639</v>
      </c>
      <c r="B1279">
        <v>30</v>
      </c>
      <c r="C1279">
        <v>3</v>
      </c>
      <c r="E1279">
        <v>0</v>
      </c>
      <c r="F1279">
        <v>1</v>
      </c>
      <c r="G1279">
        <v>3</v>
      </c>
      <c r="H1279">
        <v>0</v>
      </c>
      <c r="I1279">
        <v>0</v>
      </c>
      <c r="N1279">
        <v>0</v>
      </c>
      <c r="P1279">
        <v>1</v>
      </c>
    </row>
    <row r="1280" spans="1:16" x14ac:dyDescent="0.3">
      <c r="A1280" t="s">
        <v>640</v>
      </c>
      <c r="B1280">
        <v>30</v>
      </c>
      <c r="C1280">
        <v>0</v>
      </c>
      <c r="E1280">
        <v>0</v>
      </c>
      <c r="F1280">
        <v>0</v>
      </c>
      <c r="G1280">
        <v>0</v>
      </c>
      <c r="H1280">
        <v>0</v>
      </c>
      <c r="I1280">
        <v>0</v>
      </c>
      <c r="N1280">
        <v>0</v>
      </c>
      <c r="P1280">
        <v>0</v>
      </c>
    </row>
    <row r="1281" spans="1:16" x14ac:dyDescent="0.3">
      <c r="A1281" t="s">
        <v>52</v>
      </c>
      <c r="B1281">
        <v>30</v>
      </c>
      <c r="C1281">
        <v>1</v>
      </c>
      <c r="E1281">
        <v>1</v>
      </c>
      <c r="F1281">
        <v>1</v>
      </c>
      <c r="G1281">
        <v>0.99</v>
      </c>
      <c r="H1281">
        <v>0.99</v>
      </c>
      <c r="I1281">
        <v>0.99</v>
      </c>
      <c r="N1281">
        <v>1.01</v>
      </c>
      <c r="P1281">
        <v>1.01</v>
      </c>
    </row>
    <row r="1282" spans="1:16" x14ac:dyDescent="0.3">
      <c r="A1282" t="s">
        <v>641</v>
      </c>
      <c r="B1282">
        <v>30</v>
      </c>
      <c r="C1282">
        <v>9</v>
      </c>
      <c r="E1282">
        <v>60</v>
      </c>
      <c r="F1282">
        <v>9</v>
      </c>
      <c r="G1282">
        <v>9</v>
      </c>
      <c r="H1282">
        <v>15</v>
      </c>
      <c r="I1282">
        <v>60</v>
      </c>
      <c r="N1282">
        <v>15</v>
      </c>
      <c r="P1282">
        <v>9</v>
      </c>
    </row>
    <row r="1283" spans="1:16" x14ac:dyDescent="0.3">
      <c r="A1283" t="s">
        <v>43</v>
      </c>
      <c r="B1283">
        <v>30</v>
      </c>
      <c r="C1283">
        <v>35</v>
      </c>
      <c r="E1283">
        <v>415</v>
      </c>
      <c r="F1283">
        <v>0</v>
      </c>
      <c r="H1283">
        <v>35</v>
      </c>
      <c r="I1283">
        <v>401</v>
      </c>
      <c r="N1283">
        <v>35</v>
      </c>
      <c r="P1283">
        <v>0</v>
      </c>
    </row>
    <row r="1284" spans="1:16" x14ac:dyDescent="0.3">
      <c r="A1284" t="s">
        <v>44</v>
      </c>
      <c r="B1284">
        <v>30</v>
      </c>
      <c r="C1284">
        <v>-5</v>
      </c>
      <c r="E1284">
        <v>0</v>
      </c>
      <c r="F1284">
        <v>0</v>
      </c>
      <c r="H1284">
        <v>-5</v>
      </c>
      <c r="I1284">
        <v>0</v>
      </c>
      <c r="N1284">
        <v>-5</v>
      </c>
      <c r="P1284">
        <v>0</v>
      </c>
    </row>
    <row r="1285" spans="1:16" x14ac:dyDescent="0.3">
      <c r="A1285" t="s">
        <v>47</v>
      </c>
      <c r="B1285">
        <v>30</v>
      </c>
      <c r="C1285">
        <v>6</v>
      </c>
      <c r="E1285">
        <v>6</v>
      </c>
      <c r="F1285">
        <v>6</v>
      </c>
      <c r="H1285">
        <v>5</v>
      </c>
      <c r="I1285">
        <v>2</v>
      </c>
      <c r="N1285">
        <v>4</v>
      </c>
      <c r="P1285">
        <v>4</v>
      </c>
    </row>
    <row r="1286" spans="1:16" x14ac:dyDescent="0.3">
      <c r="A1286" t="s">
        <v>642</v>
      </c>
      <c r="B1286">
        <v>30</v>
      </c>
      <c r="C1286">
        <v>0</v>
      </c>
      <c r="E1286">
        <v>0</v>
      </c>
      <c r="F1286">
        <v>0</v>
      </c>
      <c r="H1286">
        <v>0</v>
      </c>
      <c r="I1286">
        <v>0</v>
      </c>
      <c r="N1286">
        <v>0</v>
      </c>
      <c r="P1286">
        <v>0</v>
      </c>
    </row>
    <row r="1287" spans="1:16" x14ac:dyDescent="0.3">
      <c r="A1287" t="s">
        <v>643</v>
      </c>
      <c r="B1287">
        <v>30</v>
      </c>
      <c r="C1287">
        <v>0</v>
      </c>
      <c r="E1287">
        <v>0</v>
      </c>
      <c r="F1287">
        <v>0</v>
      </c>
      <c r="H1287">
        <v>0</v>
      </c>
      <c r="I1287">
        <v>0</v>
      </c>
      <c r="N1287">
        <v>0</v>
      </c>
      <c r="P1287">
        <v>0</v>
      </c>
    </row>
    <row r="1288" spans="1:16" x14ac:dyDescent="0.3">
      <c r="A1288" t="s">
        <v>644</v>
      </c>
      <c r="B1288">
        <v>30</v>
      </c>
      <c r="C1288">
        <v>0</v>
      </c>
      <c r="E1288">
        <v>0</v>
      </c>
      <c r="F1288">
        <v>0</v>
      </c>
      <c r="H1288">
        <v>0</v>
      </c>
      <c r="I1288">
        <v>0</v>
      </c>
      <c r="N1288">
        <v>0</v>
      </c>
      <c r="P1288">
        <v>0</v>
      </c>
    </row>
    <row r="1289" spans="1:16" x14ac:dyDescent="0.3">
      <c r="A1289" t="s">
        <v>645</v>
      </c>
      <c r="B1289">
        <v>30</v>
      </c>
      <c r="C1289">
        <v>0</v>
      </c>
      <c r="E1289">
        <v>0</v>
      </c>
      <c r="F1289">
        <v>0</v>
      </c>
      <c r="H1289">
        <v>0</v>
      </c>
      <c r="I1289">
        <v>0</v>
      </c>
      <c r="N1289">
        <v>0</v>
      </c>
      <c r="P1289">
        <v>0</v>
      </c>
    </row>
    <row r="1290" spans="1:16" x14ac:dyDescent="0.3">
      <c r="A1290" t="s">
        <v>646</v>
      </c>
      <c r="B1290">
        <v>30</v>
      </c>
      <c r="C1290">
        <v>1</v>
      </c>
      <c r="E1290">
        <v>2</v>
      </c>
      <c r="F1290">
        <v>1</v>
      </c>
      <c r="H1290">
        <v>1</v>
      </c>
      <c r="I1290">
        <v>2</v>
      </c>
      <c r="N1290">
        <v>1</v>
      </c>
      <c r="P1290">
        <v>1</v>
      </c>
    </row>
    <row r="1291" spans="1:16" x14ac:dyDescent="0.3">
      <c r="A1291" t="s">
        <v>647</v>
      </c>
      <c r="B1291">
        <v>30</v>
      </c>
      <c r="C1291">
        <v>-5</v>
      </c>
      <c r="E1291">
        <v>409</v>
      </c>
      <c r="F1291">
        <v>0</v>
      </c>
      <c r="H1291">
        <v>-5</v>
      </c>
      <c r="I1291">
        <v>395</v>
      </c>
      <c r="N1291">
        <v>-5</v>
      </c>
      <c r="P1291">
        <v>0</v>
      </c>
    </row>
    <row r="1292" spans="1:16" x14ac:dyDescent="0.3">
      <c r="A1292" t="s">
        <v>648</v>
      </c>
      <c r="B1292">
        <v>30</v>
      </c>
      <c r="C1292">
        <v>40</v>
      </c>
      <c r="E1292">
        <v>6</v>
      </c>
      <c r="F1292">
        <v>0</v>
      </c>
      <c r="H1292">
        <v>40</v>
      </c>
      <c r="I1292">
        <v>6</v>
      </c>
      <c r="N1292">
        <v>40</v>
      </c>
      <c r="P1292">
        <v>0</v>
      </c>
    </row>
    <row r="1293" spans="1:16" x14ac:dyDescent="0.3">
      <c r="A1293" t="s">
        <v>649</v>
      </c>
      <c r="B1293">
        <v>30</v>
      </c>
      <c r="C1293">
        <v>3</v>
      </c>
      <c r="E1293">
        <v>3</v>
      </c>
      <c r="F1293">
        <v>3</v>
      </c>
      <c r="H1293">
        <v>3</v>
      </c>
      <c r="I1293">
        <v>3</v>
      </c>
      <c r="N1293">
        <v>3</v>
      </c>
      <c r="P1293">
        <v>3</v>
      </c>
    </row>
    <row r="1294" spans="1:16" x14ac:dyDescent="0.3">
      <c r="A1294" t="s">
        <v>650</v>
      </c>
      <c r="B1294">
        <v>30</v>
      </c>
      <c r="C1294">
        <v>0</v>
      </c>
      <c r="E1294">
        <v>0</v>
      </c>
      <c r="F1294">
        <v>0</v>
      </c>
      <c r="H1294">
        <v>0</v>
      </c>
      <c r="I1294">
        <v>0</v>
      </c>
      <c r="N1294">
        <v>0</v>
      </c>
      <c r="P1294">
        <v>0</v>
      </c>
    </row>
    <row r="1295" spans="1:16" x14ac:dyDescent="0.3">
      <c r="A1295" t="s">
        <v>651</v>
      </c>
      <c r="B1295">
        <v>30</v>
      </c>
      <c r="C1295">
        <v>0</v>
      </c>
      <c r="E1295">
        <v>0</v>
      </c>
      <c r="F1295">
        <v>0</v>
      </c>
      <c r="H1295">
        <v>0</v>
      </c>
      <c r="I1295">
        <v>0</v>
      </c>
      <c r="N1295">
        <v>0</v>
      </c>
      <c r="P1295">
        <v>0</v>
      </c>
    </row>
    <row r="1296" spans="1:16" x14ac:dyDescent="0.3">
      <c r="A1296" t="s">
        <v>652</v>
      </c>
      <c r="B1296">
        <v>30</v>
      </c>
      <c r="C1296">
        <v>0</v>
      </c>
      <c r="E1296">
        <v>0</v>
      </c>
      <c r="F1296">
        <v>0</v>
      </c>
      <c r="H1296">
        <v>0</v>
      </c>
      <c r="I1296">
        <v>0</v>
      </c>
      <c r="N1296">
        <v>0</v>
      </c>
      <c r="P1296">
        <v>0</v>
      </c>
    </row>
    <row r="1297" spans="1:16" x14ac:dyDescent="0.3">
      <c r="A1297" t="s">
        <v>653</v>
      </c>
      <c r="B1297">
        <v>30</v>
      </c>
      <c r="E1297">
        <v>0</v>
      </c>
      <c r="I1297">
        <v>0</v>
      </c>
    </row>
    <row r="1298" spans="1:16" x14ac:dyDescent="0.3">
      <c r="A1298" t="s">
        <v>654</v>
      </c>
      <c r="B1298">
        <v>30</v>
      </c>
      <c r="E1298">
        <v>0</v>
      </c>
      <c r="I1298">
        <v>0</v>
      </c>
    </row>
    <row r="1299" spans="1:16" x14ac:dyDescent="0.3">
      <c r="A1299" t="s">
        <v>655</v>
      </c>
      <c r="B1299">
        <v>30</v>
      </c>
      <c r="E1299">
        <v>3</v>
      </c>
      <c r="I1299">
        <v>3</v>
      </c>
    </row>
    <row r="1300" spans="1:16" x14ac:dyDescent="0.3">
      <c r="A1300" t="s">
        <v>656</v>
      </c>
      <c r="B1300">
        <v>30</v>
      </c>
      <c r="E1300">
        <v>0</v>
      </c>
      <c r="I1300">
        <v>0</v>
      </c>
    </row>
    <row r="1301" spans="1:16" x14ac:dyDescent="0.3">
      <c r="A1301" t="s">
        <v>657</v>
      </c>
      <c r="B1301">
        <v>30</v>
      </c>
      <c r="E1301">
        <v>0</v>
      </c>
      <c r="I1301">
        <v>0</v>
      </c>
      <c r="N1301">
        <v>0</v>
      </c>
    </row>
    <row r="1302" spans="1:16" x14ac:dyDescent="0.3">
      <c r="A1302" t="s">
        <v>408</v>
      </c>
      <c r="B1302">
        <v>30</v>
      </c>
      <c r="E1302">
        <v>0</v>
      </c>
    </row>
    <row r="1303" spans="1:16" x14ac:dyDescent="0.3">
      <c r="A1303" t="s">
        <v>658</v>
      </c>
      <c r="B1303">
        <v>30</v>
      </c>
      <c r="C1303">
        <v>2</v>
      </c>
      <c r="E1303">
        <v>1172</v>
      </c>
      <c r="F1303">
        <v>7</v>
      </c>
      <c r="G1303">
        <v>0</v>
      </c>
      <c r="H1303">
        <v>22</v>
      </c>
      <c r="I1303">
        <v>799</v>
      </c>
      <c r="N1303">
        <v>25</v>
      </c>
      <c r="P1303">
        <v>60</v>
      </c>
    </row>
    <row r="1304" spans="1:16" x14ac:dyDescent="0.3">
      <c r="A1304" t="s">
        <v>34</v>
      </c>
      <c r="B1304">
        <v>31</v>
      </c>
      <c r="C1304">
        <v>30</v>
      </c>
      <c r="D1304">
        <v>30</v>
      </c>
      <c r="E1304">
        <v>30</v>
      </c>
      <c r="F1304">
        <v>30</v>
      </c>
      <c r="G1304">
        <v>8</v>
      </c>
      <c r="H1304">
        <v>8</v>
      </c>
      <c r="I1304">
        <v>8</v>
      </c>
      <c r="J1304">
        <v>8</v>
      </c>
      <c r="K1304">
        <v>136</v>
      </c>
      <c r="L1304">
        <v>136</v>
      </c>
      <c r="M1304">
        <v>136</v>
      </c>
      <c r="N1304">
        <v>137</v>
      </c>
      <c r="O1304">
        <v>137</v>
      </c>
      <c r="P1304">
        <v>137</v>
      </c>
    </row>
    <row r="1305" spans="1:16" x14ac:dyDescent="0.3">
      <c r="A1305" t="s">
        <v>35</v>
      </c>
      <c r="B1305">
        <v>31</v>
      </c>
      <c r="C1305">
        <v>30</v>
      </c>
      <c r="D1305">
        <v>136</v>
      </c>
      <c r="E1305">
        <v>8</v>
      </c>
      <c r="F1305">
        <v>137</v>
      </c>
      <c r="G1305">
        <v>8</v>
      </c>
      <c r="H1305">
        <v>137</v>
      </c>
      <c r="I1305">
        <v>30</v>
      </c>
      <c r="J1305">
        <v>136</v>
      </c>
      <c r="K1305">
        <v>8</v>
      </c>
      <c r="L1305">
        <v>137</v>
      </c>
      <c r="M1305">
        <v>30</v>
      </c>
      <c r="N1305">
        <v>30</v>
      </c>
      <c r="O1305">
        <v>136</v>
      </c>
      <c r="P1305">
        <v>8</v>
      </c>
    </row>
    <row r="1306" spans="1:16" x14ac:dyDescent="0.3">
      <c r="A1306" t="s">
        <v>36</v>
      </c>
      <c r="B1306">
        <v>31</v>
      </c>
      <c r="C1306">
        <v>0</v>
      </c>
      <c r="D1306">
        <v>1</v>
      </c>
      <c r="E1306">
        <v>2</v>
      </c>
      <c r="F1306">
        <v>1</v>
      </c>
      <c r="G1306">
        <v>0</v>
      </c>
      <c r="H1306">
        <v>2</v>
      </c>
      <c r="I1306">
        <v>2</v>
      </c>
      <c r="J1306">
        <v>1</v>
      </c>
      <c r="K1306">
        <v>0</v>
      </c>
      <c r="L1306">
        <v>1</v>
      </c>
      <c r="M1306">
        <v>0</v>
      </c>
      <c r="N1306">
        <v>1</v>
      </c>
      <c r="O1306">
        <v>1</v>
      </c>
      <c r="P1306">
        <v>1</v>
      </c>
    </row>
    <row r="1307" spans="1:16" x14ac:dyDescent="0.3">
      <c r="A1307" t="s">
        <v>37</v>
      </c>
      <c r="B1307">
        <v>31</v>
      </c>
      <c r="D1307">
        <v>0</v>
      </c>
      <c r="E1307">
        <v>0</v>
      </c>
      <c r="H1307">
        <v>0</v>
      </c>
      <c r="I1307">
        <v>0</v>
      </c>
      <c r="K1307">
        <v>0</v>
      </c>
      <c r="L1307">
        <v>3</v>
      </c>
      <c r="N1307">
        <v>0</v>
      </c>
      <c r="O1307">
        <v>1</v>
      </c>
    </row>
    <row r="1308" spans="1:16" x14ac:dyDescent="0.3">
      <c r="A1308" t="s">
        <v>38</v>
      </c>
      <c r="B1308">
        <v>31</v>
      </c>
      <c r="C1308">
        <v>12</v>
      </c>
      <c r="D1308">
        <v>12</v>
      </c>
      <c r="E1308">
        <v>12</v>
      </c>
      <c r="F1308">
        <v>12</v>
      </c>
      <c r="G1308">
        <v>12</v>
      </c>
      <c r="H1308">
        <v>12</v>
      </c>
      <c r="I1308">
        <v>12</v>
      </c>
      <c r="J1308">
        <v>12</v>
      </c>
      <c r="K1308">
        <v>12</v>
      </c>
      <c r="L1308">
        <v>12</v>
      </c>
      <c r="M1308">
        <v>12</v>
      </c>
      <c r="N1308">
        <v>12</v>
      </c>
      <c r="O1308">
        <v>12</v>
      </c>
      <c r="P1308">
        <v>12</v>
      </c>
    </row>
    <row r="1309" spans="1:16" x14ac:dyDescent="0.3">
      <c r="A1309" t="s">
        <v>39</v>
      </c>
      <c r="B1309">
        <v>31</v>
      </c>
      <c r="D1309">
        <v>182</v>
      </c>
      <c r="F1309">
        <v>215</v>
      </c>
      <c r="H1309">
        <v>191</v>
      </c>
      <c r="J1309">
        <v>170</v>
      </c>
      <c r="P1309">
        <v>120</v>
      </c>
    </row>
    <row r="1310" spans="1:16" x14ac:dyDescent="0.3">
      <c r="A1310" t="s">
        <v>631</v>
      </c>
      <c r="B1310">
        <v>31</v>
      </c>
      <c r="D1310">
        <v>25</v>
      </c>
      <c r="F1310">
        <v>25</v>
      </c>
      <c r="H1310">
        <v>25</v>
      </c>
      <c r="J1310">
        <v>25</v>
      </c>
      <c r="P1310">
        <v>25</v>
      </c>
    </row>
    <row r="1311" spans="1:16" x14ac:dyDescent="0.3">
      <c r="A1311" t="s">
        <v>40</v>
      </c>
      <c r="B1311">
        <v>31</v>
      </c>
      <c r="D1311">
        <v>1</v>
      </c>
      <c r="F1311">
        <v>1</v>
      </c>
      <c r="H1311">
        <v>2</v>
      </c>
      <c r="J1311">
        <v>1</v>
      </c>
      <c r="P1311">
        <v>1</v>
      </c>
    </row>
    <row r="1312" spans="1:16" x14ac:dyDescent="0.3">
      <c r="A1312" t="s">
        <v>41</v>
      </c>
      <c r="B1312">
        <v>31</v>
      </c>
    </row>
    <row r="1313" spans="1:16" x14ac:dyDescent="0.3">
      <c r="A1313" t="s">
        <v>42</v>
      </c>
      <c r="B1313">
        <v>31</v>
      </c>
      <c r="E1313">
        <v>55</v>
      </c>
      <c r="I1313">
        <v>55</v>
      </c>
      <c r="L1313">
        <v>25</v>
      </c>
      <c r="O1313">
        <v>35</v>
      </c>
    </row>
    <row r="1314" spans="1:16" x14ac:dyDescent="0.3">
      <c r="A1314" t="s">
        <v>45</v>
      </c>
      <c r="B1314">
        <v>31</v>
      </c>
      <c r="E1314">
        <v>6</v>
      </c>
      <c r="H1314">
        <v>5</v>
      </c>
      <c r="I1314">
        <v>2</v>
      </c>
      <c r="K1314">
        <v>3</v>
      </c>
      <c r="L1314">
        <v>3</v>
      </c>
      <c r="N1314">
        <v>4</v>
      </c>
      <c r="O1314">
        <v>4</v>
      </c>
    </row>
    <row r="1315" spans="1:16" x14ac:dyDescent="0.3">
      <c r="A1315" t="s">
        <v>46</v>
      </c>
      <c r="B1315">
        <v>31</v>
      </c>
      <c r="D1315">
        <v>6</v>
      </c>
      <c r="F1315">
        <v>6</v>
      </c>
      <c r="J1315">
        <v>2</v>
      </c>
      <c r="P1315">
        <v>3</v>
      </c>
    </row>
    <row r="1316" spans="1:16" x14ac:dyDescent="0.3">
      <c r="A1316" t="s">
        <v>49</v>
      </c>
      <c r="B1316">
        <v>31</v>
      </c>
      <c r="C1316">
        <v>4</v>
      </c>
      <c r="D1316">
        <v>7.9</v>
      </c>
      <c r="E1316">
        <v>7.9</v>
      </c>
      <c r="F1316">
        <v>7.9</v>
      </c>
      <c r="G1316">
        <v>4</v>
      </c>
      <c r="H1316">
        <v>6.5</v>
      </c>
      <c r="I1316">
        <v>7.9</v>
      </c>
      <c r="J1316">
        <v>7.9</v>
      </c>
      <c r="K1316">
        <v>6.3</v>
      </c>
      <c r="L1316">
        <v>6.3</v>
      </c>
      <c r="M1316">
        <v>4</v>
      </c>
      <c r="N1316">
        <v>7.4</v>
      </c>
      <c r="O1316">
        <v>7.4</v>
      </c>
      <c r="P1316">
        <v>6.3</v>
      </c>
    </row>
    <row r="1317" spans="1:16" x14ac:dyDescent="0.3">
      <c r="A1317" t="s">
        <v>632</v>
      </c>
      <c r="B1317">
        <v>31</v>
      </c>
      <c r="C1317">
        <v>0</v>
      </c>
      <c r="D1317">
        <v>0</v>
      </c>
      <c r="E1317">
        <v>0</v>
      </c>
      <c r="F1317">
        <v>0</v>
      </c>
      <c r="G1317">
        <v>0</v>
      </c>
      <c r="H1317">
        <v>0</v>
      </c>
      <c r="I1317">
        <v>0</v>
      </c>
      <c r="J1317">
        <v>0</v>
      </c>
      <c r="K1317">
        <v>0</v>
      </c>
      <c r="L1317">
        <v>0</v>
      </c>
      <c r="M1317">
        <v>0</v>
      </c>
      <c r="N1317">
        <v>0</v>
      </c>
      <c r="O1317">
        <v>0</v>
      </c>
      <c r="P1317">
        <v>0</v>
      </c>
    </row>
    <row r="1318" spans="1:16" x14ac:dyDescent="0.3">
      <c r="A1318" t="s">
        <v>48</v>
      </c>
      <c r="B1318">
        <v>31</v>
      </c>
      <c r="C1318">
        <v>1900</v>
      </c>
      <c r="D1318">
        <v>1900</v>
      </c>
      <c r="E1318">
        <v>1900</v>
      </c>
      <c r="F1318">
        <v>1900</v>
      </c>
      <c r="G1318">
        <v>1900</v>
      </c>
      <c r="H1318">
        <v>1900</v>
      </c>
      <c r="I1318">
        <v>1900</v>
      </c>
      <c r="J1318">
        <v>1900</v>
      </c>
      <c r="K1318">
        <v>1900</v>
      </c>
      <c r="L1318">
        <v>1900</v>
      </c>
      <c r="M1318">
        <v>1900</v>
      </c>
      <c r="N1318">
        <v>1900</v>
      </c>
      <c r="O1318">
        <v>1900</v>
      </c>
      <c r="P1318">
        <v>1900</v>
      </c>
    </row>
    <row r="1319" spans="1:16" x14ac:dyDescent="0.3">
      <c r="A1319" t="s">
        <v>633</v>
      </c>
      <c r="B1319">
        <v>31</v>
      </c>
      <c r="C1319">
        <v>0</v>
      </c>
      <c r="D1319">
        <v>1844</v>
      </c>
      <c r="E1319">
        <v>3504</v>
      </c>
      <c r="F1319">
        <v>1567</v>
      </c>
      <c r="G1319">
        <v>0</v>
      </c>
      <c r="H1319">
        <v>3485</v>
      </c>
      <c r="I1319">
        <v>3592</v>
      </c>
      <c r="J1319">
        <v>1607</v>
      </c>
      <c r="K1319">
        <v>0</v>
      </c>
      <c r="L1319">
        <v>1733</v>
      </c>
      <c r="M1319">
        <v>0</v>
      </c>
      <c r="N1319">
        <v>1639</v>
      </c>
      <c r="O1319">
        <v>1639</v>
      </c>
      <c r="P1319">
        <v>1544</v>
      </c>
    </row>
    <row r="1320" spans="1:16" x14ac:dyDescent="0.3">
      <c r="A1320" t="s">
        <v>50</v>
      </c>
      <c r="B1320">
        <v>31</v>
      </c>
      <c r="C1320">
        <v>0</v>
      </c>
      <c r="D1320">
        <v>1844</v>
      </c>
      <c r="E1320">
        <v>3504</v>
      </c>
      <c r="F1320">
        <v>1567</v>
      </c>
      <c r="G1320">
        <v>0</v>
      </c>
      <c r="H1320">
        <v>3485</v>
      </c>
      <c r="I1320">
        <v>3592</v>
      </c>
      <c r="J1320">
        <v>1607</v>
      </c>
      <c r="K1320">
        <v>0</v>
      </c>
      <c r="L1320">
        <v>1733</v>
      </c>
      <c r="M1320">
        <v>0</v>
      </c>
      <c r="N1320">
        <v>1639</v>
      </c>
      <c r="O1320">
        <v>1639</v>
      </c>
      <c r="P1320">
        <v>1544</v>
      </c>
    </row>
    <row r="1321" spans="1:16" x14ac:dyDescent="0.3">
      <c r="A1321" t="s">
        <v>634</v>
      </c>
      <c r="B1321">
        <v>31</v>
      </c>
      <c r="C1321">
        <v>1</v>
      </c>
      <c r="D1321">
        <v>1</v>
      </c>
      <c r="E1321">
        <v>1</v>
      </c>
      <c r="F1321">
        <v>1</v>
      </c>
      <c r="G1321">
        <v>1</v>
      </c>
      <c r="H1321">
        <v>1</v>
      </c>
      <c r="I1321">
        <v>1</v>
      </c>
      <c r="J1321">
        <v>1</v>
      </c>
      <c r="K1321">
        <v>1</v>
      </c>
      <c r="L1321">
        <v>1</v>
      </c>
      <c r="M1321">
        <v>1</v>
      </c>
      <c r="N1321">
        <v>1</v>
      </c>
      <c r="O1321">
        <v>1</v>
      </c>
      <c r="P1321">
        <v>1</v>
      </c>
    </row>
    <row r="1322" spans="1:16" x14ac:dyDescent="0.3">
      <c r="A1322" t="s">
        <v>51</v>
      </c>
      <c r="B1322">
        <v>31</v>
      </c>
      <c r="C1322">
        <v>0</v>
      </c>
      <c r="D1322">
        <v>0</v>
      </c>
      <c r="E1322">
        <v>0</v>
      </c>
      <c r="F1322">
        <v>156</v>
      </c>
      <c r="G1322">
        <v>0</v>
      </c>
      <c r="H1322">
        <v>0</v>
      </c>
      <c r="I1322">
        <v>0</v>
      </c>
      <c r="J1322">
        <v>97</v>
      </c>
      <c r="K1322">
        <v>0</v>
      </c>
      <c r="L1322">
        <v>1</v>
      </c>
      <c r="M1322">
        <v>0</v>
      </c>
      <c r="N1322">
        <v>0</v>
      </c>
      <c r="O1322">
        <v>0</v>
      </c>
      <c r="P1322">
        <v>388</v>
      </c>
    </row>
    <row r="1323" spans="1:16" x14ac:dyDescent="0.3">
      <c r="A1323" t="s">
        <v>53</v>
      </c>
      <c r="B1323">
        <v>31</v>
      </c>
      <c r="C1323">
        <v>0</v>
      </c>
      <c r="D1323">
        <v>0</v>
      </c>
      <c r="E1323">
        <v>993</v>
      </c>
      <c r="F1323">
        <v>127</v>
      </c>
      <c r="G1323">
        <v>0</v>
      </c>
      <c r="H1323">
        <v>183</v>
      </c>
      <c r="I1323">
        <v>562</v>
      </c>
      <c r="J1323">
        <v>1</v>
      </c>
      <c r="K1323">
        <v>1</v>
      </c>
      <c r="L1323">
        <v>1</v>
      </c>
      <c r="M1323">
        <v>1</v>
      </c>
      <c r="N1323">
        <v>199</v>
      </c>
      <c r="O1323">
        <v>0</v>
      </c>
      <c r="P1323">
        <v>407</v>
      </c>
    </row>
    <row r="1324" spans="1:16" x14ac:dyDescent="0.3">
      <c r="A1324" t="s">
        <v>54</v>
      </c>
      <c r="B1324">
        <v>31</v>
      </c>
      <c r="C1324">
        <v>0</v>
      </c>
      <c r="D1324">
        <v>0</v>
      </c>
      <c r="E1324">
        <v>0</v>
      </c>
      <c r="F1324">
        <v>0</v>
      </c>
      <c r="G1324">
        <v>0</v>
      </c>
      <c r="H1324">
        <v>0</v>
      </c>
      <c r="I1324">
        <v>0</v>
      </c>
      <c r="J1324">
        <v>0</v>
      </c>
      <c r="K1324">
        <v>0</v>
      </c>
      <c r="L1324">
        <v>0</v>
      </c>
      <c r="M1324">
        <v>0</v>
      </c>
      <c r="N1324">
        <v>0</v>
      </c>
      <c r="O1324">
        <v>0</v>
      </c>
      <c r="P1324">
        <v>0</v>
      </c>
    </row>
    <row r="1325" spans="1:16" x14ac:dyDescent="0.3">
      <c r="A1325" t="s">
        <v>55</v>
      </c>
      <c r="B1325">
        <v>31</v>
      </c>
      <c r="C1325">
        <v>0</v>
      </c>
      <c r="D1325">
        <v>0</v>
      </c>
      <c r="E1325">
        <v>0</v>
      </c>
      <c r="F1325">
        <v>0</v>
      </c>
      <c r="G1325">
        <v>0</v>
      </c>
      <c r="H1325">
        <v>0</v>
      </c>
      <c r="I1325">
        <v>0</v>
      </c>
      <c r="J1325">
        <v>0</v>
      </c>
      <c r="K1325">
        <v>0</v>
      </c>
      <c r="L1325">
        <v>0</v>
      </c>
      <c r="M1325">
        <v>0</v>
      </c>
      <c r="N1325">
        <v>0</v>
      </c>
      <c r="O1325">
        <v>0</v>
      </c>
      <c r="P1325">
        <v>0</v>
      </c>
    </row>
    <row r="1326" spans="1:16" x14ac:dyDescent="0.3">
      <c r="A1326" t="s">
        <v>56</v>
      </c>
      <c r="B1326">
        <v>31</v>
      </c>
      <c r="C1326">
        <v>0.92</v>
      </c>
      <c r="D1326">
        <v>0.92</v>
      </c>
      <c r="E1326">
        <v>0.92</v>
      </c>
      <c r="F1326">
        <v>0.92</v>
      </c>
      <c r="G1326">
        <v>0.92</v>
      </c>
      <c r="H1326">
        <v>0.92</v>
      </c>
      <c r="I1326">
        <v>0.92</v>
      </c>
      <c r="J1326">
        <v>0.92</v>
      </c>
      <c r="K1326">
        <v>0.92</v>
      </c>
      <c r="L1326">
        <v>0.92</v>
      </c>
      <c r="M1326">
        <v>0.92</v>
      </c>
      <c r="N1326">
        <v>0.92</v>
      </c>
      <c r="O1326">
        <v>0.92</v>
      </c>
      <c r="P1326">
        <v>0.92</v>
      </c>
    </row>
    <row r="1327" spans="1:16" x14ac:dyDescent="0.3">
      <c r="A1327" t="s">
        <v>57</v>
      </c>
      <c r="B1327">
        <v>31</v>
      </c>
      <c r="C1327">
        <v>100</v>
      </c>
      <c r="D1327">
        <v>100</v>
      </c>
      <c r="E1327">
        <v>100</v>
      </c>
      <c r="F1327">
        <v>100</v>
      </c>
      <c r="G1327">
        <v>100</v>
      </c>
      <c r="H1327">
        <v>100</v>
      </c>
      <c r="I1327">
        <v>100</v>
      </c>
      <c r="J1327">
        <v>100</v>
      </c>
      <c r="K1327">
        <v>100</v>
      </c>
      <c r="L1327">
        <v>100</v>
      </c>
      <c r="M1327">
        <v>100</v>
      </c>
      <c r="N1327">
        <v>100</v>
      </c>
      <c r="O1327">
        <v>100</v>
      </c>
      <c r="P1327">
        <v>100</v>
      </c>
    </row>
    <row r="1328" spans="1:16" x14ac:dyDescent="0.3">
      <c r="A1328" t="s">
        <v>58</v>
      </c>
      <c r="B1328">
        <v>31</v>
      </c>
      <c r="C1328">
        <v>2</v>
      </c>
      <c r="D1328">
        <v>2</v>
      </c>
      <c r="E1328">
        <v>2</v>
      </c>
      <c r="F1328">
        <v>2</v>
      </c>
      <c r="G1328">
        <v>2</v>
      </c>
      <c r="H1328">
        <v>2</v>
      </c>
      <c r="I1328">
        <v>2</v>
      </c>
      <c r="J1328">
        <v>2</v>
      </c>
      <c r="K1328">
        <v>2</v>
      </c>
      <c r="L1328">
        <v>2</v>
      </c>
      <c r="M1328">
        <v>2</v>
      </c>
      <c r="N1328">
        <v>2</v>
      </c>
      <c r="O1328">
        <v>2</v>
      </c>
      <c r="P1328">
        <v>2</v>
      </c>
    </row>
    <row r="1329" spans="1:16" x14ac:dyDescent="0.3">
      <c r="A1329" t="s">
        <v>59</v>
      </c>
      <c r="B1329">
        <v>31</v>
      </c>
      <c r="C1329">
        <v>0</v>
      </c>
      <c r="D1329">
        <v>0</v>
      </c>
      <c r="E1329">
        <v>0</v>
      </c>
      <c r="F1329">
        <v>0</v>
      </c>
      <c r="G1329">
        <v>0</v>
      </c>
      <c r="H1329">
        <v>0</v>
      </c>
      <c r="I1329">
        <v>0</v>
      </c>
      <c r="J1329">
        <v>0</v>
      </c>
      <c r="K1329">
        <v>0</v>
      </c>
      <c r="L1329">
        <v>0</v>
      </c>
      <c r="M1329">
        <v>0</v>
      </c>
      <c r="N1329">
        <v>0</v>
      </c>
      <c r="O1329">
        <v>0</v>
      </c>
      <c r="P1329">
        <v>0</v>
      </c>
    </row>
    <row r="1330" spans="1:16" x14ac:dyDescent="0.3">
      <c r="A1330" t="s">
        <v>635</v>
      </c>
      <c r="B1330">
        <v>31</v>
      </c>
      <c r="E1330">
        <v>0</v>
      </c>
      <c r="I1330">
        <v>0</v>
      </c>
      <c r="L1330">
        <v>0</v>
      </c>
      <c r="O1330">
        <v>0</v>
      </c>
    </row>
    <row r="1331" spans="1:16" x14ac:dyDescent="0.3">
      <c r="A1331" t="s">
        <v>574</v>
      </c>
      <c r="B1331">
        <v>31</v>
      </c>
      <c r="E1331">
        <v>1575</v>
      </c>
      <c r="I1331">
        <v>410</v>
      </c>
      <c r="L1331">
        <v>329</v>
      </c>
      <c r="O1331">
        <v>264</v>
      </c>
    </row>
    <row r="1332" spans="1:16" x14ac:dyDescent="0.3">
      <c r="A1332" t="s">
        <v>78</v>
      </c>
      <c r="B1332">
        <v>31</v>
      </c>
      <c r="E1332">
        <v>19.5</v>
      </c>
      <c r="I1332">
        <v>5.0999999999999996</v>
      </c>
      <c r="L1332">
        <v>9</v>
      </c>
      <c r="O1332">
        <v>5.0999999999999996</v>
      </c>
    </row>
    <row r="1333" spans="1:16" x14ac:dyDescent="0.3">
      <c r="A1333" t="s">
        <v>636</v>
      </c>
      <c r="B1333">
        <v>31</v>
      </c>
      <c r="F1333">
        <v>2</v>
      </c>
      <c r="J1333">
        <v>0</v>
      </c>
      <c r="M1333">
        <v>0</v>
      </c>
      <c r="P1333">
        <v>2</v>
      </c>
    </row>
    <row r="1334" spans="1:16" x14ac:dyDescent="0.3">
      <c r="A1334" t="s">
        <v>637</v>
      </c>
      <c r="B1334">
        <v>31</v>
      </c>
      <c r="F1334">
        <v>50</v>
      </c>
      <c r="P1334">
        <v>50</v>
      </c>
    </row>
    <row r="1335" spans="1:16" x14ac:dyDescent="0.3">
      <c r="A1335" t="s">
        <v>638</v>
      </c>
      <c r="B1335">
        <v>31</v>
      </c>
      <c r="F1335">
        <v>2</v>
      </c>
      <c r="P1335">
        <v>1</v>
      </c>
    </row>
    <row r="1336" spans="1:16" x14ac:dyDescent="0.3">
      <c r="A1336" t="s">
        <v>639</v>
      </c>
      <c r="B1336">
        <v>31</v>
      </c>
      <c r="C1336">
        <v>3</v>
      </c>
      <c r="D1336">
        <v>0</v>
      </c>
      <c r="E1336">
        <v>0</v>
      </c>
      <c r="F1336">
        <v>1</v>
      </c>
      <c r="G1336">
        <v>3</v>
      </c>
      <c r="H1336">
        <v>0</v>
      </c>
      <c r="I1336">
        <v>0</v>
      </c>
      <c r="J1336">
        <v>1</v>
      </c>
      <c r="K1336">
        <v>0</v>
      </c>
      <c r="L1336">
        <v>0</v>
      </c>
      <c r="M1336">
        <v>1</v>
      </c>
      <c r="N1336">
        <v>0</v>
      </c>
      <c r="O1336">
        <v>0</v>
      </c>
      <c r="P1336">
        <v>1</v>
      </c>
    </row>
    <row r="1337" spans="1:16" x14ac:dyDescent="0.3">
      <c r="A1337" t="s">
        <v>640</v>
      </c>
      <c r="B1337">
        <v>31</v>
      </c>
      <c r="C1337">
        <v>0</v>
      </c>
      <c r="D1337">
        <v>0</v>
      </c>
      <c r="E1337">
        <v>0</v>
      </c>
      <c r="F1337">
        <v>0</v>
      </c>
      <c r="G1337">
        <v>0</v>
      </c>
      <c r="H1337">
        <v>0</v>
      </c>
      <c r="I1337">
        <v>0</v>
      </c>
      <c r="J1337">
        <v>0</v>
      </c>
      <c r="K1337">
        <v>0</v>
      </c>
      <c r="L1337">
        <v>0</v>
      </c>
      <c r="M1337">
        <v>0</v>
      </c>
      <c r="N1337">
        <v>0</v>
      </c>
      <c r="O1337">
        <v>0</v>
      </c>
      <c r="P1337">
        <v>0</v>
      </c>
    </row>
    <row r="1338" spans="1:16" x14ac:dyDescent="0.3">
      <c r="A1338" t="s">
        <v>52</v>
      </c>
      <c r="B1338">
        <v>31</v>
      </c>
      <c r="C1338">
        <v>1.01</v>
      </c>
      <c r="D1338">
        <v>1.01</v>
      </c>
      <c r="E1338">
        <v>1.01</v>
      </c>
      <c r="F1338">
        <v>1.01</v>
      </c>
      <c r="G1338">
        <v>0.98</v>
      </c>
      <c r="H1338">
        <v>0.98</v>
      </c>
      <c r="I1338">
        <v>0.98</v>
      </c>
      <c r="J1338">
        <v>0.98</v>
      </c>
      <c r="K1338">
        <v>1.01</v>
      </c>
      <c r="L1338">
        <v>1.01</v>
      </c>
      <c r="M1338">
        <v>1.01</v>
      </c>
      <c r="N1338">
        <v>1.03</v>
      </c>
      <c r="O1338">
        <v>1.03</v>
      </c>
      <c r="P1338">
        <v>1.03</v>
      </c>
    </row>
    <row r="1339" spans="1:16" x14ac:dyDescent="0.3">
      <c r="A1339" t="s">
        <v>641</v>
      </c>
      <c r="B1339">
        <v>31</v>
      </c>
      <c r="C1339">
        <v>9</v>
      </c>
      <c r="D1339">
        <v>15</v>
      </c>
      <c r="E1339">
        <v>60</v>
      </c>
      <c r="F1339">
        <v>9</v>
      </c>
      <c r="G1339">
        <v>9</v>
      </c>
      <c r="H1339">
        <v>15</v>
      </c>
      <c r="I1339">
        <v>60</v>
      </c>
      <c r="J1339">
        <v>9</v>
      </c>
      <c r="K1339">
        <v>15</v>
      </c>
      <c r="L1339">
        <v>60</v>
      </c>
      <c r="M1339">
        <v>9</v>
      </c>
      <c r="N1339">
        <v>15</v>
      </c>
      <c r="O1339">
        <v>60</v>
      </c>
      <c r="P1339">
        <v>9</v>
      </c>
    </row>
    <row r="1340" spans="1:16" x14ac:dyDescent="0.3">
      <c r="A1340" t="s">
        <v>43</v>
      </c>
      <c r="B1340">
        <v>31</v>
      </c>
      <c r="D1340">
        <v>35</v>
      </c>
      <c r="E1340">
        <v>336</v>
      </c>
      <c r="F1340">
        <v>0</v>
      </c>
      <c r="H1340">
        <v>35</v>
      </c>
      <c r="I1340">
        <v>336</v>
      </c>
      <c r="J1340">
        <v>0</v>
      </c>
      <c r="K1340">
        <v>40</v>
      </c>
      <c r="L1340">
        <v>35</v>
      </c>
      <c r="N1340">
        <v>35</v>
      </c>
      <c r="O1340">
        <v>35</v>
      </c>
      <c r="P1340">
        <v>0</v>
      </c>
    </row>
    <row r="1341" spans="1:16" x14ac:dyDescent="0.3">
      <c r="A1341" t="s">
        <v>44</v>
      </c>
      <c r="B1341">
        <v>31</v>
      </c>
      <c r="D1341">
        <v>-5</v>
      </c>
      <c r="E1341">
        <v>0</v>
      </c>
      <c r="F1341">
        <v>0</v>
      </c>
      <c r="H1341">
        <v>-5</v>
      </c>
      <c r="I1341">
        <v>0</v>
      </c>
      <c r="J1341">
        <v>0</v>
      </c>
      <c r="K1341">
        <v>0</v>
      </c>
      <c r="L1341">
        <v>-5</v>
      </c>
      <c r="N1341">
        <v>-5</v>
      </c>
      <c r="O1341">
        <v>-5</v>
      </c>
      <c r="P1341">
        <v>0</v>
      </c>
    </row>
    <row r="1342" spans="1:16" x14ac:dyDescent="0.3">
      <c r="A1342" t="s">
        <v>47</v>
      </c>
      <c r="B1342">
        <v>31</v>
      </c>
      <c r="D1342">
        <v>6</v>
      </c>
      <c r="E1342">
        <v>6</v>
      </c>
      <c r="F1342">
        <v>6</v>
      </c>
      <c r="H1342">
        <v>5</v>
      </c>
      <c r="I1342">
        <v>2</v>
      </c>
      <c r="J1342">
        <v>2</v>
      </c>
      <c r="K1342">
        <v>3</v>
      </c>
      <c r="L1342">
        <v>3</v>
      </c>
      <c r="N1342">
        <v>4</v>
      </c>
      <c r="O1342">
        <v>4</v>
      </c>
      <c r="P1342">
        <v>3</v>
      </c>
    </row>
    <row r="1343" spans="1:16" x14ac:dyDescent="0.3">
      <c r="A1343" t="s">
        <v>642</v>
      </c>
      <c r="B1343">
        <v>31</v>
      </c>
      <c r="D1343">
        <v>0</v>
      </c>
      <c r="E1343">
        <v>0</v>
      </c>
      <c r="F1343">
        <v>0</v>
      </c>
      <c r="H1343">
        <v>0</v>
      </c>
      <c r="I1343">
        <v>0</v>
      </c>
      <c r="J1343">
        <v>0</v>
      </c>
      <c r="K1343">
        <v>0</v>
      </c>
      <c r="L1343">
        <v>0</v>
      </c>
      <c r="N1343">
        <v>0</v>
      </c>
      <c r="O1343">
        <v>0</v>
      </c>
      <c r="P1343">
        <v>0</v>
      </c>
    </row>
    <row r="1344" spans="1:16" x14ac:dyDescent="0.3">
      <c r="A1344" t="s">
        <v>643</v>
      </c>
      <c r="B1344">
        <v>31</v>
      </c>
      <c r="D1344">
        <v>0</v>
      </c>
      <c r="E1344">
        <v>0</v>
      </c>
      <c r="F1344">
        <v>0</v>
      </c>
      <c r="H1344">
        <v>0</v>
      </c>
      <c r="I1344">
        <v>0</v>
      </c>
      <c r="J1344">
        <v>0</v>
      </c>
      <c r="K1344">
        <v>0</v>
      </c>
      <c r="L1344">
        <v>0</v>
      </c>
      <c r="N1344">
        <v>0</v>
      </c>
      <c r="O1344">
        <v>0</v>
      </c>
      <c r="P1344">
        <v>0</v>
      </c>
    </row>
    <row r="1345" spans="1:16" x14ac:dyDescent="0.3">
      <c r="A1345" t="s">
        <v>644</v>
      </c>
      <c r="B1345">
        <v>31</v>
      </c>
      <c r="D1345">
        <v>0</v>
      </c>
      <c r="E1345">
        <v>0</v>
      </c>
      <c r="F1345">
        <v>0</v>
      </c>
      <c r="H1345">
        <v>0</v>
      </c>
      <c r="I1345">
        <v>0</v>
      </c>
      <c r="J1345">
        <v>0</v>
      </c>
      <c r="K1345">
        <v>0</v>
      </c>
      <c r="L1345">
        <v>0</v>
      </c>
      <c r="N1345">
        <v>0</v>
      </c>
      <c r="O1345">
        <v>0</v>
      </c>
      <c r="P1345">
        <v>0</v>
      </c>
    </row>
    <row r="1346" spans="1:16" x14ac:dyDescent="0.3">
      <c r="A1346" t="s">
        <v>645</v>
      </c>
      <c r="B1346">
        <v>31</v>
      </c>
      <c r="D1346">
        <v>0</v>
      </c>
      <c r="E1346">
        <v>0</v>
      </c>
      <c r="F1346">
        <v>0</v>
      </c>
      <c r="H1346">
        <v>0</v>
      </c>
      <c r="I1346">
        <v>0</v>
      </c>
      <c r="J1346">
        <v>0</v>
      </c>
      <c r="K1346">
        <v>0</v>
      </c>
      <c r="L1346">
        <v>0</v>
      </c>
      <c r="N1346">
        <v>0</v>
      </c>
      <c r="O1346">
        <v>0</v>
      </c>
      <c r="P1346">
        <v>0</v>
      </c>
    </row>
    <row r="1347" spans="1:16" x14ac:dyDescent="0.3">
      <c r="A1347" t="s">
        <v>646</v>
      </c>
      <c r="B1347">
        <v>31</v>
      </c>
      <c r="D1347">
        <v>1</v>
      </c>
      <c r="E1347">
        <v>2</v>
      </c>
      <c r="F1347">
        <v>1</v>
      </c>
      <c r="H1347">
        <v>1</v>
      </c>
      <c r="I1347">
        <v>2</v>
      </c>
      <c r="J1347">
        <v>1</v>
      </c>
      <c r="K1347">
        <v>1</v>
      </c>
      <c r="L1347">
        <v>2</v>
      </c>
      <c r="N1347">
        <v>1</v>
      </c>
      <c r="O1347">
        <v>2</v>
      </c>
      <c r="P1347">
        <v>1</v>
      </c>
    </row>
    <row r="1348" spans="1:16" x14ac:dyDescent="0.3">
      <c r="A1348" t="s">
        <v>647</v>
      </c>
      <c r="B1348">
        <v>31</v>
      </c>
      <c r="D1348">
        <v>-5</v>
      </c>
      <c r="E1348">
        <v>330</v>
      </c>
      <c r="F1348">
        <v>0</v>
      </c>
      <c r="H1348">
        <v>-5</v>
      </c>
      <c r="I1348">
        <v>330</v>
      </c>
      <c r="J1348">
        <v>0</v>
      </c>
      <c r="K1348">
        <v>0</v>
      </c>
      <c r="L1348">
        <v>-5</v>
      </c>
      <c r="N1348">
        <v>-5</v>
      </c>
      <c r="O1348">
        <v>-5</v>
      </c>
      <c r="P1348">
        <v>0</v>
      </c>
    </row>
    <row r="1349" spans="1:16" x14ac:dyDescent="0.3">
      <c r="A1349" t="s">
        <v>648</v>
      </c>
      <c r="B1349">
        <v>31</v>
      </c>
      <c r="D1349">
        <v>40</v>
      </c>
      <c r="E1349">
        <v>6</v>
      </c>
      <c r="F1349">
        <v>0</v>
      </c>
      <c r="H1349">
        <v>40</v>
      </c>
      <c r="I1349">
        <v>6</v>
      </c>
      <c r="J1349">
        <v>0</v>
      </c>
      <c r="K1349">
        <v>40</v>
      </c>
      <c r="L1349">
        <v>40</v>
      </c>
      <c r="N1349">
        <v>40</v>
      </c>
      <c r="O1349">
        <v>40</v>
      </c>
      <c r="P1349">
        <v>0</v>
      </c>
    </row>
    <row r="1350" spans="1:16" x14ac:dyDescent="0.3">
      <c r="A1350" t="s">
        <v>649</v>
      </c>
      <c r="B1350">
        <v>31</v>
      </c>
      <c r="D1350">
        <v>3</v>
      </c>
      <c r="E1350">
        <v>3</v>
      </c>
      <c r="F1350">
        <v>3</v>
      </c>
      <c r="H1350">
        <v>3</v>
      </c>
      <c r="I1350">
        <v>3</v>
      </c>
      <c r="J1350">
        <v>3</v>
      </c>
      <c r="K1350">
        <v>3</v>
      </c>
      <c r="L1350">
        <v>3</v>
      </c>
      <c r="N1350">
        <v>3</v>
      </c>
      <c r="O1350">
        <v>3</v>
      </c>
      <c r="P1350">
        <v>3</v>
      </c>
    </row>
    <row r="1351" spans="1:16" x14ac:dyDescent="0.3">
      <c r="A1351" t="s">
        <v>650</v>
      </c>
      <c r="B1351">
        <v>31</v>
      </c>
      <c r="D1351">
        <v>0</v>
      </c>
      <c r="E1351">
        <v>0</v>
      </c>
      <c r="F1351">
        <v>0</v>
      </c>
      <c r="H1351">
        <v>0</v>
      </c>
      <c r="I1351">
        <v>0</v>
      </c>
      <c r="J1351">
        <v>0</v>
      </c>
      <c r="K1351">
        <v>0</v>
      </c>
      <c r="L1351">
        <v>0</v>
      </c>
      <c r="N1351">
        <v>0</v>
      </c>
      <c r="O1351">
        <v>0</v>
      </c>
      <c r="P1351">
        <v>0</v>
      </c>
    </row>
    <row r="1352" spans="1:16" x14ac:dyDescent="0.3">
      <c r="A1352" t="s">
        <v>651</v>
      </c>
      <c r="B1352">
        <v>31</v>
      </c>
      <c r="D1352">
        <v>0</v>
      </c>
      <c r="E1352">
        <v>0</v>
      </c>
      <c r="F1352">
        <v>0</v>
      </c>
      <c r="H1352">
        <v>0</v>
      </c>
      <c r="I1352">
        <v>0</v>
      </c>
      <c r="J1352">
        <v>0</v>
      </c>
      <c r="K1352">
        <v>0</v>
      </c>
      <c r="L1352">
        <v>0</v>
      </c>
      <c r="N1352">
        <v>0</v>
      </c>
      <c r="O1352">
        <v>0</v>
      </c>
      <c r="P1352">
        <v>0</v>
      </c>
    </row>
    <row r="1353" spans="1:16" x14ac:dyDescent="0.3">
      <c r="A1353" t="s">
        <v>652</v>
      </c>
      <c r="B1353">
        <v>31</v>
      </c>
      <c r="D1353">
        <v>0</v>
      </c>
      <c r="E1353">
        <v>0</v>
      </c>
      <c r="F1353">
        <v>0</v>
      </c>
      <c r="H1353">
        <v>0</v>
      </c>
      <c r="I1353">
        <v>0</v>
      </c>
      <c r="J1353">
        <v>0</v>
      </c>
      <c r="K1353">
        <v>0</v>
      </c>
      <c r="L1353">
        <v>0</v>
      </c>
      <c r="N1353">
        <v>0</v>
      </c>
      <c r="O1353">
        <v>0</v>
      </c>
      <c r="P1353">
        <v>0</v>
      </c>
    </row>
    <row r="1354" spans="1:16" x14ac:dyDescent="0.3">
      <c r="A1354" t="s">
        <v>653</v>
      </c>
      <c r="B1354">
        <v>31</v>
      </c>
      <c r="E1354">
        <v>0</v>
      </c>
      <c r="I1354">
        <v>0</v>
      </c>
      <c r="L1354">
        <v>0</v>
      </c>
      <c r="O1354">
        <v>0</v>
      </c>
    </row>
    <row r="1355" spans="1:16" x14ac:dyDescent="0.3">
      <c r="A1355" t="s">
        <v>654</v>
      </c>
      <c r="B1355">
        <v>31</v>
      </c>
      <c r="E1355">
        <v>0</v>
      </c>
      <c r="I1355">
        <v>0</v>
      </c>
      <c r="L1355">
        <v>0</v>
      </c>
      <c r="O1355">
        <v>0</v>
      </c>
    </row>
    <row r="1356" spans="1:16" x14ac:dyDescent="0.3">
      <c r="A1356" t="s">
        <v>655</v>
      </c>
      <c r="B1356">
        <v>31</v>
      </c>
      <c r="E1356">
        <v>3</v>
      </c>
      <c r="I1356">
        <v>3</v>
      </c>
      <c r="L1356">
        <v>3</v>
      </c>
      <c r="O1356">
        <v>3</v>
      </c>
    </row>
    <row r="1357" spans="1:16" x14ac:dyDescent="0.3">
      <c r="A1357" t="s">
        <v>656</v>
      </c>
      <c r="B1357">
        <v>31</v>
      </c>
      <c r="E1357">
        <v>0</v>
      </c>
      <c r="I1357">
        <v>0</v>
      </c>
      <c r="L1357">
        <v>0</v>
      </c>
      <c r="O1357">
        <v>0</v>
      </c>
    </row>
    <row r="1358" spans="1:16" x14ac:dyDescent="0.3">
      <c r="A1358" t="s">
        <v>657</v>
      </c>
      <c r="B1358">
        <v>31</v>
      </c>
      <c r="E1358">
        <v>0</v>
      </c>
      <c r="I1358">
        <v>0</v>
      </c>
      <c r="L1358">
        <v>0</v>
      </c>
      <c r="O1358">
        <v>0</v>
      </c>
    </row>
    <row r="1359" spans="1:16" x14ac:dyDescent="0.3">
      <c r="A1359" t="s">
        <v>408</v>
      </c>
      <c r="B1359">
        <v>31</v>
      </c>
      <c r="E1359">
        <v>0</v>
      </c>
    </row>
    <row r="1360" spans="1:16" x14ac:dyDescent="0.3">
      <c r="A1360" t="s">
        <v>659</v>
      </c>
      <c r="B1360">
        <v>31</v>
      </c>
      <c r="N1360">
        <v>50</v>
      </c>
    </row>
    <row r="1361" spans="1:16" x14ac:dyDescent="0.3">
      <c r="A1361" t="s">
        <v>658</v>
      </c>
      <c r="B1361">
        <v>31</v>
      </c>
      <c r="C1361">
        <v>0</v>
      </c>
      <c r="D1361">
        <v>0</v>
      </c>
      <c r="E1361">
        <v>1079</v>
      </c>
      <c r="F1361">
        <v>138</v>
      </c>
      <c r="G1361">
        <v>0</v>
      </c>
      <c r="H1361">
        <v>199</v>
      </c>
      <c r="I1361">
        <v>611</v>
      </c>
      <c r="J1361">
        <v>1</v>
      </c>
      <c r="K1361">
        <v>0</v>
      </c>
      <c r="L1361">
        <v>3</v>
      </c>
      <c r="M1361">
        <v>0</v>
      </c>
      <c r="N1361">
        <v>108</v>
      </c>
      <c r="O1361">
        <v>108</v>
      </c>
      <c r="P1361">
        <v>442</v>
      </c>
    </row>
    <row r="1362" spans="1:16" x14ac:dyDescent="0.3">
      <c r="A1362" t="s">
        <v>34</v>
      </c>
      <c r="B1362">
        <v>32</v>
      </c>
      <c r="C1362">
        <v>8</v>
      </c>
      <c r="D1362">
        <v>8</v>
      </c>
      <c r="E1362">
        <v>8</v>
      </c>
      <c r="F1362">
        <v>8</v>
      </c>
      <c r="G1362">
        <v>33</v>
      </c>
      <c r="H1362">
        <v>33</v>
      </c>
      <c r="I1362">
        <v>33</v>
      </c>
      <c r="J1362">
        <v>33</v>
      </c>
      <c r="K1362">
        <v>139</v>
      </c>
      <c r="L1362">
        <v>139</v>
      </c>
      <c r="M1362">
        <v>139</v>
      </c>
      <c r="N1362">
        <v>140</v>
      </c>
      <c r="O1362">
        <v>140</v>
      </c>
      <c r="P1362">
        <v>140</v>
      </c>
    </row>
    <row r="1363" spans="1:16" x14ac:dyDescent="0.3">
      <c r="A1363" t="s">
        <v>35</v>
      </c>
      <c r="B1363">
        <v>32</v>
      </c>
      <c r="C1363">
        <v>8</v>
      </c>
      <c r="D1363">
        <v>139</v>
      </c>
      <c r="E1363">
        <v>33</v>
      </c>
      <c r="F1363">
        <v>140</v>
      </c>
      <c r="G1363">
        <v>33</v>
      </c>
      <c r="H1363">
        <v>140</v>
      </c>
      <c r="I1363">
        <v>8</v>
      </c>
      <c r="J1363">
        <v>139</v>
      </c>
      <c r="K1363">
        <v>33</v>
      </c>
      <c r="L1363">
        <v>140</v>
      </c>
      <c r="M1363">
        <v>8</v>
      </c>
      <c r="N1363">
        <v>8</v>
      </c>
      <c r="O1363">
        <v>139</v>
      </c>
      <c r="P1363">
        <v>33</v>
      </c>
    </row>
    <row r="1364" spans="1:16" x14ac:dyDescent="0.3">
      <c r="A1364" t="s">
        <v>36</v>
      </c>
      <c r="B1364">
        <v>32</v>
      </c>
      <c r="C1364">
        <v>0</v>
      </c>
      <c r="D1364">
        <v>1</v>
      </c>
      <c r="E1364">
        <v>2</v>
      </c>
      <c r="F1364">
        <v>1</v>
      </c>
      <c r="G1364">
        <v>0</v>
      </c>
      <c r="H1364">
        <v>1</v>
      </c>
      <c r="I1364">
        <v>2</v>
      </c>
      <c r="J1364">
        <v>1</v>
      </c>
      <c r="K1364">
        <v>1</v>
      </c>
      <c r="L1364">
        <v>1</v>
      </c>
      <c r="M1364">
        <v>0</v>
      </c>
      <c r="N1364">
        <v>1</v>
      </c>
      <c r="O1364">
        <v>1</v>
      </c>
      <c r="P1364">
        <v>0</v>
      </c>
    </row>
    <row r="1365" spans="1:16" x14ac:dyDescent="0.3">
      <c r="A1365" t="s">
        <v>37</v>
      </c>
      <c r="B1365">
        <v>32</v>
      </c>
      <c r="D1365">
        <v>0</v>
      </c>
      <c r="E1365">
        <v>0</v>
      </c>
      <c r="H1365">
        <v>0</v>
      </c>
      <c r="I1365">
        <v>0</v>
      </c>
      <c r="K1365">
        <v>0</v>
      </c>
      <c r="L1365">
        <v>2</v>
      </c>
      <c r="N1365">
        <v>0</v>
      </c>
      <c r="O1365">
        <v>2</v>
      </c>
    </row>
    <row r="1366" spans="1:16" x14ac:dyDescent="0.3">
      <c r="A1366" t="s">
        <v>38</v>
      </c>
      <c r="B1366">
        <v>32</v>
      </c>
      <c r="C1366">
        <v>12</v>
      </c>
      <c r="D1366">
        <v>12</v>
      </c>
      <c r="E1366">
        <v>12</v>
      </c>
      <c r="F1366">
        <v>12</v>
      </c>
      <c r="G1366">
        <v>12</v>
      </c>
      <c r="H1366">
        <v>12</v>
      </c>
      <c r="I1366">
        <v>12</v>
      </c>
      <c r="J1366">
        <v>12</v>
      </c>
      <c r="K1366">
        <v>12</v>
      </c>
      <c r="L1366">
        <v>12</v>
      </c>
      <c r="M1366">
        <v>12</v>
      </c>
      <c r="N1366">
        <v>12</v>
      </c>
      <c r="O1366">
        <v>12</v>
      </c>
      <c r="P1366">
        <v>12</v>
      </c>
    </row>
    <row r="1367" spans="1:16" x14ac:dyDescent="0.3">
      <c r="A1367" t="s">
        <v>39</v>
      </c>
      <c r="B1367">
        <v>32</v>
      </c>
      <c r="D1367">
        <v>145</v>
      </c>
      <c r="F1367">
        <v>81</v>
      </c>
      <c r="H1367">
        <v>133</v>
      </c>
      <c r="J1367">
        <v>207</v>
      </c>
      <c r="N1367">
        <v>138</v>
      </c>
    </row>
    <row r="1368" spans="1:16" x14ac:dyDescent="0.3">
      <c r="A1368" t="s">
        <v>631</v>
      </c>
      <c r="B1368">
        <v>32</v>
      </c>
      <c r="D1368">
        <v>25</v>
      </c>
      <c r="F1368">
        <v>25</v>
      </c>
      <c r="H1368">
        <v>25</v>
      </c>
      <c r="J1368">
        <v>25</v>
      </c>
      <c r="N1368">
        <v>25</v>
      </c>
    </row>
    <row r="1369" spans="1:16" x14ac:dyDescent="0.3">
      <c r="A1369" t="s">
        <v>40</v>
      </c>
      <c r="B1369">
        <v>32</v>
      </c>
      <c r="D1369">
        <v>1</v>
      </c>
      <c r="F1369">
        <v>1</v>
      </c>
      <c r="H1369">
        <v>1</v>
      </c>
      <c r="J1369">
        <v>1</v>
      </c>
      <c r="N1369">
        <v>1</v>
      </c>
    </row>
    <row r="1370" spans="1:16" x14ac:dyDescent="0.3">
      <c r="A1370" t="s">
        <v>41</v>
      </c>
      <c r="B1370">
        <v>32</v>
      </c>
    </row>
    <row r="1371" spans="1:16" x14ac:dyDescent="0.3">
      <c r="A1371" t="s">
        <v>42</v>
      </c>
      <c r="B1371">
        <v>32</v>
      </c>
      <c r="E1371">
        <v>55</v>
      </c>
      <c r="I1371">
        <v>55</v>
      </c>
      <c r="L1371">
        <v>35</v>
      </c>
      <c r="O1371">
        <v>35</v>
      </c>
    </row>
    <row r="1372" spans="1:16" x14ac:dyDescent="0.3">
      <c r="A1372" t="s">
        <v>45</v>
      </c>
      <c r="B1372">
        <v>32</v>
      </c>
      <c r="D1372">
        <v>1</v>
      </c>
      <c r="E1372">
        <v>6</v>
      </c>
      <c r="H1372">
        <v>5</v>
      </c>
      <c r="I1372">
        <v>2</v>
      </c>
      <c r="K1372">
        <v>3</v>
      </c>
      <c r="L1372">
        <v>8</v>
      </c>
      <c r="O1372">
        <v>4</v>
      </c>
    </row>
    <row r="1373" spans="1:16" x14ac:dyDescent="0.3">
      <c r="A1373" t="s">
        <v>46</v>
      </c>
      <c r="B1373">
        <v>32</v>
      </c>
      <c r="F1373">
        <v>6</v>
      </c>
      <c r="J1373">
        <v>2</v>
      </c>
      <c r="K1373">
        <v>8</v>
      </c>
      <c r="N1373">
        <v>4</v>
      </c>
    </row>
    <row r="1374" spans="1:16" x14ac:dyDescent="0.3">
      <c r="A1374" t="s">
        <v>49</v>
      </c>
      <c r="B1374">
        <v>32</v>
      </c>
      <c r="C1374">
        <v>4</v>
      </c>
      <c r="D1374">
        <v>7.8</v>
      </c>
      <c r="E1374">
        <v>6.8</v>
      </c>
      <c r="F1374">
        <v>6.8</v>
      </c>
      <c r="G1374">
        <v>4</v>
      </c>
      <c r="H1374">
        <v>7.8</v>
      </c>
      <c r="I1374">
        <v>6.8</v>
      </c>
      <c r="J1374">
        <v>6.8</v>
      </c>
      <c r="K1374">
        <v>6.1</v>
      </c>
      <c r="L1374">
        <v>6.4</v>
      </c>
      <c r="M1374">
        <v>4</v>
      </c>
      <c r="N1374">
        <v>6.4</v>
      </c>
      <c r="O1374">
        <v>6.4</v>
      </c>
      <c r="P1374">
        <v>4</v>
      </c>
    </row>
    <row r="1375" spans="1:16" x14ac:dyDescent="0.3">
      <c r="A1375" t="s">
        <v>632</v>
      </c>
      <c r="B1375">
        <v>32</v>
      </c>
      <c r="C1375">
        <v>0</v>
      </c>
      <c r="D1375">
        <v>0</v>
      </c>
      <c r="E1375">
        <v>0</v>
      </c>
      <c r="F1375">
        <v>0</v>
      </c>
      <c r="G1375">
        <v>0</v>
      </c>
      <c r="H1375">
        <v>0</v>
      </c>
      <c r="I1375">
        <v>0</v>
      </c>
      <c r="J1375">
        <v>0</v>
      </c>
      <c r="K1375">
        <v>0</v>
      </c>
      <c r="L1375">
        <v>0</v>
      </c>
      <c r="M1375">
        <v>0</v>
      </c>
      <c r="N1375">
        <v>0</v>
      </c>
      <c r="O1375">
        <v>0</v>
      </c>
      <c r="P1375">
        <v>0</v>
      </c>
    </row>
    <row r="1376" spans="1:16" x14ac:dyDescent="0.3">
      <c r="A1376" t="s">
        <v>48</v>
      </c>
      <c r="B1376">
        <v>32</v>
      </c>
      <c r="C1376">
        <v>1900</v>
      </c>
      <c r="D1376">
        <v>1900</v>
      </c>
      <c r="E1376">
        <v>1900</v>
      </c>
      <c r="F1376">
        <v>1900</v>
      </c>
      <c r="G1376">
        <v>1900</v>
      </c>
      <c r="H1376">
        <v>1900</v>
      </c>
      <c r="I1376">
        <v>1900</v>
      </c>
      <c r="J1376">
        <v>1900</v>
      </c>
      <c r="K1376">
        <v>1900</v>
      </c>
      <c r="L1376">
        <v>1900</v>
      </c>
      <c r="M1376">
        <v>1900</v>
      </c>
      <c r="N1376">
        <v>1900</v>
      </c>
      <c r="O1376">
        <v>1900</v>
      </c>
      <c r="P1376">
        <v>1900</v>
      </c>
    </row>
    <row r="1377" spans="1:16" x14ac:dyDescent="0.3">
      <c r="A1377" t="s">
        <v>633</v>
      </c>
      <c r="B1377">
        <v>32</v>
      </c>
      <c r="C1377">
        <v>0</v>
      </c>
      <c r="D1377">
        <v>1577</v>
      </c>
      <c r="E1377">
        <v>3153</v>
      </c>
      <c r="F1377">
        <v>1411</v>
      </c>
      <c r="G1377">
        <v>0</v>
      </c>
      <c r="H1377">
        <v>1609</v>
      </c>
      <c r="I1377">
        <v>3217</v>
      </c>
      <c r="J1377">
        <v>1439</v>
      </c>
      <c r="K1377">
        <v>1585</v>
      </c>
      <c r="L1377">
        <v>1555</v>
      </c>
      <c r="M1377">
        <v>0</v>
      </c>
      <c r="N1377">
        <v>1593</v>
      </c>
      <c r="O1377">
        <v>1586</v>
      </c>
      <c r="P1377">
        <v>0</v>
      </c>
    </row>
    <row r="1378" spans="1:16" x14ac:dyDescent="0.3">
      <c r="A1378" t="s">
        <v>50</v>
      </c>
      <c r="B1378">
        <v>32</v>
      </c>
      <c r="C1378">
        <v>0</v>
      </c>
      <c r="D1378">
        <v>1577</v>
      </c>
      <c r="E1378">
        <v>3153</v>
      </c>
      <c r="F1378">
        <v>1411</v>
      </c>
      <c r="G1378">
        <v>0</v>
      </c>
      <c r="H1378">
        <v>1609</v>
      </c>
      <c r="I1378">
        <v>3217</v>
      </c>
      <c r="J1378">
        <v>1439</v>
      </c>
      <c r="K1378">
        <v>657</v>
      </c>
      <c r="L1378">
        <v>1555</v>
      </c>
      <c r="M1378">
        <v>0</v>
      </c>
      <c r="N1378">
        <v>919</v>
      </c>
      <c r="O1378">
        <v>1586</v>
      </c>
      <c r="P1378">
        <v>0</v>
      </c>
    </row>
    <row r="1379" spans="1:16" x14ac:dyDescent="0.3">
      <c r="A1379" t="s">
        <v>634</v>
      </c>
      <c r="B1379">
        <v>32</v>
      </c>
      <c r="C1379">
        <v>1</v>
      </c>
      <c r="D1379">
        <v>1</v>
      </c>
      <c r="E1379">
        <v>1</v>
      </c>
      <c r="F1379">
        <v>1</v>
      </c>
      <c r="G1379">
        <v>1</v>
      </c>
      <c r="H1379">
        <v>1</v>
      </c>
      <c r="I1379">
        <v>1</v>
      </c>
      <c r="J1379">
        <v>1</v>
      </c>
      <c r="K1379">
        <v>1</v>
      </c>
      <c r="L1379">
        <v>1</v>
      </c>
      <c r="M1379">
        <v>1</v>
      </c>
      <c r="N1379">
        <v>1</v>
      </c>
      <c r="O1379">
        <v>1</v>
      </c>
      <c r="P1379">
        <v>1</v>
      </c>
    </row>
    <row r="1380" spans="1:16" x14ac:dyDescent="0.3">
      <c r="A1380" t="s">
        <v>51</v>
      </c>
      <c r="B1380">
        <v>32</v>
      </c>
      <c r="C1380">
        <v>0</v>
      </c>
      <c r="D1380">
        <v>0</v>
      </c>
      <c r="E1380">
        <v>0</v>
      </c>
      <c r="F1380">
        <v>160</v>
      </c>
      <c r="G1380">
        <v>0</v>
      </c>
      <c r="H1380">
        <v>0</v>
      </c>
      <c r="I1380">
        <v>0</v>
      </c>
      <c r="J1380">
        <v>231</v>
      </c>
      <c r="K1380">
        <v>0</v>
      </c>
      <c r="L1380">
        <v>35</v>
      </c>
      <c r="M1380">
        <v>0</v>
      </c>
      <c r="N1380">
        <v>0</v>
      </c>
      <c r="O1380">
        <v>20</v>
      </c>
      <c r="P1380">
        <v>0</v>
      </c>
    </row>
    <row r="1381" spans="1:16" x14ac:dyDescent="0.3">
      <c r="A1381" t="s">
        <v>53</v>
      </c>
      <c r="B1381">
        <v>32</v>
      </c>
      <c r="C1381">
        <v>0</v>
      </c>
      <c r="D1381">
        <v>110</v>
      </c>
      <c r="E1381">
        <v>1300</v>
      </c>
      <c r="F1381">
        <v>38</v>
      </c>
      <c r="G1381">
        <v>0</v>
      </c>
      <c r="H1381">
        <v>56</v>
      </c>
      <c r="I1381">
        <v>648</v>
      </c>
      <c r="J1381">
        <v>121</v>
      </c>
      <c r="K1381">
        <v>153</v>
      </c>
      <c r="L1381">
        <v>84</v>
      </c>
      <c r="M1381">
        <v>70</v>
      </c>
      <c r="N1381">
        <v>36</v>
      </c>
      <c r="O1381">
        <v>135</v>
      </c>
      <c r="P1381">
        <v>75</v>
      </c>
    </row>
    <row r="1382" spans="1:16" x14ac:dyDescent="0.3">
      <c r="A1382" t="s">
        <v>54</v>
      </c>
      <c r="B1382">
        <v>32</v>
      </c>
      <c r="C1382">
        <v>0</v>
      </c>
      <c r="D1382">
        <v>0</v>
      </c>
      <c r="E1382">
        <v>0</v>
      </c>
      <c r="F1382">
        <v>0</v>
      </c>
      <c r="G1382">
        <v>0</v>
      </c>
      <c r="H1382">
        <v>0</v>
      </c>
      <c r="I1382">
        <v>0</v>
      </c>
      <c r="J1382">
        <v>0</v>
      </c>
      <c r="K1382">
        <v>0</v>
      </c>
      <c r="L1382">
        <v>0</v>
      </c>
      <c r="M1382">
        <v>0</v>
      </c>
      <c r="N1382">
        <v>0</v>
      </c>
      <c r="O1382">
        <v>0</v>
      </c>
      <c r="P1382">
        <v>0</v>
      </c>
    </row>
    <row r="1383" spans="1:16" x14ac:dyDescent="0.3">
      <c r="A1383" t="s">
        <v>55</v>
      </c>
      <c r="B1383">
        <v>32</v>
      </c>
      <c r="C1383">
        <v>0</v>
      </c>
      <c r="D1383">
        <v>0</v>
      </c>
      <c r="E1383">
        <v>0</v>
      </c>
      <c r="F1383">
        <v>0</v>
      </c>
      <c r="G1383">
        <v>0</v>
      </c>
      <c r="H1383">
        <v>0</v>
      </c>
      <c r="I1383">
        <v>0</v>
      </c>
      <c r="J1383">
        <v>0</v>
      </c>
      <c r="K1383">
        <v>0</v>
      </c>
      <c r="L1383">
        <v>0</v>
      </c>
      <c r="M1383">
        <v>0</v>
      </c>
      <c r="N1383">
        <v>0</v>
      </c>
      <c r="O1383">
        <v>0</v>
      </c>
      <c r="P1383">
        <v>0</v>
      </c>
    </row>
    <row r="1384" spans="1:16" x14ac:dyDescent="0.3">
      <c r="A1384" t="s">
        <v>56</v>
      </c>
      <c r="B1384">
        <v>32</v>
      </c>
      <c r="C1384">
        <v>0.92</v>
      </c>
      <c r="D1384">
        <v>0.92</v>
      </c>
      <c r="E1384">
        <v>0.92</v>
      </c>
      <c r="F1384">
        <v>0.92</v>
      </c>
      <c r="G1384">
        <v>0.92</v>
      </c>
      <c r="H1384">
        <v>0.92</v>
      </c>
      <c r="I1384">
        <v>0.92</v>
      </c>
      <c r="J1384">
        <v>0.92</v>
      </c>
      <c r="K1384">
        <v>0.92</v>
      </c>
      <c r="L1384">
        <v>0.92</v>
      </c>
      <c r="M1384">
        <v>0.92</v>
      </c>
      <c r="N1384">
        <v>0.92</v>
      </c>
      <c r="O1384">
        <v>0.92</v>
      </c>
      <c r="P1384">
        <v>0.92</v>
      </c>
    </row>
    <row r="1385" spans="1:16" x14ac:dyDescent="0.3">
      <c r="A1385" t="s">
        <v>57</v>
      </c>
      <c r="B1385">
        <v>32</v>
      </c>
      <c r="C1385">
        <v>100</v>
      </c>
      <c r="D1385">
        <v>100</v>
      </c>
      <c r="E1385">
        <v>100</v>
      </c>
      <c r="F1385">
        <v>100</v>
      </c>
      <c r="G1385">
        <v>100</v>
      </c>
      <c r="H1385">
        <v>100</v>
      </c>
      <c r="I1385">
        <v>100</v>
      </c>
      <c r="J1385">
        <v>100</v>
      </c>
      <c r="K1385">
        <v>100</v>
      </c>
      <c r="L1385">
        <v>100</v>
      </c>
      <c r="M1385">
        <v>100</v>
      </c>
      <c r="N1385">
        <v>100</v>
      </c>
      <c r="O1385">
        <v>100</v>
      </c>
      <c r="P1385">
        <v>100</v>
      </c>
    </row>
    <row r="1386" spans="1:16" x14ac:dyDescent="0.3">
      <c r="A1386" t="s">
        <v>58</v>
      </c>
      <c r="B1386">
        <v>32</v>
      </c>
      <c r="C1386">
        <v>2</v>
      </c>
      <c r="D1386">
        <v>2</v>
      </c>
      <c r="E1386">
        <v>2</v>
      </c>
      <c r="F1386">
        <v>2</v>
      </c>
      <c r="G1386">
        <v>2</v>
      </c>
      <c r="H1386">
        <v>2</v>
      </c>
      <c r="I1386">
        <v>2</v>
      </c>
      <c r="J1386">
        <v>2</v>
      </c>
      <c r="K1386">
        <v>2</v>
      </c>
      <c r="L1386">
        <v>2</v>
      </c>
      <c r="M1386">
        <v>2</v>
      </c>
      <c r="N1386">
        <v>2</v>
      </c>
      <c r="O1386">
        <v>2</v>
      </c>
      <c r="P1386">
        <v>2</v>
      </c>
    </row>
    <row r="1387" spans="1:16" x14ac:dyDescent="0.3">
      <c r="A1387" t="s">
        <v>59</v>
      </c>
      <c r="B1387">
        <v>32</v>
      </c>
      <c r="C1387">
        <v>0</v>
      </c>
      <c r="D1387">
        <v>0</v>
      </c>
      <c r="E1387">
        <v>0</v>
      </c>
      <c r="F1387">
        <v>0</v>
      </c>
      <c r="G1387">
        <v>0</v>
      </c>
      <c r="H1387">
        <v>0</v>
      </c>
      <c r="I1387">
        <v>0</v>
      </c>
      <c r="J1387">
        <v>0</v>
      </c>
      <c r="K1387">
        <v>0</v>
      </c>
      <c r="L1387">
        <v>0</v>
      </c>
      <c r="M1387">
        <v>0</v>
      </c>
      <c r="N1387">
        <v>0</v>
      </c>
      <c r="O1387">
        <v>0</v>
      </c>
      <c r="P1387">
        <v>0</v>
      </c>
    </row>
    <row r="1388" spans="1:16" x14ac:dyDescent="0.3">
      <c r="A1388" t="s">
        <v>635</v>
      </c>
      <c r="B1388">
        <v>32</v>
      </c>
      <c r="E1388">
        <v>0</v>
      </c>
      <c r="I1388">
        <v>0</v>
      </c>
      <c r="L1388">
        <v>0</v>
      </c>
      <c r="O1388">
        <v>0</v>
      </c>
    </row>
    <row r="1389" spans="1:16" x14ac:dyDescent="0.3">
      <c r="A1389" t="s">
        <v>574</v>
      </c>
      <c r="B1389">
        <v>32</v>
      </c>
      <c r="E1389">
        <v>809</v>
      </c>
      <c r="I1389" t="s">
        <v>620</v>
      </c>
      <c r="L1389">
        <v>380</v>
      </c>
      <c r="O1389">
        <v>418</v>
      </c>
    </row>
    <row r="1390" spans="1:16" x14ac:dyDescent="0.3">
      <c r="A1390" t="s">
        <v>78</v>
      </c>
      <c r="B1390">
        <v>32</v>
      </c>
      <c r="E1390">
        <v>10</v>
      </c>
      <c r="I1390">
        <v>37.200000000000003</v>
      </c>
      <c r="L1390">
        <v>7.4</v>
      </c>
      <c r="O1390">
        <v>8.1</v>
      </c>
    </row>
    <row r="1391" spans="1:16" x14ac:dyDescent="0.3">
      <c r="A1391" t="s">
        <v>636</v>
      </c>
      <c r="B1391">
        <v>32</v>
      </c>
      <c r="F1391">
        <v>0</v>
      </c>
      <c r="J1391">
        <v>2</v>
      </c>
      <c r="M1391">
        <v>2</v>
      </c>
      <c r="P1391">
        <v>0</v>
      </c>
    </row>
    <row r="1392" spans="1:16" x14ac:dyDescent="0.3">
      <c r="A1392" t="s">
        <v>637</v>
      </c>
      <c r="B1392">
        <v>32</v>
      </c>
      <c r="J1392">
        <v>50</v>
      </c>
      <c r="M1392">
        <v>50</v>
      </c>
    </row>
    <row r="1393" spans="1:16" x14ac:dyDescent="0.3">
      <c r="A1393" t="s">
        <v>638</v>
      </c>
      <c r="B1393">
        <v>32</v>
      </c>
      <c r="J1393">
        <v>1</v>
      </c>
      <c r="M1393">
        <v>0</v>
      </c>
    </row>
    <row r="1394" spans="1:16" x14ac:dyDescent="0.3">
      <c r="A1394" t="s">
        <v>639</v>
      </c>
      <c r="B1394">
        <v>32</v>
      </c>
      <c r="C1394">
        <v>3</v>
      </c>
      <c r="D1394">
        <v>0</v>
      </c>
      <c r="E1394">
        <v>0</v>
      </c>
      <c r="F1394">
        <v>1</v>
      </c>
      <c r="G1394">
        <v>3</v>
      </c>
      <c r="H1394">
        <v>0</v>
      </c>
      <c r="I1394">
        <v>0</v>
      </c>
      <c r="J1394">
        <v>1</v>
      </c>
      <c r="K1394">
        <v>0</v>
      </c>
      <c r="L1394">
        <v>0</v>
      </c>
      <c r="M1394">
        <v>1</v>
      </c>
      <c r="N1394">
        <v>0</v>
      </c>
      <c r="O1394">
        <v>0</v>
      </c>
      <c r="P1394">
        <v>1</v>
      </c>
    </row>
    <row r="1395" spans="1:16" x14ac:dyDescent="0.3">
      <c r="A1395" t="s">
        <v>640</v>
      </c>
      <c r="B1395">
        <v>32</v>
      </c>
      <c r="C1395">
        <v>0</v>
      </c>
      <c r="D1395">
        <v>0</v>
      </c>
      <c r="E1395">
        <v>0</v>
      </c>
      <c r="F1395">
        <v>0</v>
      </c>
      <c r="G1395">
        <v>0</v>
      </c>
      <c r="H1395">
        <v>0</v>
      </c>
      <c r="I1395">
        <v>0</v>
      </c>
      <c r="J1395">
        <v>0</v>
      </c>
      <c r="K1395">
        <v>0</v>
      </c>
      <c r="L1395">
        <v>0</v>
      </c>
      <c r="M1395">
        <v>0</v>
      </c>
      <c r="N1395">
        <v>0</v>
      </c>
      <c r="O1395">
        <v>0</v>
      </c>
      <c r="P1395">
        <v>0</v>
      </c>
    </row>
    <row r="1396" spans="1:16" x14ac:dyDescent="0.3">
      <c r="A1396" t="s">
        <v>52</v>
      </c>
      <c r="B1396">
        <v>32</v>
      </c>
      <c r="C1396">
        <v>1.1599999999999999</v>
      </c>
      <c r="D1396">
        <v>1.1599999999999999</v>
      </c>
      <c r="E1396">
        <v>1.1599999999999999</v>
      </c>
      <c r="F1396">
        <v>1.1599999999999999</v>
      </c>
      <c r="G1396">
        <v>1.1299999999999999</v>
      </c>
      <c r="H1396">
        <v>1.1299999999999999</v>
      </c>
      <c r="I1396">
        <v>1.1299999999999999</v>
      </c>
      <c r="J1396">
        <v>1.1299999999999999</v>
      </c>
      <c r="K1396">
        <v>1.1499999999999999</v>
      </c>
      <c r="L1396">
        <v>1.1499999999999999</v>
      </c>
      <c r="M1396">
        <v>1.1499999999999999</v>
      </c>
      <c r="N1396">
        <v>1.1399999999999999</v>
      </c>
      <c r="O1396">
        <v>1.1399999999999999</v>
      </c>
      <c r="P1396">
        <v>1.1399999999999999</v>
      </c>
    </row>
    <row r="1397" spans="1:16" x14ac:dyDescent="0.3">
      <c r="A1397" t="s">
        <v>641</v>
      </c>
      <c r="B1397">
        <v>32</v>
      </c>
      <c r="C1397">
        <v>9</v>
      </c>
      <c r="D1397">
        <v>15</v>
      </c>
      <c r="E1397">
        <v>60</v>
      </c>
      <c r="F1397">
        <v>9</v>
      </c>
      <c r="G1397">
        <v>9</v>
      </c>
      <c r="H1397">
        <v>15</v>
      </c>
      <c r="I1397">
        <v>60</v>
      </c>
      <c r="J1397">
        <v>9</v>
      </c>
      <c r="K1397">
        <v>15</v>
      </c>
      <c r="L1397">
        <v>60</v>
      </c>
      <c r="M1397">
        <v>9</v>
      </c>
      <c r="N1397">
        <v>15</v>
      </c>
      <c r="O1397">
        <v>60</v>
      </c>
      <c r="P1397">
        <v>9</v>
      </c>
    </row>
    <row r="1398" spans="1:16" x14ac:dyDescent="0.3">
      <c r="A1398" t="s">
        <v>43</v>
      </c>
      <c r="B1398">
        <v>32</v>
      </c>
      <c r="D1398">
        <v>35</v>
      </c>
      <c r="E1398">
        <v>336</v>
      </c>
      <c r="F1398">
        <v>0</v>
      </c>
      <c r="H1398">
        <v>35</v>
      </c>
      <c r="I1398">
        <v>336</v>
      </c>
      <c r="J1398">
        <v>0</v>
      </c>
      <c r="K1398">
        <v>35</v>
      </c>
      <c r="L1398">
        <v>35</v>
      </c>
      <c r="N1398">
        <v>35</v>
      </c>
      <c r="O1398">
        <v>35</v>
      </c>
    </row>
    <row r="1399" spans="1:16" x14ac:dyDescent="0.3">
      <c r="A1399" t="s">
        <v>44</v>
      </c>
      <c r="B1399">
        <v>32</v>
      </c>
      <c r="D1399">
        <v>-5</v>
      </c>
      <c r="E1399">
        <v>0</v>
      </c>
      <c r="F1399">
        <v>0</v>
      </c>
      <c r="H1399">
        <v>-5</v>
      </c>
      <c r="I1399">
        <v>0</v>
      </c>
      <c r="J1399">
        <v>0</v>
      </c>
      <c r="K1399">
        <v>-5</v>
      </c>
      <c r="L1399">
        <v>-5</v>
      </c>
      <c r="N1399">
        <v>-5</v>
      </c>
      <c r="O1399">
        <v>-5</v>
      </c>
    </row>
    <row r="1400" spans="1:16" x14ac:dyDescent="0.3">
      <c r="A1400" t="s">
        <v>47</v>
      </c>
      <c r="B1400">
        <v>32</v>
      </c>
      <c r="D1400">
        <v>1</v>
      </c>
      <c r="E1400">
        <v>6</v>
      </c>
      <c r="F1400">
        <v>6</v>
      </c>
      <c r="H1400">
        <v>5</v>
      </c>
      <c r="I1400">
        <v>2</v>
      </c>
      <c r="J1400">
        <v>2</v>
      </c>
      <c r="K1400">
        <v>3</v>
      </c>
      <c r="L1400">
        <v>8</v>
      </c>
      <c r="N1400">
        <v>4</v>
      </c>
      <c r="O1400">
        <v>4</v>
      </c>
    </row>
    <row r="1401" spans="1:16" x14ac:dyDescent="0.3">
      <c r="A1401" t="s">
        <v>642</v>
      </c>
      <c r="B1401">
        <v>32</v>
      </c>
      <c r="D1401">
        <v>0</v>
      </c>
      <c r="E1401">
        <v>0</v>
      </c>
      <c r="F1401">
        <v>0</v>
      </c>
      <c r="H1401">
        <v>0</v>
      </c>
      <c r="I1401">
        <v>0</v>
      </c>
      <c r="J1401">
        <v>0</v>
      </c>
      <c r="K1401">
        <v>0</v>
      </c>
      <c r="L1401">
        <v>0</v>
      </c>
      <c r="N1401">
        <v>0</v>
      </c>
      <c r="O1401">
        <v>0</v>
      </c>
    </row>
    <row r="1402" spans="1:16" x14ac:dyDescent="0.3">
      <c r="A1402" t="s">
        <v>643</v>
      </c>
      <c r="B1402">
        <v>32</v>
      </c>
      <c r="D1402">
        <v>0</v>
      </c>
      <c r="E1402">
        <v>0</v>
      </c>
      <c r="F1402">
        <v>0</v>
      </c>
      <c r="H1402">
        <v>0</v>
      </c>
      <c r="I1402">
        <v>0</v>
      </c>
      <c r="J1402">
        <v>0</v>
      </c>
      <c r="K1402">
        <v>0</v>
      </c>
      <c r="L1402">
        <v>0</v>
      </c>
      <c r="N1402">
        <v>0</v>
      </c>
      <c r="O1402">
        <v>0</v>
      </c>
    </row>
    <row r="1403" spans="1:16" x14ac:dyDescent="0.3">
      <c r="A1403" t="s">
        <v>644</v>
      </c>
      <c r="B1403">
        <v>32</v>
      </c>
      <c r="D1403">
        <v>0</v>
      </c>
      <c r="E1403">
        <v>0</v>
      </c>
      <c r="F1403">
        <v>0</v>
      </c>
      <c r="H1403">
        <v>0</v>
      </c>
      <c r="I1403">
        <v>0</v>
      </c>
      <c r="J1403">
        <v>0</v>
      </c>
      <c r="K1403">
        <v>0</v>
      </c>
      <c r="L1403">
        <v>0</v>
      </c>
      <c r="N1403">
        <v>0</v>
      </c>
      <c r="O1403">
        <v>0</v>
      </c>
    </row>
    <row r="1404" spans="1:16" x14ac:dyDescent="0.3">
      <c r="A1404" t="s">
        <v>645</v>
      </c>
      <c r="B1404">
        <v>32</v>
      </c>
      <c r="D1404">
        <v>0</v>
      </c>
      <c r="E1404">
        <v>0</v>
      </c>
      <c r="F1404">
        <v>0</v>
      </c>
      <c r="H1404">
        <v>0</v>
      </c>
      <c r="I1404">
        <v>0</v>
      </c>
      <c r="J1404">
        <v>0</v>
      </c>
      <c r="K1404">
        <v>0</v>
      </c>
      <c r="L1404">
        <v>0</v>
      </c>
      <c r="N1404">
        <v>0</v>
      </c>
      <c r="O1404">
        <v>0</v>
      </c>
    </row>
    <row r="1405" spans="1:16" x14ac:dyDescent="0.3">
      <c r="A1405" t="s">
        <v>646</v>
      </c>
      <c r="B1405">
        <v>32</v>
      </c>
      <c r="D1405">
        <v>1</v>
      </c>
      <c r="E1405">
        <v>2</v>
      </c>
      <c r="F1405">
        <v>1</v>
      </c>
      <c r="H1405">
        <v>1</v>
      </c>
      <c r="I1405">
        <v>2</v>
      </c>
      <c r="J1405">
        <v>1</v>
      </c>
      <c r="K1405">
        <v>1</v>
      </c>
      <c r="L1405">
        <v>2</v>
      </c>
      <c r="N1405">
        <v>1</v>
      </c>
      <c r="O1405">
        <v>2</v>
      </c>
    </row>
    <row r="1406" spans="1:16" x14ac:dyDescent="0.3">
      <c r="A1406" t="s">
        <v>647</v>
      </c>
      <c r="B1406">
        <v>32</v>
      </c>
      <c r="D1406">
        <v>-5</v>
      </c>
      <c r="E1406">
        <v>330</v>
      </c>
      <c r="F1406">
        <v>0</v>
      </c>
      <c r="H1406">
        <v>-5</v>
      </c>
      <c r="I1406">
        <v>330</v>
      </c>
      <c r="J1406">
        <v>0</v>
      </c>
      <c r="K1406">
        <v>-5</v>
      </c>
      <c r="L1406">
        <v>-5</v>
      </c>
      <c r="N1406">
        <v>-5</v>
      </c>
      <c r="O1406">
        <v>-5</v>
      </c>
    </row>
    <row r="1407" spans="1:16" x14ac:dyDescent="0.3">
      <c r="A1407" t="s">
        <v>648</v>
      </c>
      <c r="B1407">
        <v>32</v>
      </c>
      <c r="D1407">
        <v>40</v>
      </c>
      <c r="E1407">
        <v>6</v>
      </c>
      <c r="F1407">
        <v>0</v>
      </c>
      <c r="H1407">
        <v>40</v>
      </c>
      <c r="I1407">
        <v>6</v>
      </c>
      <c r="J1407">
        <v>0</v>
      </c>
      <c r="K1407">
        <v>40</v>
      </c>
      <c r="L1407">
        <v>40</v>
      </c>
      <c r="N1407">
        <v>40</v>
      </c>
      <c r="O1407">
        <v>40</v>
      </c>
    </row>
    <row r="1408" spans="1:16" x14ac:dyDescent="0.3">
      <c r="A1408" t="s">
        <v>649</v>
      </c>
      <c r="B1408">
        <v>32</v>
      </c>
      <c r="D1408">
        <v>3</v>
      </c>
      <c r="E1408">
        <v>3</v>
      </c>
      <c r="F1408">
        <v>3</v>
      </c>
      <c r="H1408">
        <v>3</v>
      </c>
      <c r="I1408">
        <v>3</v>
      </c>
      <c r="J1408">
        <v>3</v>
      </c>
      <c r="K1408">
        <v>3</v>
      </c>
      <c r="L1408">
        <v>3</v>
      </c>
      <c r="N1408">
        <v>3</v>
      </c>
      <c r="O1408">
        <v>3</v>
      </c>
    </row>
    <row r="1409" spans="1:16" x14ac:dyDescent="0.3">
      <c r="A1409" t="s">
        <v>650</v>
      </c>
      <c r="B1409">
        <v>32</v>
      </c>
      <c r="D1409">
        <v>0</v>
      </c>
      <c r="E1409">
        <v>0</v>
      </c>
      <c r="F1409">
        <v>0</v>
      </c>
      <c r="H1409">
        <v>0</v>
      </c>
      <c r="I1409">
        <v>0</v>
      </c>
      <c r="J1409">
        <v>0</v>
      </c>
      <c r="K1409">
        <v>0</v>
      </c>
      <c r="L1409">
        <v>0</v>
      </c>
      <c r="N1409">
        <v>0</v>
      </c>
      <c r="O1409">
        <v>0</v>
      </c>
    </row>
    <row r="1410" spans="1:16" x14ac:dyDescent="0.3">
      <c r="A1410" t="s">
        <v>651</v>
      </c>
      <c r="B1410">
        <v>32</v>
      </c>
      <c r="D1410">
        <v>0</v>
      </c>
      <c r="E1410">
        <v>0</v>
      </c>
      <c r="F1410">
        <v>0</v>
      </c>
      <c r="H1410">
        <v>0</v>
      </c>
      <c r="I1410">
        <v>0</v>
      </c>
      <c r="J1410">
        <v>0</v>
      </c>
      <c r="K1410">
        <v>0</v>
      </c>
      <c r="L1410">
        <v>0</v>
      </c>
      <c r="N1410">
        <v>0</v>
      </c>
      <c r="O1410">
        <v>0</v>
      </c>
    </row>
    <row r="1411" spans="1:16" x14ac:dyDescent="0.3">
      <c r="A1411" t="s">
        <v>652</v>
      </c>
      <c r="B1411">
        <v>32</v>
      </c>
      <c r="D1411">
        <v>0</v>
      </c>
      <c r="E1411">
        <v>0</v>
      </c>
      <c r="F1411">
        <v>0</v>
      </c>
      <c r="H1411">
        <v>0</v>
      </c>
      <c r="I1411">
        <v>0</v>
      </c>
      <c r="J1411">
        <v>0</v>
      </c>
      <c r="K1411">
        <v>0</v>
      </c>
      <c r="L1411">
        <v>0</v>
      </c>
      <c r="N1411">
        <v>0</v>
      </c>
      <c r="O1411">
        <v>0</v>
      </c>
    </row>
    <row r="1412" spans="1:16" x14ac:dyDescent="0.3">
      <c r="A1412" t="s">
        <v>653</v>
      </c>
      <c r="B1412">
        <v>32</v>
      </c>
      <c r="E1412">
        <v>0</v>
      </c>
      <c r="I1412">
        <v>0</v>
      </c>
      <c r="L1412">
        <v>0</v>
      </c>
      <c r="O1412">
        <v>0</v>
      </c>
    </row>
    <row r="1413" spans="1:16" x14ac:dyDescent="0.3">
      <c r="A1413" t="s">
        <v>654</v>
      </c>
      <c r="B1413">
        <v>32</v>
      </c>
      <c r="E1413">
        <v>0</v>
      </c>
      <c r="I1413">
        <v>0</v>
      </c>
      <c r="L1413">
        <v>0</v>
      </c>
      <c r="O1413">
        <v>0</v>
      </c>
    </row>
    <row r="1414" spans="1:16" x14ac:dyDescent="0.3">
      <c r="A1414" t="s">
        <v>655</v>
      </c>
      <c r="B1414">
        <v>32</v>
      </c>
      <c r="E1414">
        <v>3</v>
      </c>
      <c r="I1414">
        <v>3</v>
      </c>
      <c r="L1414">
        <v>3</v>
      </c>
      <c r="O1414">
        <v>3</v>
      </c>
    </row>
    <row r="1415" spans="1:16" x14ac:dyDescent="0.3">
      <c r="A1415" t="s">
        <v>656</v>
      </c>
      <c r="B1415">
        <v>32</v>
      </c>
      <c r="E1415">
        <v>0</v>
      </c>
      <c r="I1415">
        <v>0</v>
      </c>
      <c r="L1415">
        <v>0</v>
      </c>
      <c r="O1415">
        <v>0</v>
      </c>
    </row>
    <row r="1416" spans="1:16" x14ac:dyDescent="0.3">
      <c r="A1416" t="s">
        <v>657</v>
      </c>
      <c r="B1416">
        <v>32</v>
      </c>
      <c r="E1416">
        <v>0</v>
      </c>
      <c r="I1416">
        <v>0</v>
      </c>
      <c r="L1416">
        <v>0</v>
      </c>
      <c r="O1416">
        <v>0</v>
      </c>
    </row>
    <row r="1417" spans="1:16" x14ac:dyDescent="0.3">
      <c r="A1417" t="s">
        <v>408</v>
      </c>
      <c r="B1417">
        <v>32</v>
      </c>
      <c r="E1417">
        <v>1</v>
      </c>
    </row>
    <row r="1418" spans="1:16" x14ac:dyDescent="0.3">
      <c r="A1418" t="s">
        <v>658</v>
      </c>
      <c r="B1418">
        <v>32</v>
      </c>
      <c r="C1418">
        <v>0</v>
      </c>
      <c r="D1418">
        <v>120</v>
      </c>
      <c r="E1418">
        <v>1413</v>
      </c>
      <c r="F1418">
        <v>41</v>
      </c>
      <c r="G1418">
        <v>0</v>
      </c>
      <c r="H1418">
        <v>61</v>
      </c>
      <c r="I1418">
        <v>704</v>
      </c>
      <c r="J1418">
        <v>132</v>
      </c>
      <c r="K1418">
        <v>166</v>
      </c>
      <c r="L1418">
        <v>167</v>
      </c>
      <c r="M1418">
        <v>0</v>
      </c>
      <c r="N1418">
        <v>39</v>
      </c>
      <c r="O1418">
        <v>229</v>
      </c>
      <c r="P1418">
        <v>0</v>
      </c>
    </row>
    <row r="1419" spans="1:16" x14ac:dyDescent="0.3">
      <c r="A1419" t="s">
        <v>34</v>
      </c>
      <c r="B1419">
        <v>33</v>
      </c>
      <c r="C1419">
        <v>32</v>
      </c>
      <c r="D1419">
        <v>32</v>
      </c>
      <c r="E1419">
        <v>32</v>
      </c>
      <c r="F1419">
        <v>32</v>
      </c>
      <c r="G1419">
        <v>34</v>
      </c>
      <c r="H1419">
        <v>34</v>
      </c>
      <c r="I1419">
        <v>34</v>
      </c>
      <c r="J1419">
        <v>34</v>
      </c>
      <c r="K1419">
        <v>212</v>
      </c>
      <c r="L1419">
        <v>212</v>
      </c>
      <c r="M1419">
        <v>212</v>
      </c>
      <c r="N1419">
        <v>213</v>
      </c>
      <c r="O1419">
        <v>213</v>
      </c>
      <c r="P1419">
        <v>213</v>
      </c>
    </row>
    <row r="1420" spans="1:16" x14ac:dyDescent="0.3">
      <c r="A1420" t="s">
        <v>35</v>
      </c>
      <c r="B1420">
        <v>33</v>
      </c>
      <c r="C1420">
        <v>32</v>
      </c>
      <c r="D1420">
        <v>212</v>
      </c>
      <c r="E1420">
        <v>34</v>
      </c>
      <c r="F1420">
        <v>213</v>
      </c>
      <c r="G1420">
        <v>34</v>
      </c>
      <c r="H1420">
        <v>213</v>
      </c>
      <c r="I1420">
        <v>32</v>
      </c>
      <c r="J1420">
        <v>212</v>
      </c>
      <c r="K1420">
        <v>34</v>
      </c>
      <c r="L1420">
        <v>213</v>
      </c>
      <c r="M1420">
        <v>32</v>
      </c>
      <c r="N1420">
        <v>32</v>
      </c>
      <c r="O1420">
        <v>212</v>
      </c>
      <c r="P1420">
        <v>34</v>
      </c>
    </row>
    <row r="1421" spans="1:16" x14ac:dyDescent="0.3">
      <c r="A1421" t="s">
        <v>36</v>
      </c>
      <c r="B1421">
        <v>33</v>
      </c>
      <c r="C1421">
        <v>0</v>
      </c>
      <c r="D1421">
        <v>1</v>
      </c>
      <c r="E1421">
        <v>2</v>
      </c>
      <c r="F1421">
        <v>1</v>
      </c>
      <c r="G1421">
        <v>0</v>
      </c>
      <c r="H1421">
        <v>1</v>
      </c>
      <c r="I1421">
        <v>2</v>
      </c>
      <c r="J1421">
        <v>1</v>
      </c>
      <c r="K1421">
        <v>1</v>
      </c>
      <c r="L1421">
        <v>1</v>
      </c>
      <c r="M1421">
        <v>0</v>
      </c>
      <c r="N1421">
        <v>0</v>
      </c>
      <c r="O1421">
        <v>1</v>
      </c>
      <c r="P1421">
        <v>1</v>
      </c>
    </row>
    <row r="1422" spans="1:16" x14ac:dyDescent="0.3">
      <c r="A1422" t="s">
        <v>37</v>
      </c>
      <c r="B1422">
        <v>33</v>
      </c>
      <c r="D1422">
        <v>0</v>
      </c>
      <c r="E1422">
        <v>0</v>
      </c>
      <c r="H1422">
        <v>0</v>
      </c>
      <c r="I1422">
        <v>0</v>
      </c>
      <c r="K1422">
        <v>0</v>
      </c>
      <c r="L1422">
        <v>2</v>
      </c>
      <c r="N1422">
        <v>0</v>
      </c>
      <c r="O1422">
        <v>1</v>
      </c>
    </row>
    <row r="1423" spans="1:16" x14ac:dyDescent="0.3">
      <c r="A1423" t="s">
        <v>38</v>
      </c>
      <c r="B1423">
        <v>33</v>
      </c>
      <c r="C1423">
        <v>12</v>
      </c>
      <c r="D1423">
        <v>12</v>
      </c>
      <c r="E1423">
        <v>12</v>
      </c>
      <c r="F1423">
        <v>12</v>
      </c>
      <c r="G1423">
        <v>12</v>
      </c>
      <c r="H1423">
        <v>12</v>
      </c>
      <c r="I1423">
        <v>12</v>
      </c>
      <c r="J1423">
        <v>12</v>
      </c>
      <c r="K1423">
        <v>12</v>
      </c>
      <c r="L1423">
        <v>12</v>
      </c>
      <c r="M1423">
        <v>12</v>
      </c>
      <c r="N1423">
        <v>12</v>
      </c>
      <c r="O1423">
        <v>12</v>
      </c>
      <c r="P1423">
        <v>12</v>
      </c>
    </row>
    <row r="1424" spans="1:16" x14ac:dyDescent="0.3">
      <c r="A1424" t="s">
        <v>39</v>
      </c>
      <c r="B1424">
        <v>33</v>
      </c>
      <c r="D1424">
        <v>465</v>
      </c>
      <c r="F1424">
        <v>125</v>
      </c>
      <c r="H1424">
        <v>473</v>
      </c>
      <c r="J1424">
        <v>215</v>
      </c>
      <c r="K1424">
        <v>122</v>
      </c>
      <c r="P1424">
        <v>162</v>
      </c>
    </row>
    <row r="1425" spans="1:16" x14ac:dyDescent="0.3">
      <c r="A1425" t="s">
        <v>631</v>
      </c>
      <c r="B1425">
        <v>33</v>
      </c>
      <c r="D1425">
        <v>25</v>
      </c>
      <c r="F1425">
        <v>25</v>
      </c>
      <c r="H1425">
        <v>25</v>
      </c>
      <c r="J1425">
        <v>25</v>
      </c>
      <c r="K1425">
        <v>25</v>
      </c>
      <c r="P1425">
        <v>25</v>
      </c>
    </row>
    <row r="1426" spans="1:16" x14ac:dyDescent="0.3">
      <c r="A1426" t="s">
        <v>40</v>
      </c>
      <c r="B1426">
        <v>33</v>
      </c>
      <c r="D1426">
        <v>1</v>
      </c>
      <c r="F1426">
        <v>1</v>
      </c>
      <c r="H1426">
        <v>1</v>
      </c>
      <c r="J1426">
        <v>1</v>
      </c>
      <c r="K1426">
        <v>1</v>
      </c>
      <c r="P1426">
        <v>1</v>
      </c>
    </row>
    <row r="1427" spans="1:16" x14ac:dyDescent="0.3">
      <c r="A1427" t="s">
        <v>41</v>
      </c>
      <c r="B1427">
        <v>33</v>
      </c>
    </row>
    <row r="1428" spans="1:16" x14ac:dyDescent="0.3">
      <c r="A1428" t="s">
        <v>42</v>
      </c>
      <c r="B1428">
        <v>33</v>
      </c>
      <c r="E1428">
        <v>55</v>
      </c>
      <c r="I1428">
        <v>55</v>
      </c>
      <c r="L1428">
        <v>30</v>
      </c>
      <c r="O1428">
        <v>30</v>
      </c>
    </row>
    <row r="1429" spans="1:16" x14ac:dyDescent="0.3">
      <c r="A1429" t="s">
        <v>45</v>
      </c>
      <c r="B1429">
        <v>33</v>
      </c>
      <c r="D1429">
        <v>1</v>
      </c>
      <c r="E1429">
        <v>6</v>
      </c>
      <c r="H1429">
        <v>5</v>
      </c>
      <c r="I1429">
        <v>2</v>
      </c>
      <c r="L1429">
        <v>8</v>
      </c>
      <c r="O1429">
        <v>4</v>
      </c>
    </row>
    <row r="1430" spans="1:16" x14ac:dyDescent="0.3">
      <c r="A1430" t="s">
        <v>46</v>
      </c>
      <c r="B1430">
        <v>33</v>
      </c>
      <c r="D1430">
        <v>6</v>
      </c>
      <c r="F1430">
        <v>6</v>
      </c>
      <c r="H1430">
        <v>2</v>
      </c>
      <c r="J1430">
        <v>2</v>
      </c>
      <c r="K1430">
        <v>8</v>
      </c>
      <c r="N1430">
        <v>4</v>
      </c>
      <c r="P1430">
        <v>4</v>
      </c>
    </row>
    <row r="1431" spans="1:16" x14ac:dyDescent="0.3">
      <c r="A1431" t="s">
        <v>49</v>
      </c>
      <c r="B1431">
        <v>33</v>
      </c>
      <c r="C1431">
        <v>4</v>
      </c>
      <c r="D1431">
        <v>5.9</v>
      </c>
      <c r="E1431">
        <v>6.5</v>
      </c>
      <c r="F1431">
        <v>6.5</v>
      </c>
      <c r="G1431">
        <v>4</v>
      </c>
      <c r="H1431">
        <v>5.5</v>
      </c>
      <c r="I1431">
        <v>6.5</v>
      </c>
      <c r="J1431">
        <v>6.5</v>
      </c>
      <c r="K1431">
        <v>6.7</v>
      </c>
      <c r="L1431">
        <v>6.7</v>
      </c>
      <c r="M1431">
        <v>4</v>
      </c>
      <c r="N1431">
        <v>6.7</v>
      </c>
      <c r="O1431">
        <v>6.7</v>
      </c>
      <c r="P1431">
        <v>6.7</v>
      </c>
    </row>
    <row r="1432" spans="1:16" x14ac:dyDescent="0.3">
      <c r="A1432" t="s">
        <v>632</v>
      </c>
      <c r="B1432">
        <v>33</v>
      </c>
      <c r="C1432">
        <v>0</v>
      </c>
      <c r="D1432">
        <v>0</v>
      </c>
      <c r="E1432">
        <v>0</v>
      </c>
      <c r="F1432">
        <v>0</v>
      </c>
      <c r="G1432">
        <v>0</v>
      </c>
      <c r="H1432">
        <v>0</v>
      </c>
      <c r="I1432">
        <v>0</v>
      </c>
      <c r="J1432">
        <v>0</v>
      </c>
      <c r="K1432">
        <v>0</v>
      </c>
      <c r="L1432">
        <v>0</v>
      </c>
      <c r="M1432">
        <v>0</v>
      </c>
      <c r="N1432">
        <v>0</v>
      </c>
      <c r="O1432">
        <v>0</v>
      </c>
      <c r="P1432">
        <v>0</v>
      </c>
    </row>
    <row r="1433" spans="1:16" x14ac:dyDescent="0.3">
      <c r="A1433" t="s">
        <v>48</v>
      </c>
      <c r="B1433">
        <v>33</v>
      </c>
      <c r="C1433">
        <v>1900</v>
      </c>
      <c r="D1433">
        <v>1900</v>
      </c>
      <c r="E1433">
        <v>1900</v>
      </c>
      <c r="F1433">
        <v>1900</v>
      </c>
      <c r="G1433">
        <v>1900</v>
      </c>
      <c r="H1433">
        <v>1900</v>
      </c>
      <c r="I1433">
        <v>1900</v>
      </c>
      <c r="J1433">
        <v>1900</v>
      </c>
      <c r="K1433">
        <v>1900</v>
      </c>
      <c r="L1433">
        <v>1900</v>
      </c>
      <c r="M1433">
        <v>1900</v>
      </c>
      <c r="N1433">
        <v>1900</v>
      </c>
      <c r="O1433">
        <v>1900</v>
      </c>
      <c r="P1433">
        <v>1900</v>
      </c>
    </row>
    <row r="1434" spans="1:16" x14ac:dyDescent="0.3">
      <c r="A1434" t="s">
        <v>633</v>
      </c>
      <c r="B1434">
        <v>33</v>
      </c>
      <c r="C1434">
        <v>0</v>
      </c>
      <c r="D1434">
        <v>1770</v>
      </c>
      <c r="E1434">
        <v>3539</v>
      </c>
      <c r="F1434">
        <v>1583</v>
      </c>
      <c r="G1434">
        <v>0</v>
      </c>
      <c r="H1434">
        <v>1787</v>
      </c>
      <c r="I1434">
        <v>3575</v>
      </c>
      <c r="J1434">
        <v>1599</v>
      </c>
      <c r="K1434">
        <v>1770</v>
      </c>
      <c r="L1434">
        <v>1723</v>
      </c>
      <c r="M1434">
        <v>0</v>
      </c>
      <c r="N1434">
        <v>0</v>
      </c>
      <c r="O1434">
        <v>1818</v>
      </c>
      <c r="P1434">
        <v>1583</v>
      </c>
    </row>
    <row r="1435" spans="1:16" x14ac:dyDescent="0.3">
      <c r="A1435" t="s">
        <v>50</v>
      </c>
      <c r="B1435">
        <v>33</v>
      </c>
      <c r="C1435">
        <v>0</v>
      </c>
      <c r="D1435">
        <v>417</v>
      </c>
      <c r="E1435">
        <v>3539</v>
      </c>
      <c r="F1435">
        <v>1583</v>
      </c>
      <c r="G1435">
        <v>0</v>
      </c>
      <c r="H1435">
        <v>186</v>
      </c>
      <c r="I1435">
        <v>3575</v>
      </c>
      <c r="J1435">
        <v>1599</v>
      </c>
      <c r="K1435">
        <v>1278</v>
      </c>
      <c r="L1435">
        <v>1723</v>
      </c>
      <c r="M1435">
        <v>0</v>
      </c>
      <c r="N1435">
        <v>0</v>
      </c>
      <c r="O1435">
        <v>1462</v>
      </c>
      <c r="P1435">
        <v>1583</v>
      </c>
    </row>
    <row r="1436" spans="1:16" x14ac:dyDescent="0.3">
      <c r="A1436" t="s">
        <v>634</v>
      </c>
      <c r="B1436">
        <v>33</v>
      </c>
      <c r="C1436">
        <v>1</v>
      </c>
      <c r="D1436">
        <v>1</v>
      </c>
      <c r="E1436">
        <v>1</v>
      </c>
      <c r="F1436">
        <v>1</v>
      </c>
      <c r="G1436">
        <v>1</v>
      </c>
      <c r="H1436">
        <v>1</v>
      </c>
      <c r="I1436">
        <v>1</v>
      </c>
      <c r="J1436">
        <v>1</v>
      </c>
      <c r="K1436">
        <v>1</v>
      </c>
      <c r="L1436">
        <v>1</v>
      </c>
      <c r="M1436">
        <v>1</v>
      </c>
      <c r="N1436">
        <v>1</v>
      </c>
      <c r="O1436">
        <v>1</v>
      </c>
      <c r="P1436">
        <v>1</v>
      </c>
    </row>
    <row r="1437" spans="1:16" x14ac:dyDescent="0.3">
      <c r="A1437" t="s">
        <v>51</v>
      </c>
      <c r="B1437">
        <v>33</v>
      </c>
      <c r="C1437">
        <v>0</v>
      </c>
      <c r="D1437">
        <v>0</v>
      </c>
      <c r="E1437">
        <v>0</v>
      </c>
      <c r="F1437">
        <v>87</v>
      </c>
      <c r="G1437">
        <v>0</v>
      </c>
      <c r="H1437">
        <v>0</v>
      </c>
      <c r="I1437">
        <v>0</v>
      </c>
      <c r="J1437">
        <v>87</v>
      </c>
      <c r="K1437">
        <v>0</v>
      </c>
      <c r="L1437">
        <v>37</v>
      </c>
      <c r="M1437">
        <v>0</v>
      </c>
      <c r="N1437">
        <v>0</v>
      </c>
      <c r="O1437">
        <v>0</v>
      </c>
      <c r="P1437">
        <v>85</v>
      </c>
    </row>
    <row r="1438" spans="1:16" x14ac:dyDescent="0.3">
      <c r="A1438" t="s">
        <v>53</v>
      </c>
      <c r="B1438">
        <v>33</v>
      </c>
      <c r="C1438">
        <v>0</v>
      </c>
      <c r="D1438">
        <v>50</v>
      </c>
      <c r="E1438">
        <v>1500</v>
      </c>
      <c r="F1438">
        <v>50</v>
      </c>
      <c r="G1438">
        <v>0</v>
      </c>
      <c r="H1438">
        <v>50</v>
      </c>
      <c r="I1438">
        <v>1000</v>
      </c>
      <c r="J1438">
        <v>50</v>
      </c>
      <c r="K1438">
        <v>50</v>
      </c>
      <c r="L1438">
        <v>50</v>
      </c>
      <c r="M1438">
        <v>50</v>
      </c>
      <c r="N1438">
        <v>50</v>
      </c>
      <c r="O1438">
        <v>50</v>
      </c>
      <c r="P1438">
        <v>50</v>
      </c>
    </row>
    <row r="1439" spans="1:16" x14ac:dyDescent="0.3">
      <c r="A1439" t="s">
        <v>54</v>
      </c>
      <c r="B1439">
        <v>33</v>
      </c>
      <c r="C1439">
        <v>0</v>
      </c>
      <c r="D1439">
        <v>0</v>
      </c>
      <c r="E1439">
        <v>0</v>
      </c>
      <c r="F1439">
        <v>0</v>
      </c>
      <c r="G1439">
        <v>0</v>
      </c>
      <c r="H1439">
        <v>0</v>
      </c>
      <c r="I1439">
        <v>0</v>
      </c>
      <c r="J1439">
        <v>0</v>
      </c>
      <c r="K1439">
        <v>0</v>
      </c>
      <c r="L1439">
        <v>0</v>
      </c>
      <c r="M1439">
        <v>0</v>
      </c>
      <c r="N1439">
        <v>0</v>
      </c>
      <c r="O1439">
        <v>0</v>
      </c>
      <c r="P1439">
        <v>0</v>
      </c>
    </row>
    <row r="1440" spans="1:16" x14ac:dyDescent="0.3">
      <c r="A1440" t="s">
        <v>55</v>
      </c>
      <c r="B1440">
        <v>33</v>
      </c>
      <c r="C1440">
        <v>0</v>
      </c>
      <c r="D1440">
        <v>0</v>
      </c>
      <c r="E1440">
        <v>0</v>
      </c>
      <c r="F1440">
        <v>0</v>
      </c>
      <c r="G1440">
        <v>0</v>
      </c>
      <c r="H1440">
        <v>0</v>
      </c>
      <c r="I1440">
        <v>0</v>
      </c>
      <c r="J1440">
        <v>0</v>
      </c>
      <c r="K1440">
        <v>0</v>
      </c>
      <c r="L1440">
        <v>0</v>
      </c>
      <c r="M1440">
        <v>0</v>
      </c>
      <c r="N1440">
        <v>0</v>
      </c>
      <c r="O1440">
        <v>0</v>
      </c>
      <c r="P1440">
        <v>0</v>
      </c>
    </row>
    <row r="1441" spans="1:16" x14ac:dyDescent="0.3">
      <c r="A1441" t="s">
        <v>56</v>
      </c>
      <c r="B1441">
        <v>33</v>
      </c>
      <c r="C1441">
        <v>0.92</v>
      </c>
      <c r="D1441">
        <v>0.92</v>
      </c>
      <c r="E1441">
        <v>0.92</v>
      </c>
      <c r="F1441">
        <v>0.92</v>
      </c>
      <c r="G1441">
        <v>0.92</v>
      </c>
      <c r="H1441">
        <v>0.92</v>
      </c>
      <c r="I1441">
        <v>0.92</v>
      </c>
      <c r="J1441">
        <v>0.92</v>
      </c>
      <c r="K1441">
        <v>0.92</v>
      </c>
      <c r="L1441">
        <v>0.92</v>
      </c>
      <c r="M1441">
        <v>0.92</v>
      </c>
      <c r="N1441">
        <v>0.92</v>
      </c>
      <c r="O1441">
        <v>0.92</v>
      </c>
      <c r="P1441">
        <v>0.92</v>
      </c>
    </row>
    <row r="1442" spans="1:16" x14ac:dyDescent="0.3">
      <c r="A1442" t="s">
        <v>57</v>
      </c>
      <c r="B1442">
        <v>33</v>
      </c>
      <c r="C1442">
        <v>100</v>
      </c>
      <c r="D1442">
        <v>100</v>
      </c>
      <c r="E1442">
        <v>100</v>
      </c>
      <c r="F1442">
        <v>100</v>
      </c>
      <c r="G1442">
        <v>100</v>
      </c>
      <c r="H1442">
        <v>100</v>
      </c>
      <c r="I1442">
        <v>100</v>
      </c>
      <c r="J1442">
        <v>100</v>
      </c>
      <c r="K1442">
        <v>100</v>
      </c>
      <c r="L1442">
        <v>100</v>
      </c>
      <c r="M1442">
        <v>100</v>
      </c>
      <c r="N1442">
        <v>100</v>
      </c>
      <c r="O1442">
        <v>100</v>
      </c>
      <c r="P1442">
        <v>100</v>
      </c>
    </row>
    <row r="1443" spans="1:16" x14ac:dyDescent="0.3">
      <c r="A1443" t="s">
        <v>58</v>
      </c>
      <c r="B1443">
        <v>33</v>
      </c>
      <c r="C1443">
        <v>2</v>
      </c>
      <c r="D1443">
        <v>2</v>
      </c>
      <c r="E1443">
        <v>2</v>
      </c>
      <c r="F1443">
        <v>2</v>
      </c>
      <c r="G1443">
        <v>2</v>
      </c>
      <c r="H1443">
        <v>2</v>
      </c>
      <c r="I1443">
        <v>2</v>
      </c>
      <c r="J1443">
        <v>2</v>
      </c>
      <c r="K1443">
        <v>2</v>
      </c>
      <c r="L1443">
        <v>2</v>
      </c>
      <c r="M1443">
        <v>2</v>
      </c>
      <c r="N1443">
        <v>2</v>
      </c>
      <c r="O1443">
        <v>2</v>
      </c>
      <c r="P1443">
        <v>2</v>
      </c>
    </row>
    <row r="1444" spans="1:16" x14ac:dyDescent="0.3">
      <c r="A1444" t="s">
        <v>59</v>
      </c>
      <c r="B1444">
        <v>33</v>
      </c>
      <c r="C1444">
        <v>0</v>
      </c>
      <c r="D1444">
        <v>0</v>
      </c>
      <c r="E1444">
        <v>0</v>
      </c>
      <c r="F1444">
        <v>0</v>
      </c>
      <c r="G1444">
        <v>0</v>
      </c>
      <c r="H1444">
        <v>0</v>
      </c>
      <c r="I1444">
        <v>0</v>
      </c>
      <c r="J1444">
        <v>0</v>
      </c>
      <c r="K1444">
        <v>0</v>
      </c>
      <c r="L1444">
        <v>0</v>
      </c>
      <c r="M1444">
        <v>0</v>
      </c>
      <c r="N1444">
        <v>0</v>
      </c>
      <c r="O1444">
        <v>0</v>
      </c>
      <c r="P1444">
        <v>0</v>
      </c>
    </row>
    <row r="1445" spans="1:16" x14ac:dyDescent="0.3">
      <c r="A1445" t="s">
        <v>635</v>
      </c>
      <c r="B1445">
        <v>33</v>
      </c>
      <c r="E1445">
        <v>0</v>
      </c>
      <c r="I1445">
        <v>0</v>
      </c>
      <c r="L1445">
        <v>0</v>
      </c>
      <c r="O1445">
        <v>0</v>
      </c>
    </row>
    <row r="1446" spans="1:16" x14ac:dyDescent="0.3">
      <c r="A1446" t="s">
        <v>574</v>
      </c>
      <c r="B1446">
        <v>33</v>
      </c>
      <c r="E1446" t="s">
        <v>620</v>
      </c>
      <c r="I1446" t="s">
        <v>623</v>
      </c>
      <c r="L1446">
        <v>622</v>
      </c>
      <c r="O1446">
        <v>1097</v>
      </c>
    </row>
    <row r="1447" spans="1:16" x14ac:dyDescent="0.3">
      <c r="A1447" t="s">
        <v>78</v>
      </c>
      <c r="B1447">
        <v>33</v>
      </c>
      <c r="E1447">
        <v>37.200000000000003</v>
      </c>
      <c r="I1447">
        <v>39</v>
      </c>
      <c r="L1447">
        <v>14.1</v>
      </c>
      <c r="O1447">
        <v>24.9</v>
      </c>
    </row>
    <row r="1448" spans="1:16" x14ac:dyDescent="0.3">
      <c r="A1448" t="s">
        <v>636</v>
      </c>
      <c r="B1448">
        <v>33</v>
      </c>
      <c r="F1448">
        <v>2</v>
      </c>
      <c r="J1448">
        <v>2</v>
      </c>
      <c r="M1448">
        <v>0</v>
      </c>
      <c r="P1448">
        <v>2</v>
      </c>
    </row>
    <row r="1449" spans="1:16" x14ac:dyDescent="0.3">
      <c r="A1449" t="s">
        <v>637</v>
      </c>
      <c r="B1449">
        <v>33</v>
      </c>
      <c r="F1449">
        <v>50</v>
      </c>
      <c r="J1449">
        <v>50</v>
      </c>
      <c r="P1449">
        <v>50</v>
      </c>
    </row>
    <row r="1450" spans="1:16" x14ac:dyDescent="0.3">
      <c r="A1450" t="s">
        <v>638</v>
      </c>
      <c r="B1450">
        <v>33</v>
      </c>
      <c r="F1450">
        <v>0</v>
      </c>
      <c r="J1450">
        <v>0</v>
      </c>
      <c r="P1450">
        <v>0</v>
      </c>
    </row>
    <row r="1451" spans="1:16" x14ac:dyDescent="0.3">
      <c r="A1451" t="s">
        <v>639</v>
      </c>
      <c r="B1451">
        <v>33</v>
      </c>
      <c r="C1451">
        <v>3</v>
      </c>
      <c r="D1451">
        <v>0</v>
      </c>
      <c r="E1451">
        <v>0</v>
      </c>
      <c r="F1451">
        <v>1</v>
      </c>
      <c r="G1451">
        <v>3</v>
      </c>
      <c r="H1451">
        <v>0</v>
      </c>
      <c r="I1451">
        <v>0</v>
      </c>
      <c r="J1451">
        <v>1</v>
      </c>
      <c r="K1451">
        <v>0</v>
      </c>
      <c r="L1451">
        <v>0</v>
      </c>
      <c r="M1451">
        <v>1</v>
      </c>
      <c r="N1451">
        <v>0</v>
      </c>
      <c r="O1451">
        <v>0</v>
      </c>
      <c r="P1451">
        <v>1</v>
      </c>
    </row>
    <row r="1452" spans="1:16" x14ac:dyDescent="0.3">
      <c r="A1452" t="s">
        <v>640</v>
      </c>
      <c r="B1452">
        <v>33</v>
      </c>
      <c r="C1452">
        <v>0</v>
      </c>
      <c r="D1452">
        <v>0</v>
      </c>
      <c r="E1452">
        <v>0</v>
      </c>
      <c r="F1452">
        <v>0</v>
      </c>
      <c r="G1452">
        <v>0</v>
      </c>
      <c r="H1452">
        <v>0</v>
      </c>
      <c r="I1452">
        <v>0</v>
      </c>
      <c r="J1452">
        <v>0</v>
      </c>
      <c r="K1452">
        <v>0</v>
      </c>
      <c r="L1452">
        <v>0</v>
      </c>
      <c r="M1452">
        <v>0</v>
      </c>
      <c r="N1452">
        <v>0</v>
      </c>
      <c r="O1452">
        <v>0</v>
      </c>
      <c r="P1452">
        <v>0</v>
      </c>
    </row>
    <row r="1453" spans="1:16" x14ac:dyDescent="0.3">
      <c r="A1453" t="s">
        <v>52</v>
      </c>
      <c r="B1453">
        <v>33</v>
      </c>
      <c r="C1453">
        <v>1</v>
      </c>
      <c r="D1453">
        <v>1</v>
      </c>
      <c r="E1453">
        <v>1</v>
      </c>
      <c r="F1453">
        <v>1</v>
      </c>
      <c r="G1453">
        <v>0.99</v>
      </c>
      <c r="H1453">
        <v>0.99</v>
      </c>
      <c r="I1453">
        <v>0.99</v>
      </c>
      <c r="J1453">
        <v>0.99</v>
      </c>
      <c r="K1453">
        <v>1</v>
      </c>
      <c r="L1453">
        <v>1</v>
      </c>
      <c r="M1453">
        <v>1</v>
      </c>
      <c r="N1453">
        <v>1</v>
      </c>
      <c r="O1453">
        <v>1</v>
      </c>
      <c r="P1453">
        <v>1</v>
      </c>
    </row>
    <row r="1454" spans="1:16" x14ac:dyDescent="0.3">
      <c r="A1454" t="s">
        <v>641</v>
      </c>
      <c r="B1454">
        <v>33</v>
      </c>
      <c r="C1454">
        <v>9</v>
      </c>
      <c r="D1454">
        <v>15</v>
      </c>
      <c r="E1454">
        <v>60</v>
      </c>
      <c r="F1454">
        <v>9</v>
      </c>
      <c r="G1454">
        <v>9</v>
      </c>
      <c r="H1454">
        <v>15</v>
      </c>
      <c r="I1454">
        <v>60</v>
      </c>
      <c r="J1454">
        <v>9</v>
      </c>
      <c r="K1454">
        <v>15</v>
      </c>
      <c r="L1454">
        <v>60</v>
      </c>
      <c r="M1454">
        <v>9</v>
      </c>
      <c r="N1454">
        <v>15</v>
      </c>
      <c r="O1454">
        <v>60</v>
      </c>
      <c r="P1454">
        <v>9</v>
      </c>
    </row>
    <row r="1455" spans="1:16" x14ac:dyDescent="0.3">
      <c r="A1455" t="s">
        <v>43</v>
      </c>
      <c r="B1455">
        <v>33</v>
      </c>
      <c r="D1455">
        <v>40</v>
      </c>
      <c r="E1455">
        <v>336</v>
      </c>
      <c r="F1455">
        <v>0</v>
      </c>
      <c r="H1455">
        <v>40</v>
      </c>
      <c r="I1455">
        <v>336</v>
      </c>
      <c r="J1455">
        <v>0</v>
      </c>
      <c r="K1455">
        <v>40</v>
      </c>
      <c r="L1455">
        <v>336</v>
      </c>
      <c r="N1455">
        <v>40</v>
      </c>
      <c r="O1455">
        <v>336</v>
      </c>
      <c r="P1455">
        <v>0</v>
      </c>
    </row>
    <row r="1456" spans="1:16" x14ac:dyDescent="0.3">
      <c r="A1456" t="s">
        <v>44</v>
      </c>
      <c r="B1456">
        <v>33</v>
      </c>
      <c r="D1456">
        <v>0</v>
      </c>
      <c r="E1456">
        <v>0</v>
      </c>
      <c r="F1456">
        <v>0</v>
      </c>
      <c r="H1456">
        <v>0</v>
      </c>
      <c r="I1456">
        <v>0</v>
      </c>
      <c r="J1456">
        <v>0</v>
      </c>
      <c r="K1456">
        <v>0</v>
      </c>
      <c r="L1456">
        <v>0</v>
      </c>
      <c r="N1456">
        <v>0</v>
      </c>
      <c r="O1456">
        <v>0</v>
      </c>
      <c r="P1456">
        <v>0</v>
      </c>
    </row>
    <row r="1457" spans="1:16" x14ac:dyDescent="0.3">
      <c r="A1457" t="s">
        <v>47</v>
      </c>
      <c r="B1457">
        <v>33</v>
      </c>
      <c r="D1457">
        <v>1</v>
      </c>
      <c r="E1457">
        <v>6</v>
      </c>
      <c r="F1457">
        <v>6</v>
      </c>
      <c r="H1457">
        <v>5</v>
      </c>
      <c r="I1457">
        <v>2</v>
      </c>
      <c r="J1457">
        <v>2</v>
      </c>
      <c r="K1457">
        <v>8</v>
      </c>
      <c r="L1457">
        <v>8</v>
      </c>
      <c r="N1457">
        <v>4</v>
      </c>
      <c r="O1457">
        <v>4</v>
      </c>
      <c r="P1457">
        <v>4</v>
      </c>
    </row>
    <row r="1458" spans="1:16" x14ac:dyDescent="0.3">
      <c r="A1458" t="s">
        <v>642</v>
      </c>
      <c r="B1458">
        <v>33</v>
      </c>
      <c r="D1458">
        <v>0</v>
      </c>
      <c r="E1458">
        <v>0</v>
      </c>
      <c r="F1458">
        <v>0</v>
      </c>
      <c r="H1458">
        <v>0</v>
      </c>
      <c r="I1458">
        <v>0</v>
      </c>
      <c r="J1458">
        <v>0</v>
      </c>
      <c r="K1458">
        <v>0</v>
      </c>
      <c r="L1458">
        <v>0</v>
      </c>
      <c r="N1458">
        <v>0</v>
      </c>
      <c r="O1458">
        <v>0</v>
      </c>
      <c r="P1458">
        <v>0</v>
      </c>
    </row>
    <row r="1459" spans="1:16" x14ac:dyDescent="0.3">
      <c r="A1459" t="s">
        <v>643</v>
      </c>
      <c r="B1459">
        <v>33</v>
      </c>
      <c r="D1459">
        <v>0</v>
      </c>
      <c r="E1459">
        <v>0</v>
      </c>
      <c r="F1459">
        <v>0</v>
      </c>
      <c r="H1459">
        <v>0</v>
      </c>
      <c r="I1459">
        <v>0</v>
      </c>
      <c r="J1459">
        <v>0</v>
      </c>
      <c r="K1459">
        <v>0</v>
      </c>
      <c r="L1459">
        <v>0</v>
      </c>
      <c r="N1459">
        <v>0</v>
      </c>
      <c r="O1459">
        <v>0</v>
      </c>
      <c r="P1459">
        <v>0</v>
      </c>
    </row>
    <row r="1460" spans="1:16" x14ac:dyDescent="0.3">
      <c r="A1460" t="s">
        <v>644</v>
      </c>
      <c r="B1460">
        <v>33</v>
      </c>
      <c r="D1460">
        <v>0</v>
      </c>
      <c r="E1460">
        <v>0</v>
      </c>
      <c r="F1460">
        <v>0</v>
      </c>
      <c r="H1460">
        <v>0</v>
      </c>
      <c r="I1460">
        <v>0</v>
      </c>
      <c r="J1460">
        <v>0</v>
      </c>
      <c r="K1460">
        <v>0</v>
      </c>
      <c r="L1460">
        <v>0</v>
      </c>
      <c r="N1460">
        <v>0</v>
      </c>
      <c r="O1460">
        <v>0</v>
      </c>
      <c r="P1460">
        <v>0</v>
      </c>
    </row>
    <row r="1461" spans="1:16" x14ac:dyDescent="0.3">
      <c r="A1461" t="s">
        <v>645</v>
      </c>
      <c r="B1461">
        <v>33</v>
      </c>
      <c r="D1461">
        <v>0</v>
      </c>
      <c r="E1461">
        <v>0</v>
      </c>
      <c r="F1461">
        <v>0</v>
      </c>
      <c r="H1461">
        <v>0</v>
      </c>
      <c r="I1461">
        <v>0</v>
      </c>
      <c r="J1461">
        <v>0</v>
      </c>
      <c r="K1461">
        <v>0</v>
      </c>
      <c r="L1461">
        <v>0</v>
      </c>
      <c r="N1461">
        <v>0</v>
      </c>
      <c r="O1461">
        <v>0</v>
      </c>
      <c r="P1461">
        <v>0</v>
      </c>
    </row>
    <row r="1462" spans="1:16" x14ac:dyDescent="0.3">
      <c r="A1462" t="s">
        <v>646</v>
      </c>
      <c r="B1462">
        <v>33</v>
      </c>
      <c r="D1462">
        <v>1</v>
      </c>
      <c r="E1462">
        <v>2</v>
      </c>
      <c r="F1462">
        <v>1</v>
      </c>
      <c r="H1462">
        <v>1</v>
      </c>
      <c r="I1462">
        <v>2</v>
      </c>
      <c r="J1462">
        <v>1</v>
      </c>
      <c r="K1462">
        <v>1</v>
      </c>
      <c r="L1462">
        <v>2</v>
      </c>
      <c r="N1462">
        <v>1</v>
      </c>
      <c r="O1462">
        <v>2</v>
      </c>
      <c r="P1462">
        <v>1</v>
      </c>
    </row>
    <row r="1463" spans="1:16" x14ac:dyDescent="0.3">
      <c r="A1463" t="s">
        <v>647</v>
      </c>
      <c r="B1463">
        <v>33</v>
      </c>
      <c r="D1463">
        <v>0</v>
      </c>
      <c r="E1463">
        <v>330</v>
      </c>
      <c r="F1463">
        <v>0</v>
      </c>
      <c r="H1463">
        <v>0</v>
      </c>
      <c r="I1463">
        <v>330</v>
      </c>
      <c r="J1463">
        <v>0</v>
      </c>
      <c r="K1463">
        <v>0</v>
      </c>
      <c r="L1463">
        <v>330</v>
      </c>
      <c r="N1463">
        <v>0</v>
      </c>
      <c r="O1463">
        <v>330</v>
      </c>
      <c r="P1463">
        <v>0</v>
      </c>
    </row>
    <row r="1464" spans="1:16" x14ac:dyDescent="0.3">
      <c r="A1464" t="s">
        <v>648</v>
      </c>
      <c r="B1464">
        <v>33</v>
      </c>
      <c r="D1464">
        <v>40</v>
      </c>
      <c r="E1464">
        <v>6</v>
      </c>
      <c r="F1464">
        <v>0</v>
      </c>
      <c r="H1464">
        <v>40</v>
      </c>
      <c r="I1464">
        <v>6</v>
      </c>
      <c r="J1464">
        <v>0</v>
      </c>
      <c r="K1464">
        <v>40</v>
      </c>
      <c r="L1464">
        <v>6</v>
      </c>
      <c r="N1464">
        <v>40</v>
      </c>
      <c r="O1464">
        <v>6</v>
      </c>
      <c r="P1464">
        <v>0</v>
      </c>
    </row>
    <row r="1465" spans="1:16" x14ac:dyDescent="0.3">
      <c r="A1465" t="s">
        <v>649</v>
      </c>
      <c r="B1465">
        <v>33</v>
      </c>
      <c r="D1465">
        <v>3</v>
      </c>
      <c r="E1465">
        <v>3</v>
      </c>
      <c r="F1465">
        <v>3</v>
      </c>
      <c r="H1465">
        <v>3</v>
      </c>
      <c r="I1465">
        <v>3</v>
      </c>
      <c r="J1465">
        <v>3</v>
      </c>
      <c r="K1465">
        <v>3</v>
      </c>
      <c r="L1465">
        <v>3</v>
      </c>
      <c r="N1465">
        <v>3</v>
      </c>
      <c r="O1465">
        <v>3</v>
      </c>
      <c r="P1465">
        <v>3</v>
      </c>
    </row>
    <row r="1466" spans="1:16" x14ac:dyDescent="0.3">
      <c r="A1466" t="s">
        <v>650</v>
      </c>
      <c r="B1466">
        <v>33</v>
      </c>
      <c r="D1466">
        <v>0</v>
      </c>
      <c r="E1466">
        <v>0</v>
      </c>
      <c r="F1466">
        <v>0</v>
      </c>
      <c r="H1466">
        <v>0</v>
      </c>
      <c r="I1466">
        <v>0</v>
      </c>
      <c r="J1466">
        <v>0</v>
      </c>
      <c r="K1466">
        <v>0</v>
      </c>
      <c r="L1466">
        <v>0</v>
      </c>
      <c r="N1466">
        <v>0</v>
      </c>
      <c r="O1466">
        <v>0</v>
      </c>
      <c r="P1466">
        <v>0</v>
      </c>
    </row>
    <row r="1467" spans="1:16" x14ac:dyDescent="0.3">
      <c r="A1467" t="s">
        <v>651</v>
      </c>
      <c r="B1467">
        <v>33</v>
      </c>
      <c r="D1467">
        <v>0</v>
      </c>
      <c r="E1467">
        <v>0</v>
      </c>
      <c r="F1467">
        <v>0</v>
      </c>
      <c r="H1467">
        <v>0</v>
      </c>
      <c r="I1467">
        <v>0</v>
      </c>
      <c r="J1467">
        <v>0</v>
      </c>
      <c r="K1467">
        <v>0</v>
      </c>
      <c r="L1467">
        <v>0</v>
      </c>
      <c r="N1467">
        <v>0</v>
      </c>
      <c r="O1467">
        <v>0</v>
      </c>
      <c r="P1467">
        <v>0</v>
      </c>
    </row>
    <row r="1468" spans="1:16" x14ac:dyDescent="0.3">
      <c r="A1468" t="s">
        <v>652</v>
      </c>
      <c r="B1468">
        <v>33</v>
      </c>
      <c r="D1468">
        <v>0</v>
      </c>
      <c r="E1468">
        <v>0</v>
      </c>
      <c r="F1468">
        <v>0</v>
      </c>
      <c r="H1468">
        <v>0</v>
      </c>
      <c r="I1468">
        <v>0</v>
      </c>
      <c r="J1468">
        <v>0</v>
      </c>
      <c r="K1468">
        <v>0</v>
      </c>
      <c r="L1468">
        <v>0</v>
      </c>
      <c r="N1468">
        <v>0</v>
      </c>
      <c r="O1468">
        <v>0</v>
      </c>
      <c r="P1468">
        <v>0</v>
      </c>
    </row>
    <row r="1469" spans="1:16" x14ac:dyDescent="0.3">
      <c r="A1469" t="s">
        <v>653</v>
      </c>
      <c r="B1469">
        <v>33</v>
      </c>
      <c r="E1469">
        <v>0</v>
      </c>
      <c r="I1469">
        <v>0</v>
      </c>
      <c r="L1469">
        <v>0</v>
      </c>
      <c r="O1469">
        <v>0</v>
      </c>
    </row>
    <row r="1470" spans="1:16" x14ac:dyDescent="0.3">
      <c r="A1470" t="s">
        <v>654</v>
      </c>
      <c r="B1470">
        <v>33</v>
      </c>
      <c r="E1470">
        <v>0</v>
      </c>
      <c r="I1470">
        <v>0</v>
      </c>
      <c r="L1470">
        <v>0</v>
      </c>
      <c r="O1470">
        <v>0</v>
      </c>
    </row>
    <row r="1471" spans="1:16" x14ac:dyDescent="0.3">
      <c r="A1471" t="s">
        <v>655</v>
      </c>
      <c r="B1471">
        <v>33</v>
      </c>
      <c r="E1471">
        <v>3</v>
      </c>
      <c r="I1471">
        <v>3</v>
      </c>
      <c r="L1471">
        <v>3</v>
      </c>
      <c r="O1471">
        <v>3</v>
      </c>
    </row>
    <row r="1472" spans="1:16" x14ac:dyDescent="0.3">
      <c r="A1472" t="s">
        <v>656</v>
      </c>
      <c r="B1472">
        <v>33</v>
      </c>
      <c r="E1472">
        <v>0</v>
      </c>
      <c r="I1472">
        <v>0</v>
      </c>
      <c r="L1472">
        <v>0</v>
      </c>
      <c r="O1472">
        <v>0</v>
      </c>
    </row>
    <row r="1473" spans="1:16" x14ac:dyDescent="0.3">
      <c r="A1473" t="s">
        <v>657</v>
      </c>
      <c r="B1473">
        <v>33</v>
      </c>
      <c r="E1473">
        <v>0</v>
      </c>
      <c r="I1473">
        <v>0</v>
      </c>
      <c r="L1473">
        <v>0</v>
      </c>
      <c r="O1473">
        <v>0</v>
      </c>
    </row>
    <row r="1474" spans="1:16" x14ac:dyDescent="0.3">
      <c r="A1474" t="s">
        <v>408</v>
      </c>
      <c r="B1474">
        <v>33</v>
      </c>
      <c r="E1474">
        <v>0</v>
      </c>
    </row>
    <row r="1475" spans="1:16" x14ac:dyDescent="0.3">
      <c r="A1475" t="s">
        <v>658</v>
      </c>
      <c r="B1475">
        <v>33</v>
      </c>
      <c r="C1475">
        <v>0</v>
      </c>
      <c r="D1475">
        <v>54</v>
      </c>
      <c r="E1475">
        <v>1630</v>
      </c>
      <c r="F1475">
        <v>54</v>
      </c>
      <c r="G1475">
        <v>0</v>
      </c>
      <c r="H1475">
        <v>54</v>
      </c>
      <c r="I1475">
        <v>1087</v>
      </c>
      <c r="J1475">
        <v>54</v>
      </c>
      <c r="K1475">
        <v>54</v>
      </c>
      <c r="L1475">
        <v>108</v>
      </c>
      <c r="M1475">
        <v>0</v>
      </c>
      <c r="N1475">
        <v>0</v>
      </c>
      <c r="O1475">
        <v>108</v>
      </c>
      <c r="P1475">
        <v>54</v>
      </c>
    </row>
    <row r="1476" spans="1:16" x14ac:dyDescent="0.3">
      <c r="A1476" t="s">
        <v>34</v>
      </c>
      <c r="B1476">
        <v>34</v>
      </c>
      <c r="C1476">
        <v>33</v>
      </c>
      <c r="D1476">
        <v>33</v>
      </c>
      <c r="E1476">
        <v>33</v>
      </c>
      <c r="F1476">
        <v>33</v>
      </c>
      <c r="G1476">
        <v>62</v>
      </c>
      <c r="H1476">
        <v>62</v>
      </c>
      <c r="I1476">
        <v>62</v>
      </c>
      <c r="J1476">
        <v>62</v>
      </c>
      <c r="K1476">
        <v>211</v>
      </c>
      <c r="L1476">
        <v>211</v>
      </c>
      <c r="M1476">
        <v>211</v>
      </c>
      <c r="N1476">
        <v>210</v>
      </c>
      <c r="O1476">
        <v>210</v>
      </c>
      <c r="P1476">
        <v>210</v>
      </c>
    </row>
    <row r="1477" spans="1:16" x14ac:dyDescent="0.3">
      <c r="A1477" t="s">
        <v>35</v>
      </c>
      <c r="B1477">
        <v>34</v>
      </c>
      <c r="C1477">
        <v>33</v>
      </c>
      <c r="D1477">
        <v>211</v>
      </c>
      <c r="E1477">
        <v>62</v>
      </c>
      <c r="F1477">
        <v>210</v>
      </c>
      <c r="G1477">
        <v>62</v>
      </c>
      <c r="H1477">
        <v>210</v>
      </c>
      <c r="I1477">
        <v>33</v>
      </c>
      <c r="J1477">
        <v>211</v>
      </c>
      <c r="K1477">
        <v>62</v>
      </c>
      <c r="L1477">
        <v>210</v>
      </c>
      <c r="M1477">
        <v>33</v>
      </c>
      <c r="N1477">
        <v>33</v>
      </c>
      <c r="O1477">
        <v>211</v>
      </c>
      <c r="P1477">
        <v>62</v>
      </c>
    </row>
    <row r="1478" spans="1:16" x14ac:dyDescent="0.3">
      <c r="A1478" t="s">
        <v>36</v>
      </c>
      <c r="B1478">
        <v>34</v>
      </c>
      <c r="C1478">
        <v>0</v>
      </c>
      <c r="D1478">
        <v>1</v>
      </c>
      <c r="E1478">
        <v>2</v>
      </c>
      <c r="F1478">
        <v>1</v>
      </c>
      <c r="G1478">
        <v>0</v>
      </c>
      <c r="H1478">
        <v>1</v>
      </c>
      <c r="I1478">
        <v>2</v>
      </c>
      <c r="J1478">
        <v>1</v>
      </c>
      <c r="K1478">
        <v>0</v>
      </c>
      <c r="L1478">
        <v>1</v>
      </c>
      <c r="M1478">
        <v>0</v>
      </c>
      <c r="N1478">
        <v>0</v>
      </c>
      <c r="O1478">
        <v>1</v>
      </c>
      <c r="P1478">
        <v>0</v>
      </c>
    </row>
    <row r="1479" spans="1:16" x14ac:dyDescent="0.3">
      <c r="A1479" t="s">
        <v>37</v>
      </c>
      <c r="B1479">
        <v>34</v>
      </c>
      <c r="D1479">
        <v>0</v>
      </c>
      <c r="E1479">
        <v>0</v>
      </c>
      <c r="H1479">
        <v>0</v>
      </c>
      <c r="I1479">
        <v>0</v>
      </c>
      <c r="K1479">
        <v>0</v>
      </c>
      <c r="L1479">
        <v>3</v>
      </c>
      <c r="N1479">
        <v>0</v>
      </c>
      <c r="O1479">
        <v>3</v>
      </c>
    </row>
    <row r="1480" spans="1:16" x14ac:dyDescent="0.3">
      <c r="A1480" t="s">
        <v>38</v>
      </c>
      <c r="B1480">
        <v>34</v>
      </c>
      <c r="C1480">
        <v>12</v>
      </c>
      <c r="D1480">
        <v>12</v>
      </c>
      <c r="E1480">
        <v>12</v>
      </c>
      <c r="F1480">
        <v>12</v>
      </c>
      <c r="G1480">
        <v>12</v>
      </c>
      <c r="H1480">
        <v>12</v>
      </c>
      <c r="I1480">
        <v>12</v>
      </c>
      <c r="J1480">
        <v>12</v>
      </c>
      <c r="K1480">
        <v>12</v>
      </c>
      <c r="L1480">
        <v>12</v>
      </c>
      <c r="M1480">
        <v>12</v>
      </c>
      <c r="N1480">
        <v>12</v>
      </c>
      <c r="O1480">
        <v>12</v>
      </c>
      <c r="P1480">
        <v>12</v>
      </c>
    </row>
    <row r="1481" spans="1:16" x14ac:dyDescent="0.3">
      <c r="A1481" t="s">
        <v>39</v>
      </c>
      <c r="B1481">
        <v>34</v>
      </c>
      <c r="D1481">
        <v>282</v>
      </c>
      <c r="F1481">
        <v>116</v>
      </c>
      <c r="H1481">
        <v>305</v>
      </c>
      <c r="J1481">
        <v>130</v>
      </c>
    </row>
    <row r="1482" spans="1:16" x14ac:dyDescent="0.3">
      <c r="A1482" t="s">
        <v>631</v>
      </c>
      <c r="B1482">
        <v>34</v>
      </c>
      <c r="D1482">
        <v>25</v>
      </c>
      <c r="F1482">
        <v>25</v>
      </c>
      <c r="H1482">
        <v>25</v>
      </c>
      <c r="J1482">
        <v>25</v>
      </c>
    </row>
    <row r="1483" spans="1:16" x14ac:dyDescent="0.3">
      <c r="A1483" t="s">
        <v>40</v>
      </c>
      <c r="B1483">
        <v>34</v>
      </c>
      <c r="D1483">
        <v>1</v>
      </c>
      <c r="F1483">
        <v>1</v>
      </c>
      <c r="H1483">
        <v>1</v>
      </c>
      <c r="J1483">
        <v>1</v>
      </c>
    </row>
    <row r="1484" spans="1:16" x14ac:dyDescent="0.3">
      <c r="A1484" t="s">
        <v>41</v>
      </c>
      <c r="B1484">
        <v>34</v>
      </c>
    </row>
    <row r="1485" spans="1:16" x14ac:dyDescent="0.3">
      <c r="A1485" t="s">
        <v>42</v>
      </c>
      <c r="B1485">
        <v>34</v>
      </c>
      <c r="E1485">
        <v>55</v>
      </c>
      <c r="I1485">
        <v>55</v>
      </c>
      <c r="L1485">
        <v>30</v>
      </c>
      <c r="O1485">
        <v>30</v>
      </c>
    </row>
    <row r="1486" spans="1:16" x14ac:dyDescent="0.3">
      <c r="A1486" t="s">
        <v>45</v>
      </c>
      <c r="B1486">
        <v>34</v>
      </c>
      <c r="D1486">
        <v>1</v>
      </c>
      <c r="E1486">
        <v>6</v>
      </c>
      <c r="H1486">
        <v>5</v>
      </c>
      <c r="I1486">
        <v>2</v>
      </c>
      <c r="L1486">
        <v>8</v>
      </c>
      <c r="O1486">
        <v>4</v>
      </c>
    </row>
    <row r="1487" spans="1:16" x14ac:dyDescent="0.3">
      <c r="A1487" t="s">
        <v>46</v>
      </c>
      <c r="B1487">
        <v>34</v>
      </c>
      <c r="D1487">
        <v>6</v>
      </c>
      <c r="F1487">
        <v>6</v>
      </c>
      <c r="H1487">
        <v>2</v>
      </c>
      <c r="J1487">
        <v>2</v>
      </c>
      <c r="K1487">
        <v>8</v>
      </c>
      <c r="N1487">
        <v>4</v>
      </c>
    </row>
    <row r="1488" spans="1:16" x14ac:dyDescent="0.3">
      <c r="A1488" t="s">
        <v>49</v>
      </c>
      <c r="B1488">
        <v>34</v>
      </c>
      <c r="C1488">
        <v>4</v>
      </c>
      <c r="D1488">
        <v>7.1</v>
      </c>
      <c r="E1488">
        <v>6.5</v>
      </c>
      <c r="F1488">
        <v>6.5</v>
      </c>
      <c r="G1488">
        <v>4</v>
      </c>
      <c r="H1488">
        <v>6.9</v>
      </c>
      <c r="I1488">
        <v>6.5</v>
      </c>
      <c r="J1488">
        <v>6.5</v>
      </c>
      <c r="K1488">
        <v>4.3</v>
      </c>
      <c r="L1488">
        <v>4.3</v>
      </c>
      <c r="M1488">
        <v>4</v>
      </c>
      <c r="N1488">
        <v>6.3</v>
      </c>
      <c r="O1488">
        <v>6.3</v>
      </c>
      <c r="P1488">
        <v>4</v>
      </c>
    </row>
    <row r="1489" spans="1:16" x14ac:dyDescent="0.3">
      <c r="A1489" t="s">
        <v>632</v>
      </c>
      <c r="B1489">
        <v>34</v>
      </c>
      <c r="C1489">
        <v>0</v>
      </c>
      <c r="D1489">
        <v>0</v>
      </c>
      <c r="E1489">
        <v>0</v>
      </c>
      <c r="F1489">
        <v>0</v>
      </c>
      <c r="G1489">
        <v>0</v>
      </c>
      <c r="H1489">
        <v>0</v>
      </c>
      <c r="I1489">
        <v>0</v>
      </c>
      <c r="J1489">
        <v>0</v>
      </c>
      <c r="K1489">
        <v>0</v>
      </c>
      <c r="L1489">
        <v>0</v>
      </c>
      <c r="M1489">
        <v>0</v>
      </c>
      <c r="N1489">
        <v>0</v>
      </c>
      <c r="O1489">
        <v>0</v>
      </c>
      <c r="P1489">
        <v>0</v>
      </c>
    </row>
    <row r="1490" spans="1:16" x14ac:dyDescent="0.3">
      <c r="A1490" t="s">
        <v>48</v>
      </c>
      <c r="B1490">
        <v>34</v>
      </c>
      <c r="C1490">
        <v>1900</v>
      </c>
      <c r="D1490">
        <v>1900</v>
      </c>
      <c r="E1490">
        <v>1900</v>
      </c>
      <c r="F1490">
        <v>1900</v>
      </c>
      <c r="G1490">
        <v>1900</v>
      </c>
      <c r="H1490">
        <v>1900</v>
      </c>
      <c r="I1490">
        <v>1900</v>
      </c>
      <c r="J1490">
        <v>1900</v>
      </c>
      <c r="K1490">
        <v>1900</v>
      </c>
      <c r="L1490">
        <v>1900</v>
      </c>
      <c r="M1490">
        <v>1900</v>
      </c>
      <c r="N1490">
        <v>1900</v>
      </c>
      <c r="O1490">
        <v>1900</v>
      </c>
      <c r="P1490">
        <v>1900</v>
      </c>
    </row>
    <row r="1491" spans="1:16" x14ac:dyDescent="0.3">
      <c r="A1491" t="s">
        <v>633</v>
      </c>
      <c r="B1491">
        <v>34</v>
      </c>
      <c r="C1491">
        <v>0</v>
      </c>
      <c r="D1491">
        <v>1770</v>
      </c>
      <c r="E1491">
        <v>3539</v>
      </c>
      <c r="F1491">
        <v>1583</v>
      </c>
      <c r="G1491">
        <v>0</v>
      </c>
      <c r="H1491">
        <v>1787</v>
      </c>
      <c r="I1491">
        <v>3575</v>
      </c>
      <c r="J1491">
        <v>1599</v>
      </c>
      <c r="K1491">
        <v>0</v>
      </c>
      <c r="L1491">
        <v>1694</v>
      </c>
      <c r="M1491">
        <v>0</v>
      </c>
      <c r="N1491">
        <v>0</v>
      </c>
      <c r="O1491">
        <v>1694</v>
      </c>
      <c r="P1491">
        <v>0</v>
      </c>
    </row>
    <row r="1492" spans="1:16" x14ac:dyDescent="0.3">
      <c r="A1492" t="s">
        <v>50</v>
      </c>
      <c r="B1492">
        <v>34</v>
      </c>
      <c r="C1492">
        <v>0</v>
      </c>
      <c r="D1492">
        <v>738</v>
      </c>
      <c r="E1492">
        <v>3539</v>
      </c>
      <c r="F1492">
        <v>1583</v>
      </c>
      <c r="G1492">
        <v>0</v>
      </c>
      <c r="H1492">
        <v>169</v>
      </c>
      <c r="I1492">
        <v>3575</v>
      </c>
      <c r="J1492">
        <v>1599</v>
      </c>
      <c r="K1492">
        <v>0</v>
      </c>
      <c r="L1492">
        <v>1319</v>
      </c>
      <c r="M1492">
        <v>0</v>
      </c>
      <c r="N1492">
        <v>0</v>
      </c>
      <c r="O1492">
        <v>1248</v>
      </c>
      <c r="P1492">
        <v>0</v>
      </c>
    </row>
    <row r="1493" spans="1:16" x14ac:dyDescent="0.3">
      <c r="A1493" t="s">
        <v>634</v>
      </c>
      <c r="B1493">
        <v>34</v>
      </c>
      <c r="C1493">
        <v>1</v>
      </c>
      <c r="D1493">
        <v>1</v>
      </c>
      <c r="E1493">
        <v>1</v>
      </c>
      <c r="F1493">
        <v>1</v>
      </c>
      <c r="G1493">
        <v>1</v>
      </c>
      <c r="H1493">
        <v>1</v>
      </c>
      <c r="I1493">
        <v>1</v>
      </c>
      <c r="J1493">
        <v>1</v>
      </c>
      <c r="K1493">
        <v>1</v>
      </c>
      <c r="L1493">
        <v>1</v>
      </c>
      <c r="M1493">
        <v>1</v>
      </c>
      <c r="N1493">
        <v>1</v>
      </c>
      <c r="O1493">
        <v>1</v>
      </c>
      <c r="P1493">
        <v>1</v>
      </c>
    </row>
    <row r="1494" spans="1:16" x14ac:dyDescent="0.3">
      <c r="A1494" t="s">
        <v>51</v>
      </c>
      <c r="B1494">
        <v>34</v>
      </c>
      <c r="C1494">
        <v>0</v>
      </c>
      <c r="D1494">
        <v>0</v>
      </c>
      <c r="E1494">
        <v>0</v>
      </c>
      <c r="F1494">
        <v>95</v>
      </c>
      <c r="G1494">
        <v>0</v>
      </c>
      <c r="H1494">
        <v>0</v>
      </c>
      <c r="I1494">
        <v>0</v>
      </c>
      <c r="J1494">
        <v>95</v>
      </c>
      <c r="K1494">
        <v>0</v>
      </c>
      <c r="L1494">
        <v>96</v>
      </c>
      <c r="M1494">
        <v>0</v>
      </c>
      <c r="N1494">
        <v>0</v>
      </c>
      <c r="O1494">
        <v>96</v>
      </c>
      <c r="P1494">
        <v>0</v>
      </c>
    </row>
    <row r="1495" spans="1:16" x14ac:dyDescent="0.3">
      <c r="A1495" t="s">
        <v>53</v>
      </c>
      <c r="B1495">
        <v>34</v>
      </c>
      <c r="C1495">
        <v>0</v>
      </c>
      <c r="D1495">
        <v>50</v>
      </c>
      <c r="E1495">
        <v>1600</v>
      </c>
      <c r="F1495">
        <v>50</v>
      </c>
      <c r="G1495">
        <v>0</v>
      </c>
      <c r="H1495">
        <v>50</v>
      </c>
      <c r="I1495">
        <v>600</v>
      </c>
      <c r="J1495">
        <v>50</v>
      </c>
      <c r="K1495">
        <v>50</v>
      </c>
      <c r="L1495">
        <v>0</v>
      </c>
      <c r="M1495">
        <v>50</v>
      </c>
      <c r="N1495">
        <v>50</v>
      </c>
      <c r="O1495">
        <v>0</v>
      </c>
      <c r="P1495">
        <v>50</v>
      </c>
    </row>
    <row r="1496" spans="1:16" x14ac:dyDescent="0.3">
      <c r="A1496" t="s">
        <v>54</v>
      </c>
      <c r="B1496">
        <v>34</v>
      </c>
      <c r="C1496">
        <v>0</v>
      </c>
      <c r="D1496">
        <v>0</v>
      </c>
      <c r="E1496">
        <v>0</v>
      </c>
      <c r="F1496">
        <v>0</v>
      </c>
      <c r="G1496">
        <v>0</v>
      </c>
      <c r="H1496">
        <v>0</v>
      </c>
      <c r="I1496">
        <v>0</v>
      </c>
      <c r="J1496">
        <v>0</v>
      </c>
      <c r="K1496">
        <v>0</v>
      </c>
      <c r="L1496">
        <v>0</v>
      </c>
      <c r="M1496">
        <v>0</v>
      </c>
      <c r="N1496">
        <v>0</v>
      </c>
      <c r="O1496">
        <v>0</v>
      </c>
      <c r="P1496">
        <v>0</v>
      </c>
    </row>
    <row r="1497" spans="1:16" x14ac:dyDescent="0.3">
      <c r="A1497" t="s">
        <v>55</v>
      </c>
      <c r="B1497">
        <v>34</v>
      </c>
      <c r="C1497">
        <v>0</v>
      </c>
      <c r="D1497">
        <v>0</v>
      </c>
      <c r="E1497">
        <v>0</v>
      </c>
      <c r="F1497">
        <v>0</v>
      </c>
      <c r="G1497">
        <v>0</v>
      </c>
      <c r="H1497">
        <v>0</v>
      </c>
      <c r="I1497">
        <v>0</v>
      </c>
      <c r="J1497">
        <v>0</v>
      </c>
      <c r="K1497">
        <v>0</v>
      </c>
      <c r="L1497">
        <v>0</v>
      </c>
      <c r="M1497">
        <v>0</v>
      </c>
      <c r="N1497">
        <v>0</v>
      </c>
      <c r="O1497">
        <v>0</v>
      </c>
      <c r="P1497">
        <v>0</v>
      </c>
    </row>
    <row r="1498" spans="1:16" x14ac:dyDescent="0.3">
      <c r="A1498" t="s">
        <v>56</v>
      </c>
      <c r="B1498">
        <v>34</v>
      </c>
      <c r="C1498">
        <v>0.92</v>
      </c>
      <c r="D1498">
        <v>0.92</v>
      </c>
      <c r="E1498">
        <v>0.92</v>
      </c>
      <c r="F1498">
        <v>0.92</v>
      </c>
      <c r="G1498">
        <v>0.92</v>
      </c>
      <c r="H1498">
        <v>0.92</v>
      </c>
      <c r="I1498">
        <v>0.92</v>
      </c>
      <c r="J1498">
        <v>0.92</v>
      </c>
      <c r="K1498">
        <v>0.92</v>
      </c>
      <c r="L1498">
        <v>0.92</v>
      </c>
      <c r="M1498">
        <v>0.92</v>
      </c>
      <c r="N1498">
        <v>0.92</v>
      </c>
      <c r="O1498">
        <v>0.92</v>
      </c>
      <c r="P1498">
        <v>0.92</v>
      </c>
    </row>
    <row r="1499" spans="1:16" x14ac:dyDescent="0.3">
      <c r="A1499" t="s">
        <v>57</v>
      </c>
      <c r="B1499">
        <v>34</v>
      </c>
      <c r="C1499">
        <v>100</v>
      </c>
      <c r="D1499">
        <v>100</v>
      </c>
      <c r="E1499">
        <v>100</v>
      </c>
      <c r="F1499">
        <v>100</v>
      </c>
      <c r="G1499">
        <v>100</v>
      </c>
      <c r="H1499">
        <v>100</v>
      </c>
      <c r="I1499">
        <v>100</v>
      </c>
      <c r="J1499">
        <v>100</v>
      </c>
      <c r="K1499">
        <v>100</v>
      </c>
      <c r="L1499">
        <v>100</v>
      </c>
      <c r="M1499">
        <v>100</v>
      </c>
      <c r="N1499">
        <v>100</v>
      </c>
      <c r="O1499">
        <v>100</v>
      </c>
      <c r="P1499">
        <v>100</v>
      </c>
    </row>
    <row r="1500" spans="1:16" x14ac:dyDescent="0.3">
      <c r="A1500" t="s">
        <v>58</v>
      </c>
      <c r="B1500">
        <v>34</v>
      </c>
      <c r="C1500">
        <v>2</v>
      </c>
      <c r="D1500">
        <v>2</v>
      </c>
      <c r="E1500">
        <v>2</v>
      </c>
      <c r="F1500">
        <v>2</v>
      </c>
      <c r="G1500">
        <v>2</v>
      </c>
      <c r="H1500">
        <v>2</v>
      </c>
      <c r="I1500">
        <v>2</v>
      </c>
      <c r="J1500">
        <v>2</v>
      </c>
      <c r="K1500">
        <v>2</v>
      </c>
      <c r="L1500">
        <v>2</v>
      </c>
      <c r="M1500">
        <v>2</v>
      </c>
      <c r="N1500">
        <v>2</v>
      </c>
      <c r="O1500">
        <v>2</v>
      </c>
      <c r="P1500">
        <v>2</v>
      </c>
    </row>
    <row r="1501" spans="1:16" x14ac:dyDescent="0.3">
      <c r="A1501" t="s">
        <v>59</v>
      </c>
      <c r="B1501">
        <v>34</v>
      </c>
      <c r="C1501">
        <v>0</v>
      </c>
      <c r="D1501">
        <v>0</v>
      </c>
      <c r="E1501">
        <v>0</v>
      </c>
      <c r="F1501">
        <v>0</v>
      </c>
      <c r="G1501">
        <v>0</v>
      </c>
      <c r="H1501">
        <v>0</v>
      </c>
      <c r="I1501">
        <v>0</v>
      </c>
      <c r="J1501">
        <v>0</v>
      </c>
      <c r="K1501">
        <v>0</v>
      </c>
      <c r="L1501">
        <v>0</v>
      </c>
      <c r="M1501">
        <v>0</v>
      </c>
      <c r="N1501">
        <v>0</v>
      </c>
      <c r="O1501">
        <v>0</v>
      </c>
      <c r="P1501">
        <v>0</v>
      </c>
    </row>
    <row r="1502" spans="1:16" x14ac:dyDescent="0.3">
      <c r="A1502" t="s">
        <v>635</v>
      </c>
      <c r="B1502">
        <v>34</v>
      </c>
      <c r="E1502">
        <v>0</v>
      </c>
      <c r="I1502">
        <v>0</v>
      </c>
      <c r="L1502">
        <v>0</v>
      </c>
      <c r="O1502">
        <v>0</v>
      </c>
    </row>
    <row r="1503" spans="1:16" x14ac:dyDescent="0.3">
      <c r="A1503" t="s">
        <v>574</v>
      </c>
      <c r="B1503">
        <v>34</v>
      </c>
      <c r="E1503" t="s">
        <v>623</v>
      </c>
      <c r="I1503">
        <v>1189</v>
      </c>
      <c r="L1503">
        <v>505</v>
      </c>
      <c r="O1503">
        <v>703</v>
      </c>
    </row>
    <row r="1504" spans="1:16" x14ac:dyDescent="0.3">
      <c r="A1504" t="s">
        <v>78</v>
      </c>
      <c r="B1504">
        <v>34</v>
      </c>
      <c r="E1504">
        <v>39</v>
      </c>
      <c r="I1504">
        <v>14.7</v>
      </c>
      <c r="L1504">
        <v>11.5</v>
      </c>
      <c r="O1504">
        <v>16</v>
      </c>
    </row>
    <row r="1505" spans="1:16" x14ac:dyDescent="0.3">
      <c r="A1505" t="s">
        <v>636</v>
      </c>
      <c r="B1505">
        <v>34</v>
      </c>
      <c r="F1505">
        <v>0</v>
      </c>
      <c r="J1505">
        <v>0</v>
      </c>
      <c r="M1505">
        <v>0</v>
      </c>
      <c r="P1505">
        <v>0</v>
      </c>
    </row>
    <row r="1506" spans="1:16" x14ac:dyDescent="0.3">
      <c r="A1506" t="s">
        <v>639</v>
      </c>
      <c r="B1506">
        <v>34</v>
      </c>
      <c r="C1506">
        <v>3</v>
      </c>
      <c r="D1506">
        <v>0</v>
      </c>
      <c r="E1506">
        <v>0</v>
      </c>
      <c r="F1506">
        <v>1</v>
      </c>
      <c r="G1506">
        <v>3</v>
      </c>
      <c r="H1506">
        <v>0</v>
      </c>
      <c r="I1506">
        <v>0</v>
      </c>
      <c r="J1506">
        <v>1</v>
      </c>
      <c r="K1506">
        <v>0</v>
      </c>
      <c r="L1506">
        <v>0</v>
      </c>
      <c r="M1506">
        <v>1</v>
      </c>
      <c r="N1506">
        <v>0</v>
      </c>
      <c r="O1506">
        <v>0</v>
      </c>
      <c r="P1506">
        <v>1</v>
      </c>
    </row>
    <row r="1507" spans="1:16" x14ac:dyDescent="0.3">
      <c r="A1507" t="s">
        <v>640</v>
      </c>
      <c r="B1507">
        <v>34</v>
      </c>
      <c r="C1507">
        <v>0</v>
      </c>
      <c r="D1507">
        <v>0</v>
      </c>
      <c r="E1507">
        <v>0</v>
      </c>
      <c r="F1507">
        <v>0</v>
      </c>
      <c r="G1507">
        <v>0</v>
      </c>
      <c r="H1507">
        <v>0</v>
      </c>
      <c r="I1507">
        <v>0</v>
      </c>
      <c r="J1507">
        <v>0</v>
      </c>
      <c r="K1507">
        <v>0</v>
      </c>
      <c r="L1507">
        <v>0</v>
      </c>
      <c r="M1507">
        <v>0</v>
      </c>
      <c r="N1507">
        <v>0</v>
      </c>
      <c r="O1507">
        <v>0</v>
      </c>
      <c r="P1507">
        <v>0</v>
      </c>
    </row>
    <row r="1508" spans="1:16" x14ac:dyDescent="0.3">
      <c r="A1508" t="s">
        <v>52</v>
      </c>
      <c r="B1508">
        <v>34</v>
      </c>
      <c r="C1508">
        <v>1</v>
      </c>
      <c r="D1508">
        <v>1</v>
      </c>
      <c r="E1508">
        <v>1</v>
      </c>
      <c r="F1508">
        <v>1</v>
      </c>
      <c r="G1508">
        <v>0.99</v>
      </c>
      <c r="H1508">
        <v>0.99</v>
      </c>
      <c r="I1508">
        <v>0.99</v>
      </c>
      <c r="J1508">
        <v>0.99</v>
      </c>
      <c r="K1508">
        <v>1</v>
      </c>
      <c r="L1508">
        <v>1</v>
      </c>
      <c r="M1508">
        <v>1</v>
      </c>
      <c r="N1508">
        <v>1</v>
      </c>
      <c r="O1508">
        <v>1</v>
      </c>
      <c r="P1508">
        <v>1</v>
      </c>
    </row>
    <row r="1509" spans="1:16" x14ac:dyDescent="0.3">
      <c r="A1509" t="s">
        <v>641</v>
      </c>
      <c r="B1509">
        <v>34</v>
      </c>
      <c r="C1509">
        <v>9</v>
      </c>
      <c r="D1509">
        <v>15</v>
      </c>
      <c r="E1509">
        <v>60</v>
      </c>
      <c r="F1509">
        <v>9</v>
      </c>
      <c r="G1509">
        <v>9</v>
      </c>
      <c r="H1509">
        <v>15</v>
      </c>
      <c r="I1509">
        <v>60</v>
      </c>
      <c r="J1509">
        <v>9</v>
      </c>
      <c r="K1509">
        <v>15</v>
      </c>
      <c r="L1509">
        <v>60</v>
      </c>
      <c r="M1509">
        <v>9</v>
      </c>
      <c r="N1509">
        <v>15</v>
      </c>
      <c r="O1509">
        <v>60</v>
      </c>
      <c r="P1509">
        <v>9</v>
      </c>
    </row>
    <row r="1510" spans="1:16" x14ac:dyDescent="0.3">
      <c r="A1510" t="s">
        <v>43</v>
      </c>
      <c r="B1510">
        <v>34</v>
      </c>
      <c r="D1510">
        <v>40</v>
      </c>
      <c r="E1510">
        <v>336</v>
      </c>
      <c r="F1510">
        <v>0</v>
      </c>
      <c r="H1510">
        <v>40</v>
      </c>
      <c r="I1510">
        <v>336</v>
      </c>
      <c r="J1510">
        <v>0</v>
      </c>
      <c r="K1510">
        <v>40</v>
      </c>
      <c r="L1510">
        <v>336</v>
      </c>
      <c r="N1510">
        <v>40</v>
      </c>
      <c r="O1510">
        <v>336</v>
      </c>
    </row>
    <row r="1511" spans="1:16" x14ac:dyDescent="0.3">
      <c r="A1511" t="s">
        <v>44</v>
      </c>
      <c r="B1511">
        <v>34</v>
      </c>
      <c r="D1511">
        <v>0</v>
      </c>
      <c r="E1511">
        <v>0</v>
      </c>
      <c r="F1511">
        <v>0</v>
      </c>
      <c r="H1511">
        <v>0</v>
      </c>
      <c r="I1511">
        <v>0</v>
      </c>
      <c r="J1511">
        <v>0</v>
      </c>
      <c r="K1511">
        <v>0</v>
      </c>
      <c r="L1511">
        <v>0</v>
      </c>
      <c r="N1511">
        <v>0</v>
      </c>
      <c r="O1511">
        <v>0</v>
      </c>
    </row>
    <row r="1512" spans="1:16" x14ac:dyDescent="0.3">
      <c r="A1512" t="s">
        <v>47</v>
      </c>
      <c r="B1512">
        <v>34</v>
      </c>
      <c r="D1512">
        <v>1</v>
      </c>
      <c r="E1512">
        <v>6</v>
      </c>
      <c r="F1512">
        <v>6</v>
      </c>
      <c r="H1512">
        <v>5</v>
      </c>
      <c r="I1512">
        <v>2</v>
      </c>
      <c r="J1512">
        <v>2</v>
      </c>
      <c r="K1512">
        <v>8</v>
      </c>
      <c r="L1512">
        <v>8</v>
      </c>
      <c r="N1512">
        <v>4</v>
      </c>
      <c r="O1512">
        <v>4</v>
      </c>
    </row>
    <row r="1513" spans="1:16" x14ac:dyDescent="0.3">
      <c r="A1513" t="s">
        <v>642</v>
      </c>
      <c r="B1513">
        <v>34</v>
      </c>
      <c r="D1513">
        <v>0</v>
      </c>
      <c r="E1513">
        <v>0</v>
      </c>
      <c r="F1513">
        <v>0</v>
      </c>
      <c r="H1513">
        <v>0</v>
      </c>
      <c r="I1513">
        <v>0</v>
      </c>
      <c r="J1513">
        <v>0</v>
      </c>
      <c r="K1513">
        <v>0</v>
      </c>
      <c r="L1513">
        <v>0</v>
      </c>
      <c r="N1513">
        <v>0</v>
      </c>
      <c r="O1513">
        <v>0</v>
      </c>
    </row>
    <row r="1514" spans="1:16" x14ac:dyDescent="0.3">
      <c r="A1514" t="s">
        <v>643</v>
      </c>
      <c r="B1514">
        <v>34</v>
      </c>
      <c r="D1514">
        <v>0</v>
      </c>
      <c r="E1514">
        <v>0</v>
      </c>
      <c r="F1514">
        <v>0</v>
      </c>
      <c r="H1514">
        <v>0</v>
      </c>
      <c r="I1514">
        <v>0</v>
      </c>
      <c r="J1514">
        <v>0</v>
      </c>
      <c r="K1514">
        <v>0</v>
      </c>
      <c r="L1514">
        <v>0</v>
      </c>
      <c r="N1514">
        <v>0</v>
      </c>
      <c r="O1514">
        <v>0</v>
      </c>
    </row>
    <row r="1515" spans="1:16" x14ac:dyDescent="0.3">
      <c r="A1515" t="s">
        <v>644</v>
      </c>
      <c r="B1515">
        <v>34</v>
      </c>
      <c r="D1515">
        <v>0</v>
      </c>
      <c r="E1515">
        <v>0</v>
      </c>
      <c r="F1515">
        <v>0</v>
      </c>
      <c r="H1515">
        <v>0</v>
      </c>
      <c r="I1515">
        <v>0</v>
      </c>
      <c r="J1515">
        <v>0</v>
      </c>
      <c r="K1515">
        <v>0</v>
      </c>
      <c r="L1515">
        <v>0</v>
      </c>
      <c r="N1515">
        <v>0</v>
      </c>
      <c r="O1515">
        <v>0</v>
      </c>
    </row>
    <row r="1516" spans="1:16" x14ac:dyDescent="0.3">
      <c r="A1516" t="s">
        <v>645</v>
      </c>
      <c r="B1516">
        <v>34</v>
      </c>
      <c r="D1516">
        <v>0</v>
      </c>
      <c r="E1516">
        <v>0</v>
      </c>
      <c r="F1516">
        <v>0</v>
      </c>
      <c r="H1516">
        <v>0</v>
      </c>
      <c r="I1516">
        <v>0</v>
      </c>
      <c r="J1516">
        <v>0</v>
      </c>
      <c r="K1516">
        <v>0</v>
      </c>
      <c r="L1516">
        <v>0</v>
      </c>
      <c r="N1516">
        <v>0</v>
      </c>
      <c r="O1516">
        <v>0</v>
      </c>
    </row>
    <row r="1517" spans="1:16" x14ac:dyDescent="0.3">
      <c r="A1517" t="s">
        <v>646</v>
      </c>
      <c r="B1517">
        <v>34</v>
      </c>
      <c r="D1517">
        <v>1</v>
      </c>
      <c r="E1517">
        <v>2</v>
      </c>
      <c r="F1517">
        <v>1</v>
      </c>
      <c r="H1517">
        <v>1</v>
      </c>
      <c r="I1517">
        <v>2</v>
      </c>
      <c r="J1517">
        <v>1</v>
      </c>
      <c r="K1517">
        <v>1</v>
      </c>
      <c r="L1517">
        <v>2</v>
      </c>
      <c r="N1517">
        <v>1</v>
      </c>
      <c r="O1517">
        <v>2</v>
      </c>
    </row>
    <row r="1518" spans="1:16" x14ac:dyDescent="0.3">
      <c r="A1518" t="s">
        <v>647</v>
      </c>
      <c r="B1518">
        <v>34</v>
      </c>
      <c r="D1518">
        <v>0</v>
      </c>
      <c r="E1518">
        <v>330</v>
      </c>
      <c r="F1518">
        <v>0</v>
      </c>
      <c r="H1518">
        <v>0</v>
      </c>
      <c r="I1518">
        <v>330</v>
      </c>
      <c r="J1518">
        <v>0</v>
      </c>
      <c r="K1518">
        <v>0</v>
      </c>
      <c r="L1518">
        <v>330</v>
      </c>
      <c r="N1518">
        <v>0</v>
      </c>
      <c r="O1518">
        <v>330</v>
      </c>
    </row>
    <row r="1519" spans="1:16" x14ac:dyDescent="0.3">
      <c r="A1519" t="s">
        <v>648</v>
      </c>
      <c r="B1519">
        <v>34</v>
      </c>
      <c r="D1519">
        <v>40</v>
      </c>
      <c r="E1519">
        <v>6</v>
      </c>
      <c r="F1519">
        <v>0</v>
      </c>
      <c r="H1519">
        <v>40</v>
      </c>
      <c r="I1519">
        <v>6</v>
      </c>
      <c r="J1519">
        <v>0</v>
      </c>
      <c r="K1519">
        <v>40</v>
      </c>
      <c r="L1519">
        <v>6</v>
      </c>
      <c r="N1519">
        <v>40</v>
      </c>
      <c r="O1519">
        <v>6</v>
      </c>
    </row>
    <row r="1520" spans="1:16" x14ac:dyDescent="0.3">
      <c r="A1520" t="s">
        <v>649</v>
      </c>
      <c r="B1520">
        <v>34</v>
      </c>
      <c r="D1520">
        <v>3</v>
      </c>
      <c r="E1520">
        <v>3</v>
      </c>
      <c r="F1520">
        <v>3</v>
      </c>
      <c r="H1520">
        <v>3</v>
      </c>
      <c r="I1520">
        <v>3</v>
      </c>
      <c r="J1520">
        <v>3</v>
      </c>
      <c r="K1520">
        <v>3</v>
      </c>
      <c r="L1520">
        <v>3</v>
      </c>
      <c r="N1520">
        <v>3</v>
      </c>
      <c r="O1520">
        <v>3</v>
      </c>
    </row>
    <row r="1521" spans="1:16" x14ac:dyDescent="0.3">
      <c r="A1521" t="s">
        <v>650</v>
      </c>
      <c r="B1521">
        <v>34</v>
      </c>
      <c r="D1521">
        <v>0</v>
      </c>
      <c r="E1521">
        <v>0</v>
      </c>
      <c r="F1521">
        <v>0</v>
      </c>
      <c r="H1521">
        <v>0</v>
      </c>
      <c r="I1521">
        <v>0</v>
      </c>
      <c r="J1521">
        <v>0</v>
      </c>
      <c r="K1521">
        <v>0</v>
      </c>
      <c r="L1521">
        <v>0</v>
      </c>
      <c r="N1521">
        <v>0</v>
      </c>
      <c r="O1521">
        <v>0</v>
      </c>
    </row>
    <row r="1522" spans="1:16" x14ac:dyDescent="0.3">
      <c r="A1522" t="s">
        <v>651</v>
      </c>
      <c r="B1522">
        <v>34</v>
      </c>
      <c r="D1522">
        <v>0</v>
      </c>
      <c r="E1522">
        <v>0</v>
      </c>
      <c r="F1522">
        <v>0</v>
      </c>
      <c r="H1522">
        <v>0</v>
      </c>
      <c r="I1522">
        <v>0</v>
      </c>
      <c r="J1522">
        <v>0</v>
      </c>
      <c r="K1522">
        <v>0</v>
      </c>
      <c r="L1522">
        <v>0</v>
      </c>
      <c r="N1522">
        <v>0</v>
      </c>
      <c r="O1522">
        <v>0</v>
      </c>
    </row>
    <row r="1523" spans="1:16" x14ac:dyDescent="0.3">
      <c r="A1523" t="s">
        <v>652</v>
      </c>
      <c r="B1523">
        <v>34</v>
      </c>
      <c r="D1523">
        <v>0</v>
      </c>
      <c r="E1523">
        <v>0</v>
      </c>
      <c r="F1523">
        <v>0</v>
      </c>
      <c r="H1523">
        <v>0</v>
      </c>
      <c r="I1523">
        <v>0</v>
      </c>
      <c r="J1523">
        <v>0</v>
      </c>
      <c r="K1523">
        <v>0</v>
      </c>
      <c r="L1523">
        <v>0</v>
      </c>
      <c r="N1523">
        <v>0</v>
      </c>
      <c r="O1523">
        <v>0</v>
      </c>
    </row>
    <row r="1524" spans="1:16" x14ac:dyDescent="0.3">
      <c r="A1524" t="s">
        <v>653</v>
      </c>
      <c r="B1524">
        <v>34</v>
      </c>
      <c r="E1524">
        <v>0</v>
      </c>
      <c r="I1524">
        <v>0</v>
      </c>
      <c r="L1524">
        <v>0</v>
      </c>
      <c r="O1524">
        <v>0</v>
      </c>
    </row>
    <row r="1525" spans="1:16" x14ac:dyDescent="0.3">
      <c r="A1525" t="s">
        <v>654</v>
      </c>
      <c r="B1525">
        <v>34</v>
      </c>
      <c r="E1525">
        <v>0</v>
      </c>
      <c r="I1525">
        <v>0</v>
      </c>
      <c r="L1525">
        <v>0</v>
      </c>
      <c r="O1525">
        <v>0</v>
      </c>
    </row>
    <row r="1526" spans="1:16" x14ac:dyDescent="0.3">
      <c r="A1526" t="s">
        <v>655</v>
      </c>
      <c r="B1526">
        <v>34</v>
      </c>
      <c r="E1526">
        <v>3</v>
      </c>
      <c r="I1526">
        <v>3</v>
      </c>
      <c r="L1526">
        <v>3</v>
      </c>
      <c r="O1526">
        <v>3</v>
      </c>
    </row>
    <row r="1527" spans="1:16" x14ac:dyDescent="0.3">
      <c r="A1527" t="s">
        <v>656</v>
      </c>
      <c r="B1527">
        <v>34</v>
      </c>
      <c r="E1527">
        <v>0</v>
      </c>
      <c r="I1527">
        <v>0</v>
      </c>
      <c r="L1527">
        <v>0</v>
      </c>
      <c r="O1527">
        <v>0</v>
      </c>
    </row>
    <row r="1528" spans="1:16" x14ac:dyDescent="0.3">
      <c r="A1528" t="s">
        <v>657</v>
      </c>
      <c r="B1528">
        <v>34</v>
      </c>
      <c r="E1528">
        <v>0</v>
      </c>
      <c r="I1528">
        <v>0</v>
      </c>
      <c r="L1528">
        <v>0</v>
      </c>
      <c r="O1528">
        <v>0</v>
      </c>
    </row>
    <row r="1529" spans="1:16" x14ac:dyDescent="0.3">
      <c r="A1529" t="s">
        <v>408</v>
      </c>
      <c r="B1529">
        <v>34</v>
      </c>
      <c r="E1529">
        <v>0</v>
      </c>
    </row>
    <row r="1530" spans="1:16" x14ac:dyDescent="0.3">
      <c r="A1530" t="s">
        <v>658</v>
      </c>
      <c r="B1530">
        <v>34</v>
      </c>
      <c r="C1530">
        <v>0</v>
      </c>
      <c r="D1530">
        <v>54</v>
      </c>
      <c r="E1530">
        <v>1739</v>
      </c>
      <c r="F1530">
        <v>54</v>
      </c>
      <c r="G1530">
        <v>0</v>
      </c>
      <c r="H1530">
        <v>54</v>
      </c>
      <c r="I1530">
        <v>652</v>
      </c>
      <c r="J1530">
        <v>54</v>
      </c>
      <c r="K1530">
        <v>0</v>
      </c>
      <c r="L1530">
        <v>108</v>
      </c>
      <c r="M1530">
        <v>0</v>
      </c>
      <c r="N1530">
        <v>0</v>
      </c>
      <c r="O1530">
        <v>108</v>
      </c>
      <c r="P1530">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273"/>
  <sheetViews>
    <sheetView workbookViewId="0">
      <selection activeCell="A4" sqref="A4:C13"/>
    </sheetView>
  </sheetViews>
  <sheetFormatPr defaultRowHeight="14.4" x14ac:dyDescent="0.3"/>
  <sheetData>
    <row r="1" spans="1:3" x14ac:dyDescent="0.3">
      <c r="A1" t="s">
        <v>660</v>
      </c>
    </row>
    <row r="2" spans="1:3" x14ac:dyDescent="0.3">
      <c r="A2" t="s">
        <v>661</v>
      </c>
    </row>
    <row r="3" spans="1:3" x14ac:dyDescent="0.3">
      <c r="A3" t="s">
        <v>0</v>
      </c>
      <c r="B3" t="s">
        <v>1</v>
      </c>
      <c r="C3" t="s">
        <v>662</v>
      </c>
    </row>
    <row r="4" spans="1:3" x14ac:dyDescent="0.3">
      <c r="A4" t="s">
        <v>663</v>
      </c>
      <c r="B4">
        <v>1</v>
      </c>
      <c r="C4">
        <v>3</v>
      </c>
    </row>
    <row r="5" spans="1:3" x14ac:dyDescent="0.3">
      <c r="A5" t="s">
        <v>664</v>
      </c>
      <c r="B5">
        <v>1</v>
      </c>
      <c r="C5">
        <v>120</v>
      </c>
    </row>
    <row r="6" spans="1:3" x14ac:dyDescent="0.3">
      <c r="A6" t="s">
        <v>665</v>
      </c>
      <c r="B6">
        <v>1</v>
      </c>
      <c r="C6">
        <v>0</v>
      </c>
    </row>
    <row r="7" spans="1:3" x14ac:dyDescent="0.3">
      <c r="A7" t="s">
        <v>666</v>
      </c>
      <c r="B7">
        <v>1</v>
      </c>
      <c r="C7">
        <v>3</v>
      </c>
    </row>
    <row r="8" spans="1:3" x14ac:dyDescent="0.3">
      <c r="A8" t="s">
        <v>667</v>
      </c>
      <c r="B8">
        <v>1</v>
      </c>
      <c r="C8">
        <v>206</v>
      </c>
    </row>
    <row r="9" spans="1:3" x14ac:dyDescent="0.3">
      <c r="A9" t="s">
        <v>577</v>
      </c>
      <c r="B9">
        <v>1</v>
      </c>
      <c r="C9">
        <v>40</v>
      </c>
    </row>
    <row r="10" spans="1:3" x14ac:dyDescent="0.3">
      <c r="A10" t="s">
        <v>668</v>
      </c>
      <c r="B10">
        <v>1</v>
      </c>
      <c r="C10">
        <v>0</v>
      </c>
    </row>
    <row r="11" spans="1:3" x14ac:dyDescent="0.3">
      <c r="A11" t="s">
        <v>272</v>
      </c>
      <c r="B11">
        <v>1</v>
      </c>
      <c r="C11">
        <v>0</v>
      </c>
    </row>
    <row r="12" spans="1:3" x14ac:dyDescent="0.3">
      <c r="A12" t="s">
        <v>669</v>
      </c>
      <c r="B12">
        <v>1</v>
      </c>
      <c r="C12">
        <v>1</v>
      </c>
    </row>
    <row r="13" spans="1:3" x14ac:dyDescent="0.3">
      <c r="A13" t="s">
        <v>670</v>
      </c>
      <c r="B13">
        <v>1</v>
      </c>
      <c r="C13">
        <v>0</v>
      </c>
    </row>
    <row r="14" spans="1:3" x14ac:dyDescent="0.3">
      <c r="A14" t="s">
        <v>663</v>
      </c>
      <c r="B14">
        <v>2</v>
      </c>
      <c r="C14">
        <v>3</v>
      </c>
    </row>
    <row r="15" spans="1:3" x14ac:dyDescent="0.3">
      <c r="A15" t="s">
        <v>664</v>
      </c>
      <c r="B15">
        <v>2</v>
      </c>
      <c r="C15">
        <v>120</v>
      </c>
    </row>
    <row r="16" spans="1:3" x14ac:dyDescent="0.3">
      <c r="A16" t="s">
        <v>665</v>
      </c>
      <c r="B16">
        <v>2</v>
      </c>
      <c r="C16">
        <v>0</v>
      </c>
    </row>
    <row r="17" spans="1:3" x14ac:dyDescent="0.3">
      <c r="A17" t="s">
        <v>666</v>
      </c>
      <c r="B17">
        <v>2</v>
      </c>
      <c r="C17">
        <v>3</v>
      </c>
    </row>
    <row r="18" spans="1:3" x14ac:dyDescent="0.3">
      <c r="A18" t="s">
        <v>667</v>
      </c>
      <c r="B18">
        <v>2</v>
      </c>
      <c r="C18">
        <v>206</v>
      </c>
    </row>
    <row r="19" spans="1:3" x14ac:dyDescent="0.3">
      <c r="A19" t="s">
        <v>577</v>
      </c>
      <c r="B19">
        <v>2</v>
      </c>
      <c r="C19">
        <v>55</v>
      </c>
    </row>
    <row r="20" spans="1:3" x14ac:dyDescent="0.3">
      <c r="A20" t="s">
        <v>668</v>
      </c>
      <c r="B20">
        <v>2</v>
      </c>
      <c r="C20">
        <v>0</v>
      </c>
    </row>
    <row r="21" spans="1:3" x14ac:dyDescent="0.3">
      <c r="A21" t="s">
        <v>272</v>
      </c>
      <c r="B21">
        <v>2</v>
      </c>
      <c r="C21">
        <v>0</v>
      </c>
    </row>
    <row r="22" spans="1:3" x14ac:dyDescent="0.3">
      <c r="A22" t="s">
        <v>669</v>
      </c>
      <c r="B22">
        <v>2</v>
      </c>
      <c r="C22">
        <v>2</v>
      </c>
    </row>
    <row r="23" spans="1:3" x14ac:dyDescent="0.3">
      <c r="A23" t="s">
        <v>670</v>
      </c>
      <c r="B23">
        <v>2</v>
      </c>
      <c r="C23">
        <v>0</v>
      </c>
    </row>
    <row r="24" spans="1:3" x14ac:dyDescent="0.3">
      <c r="A24" t="s">
        <v>663</v>
      </c>
      <c r="B24">
        <v>3</v>
      </c>
      <c r="C24">
        <v>3</v>
      </c>
    </row>
    <row r="25" spans="1:3" x14ac:dyDescent="0.3">
      <c r="A25" t="s">
        <v>664</v>
      </c>
      <c r="B25">
        <v>3</v>
      </c>
      <c r="C25">
        <v>120</v>
      </c>
    </row>
    <row r="26" spans="1:3" x14ac:dyDescent="0.3">
      <c r="A26" t="s">
        <v>665</v>
      </c>
      <c r="B26">
        <v>3</v>
      </c>
      <c r="C26">
        <v>0</v>
      </c>
    </row>
    <row r="27" spans="1:3" x14ac:dyDescent="0.3">
      <c r="A27" t="s">
        <v>666</v>
      </c>
      <c r="B27">
        <v>3</v>
      </c>
      <c r="C27">
        <v>3</v>
      </c>
    </row>
    <row r="28" spans="1:3" x14ac:dyDescent="0.3">
      <c r="A28" t="s">
        <v>667</v>
      </c>
      <c r="B28">
        <v>3</v>
      </c>
      <c r="C28">
        <v>206</v>
      </c>
    </row>
    <row r="29" spans="1:3" x14ac:dyDescent="0.3">
      <c r="A29" t="s">
        <v>577</v>
      </c>
      <c r="B29">
        <v>3</v>
      </c>
      <c r="C29">
        <v>100</v>
      </c>
    </row>
    <row r="30" spans="1:3" x14ac:dyDescent="0.3">
      <c r="A30" t="s">
        <v>668</v>
      </c>
      <c r="B30">
        <v>3</v>
      </c>
      <c r="C30">
        <v>0</v>
      </c>
    </row>
    <row r="31" spans="1:3" x14ac:dyDescent="0.3">
      <c r="A31" t="s">
        <v>272</v>
      </c>
      <c r="B31">
        <v>3</v>
      </c>
      <c r="C31">
        <v>0</v>
      </c>
    </row>
    <row r="32" spans="1:3" x14ac:dyDescent="0.3">
      <c r="A32" t="s">
        <v>669</v>
      </c>
      <c r="B32">
        <v>3</v>
      </c>
      <c r="C32">
        <v>3</v>
      </c>
    </row>
    <row r="33" spans="1:3" x14ac:dyDescent="0.3">
      <c r="A33" t="s">
        <v>670</v>
      </c>
      <c r="B33">
        <v>3</v>
      </c>
      <c r="C33">
        <v>0</v>
      </c>
    </row>
    <row r="34" spans="1:3" x14ac:dyDescent="0.3">
      <c r="A34" t="s">
        <v>663</v>
      </c>
      <c r="B34">
        <v>4</v>
      </c>
      <c r="C34">
        <v>3</v>
      </c>
    </row>
    <row r="35" spans="1:3" x14ac:dyDescent="0.3">
      <c r="A35" t="s">
        <v>664</v>
      </c>
      <c r="B35">
        <v>4</v>
      </c>
      <c r="C35">
        <v>120</v>
      </c>
    </row>
    <row r="36" spans="1:3" x14ac:dyDescent="0.3">
      <c r="A36" t="s">
        <v>665</v>
      </c>
      <c r="B36">
        <v>4</v>
      </c>
      <c r="C36">
        <v>0</v>
      </c>
    </row>
    <row r="37" spans="1:3" x14ac:dyDescent="0.3">
      <c r="A37" t="s">
        <v>666</v>
      </c>
      <c r="B37">
        <v>4</v>
      </c>
      <c r="C37">
        <v>3</v>
      </c>
    </row>
    <row r="38" spans="1:3" x14ac:dyDescent="0.3">
      <c r="A38" t="s">
        <v>667</v>
      </c>
      <c r="B38">
        <v>4</v>
      </c>
      <c r="C38">
        <v>206</v>
      </c>
    </row>
    <row r="39" spans="1:3" x14ac:dyDescent="0.3">
      <c r="A39" t="s">
        <v>577</v>
      </c>
      <c r="B39">
        <v>4</v>
      </c>
      <c r="C39">
        <v>25</v>
      </c>
    </row>
    <row r="40" spans="1:3" x14ac:dyDescent="0.3">
      <c r="A40" t="s">
        <v>668</v>
      </c>
      <c r="B40">
        <v>4</v>
      </c>
      <c r="C40">
        <v>0</v>
      </c>
    </row>
    <row r="41" spans="1:3" x14ac:dyDescent="0.3">
      <c r="A41" t="s">
        <v>272</v>
      </c>
      <c r="B41">
        <v>4</v>
      </c>
      <c r="C41">
        <v>0</v>
      </c>
    </row>
    <row r="42" spans="1:3" x14ac:dyDescent="0.3">
      <c r="A42" t="s">
        <v>669</v>
      </c>
      <c r="B42">
        <v>4</v>
      </c>
      <c r="C42">
        <v>4</v>
      </c>
    </row>
    <row r="43" spans="1:3" x14ac:dyDescent="0.3">
      <c r="A43" t="s">
        <v>670</v>
      </c>
      <c r="B43">
        <v>4</v>
      </c>
      <c r="C43">
        <v>0</v>
      </c>
    </row>
    <row r="44" spans="1:3" x14ac:dyDescent="0.3">
      <c r="A44" t="s">
        <v>663</v>
      </c>
      <c r="B44">
        <v>5</v>
      </c>
      <c r="C44">
        <v>3</v>
      </c>
    </row>
    <row r="45" spans="1:3" x14ac:dyDescent="0.3">
      <c r="A45" t="s">
        <v>664</v>
      </c>
      <c r="B45">
        <v>5</v>
      </c>
      <c r="C45">
        <v>120</v>
      </c>
    </row>
    <row r="46" spans="1:3" x14ac:dyDescent="0.3">
      <c r="A46" t="s">
        <v>665</v>
      </c>
      <c r="B46">
        <v>5</v>
      </c>
      <c r="C46">
        <v>0</v>
      </c>
    </row>
    <row r="47" spans="1:3" x14ac:dyDescent="0.3">
      <c r="A47" t="s">
        <v>666</v>
      </c>
      <c r="B47">
        <v>5</v>
      </c>
      <c r="C47">
        <v>3</v>
      </c>
    </row>
    <row r="48" spans="1:3" x14ac:dyDescent="0.3">
      <c r="A48" t="s">
        <v>667</v>
      </c>
      <c r="B48">
        <v>5</v>
      </c>
      <c r="C48">
        <v>206</v>
      </c>
    </row>
    <row r="49" spans="1:3" x14ac:dyDescent="0.3">
      <c r="A49" t="s">
        <v>577</v>
      </c>
      <c r="B49">
        <v>5</v>
      </c>
      <c r="C49">
        <v>1</v>
      </c>
    </row>
    <row r="50" spans="1:3" x14ac:dyDescent="0.3">
      <c r="A50" t="s">
        <v>668</v>
      </c>
      <c r="B50">
        <v>5</v>
      </c>
      <c r="C50">
        <v>0</v>
      </c>
    </row>
    <row r="51" spans="1:3" x14ac:dyDescent="0.3">
      <c r="A51" t="s">
        <v>272</v>
      </c>
      <c r="B51">
        <v>5</v>
      </c>
      <c r="C51">
        <v>0</v>
      </c>
    </row>
    <row r="52" spans="1:3" x14ac:dyDescent="0.3">
      <c r="A52" t="s">
        <v>669</v>
      </c>
      <c r="B52">
        <v>5</v>
      </c>
      <c r="C52">
        <v>5</v>
      </c>
    </row>
    <row r="53" spans="1:3" x14ac:dyDescent="0.3">
      <c r="A53" t="s">
        <v>670</v>
      </c>
      <c r="B53">
        <v>5</v>
      </c>
      <c r="C53">
        <v>0</v>
      </c>
    </row>
    <row r="54" spans="1:3" x14ac:dyDescent="0.3">
      <c r="A54" t="s">
        <v>663</v>
      </c>
      <c r="B54">
        <v>6</v>
      </c>
      <c r="C54">
        <v>3</v>
      </c>
    </row>
    <row r="55" spans="1:3" x14ac:dyDescent="0.3">
      <c r="A55" t="s">
        <v>664</v>
      </c>
      <c r="B55">
        <v>6</v>
      </c>
      <c r="C55">
        <v>120</v>
      </c>
    </row>
    <row r="56" spans="1:3" x14ac:dyDescent="0.3">
      <c r="A56" t="s">
        <v>665</v>
      </c>
      <c r="B56">
        <v>6</v>
      </c>
      <c r="C56">
        <v>0</v>
      </c>
    </row>
    <row r="57" spans="1:3" x14ac:dyDescent="0.3">
      <c r="A57" t="s">
        <v>666</v>
      </c>
      <c r="B57">
        <v>6</v>
      </c>
      <c r="C57">
        <v>3</v>
      </c>
    </row>
    <row r="58" spans="1:3" x14ac:dyDescent="0.3">
      <c r="A58" t="s">
        <v>667</v>
      </c>
      <c r="B58">
        <v>6</v>
      </c>
      <c r="C58">
        <v>206</v>
      </c>
    </row>
    <row r="59" spans="1:3" x14ac:dyDescent="0.3">
      <c r="A59" t="s">
        <v>577</v>
      </c>
      <c r="B59">
        <v>6</v>
      </c>
      <c r="C59">
        <v>15</v>
      </c>
    </row>
    <row r="60" spans="1:3" x14ac:dyDescent="0.3">
      <c r="A60" t="s">
        <v>668</v>
      </c>
      <c r="B60">
        <v>6</v>
      </c>
      <c r="C60">
        <v>0</v>
      </c>
    </row>
    <row r="61" spans="1:3" x14ac:dyDescent="0.3">
      <c r="A61" t="s">
        <v>272</v>
      </c>
      <c r="B61">
        <v>6</v>
      </c>
      <c r="C61">
        <v>0</v>
      </c>
    </row>
    <row r="62" spans="1:3" x14ac:dyDescent="0.3">
      <c r="A62" t="s">
        <v>669</v>
      </c>
      <c r="B62">
        <v>6</v>
      </c>
      <c r="C62">
        <v>6</v>
      </c>
    </row>
    <row r="63" spans="1:3" x14ac:dyDescent="0.3">
      <c r="A63" t="s">
        <v>670</v>
      </c>
      <c r="B63">
        <v>6</v>
      </c>
      <c r="C63">
        <v>0</v>
      </c>
    </row>
    <row r="64" spans="1:3" x14ac:dyDescent="0.3">
      <c r="A64" t="s">
        <v>663</v>
      </c>
      <c r="B64">
        <v>7</v>
      </c>
      <c r="C64">
        <v>3</v>
      </c>
    </row>
    <row r="65" spans="1:3" x14ac:dyDescent="0.3">
      <c r="A65" t="s">
        <v>664</v>
      </c>
      <c r="B65">
        <v>7</v>
      </c>
      <c r="C65">
        <v>120</v>
      </c>
    </row>
    <row r="66" spans="1:3" x14ac:dyDescent="0.3">
      <c r="A66" t="s">
        <v>665</v>
      </c>
      <c r="B66">
        <v>7</v>
      </c>
      <c r="C66">
        <v>0</v>
      </c>
    </row>
    <row r="67" spans="1:3" x14ac:dyDescent="0.3">
      <c r="A67" t="s">
        <v>666</v>
      </c>
      <c r="B67">
        <v>7</v>
      </c>
      <c r="C67">
        <v>3</v>
      </c>
    </row>
    <row r="68" spans="1:3" x14ac:dyDescent="0.3">
      <c r="A68" t="s">
        <v>667</v>
      </c>
      <c r="B68">
        <v>7</v>
      </c>
      <c r="C68">
        <v>206</v>
      </c>
    </row>
    <row r="69" spans="1:3" x14ac:dyDescent="0.3">
      <c r="A69" t="s">
        <v>577</v>
      </c>
      <c r="B69">
        <v>7</v>
      </c>
      <c r="C69">
        <v>1</v>
      </c>
    </row>
    <row r="70" spans="1:3" x14ac:dyDescent="0.3">
      <c r="A70" t="s">
        <v>668</v>
      </c>
      <c r="B70">
        <v>7</v>
      </c>
      <c r="C70">
        <v>0</v>
      </c>
    </row>
    <row r="71" spans="1:3" x14ac:dyDescent="0.3">
      <c r="A71" t="s">
        <v>272</v>
      </c>
      <c r="B71">
        <v>7</v>
      </c>
      <c r="C71">
        <v>0</v>
      </c>
    </row>
    <row r="72" spans="1:3" x14ac:dyDescent="0.3">
      <c r="A72" t="s">
        <v>669</v>
      </c>
      <c r="B72">
        <v>7</v>
      </c>
      <c r="C72">
        <v>7</v>
      </c>
    </row>
    <row r="73" spans="1:3" x14ac:dyDescent="0.3">
      <c r="A73" t="s">
        <v>670</v>
      </c>
      <c r="B73">
        <v>7</v>
      </c>
      <c r="C73">
        <v>0</v>
      </c>
    </row>
    <row r="74" spans="1:3" x14ac:dyDescent="0.3">
      <c r="A74" t="s">
        <v>663</v>
      </c>
      <c r="B74">
        <v>9</v>
      </c>
      <c r="C74">
        <v>3</v>
      </c>
    </row>
    <row r="75" spans="1:3" x14ac:dyDescent="0.3">
      <c r="A75" t="s">
        <v>664</v>
      </c>
      <c r="B75">
        <v>9</v>
      </c>
      <c r="C75">
        <v>120</v>
      </c>
    </row>
    <row r="76" spans="1:3" x14ac:dyDescent="0.3">
      <c r="A76" t="s">
        <v>665</v>
      </c>
      <c r="B76">
        <v>9</v>
      </c>
      <c r="C76">
        <v>0</v>
      </c>
    </row>
    <row r="77" spans="1:3" x14ac:dyDescent="0.3">
      <c r="A77" t="s">
        <v>666</v>
      </c>
      <c r="B77">
        <v>9</v>
      </c>
      <c r="C77">
        <v>3</v>
      </c>
    </row>
    <row r="78" spans="1:3" x14ac:dyDescent="0.3">
      <c r="A78" t="s">
        <v>667</v>
      </c>
      <c r="B78">
        <v>9</v>
      </c>
      <c r="C78">
        <v>206</v>
      </c>
    </row>
    <row r="79" spans="1:3" x14ac:dyDescent="0.3">
      <c r="A79" t="s">
        <v>577</v>
      </c>
      <c r="B79">
        <v>9</v>
      </c>
      <c r="C79">
        <v>0</v>
      </c>
    </row>
    <row r="80" spans="1:3" x14ac:dyDescent="0.3">
      <c r="A80" t="s">
        <v>668</v>
      </c>
      <c r="B80">
        <v>9</v>
      </c>
      <c r="C80">
        <v>0</v>
      </c>
    </row>
    <row r="81" spans="1:3" x14ac:dyDescent="0.3">
      <c r="A81" t="s">
        <v>272</v>
      </c>
      <c r="B81">
        <v>9</v>
      </c>
      <c r="C81">
        <v>0</v>
      </c>
    </row>
    <row r="82" spans="1:3" x14ac:dyDescent="0.3">
      <c r="A82" t="s">
        <v>669</v>
      </c>
      <c r="B82">
        <v>9</v>
      </c>
      <c r="C82">
        <v>9</v>
      </c>
    </row>
    <row r="83" spans="1:3" x14ac:dyDescent="0.3">
      <c r="A83" t="s">
        <v>670</v>
      </c>
      <c r="B83">
        <v>9</v>
      </c>
      <c r="C83">
        <v>0</v>
      </c>
    </row>
    <row r="84" spans="1:3" x14ac:dyDescent="0.3">
      <c r="A84" t="s">
        <v>663</v>
      </c>
      <c r="B84">
        <v>10</v>
      </c>
      <c r="C84">
        <v>3</v>
      </c>
    </row>
    <row r="85" spans="1:3" x14ac:dyDescent="0.3">
      <c r="A85" t="s">
        <v>664</v>
      </c>
      <c r="B85">
        <v>10</v>
      </c>
      <c r="C85">
        <v>120</v>
      </c>
    </row>
    <row r="86" spans="1:3" x14ac:dyDescent="0.3">
      <c r="A86" t="s">
        <v>665</v>
      </c>
      <c r="B86">
        <v>10</v>
      </c>
      <c r="C86">
        <v>0</v>
      </c>
    </row>
    <row r="87" spans="1:3" x14ac:dyDescent="0.3">
      <c r="A87" t="s">
        <v>666</v>
      </c>
      <c r="B87">
        <v>10</v>
      </c>
      <c r="C87">
        <v>3</v>
      </c>
    </row>
    <row r="88" spans="1:3" x14ac:dyDescent="0.3">
      <c r="A88" t="s">
        <v>667</v>
      </c>
      <c r="B88">
        <v>10</v>
      </c>
      <c r="C88">
        <v>206</v>
      </c>
    </row>
    <row r="89" spans="1:3" x14ac:dyDescent="0.3">
      <c r="A89" t="s">
        <v>577</v>
      </c>
      <c r="B89">
        <v>10</v>
      </c>
      <c r="C89">
        <v>1</v>
      </c>
    </row>
    <row r="90" spans="1:3" x14ac:dyDescent="0.3">
      <c r="A90" t="s">
        <v>668</v>
      </c>
      <c r="B90">
        <v>10</v>
      </c>
      <c r="C90">
        <v>0</v>
      </c>
    </row>
    <row r="91" spans="1:3" x14ac:dyDescent="0.3">
      <c r="A91" t="s">
        <v>272</v>
      </c>
      <c r="B91">
        <v>10</v>
      </c>
      <c r="C91">
        <v>0</v>
      </c>
    </row>
    <row r="92" spans="1:3" x14ac:dyDescent="0.3">
      <c r="A92" t="s">
        <v>669</v>
      </c>
      <c r="B92">
        <v>10</v>
      </c>
      <c r="C92">
        <v>10</v>
      </c>
    </row>
    <row r="93" spans="1:3" x14ac:dyDescent="0.3">
      <c r="A93" t="s">
        <v>670</v>
      </c>
      <c r="B93">
        <v>10</v>
      </c>
      <c r="C93">
        <v>0</v>
      </c>
    </row>
    <row r="94" spans="1:3" x14ac:dyDescent="0.3">
      <c r="A94" t="s">
        <v>663</v>
      </c>
      <c r="B94">
        <v>11</v>
      </c>
      <c r="C94">
        <v>3</v>
      </c>
    </row>
    <row r="95" spans="1:3" x14ac:dyDescent="0.3">
      <c r="A95" t="s">
        <v>664</v>
      </c>
      <c r="B95">
        <v>11</v>
      </c>
      <c r="C95">
        <v>120</v>
      </c>
    </row>
    <row r="96" spans="1:3" x14ac:dyDescent="0.3">
      <c r="A96" t="s">
        <v>665</v>
      </c>
      <c r="B96">
        <v>11</v>
      </c>
      <c r="C96">
        <v>0</v>
      </c>
    </row>
    <row r="97" spans="1:3" x14ac:dyDescent="0.3">
      <c r="A97" t="s">
        <v>666</v>
      </c>
      <c r="B97">
        <v>11</v>
      </c>
      <c r="C97">
        <v>3</v>
      </c>
    </row>
    <row r="98" spans="1:3" x14ac:dyDescent="0.3">
      <c r="A98" t="s">
        <v>667</v>
      </c>
      <c r="B98">
        <v>11</v>
      </c>
      <c r="C98">
        <v>206</v>
      </c>
    </row>
    <row r="99" spans="1:3" x14ac:dyDescent="0.3">
      <c r="A99" t="s">
        <v>577</v>
      </c>
      <c r="B99">
        <v>11</v>
      </c>
      <c r="C99">
        <v>10</v>
      </c>
    </row>
    <row r="100" spans="1:3" x14ac:dyDescent="0.3">
      <c r="A100" t="s">
        <v>668</v>
      </c>
      <c r="B100">
        <v>11</v>
      </c>
      <c r="C100">
        <v>0</v>
      </c>
    </row>
    <row r="101" spans="1:3" x14ac:dyDescent="0.3">
      <c r="A101" t="s">
        <v>272</v>
      </c>
      <c r="B101">
        <v>11</v>
      </c>
      <c r="C101">
        <v>0</v>
      </c>
    </row>
    <row r="102" spans="1:3" x14ac:dyDescent="0.3">
      <c r="A102" t="s">
        <v>669</v>
      </c>
      <c r="B102">
        <v>11</v>
      </c>
      <c r="C102">
        <v>11</v>
      </c>
    </row>
    <row r="103" spans="1:3" x14ac:dyDescent="0.3">
      <c r="A103" t="s">
        <v>670</v>
      </c>
      <c r="B103">
        <v>11</v>
      </c>
      <c r="C103">
        <v>0</v>
      </c>
    </row>
    <row r="104" spans="1:3" x14ac:dyDescent="0.3">
      <c r="A104" t="s">
        <v>663</v>
      </c>
      <c r="B104">
        <v>12</v>
      </c>
      <c r="C104">
        <v>3</v>
      </c>
    </row>
    <row r="105" spans="1:3" x14ac:dyDescent="0.3">
      <c r="A105" t="s">
        <v>664</v>
      </c>
      <c r="B105">
        <v>12</v>
      </c>
      <c r="C105">
        <v>120</v>
      </c>
    </row>
    <row r="106" spans="1:3" x14ac:dyDescent="0.3">
      <c r="A106" t="s">
        <v>665</v>
      </c>
      <c r="B106">
        <v>12</v>
      </c>
      <c r="C106">
        <v>0</v>
      </c>
    </row>
    <row r="107" spans="1:3" x14ac:dyDescent="0.3">
      <c r="A107" t="s">
        <v>666</v>
      </c>
      <c r="B107">
        <v>12</v>
      </c>
      <c r="C107">
        <v>3</v>
      </c>
    </row>
    <row r="108" spans="1:3" x14ac:dyDescent="0.3">
      <c r="A108" t="s">
        <v>667</v>
      </c>
      <c r="B108">
        <v>12</v>
      </c>
      <c r="C108">
        <v>206</v>
      </c>
    </row>
    <row r="109" spans="1:3" x14ac:dyDescent="0.3">
      <c r="A109" t="s">
        <v>577</v>
      </c>
      <c r="B109">
        <v>12</v>
      </c>
      <c r="C109">
        <v>15</v>
      </c>
    </row>
    <row r="110" spans="1:3" x14ac:dyDescent="0.3">
      <c r="A110" t="s">
        <v>668</v>
      </c>
      <c r="B110">
        <v>12</v>
      </c>
      <c r="C110">
        <v>0</v>
      </c>
    </row>
    <row r="111" spans="1:3" x14ac:dyDescent="0.3">
      <c r="A111" t="s">
        <v>272</v>
      </c>
      <c r="B111">
        <v>12</v>
      </c>
      <c r="C111">
        <v>0</v>
      </c>
    </row>
    <row r="112" spans="1:3" x14ac:dyDescent="0.3">
      <c r="A112" t="s">
        <v>669</v>
      </c>
      <c r="B112">
        <v>12</v>
      </c>
      <c r="C112">
        <v>12</v>
      </c>
    </row>
    <row r="113" spans="1:3" x14ac:dyDescent="0.3">
      <c r="A113" t="s">
        <v>670</v>
      </c>
      <c r="B113">
        <v>12</v>
      </c>
      <c r="C113">
        <v>0</v>
      </c>
    </row>
    <row r="114" spans="1:3" x14ac:dyDescent="0.3">
      <c r="A114" t="s">
        <v>663</v>
      </c>
      <c r="B114">
        <v>13</v>
      </c>
      <c r="C114">
        <v>3</v>
      </c>
    </row>
    <row r="115" spans="1:3" x14ac:dyDescent="0.3">
      <c r="A115" t="s">
        <v>664</v>
      </c>
      <c r="B115">
        <v>13</v>
      </c>
      <c r="C115">
        <v>120</v>
      </c>
    </row>
    <row r="116" spans="1:3" x14ac:dyDescent="0.3">
      <c r="A116" t="s">
        <v>665</v>
      </c>
      <c r="B116">
        <v>13</v>
      </c>
      <c r="C116">
        <v>0</v>
      </c>
    </row>
    <row r="117" spans="1:3" x14ac:dyDescent="0.3">
      <c r="A117" t="s">
        <v>666</v>
      </c>
      <c r="B117">
        <v>13</v>
      </c>
      <c r="C117">
        <v>3</v>
      </c>
    </row>
    <row r="118" spans="1:3" x14ac:dyDescent="0.3">
      <c r="A118" t="s">
        <v>667</v>
      </c>
      <c r="B118">
        <v>13</v>
      </c>
      <c r="C118">
        <v>206</v>
      </c>
    </row>
    <row r="119" spans="1:3" x14ac:dyDescent="0.3">
      <c r="A119" t="s">
        <v>577</v>
      </c>
      <c r="B119">
        <v>13</v>
      </c>
      <c r="C119">
        <v>20</v>
      </c>
    </row>
    <row r="120" spans="1:3" x14ac:dyDescent="0.3">
      <c r="A120" t="s">
        <v>668</v>
      </c>
      <c r="B120">
        <v>13</v>
      </c>
      <c r="C120">
        <v>0</v>
      </c>
    </row>
    <row r="121" spans="1:3" x14ac:dyDescent="0.3">
      <c r="A121" t="s">
        <v>272</v>
      </c>
      <c r="B121">
        <v>13</v>
      </c>
      <c r="C121">
        <v>0</v>
      </c>
    </row>
    <row r="122" spans="1:3" x14ac:dyDescent="0.3">
      <c r="A122" t="s">
        <v>669</v>
      </c>
      <c r="B122">
        <v>13</v>
      </c>
      <c r="C122">
        <v>13</v>
      </c>
    </row>
    <row r="123" spans="1:3" x14ac:dyDescent="0.3">
      <c r="A123" t="s">
        <v>670</v>
      </c>
      <c r="B123">
        <v>13</v>
      </c>
      <c r="C123">
        <v>0</v>
      </c>
    </row>
    <row r="124" spans="1:3" x14ac:dyDescent="0.3">
      <c r="A124" t="s">
        <v>663</v>
      </c>
      <c r="B124">
        <v>14</v>
      </c>
      <c r="C124">
        <v>3</v>
      </c>
    </row>
    <row r="125" spans="1:3" x14ac:dyDescent="0.3">
      <c r="A125" t="s">
        <v>664</v>
      </c>
      <c r="B125">
        <v>14</v>
      </c>
      <c r="C125">
        <v>120</v>
      </c>
    </row>
    <row r="126" spans="1:3" x14ac:dyDescent="0.3">
      <c r="A126" t="s">
        <v>665</v>
      </c>
      <c r="B126">
        <v>14</v>
      </c>
      <c r="C126">
        <v>0</v>
      </c>
    </row>
    <row r="127" spans="1:3" x14ac:dyDescent="0.3">
      <c r="A127" t="s">
        <v>666</v>
      </c>
      <c r="B127">
        <v>14</v>
      </c>
      <c r="C127">
        <v>3</v>
      </c>
    </row>
    <row r="128" spans="1:3" x14ac:dyDescent="0.3">
      <c r="A128" t="s">
        <v>667</v>
      </c>
      <c r="B128">
        <v>14</v>
      </c>
      <c r="C128">
        <v>206</v>
      </c>
    </row>
    <row r="129" spans="1:3" x14ac:dyDescent="0.3">
      <c r="A129" t="s">
        <v>577</v>
      </c>
      <c r="B129">
        <v>14</v>
      </c>
      <c r="C129">
        <v>65</v>
      </c>
    </row>
    <row r="130" spans="1:3" x14ac:dyDescent="0.3">
      <c r="A130" t="s">
        <v>668</v>
      </c>
      <c r="B130">
        <v>14</v>
      </c>
      <c r="C130">
        <v>0</v>
      </c>
    </row>
    <row r="131" spans="1:3" x14ac:dyDescent="0.3">
      <c r="A131" t="s">
        <v>272</v>
      </c>
      <c r="B131">
        <v>14</v>
      </c>
      <c r="C131">
        <v>0</v>
      </c>
    </row>
    <row r="132" spans="1:3" x14ac:dyDescent="0.3">
      <c r="A132" t="s">
        <v>669</v>
      </c>
      <c r="B132">
        <v>14</v>
      </c>
      <c r="C132">
        <v>14</v>
      </c>
    </row>
    <row r="133" spans="1:3" x14ac:dyDescent="0.3">
      <c r="A133" t="s">
        <v>670</v>
      </c>
      <c r="B133">
        <v>14</v>
      </c>
      <c r="C133">
        <v>0</v>
      </c>
    </row>
    <row r="134" spans="1:3" x14ac:dyDescent="0.3">
      <c r="A134" t="s">
        <v>663</v>
      </c>
      <c r="B134">
        <v>15</v>
      </c>
      <c r="C134">
        <v>3</v>
      </c>
    </row>
    <row r="135" spans="1:3" x14ac:dyDescent="0.3">
      <c r="A135" t="s">
        <v>664</v>
      </c>
      <c r="B135">
        <v>15</v>
      </c>
      <c r="C135">
        <v>120</v>
      </c>
    </row>
    <row r="136" spans="1:3" x14ac:dyDescent="0.3">
      <c r="A136" t="s">
        <v>665</v>
      </c>
      <c r="B136">
        <v>15</v>
      </c>
      <c r="C136">
        <v>0</v>
      </c>
    </row>
    <row r="137" spans="1:3" x14ac:dyDescent="0.3">
      <c r="A137" t="s">
        <v>666</v>
      </c>
      <c r="B137">
        <v>15</v>
      </c>
      <c r="C137">
        <v>3</v>
      </c>
    </row>
    <row r="138" spans="1:3" x14ac:dyDescent="0.3">
      <c r="A138" t="s">
        <v>667</v>
      </c>
      <c r="B138">
        <v>15</v>
      </c>
      <c r="C138">
        <v>206</v>
      </c>
    </row>
    <row r="139" spans="1:3" x14ac:dyDescent="0.3">
      <c r="A139" t="s">
        <v>577</v>
      </c>
      <c r="B139">
        <v>15</v>
      </c>
      <c r="C139">
        <v>100</v>
      </c>
    </row>
    <row r="140" spans="1:3" x14ac:dyDescent="0.3">
      <c r="A140" t="s">
        <v>668</v>
      </c>
      <c r="B140">
        <v>15</v>
      </c>
      <c r="C140">
        <v>0</v>
      </c>
    </row>
    <row r="141" spans="1:3" x14ac:dyDescent="0.3">
      <c r="A141" t="s">
        <v>272</v>
      </c>
      <c r="B141">
        <v>15</v>
      </c>
      <c r="C141">
        <v>0</v>
      </c>
    </row>
    <row r="142" spans="1:3" x14ac:dyDescent="0.3">
      <c r="A142" t="s">
        <v>669</v>
      </c>
      <c r="B142">
        <v>15</v>
      </c>
      <c r="C142">
        <v>15</v>
      </c>
    </row>
    <row r="143" spans="1:3" x14ac:dyDescent="0.3">
      <c r="A143" t="s">
        <v>670</v>
      </c>
      <c r="B143">
        <v>15</v>
      </c>
      <c r="C143">
        <v>0</v>
      </c>
    </row>
    <row r="144" spans="1:3" x14ac:dyDescent="0.3">
      <c r="A144" t="s">
        <v>663</v>
      </c>
      <c r="B144">
        <v>16</v>
      </c>
      <c r="C144">
        <v>3</v>
      </c>
    </row>
    <row r="145" spans="1:3" x14ac:dyDescent="0.3">
      <c r="A145" t="s">
        <v>664</v>
      </c>
      <c r="B145">
        <v>16</v>
      </c>
      <c r="C145">
        <v>120</v>
      </c>
    </row>
    <row r="146" spans="1:3" x14ac:dyDescent="0.3">
      <c r="A146" t="s">
        <v>665</v>
      </c>
      <c r="B146">
        <v>16</v>
      </c>
      <c r="C146">
        <v>0</v>
      </c>
    </row>
    <row r="147" spans="1:3" x14ac:dyDescent="0.3">
      <c r="A147" t="s">
        <v>666</v>
      </c>
      <c r="B147">
        <v>16</v>
      </c>
      <c r="C147">
        <v>3</v>
      </c>
    </row>
    <row r="148" spans="1:3" x14ac:dyDescent="0.3">
      <c r="A148" t="s">
        <v>667</v>
      </c>
      <c r="B148">
        <v>16</v>
      </c>
      <c r="C148">
        <v>206</v>
      </c>
    </row>
    <row r="149" spans="1:3" x14ac:dyDescent="0.3">
      <c r="A149" t="s">
        <v>577</v>
      </c>
      <c r="B149">
        <v>16</v>
      </c>
      <c r="C149">
        <v>100</v>
      </c>
    </row>
    <row r="150" spans="1:3" x14ac:dyDescent="0.3">
      <c r="A150" t="s">
        <v>668</v>
      </c>
      <c r="B150">
        <v>16</v>
      </c>
      <c r="C150">
        <v>0</v>
      </c>
    </row>
    <row r="151" spans="1:3" x14ac:dyDescent="0.3">
      <c r="A151" t="s">
        <v>272</v>
      </c>
      <c r="B151">
        <v>16</v>
      </c>
      <c r="C151">
        <v>0</v>
      </c>
    </row>
    <row r="152" spans="1:3" x14ac:dyDescent="0.3">
      <c r="A152" t="s">
        <v>669</v>
      </c>
      <c r="B152">
        <v>16</v>
      </c>
      <c r="C152">
        <v>16</v>
      </c>
    </row>
    <row r="153" spans="1:3" x14ac:dyDescent="0.3">
      <c r="A153" t="s">
        <v>670</v>
      </c>
      <c r="B153">
        <v>16</v>
      </c>
      <c r="C153">
        <v>0</v>
      </c>
    </row>
    <row r="154" spans="1:3" x14ac:dyDescent="0.3">
      <c r="A154" t="s">
        <v>663</v>
      </c>
      <c r="B154">
        <v>19</v>
      </c>
      <c r="C154">
        <v>3</v>
      </c>
    </row>
    <row r="155" spans="1:3" x14ac:dyDescent="0.3">
      <c r="A155" t="s">
        <v>664</v>
      </c>
      <c r="B155">
        <v>19</v>
      </c>
      <c r="C155">
        <v>120</v>
      </c>
    </row>
    <row r="156" spans="1:3" x14ac:dyDescent="0.3">
      <c r="A156" t="s">
        <v>665</v>
      </c>
      <c r="B156">
        <v>19</v>
      </c>
      <c r="C156">
        <v>0</v>
      </c>
    </row>
    <row r="157" spans="1:3" x14ac:dyDescent="0.3">
      <c r="A157" t="s">
        <v>666</v>
      </c>
      <c r="B157">
        <v>19</v>
      </c>
      <c r="C157">
        <v>3</v>
      </c>
    </row>
    <row r="158" spans="1:3" x14ac:dyDescent="0.3">
      <c r="A158" t="s">
        <v>667</v>
      </c>
      <c r="B158">
        <v>19</v>
      </c>
      <c r="C158">
        <v>206</v>
      </c>
    </row>
    <row r="159" spans="1:3" x14ac:dyDescent="0.3">
      <c r="A159" t="s">
        <v>577</v>
      </c>
      <c r="B159">
        <v>19</v>
      </c>
      <c r="C159">
        <v>20</v>
      </c>
    </row>
    <row r="160" spans="1:3" x14ac:dyDescent="0.3">
      <c r="A160" t="s">
        <v>668</v>
      </c>
      <c r="B160">
        <v>19</v>
      </c>
      <c r="C160">
        <v>0</v>
      </c>
    </row>
    <row r="161" spans="1:3" x14ac:dyDescent="0.3">
      <c r="A161" t="s">
        <v>272</v>
      </c>
      <c r="B161">
        <v>19</v>
      </c>
      <c r="C161">
        <v>0</v>
      </c>
    </row>
    <row r="162" spans="1:3" x14ac:dyDescent="0.3">
      <c r="A162" t="s">
        <v>669</v>
      </c>
      <c r="B162">
        <v>19</v>
      </c>
      <c r="C162">
        <v>19</v>
      </c>
    </row>
    <row r="163" spans="1:3" x14ac:dyDescent="0.3">
      <c r="A163" t="s">
        <v>670</v>
      </c>
      <c r="B163">
        <v>19</v>
      </c>
      <c r="C163">
        <v>0</v>
      </c>
    </row>
    <row r="164" spans="1:3" x14ac:dyDescent="0.3">
      <c r="A164" t="s">
        <v>663</v>
      </c>
      <c r="B164">
        <v>21</v>
      </c>
      <c r="C164">
        <v>3</v>
      </c>
    </row>
    <row r="165" spans="1:3" x14ac:dyDescent="0.3">
      <c r="A165" t="s">
        <v>664</v>
      </c>
      <c r="B165">
        <v>21</v>
      </c>
      <c r="C165">
        <v>120</v>
      </c>
    </row>
    <row r="166" spans="1:3" x14ac:dyDescent="0.3">
      <c r="A166" t="s">
        <v>665</v>
      </c>
      <c r="B166">
        <v>21</v>
      </c>
      <c r="C166">
        <v>0</v>
      </c>
    </row>
    <row r="167" spans="1:3" x14ac:dyDescent="0.3">
      <c r="A167" t="s">
        <v>666</v>
      </c>
      <c r="B167">
        <v>21</v>
      </c>
      <c r="C167">
        <v>3</v>
      </c>
    </row>
    <row r="168" spans="1:3" x14ac:dyDescent="0.3">
      <c r="A168" t="s">
        <v>667</v>
      </c>
      <c r="B168">
        <v>21</v>
      </c>
      <c r="C168">
        <v>206</v>
      </c>
    </row>
    <row r="169" spans="1:3" x14ac:dyDescent="0.3">
      <c r="A169" t="s">
        <v>577</v>
      </c>
      <c r="B169">
        <v>21</v>
      </c>
      <c r="C169">
        <v>30</v>
      </c>
    </row>
    <row r="170" spans="1:3" x14ac:dyDescent="0.3">
      <c r="A170" t="s">
        <v>668</v>
      </c>
      <c r="B170">
        <v>21</v>
      </c>
      <c r="C170">
        <v>0</v>
      </c>
    </row>
    <row r="171" spans="1:3" x14ac:dyDescent="0.3">
      <c r="A171" t="s">
        <v>272</v>
      </c>
      <c r="B171">
        <v>21</v>
      </c>
      <c r="C171">
        <v>0</v>
      </c>
    </row>
    <row r="172" spans="1:3" x14ac:dyDescent="0.3">
      <c r="A172" t="s">
        <v>669</v>
      </c>
      <c r="B172">
        <v>21</v>
      </c>
      <c r="C172">
        <v>21</v>
      </c>
    </row>
    <row r="173" spans="1:3" x14ac:dyDescent="0.3">
      <c r="A173" t="s">
        <v>670</v>
      </c>
      <c r="B173">
        <v>21</v>
      </c>
      <c r="C173">
        <v>0</v>
      </c>
    </row>
    <row r="174" spans="1:3" x14ac:dyDescent="0.3">
      <c r="A174" t="s">
        <v>663</v>
      </c>
      <c r="B174">
        <v>22</v>
      </c>
      <c r="C174">
        <v>3</v>
      </c>
    </row>
    <row r="175" spans="1:3" x14ac:dyDescent="0.3">
      <c r="A175" t="s">
        <v>664</v>
      </c>
      <c r="B175">
        <v>22</v>
      </c>
      <c r="C175">
        <v>120</v>
      </c>
    </row>
    <row r="176" spans="1:3" x14ac:dyDescent="0.3">
      <c r="A176" t="s">
        <v>665</v>
      </c>
      <c r="B176">
        <v>22</v>
      </c>
      <c r="C176">
        <v>0</v>
      </c>
    </row>
    <row r="177" spans="1:3" x14ac:dyDescent="0.3">
      <c r="A177" t="s">
        <v>666</v>
      </c>
      <c r="B177">
        <v>22</v>
      </c>
      <c r="C177">
        <v>3</v>
      </c>
    </row>
    <row r="178" spans="1:3" x14ac:dyDescent="0.3">
      <c r="A178" t="s">
        <v>667</v>
      </c>
      <c r="B178">
        <v>22</v>
      </c>
      <c r="C178">
        <v>206</v>
      </c>
    </row>
    <row r="179" spans="1:3" x14ac:dyDescent="0.3">
      <c r="A179" t="s">
        <v>577</v>
      </c>
      <c r="B179">
        <v>22</v>
      </c>
      <c r="C179">
        <v>80</v>
      </c>
    </row>
    <row r="180" spans="1:3" x14ac:dyDescent="0.3">
      <c r="A180" t="s">
        <v>668</v>
      </c>
      <c r="B180">
        <v>22</v>
      </c>
      <c r="C180">
        <v>0</v>
      </c>
    </row>
    <row r="181" spans="1:3" x14ac:dyDescent="0.3">
      <c r="A181" t="s">
        <v>272</v>
      </c>
      <c r="B181">
        <v>22</v>
      </c>
      <c r="C181">
        <v>0</v>
      </c>
    </row>
    <row r="182" spans="1:3" x14ac:dyDescent="0.3">
      <c r="A182" t="s">
        <v>669</v>
      </c>
      <c r="B182">
        <v>22</v>
      </c>
      <c r="C182">
        <v>22</v>
      </c>
    </row>
    <row r="183" spans="1:3" x14ac:dyDescent="0.3">
      <c r="A183" t="s">
        <v>670</v>
      </c>
      <c r="B183">
        <v>22</v>
      </c>
      <c r="C183">
        <v>0</v>
      </c>
    </row>
    <row r="184" spans="1:3" x14ac:dyDescent="0.3">
      <c r="A184" t="s">
        <v>663</v>
      </c>
      <c r="B184">
        <v>23</v>
      </c>
      <c r="C184">
        <v>3</v>
      </c>
    </row>
    <row r="185" spans="1:3" x14ac:dyDescent="0.3">
      <c r="A185" t="s">
        <v>664</v>
      </c>
      <c r="B185">
        <v>23</v>
      </c>
      <c r="C185">
        <v>120</v>
      </c>
    </row>
    <row r="186" spans="1:3" x14ac:dyDescent="0.3">
      <c r="A186" t="s">
        <v>665</v>
      </c>
      <c r="B186">
        <v>23</v>
      </c>
      <c r="C186">
        <v>0</v>
      </c>
    </row>
    <row r="187" spans="1:3" x14ac:dyDescent="0.3">
      <c r="A187" t="s">
        <v>666</v>
      </c>
      <c r="B187">
        <v>23</v>
      </c>
      <c r="C187">
        <v>3</v>
      </c>
    </row>
    <row r="188" spans="1:3" x14ac:dyDescent="0.3">
      <c r="A188" t="s">
        <v>667</v>
      </c>
      <c r="B188">
        <v>23</v>
      </c>
      <c r="C188">
        <v>206</v>
      </c>
    </row>
    <row r="189" spans="1:3" x14ac:dyDescent="0.3">
      <c r="A189" t="s">
        <v>577</v>
      </c>
      <c r="B189">
        <v>23</v>
      </c>
      <c r="C189">
        <v>85</v>
      </c>
    </row>
    <row r="190" spans="1:3" x14ac:dyDescent="0.3">
      <c r="A190" t="s">
        <v>668</v>
      </c>
      <c r="B190">
        <v>23</v>
      </c>
      <c r="C190">
        <v>0</v>
      </c>
    </row>
    <row r="191" spans="1:3" x14ac:dyDescent="0.3">
      <c r="A191" t="s">
        <v>272</v>
      </c>
      <c r="B191">
        <v>23</v>
      </c>
      <c r="C191">
        <v>0</v>
      </c>
    </row>
    <row r="192" spans="1:3" x14ac:dyDescent="0.3">
      <c r="A192" t="s">
        <v>669</v>
      </c>
      <c r="B192">
        <v>23</v>
      </c>
      <c r="C192">
        <v>23</v>
      </c>
    </row>
    <row r="193" spans="1:3" x14ac:dyDescent="0.3">
      <c r="A193" t="s">
        <v>670</v>
      </c>
      <c r="B193">
        <v>23</v>
      </c>
      <c r="C193">
        <v>0</v>
      </c>
    </row>
    <row r="194" spans="1:3" x14ac:dyDescent="0.3">
      <c r="A194" t="s">
        <v>663</v>
      </c>
      <c r="B194">
        <v>24</v>
      </c>
      <c r="C194">
        <v>3</v>
      </c>
    </row>
    <row r="195" spans="1:3" x14ac:dyDescent="0.3">
      <c r="A195" t="s">
        <v>664</v>
      </c>
      <c r="B195">
        <v>24</v>
      </c>
      <c r="C195">
        <v>120</v>
      </c>
    </row>
    <row r="196" spans="1:3" x14ac:dyDescent="0.3">
      <c r="A196" t="s">
        <v>665</v>
      </c>
      <c r="B196">
        <v>24</v>
      </c>
      <c r="C196">
        <v>0</v>
      </c>
    </row>
    <row r="197" spans="1:3" x14ac:dyDescent="0.3">
      <c r="A197" t="s">
        <v>666</v>
      </c>
      <c r="B197">
        <v>24</v>
      </c>
      <c r="C197">
        <v>3</v>
      </c>
    </row>
    <row r="198" spans="1:3" x14ac:dyDescent="0.3">
      <c r="A198" t="s">
        <v>667</v>
      </c>
      <c r="B198">
        <v>24</v>
      </c>
      <c r="C198">
        <v>206</v>
      </c>
    </row>
    <row r="199" spans="1:3" x14ac:dyDescent="0.3">
      <c r="A199" t="s">
        <v>577</v>
      </c>
      <c r="B199">
        <v>24</v>
      </c>
      <c r="C199">
        <v>90</v>
      </c>
    </row>
    <row r="200" spans="1:3" x14ac:dyDescent="0.3">
      <c r="A200" t="s">
        <v>668</v>
      </c>
      <c r="B200">
        <v>24</v>
      </c>
      <c r="C200">
        <v>0</v>
      </c>
    </row>
    <row r="201" spans="1:3" x14ac:dyDescent="0.3">
      <c r="A201" t="s">
        <v>272</v>
      </c>
      <c r="B201">
        <v>24</v>
      </c>
      <c r="C201">
        <v>0</v>
      </c>
    </row>
    <row r="202" spans="1:3" x14ac:dyDescent="0.3">
      <c r="A202" t="s">
        <v>669</v>
      </c>
      <c r="B202">
        <v>24</v>
      </c>
      <c r="C202">
        <v>24</v>
      </c>
    </row>
    <row r="203" spans="1:3" x14ac:dyDescent="0.3">
      <c r="A203" t="s">
        <v>670</v>
      </c>
      <c r="B203">
        <v>24</v>
      </c>
      <c r="C203">
        <v>0</v>
      </c>
    </row>
    <row r="204" spans="1:3" x14ac:dyDescent="0.3">
      <c r="A204" t="s">
        <v>663</v>
      </c>
      <c r="B204">
        <v>25</v>
      </c>
      <c r="C204">
        <v>3</v>
      </c>
    </row>
    <row r="205" spans="1:3" x14ac:dyDescent="0.3">
      <c r="A205" t="s">
        <v>664</v>
      </c>
      <c r="B205">
        <v>25</v>
      </c>
      <c r="C205">
        <v>120</v>
      </c>
    </row>
    <row r="206" spans="1:3" x14ac:dyDescent="0.3">
      <c r="A206" t="s">
        <v>665</v>
      </c>
      <c r="B206">
        <v>25</v>
      </c>
      <c r="C206">
        <v>0</v>
      </c>
    </row>
    <row r="207" spans="1:3" x14ac:dyDescent="0.3">
      <c r="A207" t="s">
        <v>666</v>
      </c>
      <c r="B207">
        <v>25</v>
      </c>
      <c r="C207">
        <v>3</v>
      </c>
    </row>
    <row r="208" spans="1:3" x14ac:dyDescent="0.3">
      <c r="A208" t="s">
        <v>667</v>
      </c>
      <c r="B208">
        <v>25</v>
      </c>
      <c r="C208">
        <v>206</v>
      </c>
    </row>
    <row r="209" spans="1:3" x14ac:dyDescent="0.3">
      <c r="A209" t="s">
        <v>577</v>
      </c>
      <c r="B209">
        <v>25</v>
      </c>
      <c r="C209">
        <v>1</v>
      </c>
    </row>
    <row r="210" spans="1:3" x14ac:dyDescent="0.3">
      <c r="A210" t="s">
        <v>668</v>
      </c>
      <c r="B210">
        <v>25</v>
      </c>
      <c r="C210">
        <v>0</v>
      </c>
    </row>
    <row r="211" spans="1:3" x14ac:dyDescent="0.3">
      <c r="A211" t="s">
        <v>272</v>
      </c>
      <c r="B211">
        <v>25</v>
      </c>
      <c r="C211">
        <v>0</v>
      </c>
    </row>
    <row r="212" spans="1:3" x14ac:dyDescent="0.3">
      <c r="A212" t="s">
        <v>669</v>
      </c>
      <c r="B212">
        <v>25</v>
      </c>
      <c r="C212">
        <v>25</v>
      </c>
    </row>
    <row r="213" spans="1:3" x14ac:dyDescent="0.3">
      <c r="A213" t="s">
        <v>670</v>
      </c>
      <c r="B213">
        <v>25</v>
      </c>
      <c r="C213">
        <v>0</v>
      </c>
    </row>
    <row r="214" spans="1:3" x14ac:dyDescent="0.3">
      <c r="A214" t="s">
        <v>663</v>
      </c>
      <c r="B214">
        <v>26</v>
      </c>
      <c r="C214">
        <v>3</v>
      </c>
    </row>
    <row r="215" spans="1:3" x14ac:dyDescent="0.3">
      <c r="A215" t="s">
        <v>664</v>
      </c>
      <c r="B215">
        <v>26</v>
      </c>
      <c r="C215">
        <v>120</v>
      </c>
    </row>
    <row r="216" spans="1:3" x14ac:dyDescent="0.3">
      <c r="A216" t="s">
        <v>665</v>
      </c>
      <c r="B216">
        <v>26</v>
      </c>
      <c r="C216">
        <v>0</v>
      </c>
    </row>
    <row r="217" spans="1:3" x14ac:dyDescent="0.3">
      <c r="A217" t="s">
        <v>666</v>
      </c>
      <c r="B217">
        <v>26</v>
      </c>
      <c r="C217">
        <v>3</v>
      </c>
    </row>
    <row r="218" spans="1:3" x14ac:dyDescent="0.3">
      <c r="A218" t="s">
        <v>667</v>
      </c>
      <c r="B218">
        <v>26</v>
      </c>
      <c r="C218">
        <v>206</v>
      </c>
    </row>
    <row r="219" spans="1:3" x14ac:dyDescent="0.3">
      <c r="A219" t="s">
        <v>577</v>
      </c>
      <c r="B219">
        <v>26</v>
      </c>
      <c r="C219">
        <v>15</v>
      </c>
    </row>
    <row r="220" spans="1:3" x14ac:dyDescent="0.3">
      <c r="A220" t="s">
        <v>668</v>
      </c>
      <c r="B220">
        <v>26</v>
      </c>
      <c r="C220">
        <v>0</v>
      </c>
    </row>
    <row r="221" spans="1:3" x14ac:dyDescent="0.3">
      <c r="A221" t="s">
        <v>272</v>
      </c>
      <c r="B221">
        <v>26</v>
      </c>
      <c r="C221">
        <v>0</v>
      </c>
    </row>
    <row r="222" spans="1:3" x14ac:dyDescent="0.3">
      <c r="A222" t="s">
        <v>669</v>
      </c>
      <c r="B222">
        <v>26</v>
      </c>
      <c r="C222">
        <v>26</v>
      </c>
    </row>
    <row r="223" spans="1:3" x14ac:dyDescent="0.3">
      <c r="A223" t="s">
        <v>670</v>
      </c>
      <c r="B223">
        <v>26</v>
      </c>
      <c r="C223">
        <v>0</v>
      </c>
    </row>
    <row r="224" spans="1:3" x14ac:dyDescent="0.3">
      <c r="A224" t="s">
        <v>663</v>
      </c>
      <c r="B224">
        <v>30</v>
      </c>
      <c r="C224">
        <v>3</v>
      </c>
    </row>
    <row r="225" spans="1:3" x14ac:dyDescent="0.3">
      <c r="A225" t="s">
        <v>664</v>
      </c>
      <c r="B225">
        <v>30</v>
      </c>
      <c r="C225">
        <v>120</v>
      </c>
    </row>
    <row r="226" spans="1:3" x14ac:dyDescent="0.3">
      <c r="A226" t="s">
        <v>665</v>
      </c>
      <c r="B226">
        <v>30</v>
      </c>
      <c r="C226">
        <v>0</v>
      </c>
    </row>
    <row r="227" spans="1:3" x14ac:dyDescent="0.3">
      <c r="A227" t="s">
        <v>666</v>
      </c>
      <c r="B227">
        <v>30</v>
      </c>
      <c r="C227">
        <v>1</v>
      </c>
    </row>
    <row r="228" spans="1:3" x14ac:dyDescent="0.3">
      <c r="A228" t="s">
        <v>667</v>
      </c>
      <c r="B228">
        <v>30</v>
      </c>
      <c r="C228">
        <v>206</v>
      </c>
    </row>
    <row r="229" spans="1:3" x14ac:dyDescent="0.3">
      <c r="A229" t="s">
        <v>577</v>
      </c>
      <c r="B229">
        <v>30</v>
      </c>
      <c r="C229">
        <v>1</v>
      </c>
    </row>
    <row r="230" spans="1:3" x14ac:dyDescent="0.3">
      <c r="A230" t="s">
        <v>668</v>
      </c>
      <c r="B230">
        <v>30</v>
      </c>
      <c r="C230">
        <v>0</v>
      </c>
    </row>
    <row r="231" spans="1:3" x14ac:dyDescent="0.3">
      <c r="A231" t="s">
        <v>272</v>
      </c>
      <c r="B231">
        <v>30</v>
      </c>
      <c r="C231">
        <v>0</v>
      </c>
    </row>
    <row r="232" spans="1:3" x14ac:dyDescent="0.3">
      <c r="A232" t="s">
        <v>669</v>
      </c>
      <c r="B232">
        <v>30</v>
      </c>
      <c r="C232">
        <v>30</v>
      </c>
    </row>
    <row r="233" spans="1:3" x14ac:dyDescent="0.3">
      <c r="A233" t="s">
        <v>670</v>
      </c>
      <c r="B233">
        <v>30</v>
      </c>
      <c r="C233">
        <v>0</v>
      </c>
    </row>
    <row r="234" spans="1:3" x14ac:dyDescent="0.3">
      <c r="A234" t="s">
        <v>663</v>
      </c>
      <c r="B234">
        <v>31</v>
      </c>
      <c r="C234">
        <v>3</v>
      </c>
    </row>
    <row r="235" spans="1:3" x14ac:dyDescent="0.3">
      <c r="A235" t="s">
        <v>664</v>
      </c>
      <c r="B235">
        <v>31</v>
      </c>
      <c r="C235">
        <v>120</v>
      </c>
    </row>
    <row r="236" spans="1:3" x14ac:dyDescent="0.3">
      <c r="A236" t="s">
        <v>665</v>
      </c>
      <c r="B236">
        <v>31</v>
      </c>
      <c r="C236">
        <v>0</v>
      </c>
    </row>
    <row r="237" spans="1:3" x14ac:dyDescent="0.3">
      <c r="A237" t="s">
        <v>666</v>
      </c>
      <c r="B237">
        <v>31</v>
      </c>
      <c r="C237">
        <v>1</v>
      </c>
    </row>
    <row r="238" spans="1:3" x14ac:dyDescent="0.3">
      <c r="A238" t="s">
        <v>667</v>
      </c>
      <c r="B238">
        <v>31</v>
      </c>
      <c r="C238">
        <v>206</v>
      </c>
    </row>
    <row r="239" spans="1:3" x14ac:dyDescent="0.3">
      <c r="A239" t="s">
        <v>577</v>
      </c>
      <c r="B239">
        <v>31</v>
      </c>
      <c r="C239">
        <v>10</v>
      </c>
    </row>
    <row r="240" spans="1:3" x14ac:dyDescent="0.3">
      <c r="A240" t="s">
        <v>668</v>
      </c>
      <c r="B240">
        <v>31</v>
      </c>
      <c r="C240">
        <v>0</v>
      </c>
    </row>
    <row r="241" spans="1:3" x14ac:dyDescent="0.3">
      <c r="A241" t="s">
        <v>272</v>
      </c>
      <c r="B241">
        <v>31</v>
      </c>
      <c r="C241">
        <v>0</v>
      </c>
    </row>
    <row r="242" spans="1:3" x14ac:dyDescent="0.3">
      <c r="A242" t="s">
        <v>669</v>
      </c>
      <c r="B242">
        <v>31</v>
      </c>
      <c r="C242">
        <v>31</v>
      </c>
    </row>
    <row r="243" spans="1:3" x14ac:dyDescent="0.3">
      <c r="A243" t="s">
        <v>670</v>
      </c>
      <c r="B243">
        <v>31</v>
      </c>
      <c r="C243">
        <v>0</v>
      </c>
    </row>
    <row r="244" spans="1:3" x14ac:dyDescent="0.3">
      <c r="A244" t="s">
        <v>663</v>
      </c>
      <c r="B244">
        <v>32</v>
      </c>
      <c r="C244">
        <v>3</v>
      </c>
    </row>
    <row r="245" spans="1:3" x14ac:dyDescent="0.3">
      <c r="A245" t="s">
        <v>664</v>
      </c>
      <c r="B245">
        <v>32</v>
      </c>
      <c r="C245">
        <v>120</v>
      </c>
    </row>
    <row r="246" spans="1:3" x14ac:dyDescent="0.3">
      <c r="A246" t="s">
        <v>665</v>
      </c>
      <c r="B246">
        <v>32</v>
      </c>
      <c r="C246">
        <v>0</v>
      </c>
    </row>
    <row r="247" spans="1:3" x14ac:dyDescent="0.3">
      <c r="A247" t="s">
        <v>666</v>
      </c>
      <c r="B247">
        <v>32</v>
      </c>
      <c r="C247">
        <v>1</v>
      </c>
    </row>
    <row r="248" spans="1:3" x14ac:dyDescent="0.3">
      <c r="A248" t="s">
        <v>667</v>
      </c>
      <c r="B248">
        <v>32</v>
      </c>
      <c r="C248">
        <v>206</v>
      </c>
    </row>
    <row r="249" spans="1:3" x14ac:dyDescent="0.3">
      <c r="A249" t="s">
        <v>577</v>
      </c>
      <c r="B249">
        <v>32</v>
      </c>
      <c r="C249">
        <v>25.5</v>
      </c>
    </row>
    <row r="250" spans="1:3" x14ac:dyDescent="0.3">
      <c r="A250" t="s">
        <v>668</v>
      </c>
      <c r="B250">
        <v>32</v>
      </c>
      <c r="C250">
        <v>0</v>
      </c>
    </row>
    <row r="251" spans="1:3" x14ac:dyDescent="0.3">
      <c r="A251" t="s">
        <v>272</v>
      </c>
      <c r="B251">
        <v>32</v>
      </c>
      <c r="C251">
        <v>0</v>
      </c>
    </row>
    <row r="252" spans="1:3" x14ac:dyDescent="0.3">
      <c r="A252" t="s">
        <v>669</v>
      </c>
      <c r="B252">
        <v>32</v>
      </c>
      <c r="C252">
        <v>32</v>
      </c>
    </row>
    <row r="253" spans="1:3" x14ac:dyDescent="0.3">
      <c r="A253" t="s">
        <v>670</v>
      </c>
      <c r="B253">
        <v>32</v>
      </c>
      <c r="C253">
        <v>0</v>
      </c>
    </row>
    <row r="254" spans="1:3" x14ac:dyDescent="0.3">
      <c r="A254" t="s">
        <v>663</v>
      </c>
      <c r="B254">
        <v>33</v>
      </c>
      <c r="C254">
        <v>3</v>
      </c>
    </row>
    <row r="255" spans="1:3" x14ac:dyDescent="0.3">
      <c r="A255" t="s">
        <v>664</v>
      </c>
      <c r="B255">
        <v>33</v>
      </c>
      <c r="C255">
        <v>120</v>
      </c>
    </row>
    <row r="256" spans="1:3" x14ac:dyDescent="0.3">
      <c r="A256" t="s">
        <v>665</v>
      </c>
      <c r="B256">
        <v>33</v>
      </c>
      <c r="C256">
        <v>0</v>
      </c>
    </row>
    <row r="257" spans="1:3" x14ac:dyDescent="0.3">
      <c r="A257" t="s">
        <v>666</v>
      </c>
      <c r="B257">
        <v>33</v>
      </c>
      <c r="C257">
        <v>1</v>
      </c>
    </row>
    <row r="258" spans="1:3" x14ac:dyDescent="0.3">
      <c r="A258" t="s">
        <v>667</v>
      </c>
      <c r="B258">
        <v>33</v>
      </c>
      <c r="C258">
        <v>206</v>
      </c>
    </row>
    <row r="259" spans="1:3" x14ac:dyDescent="0.3">
      <c r="A259" t="s">
        <v>577</v>
      </c>
      <c r="B259">
        <v>33</v>
      </c>
      <c r="C259">
        <v>65</v>
      </c>
    </row>
    <row r="260" spans="1:3" x14ac:dyDescent="0.3">
      <c r="A260" t="s">
        <v>668</v>
      </c>
      <c r="B260">
        <v>33</v>
      </c>
      <c r="C260">
        <v>0</v>
      </c>
    </row>
    <row r="261" spans="1:3" x14ac:dyDescent="0.3">
      <c r="A261" t="s">
        <v>272</v>
      </c>
      <c r="B261">
        <v>33</v>
      </c>
      <c r="C261">
        <v>0</v>
      </c>
    </row>
    <row r="262" spans="1:3" x14ac:dyDescent="0.3">
      <c r="A262" t="s">
        <v>669</v>
      </c>
      <c r="B262">
        <v>33</v>
      </c>
      <c r="C262">
        <v>33</v>
      </c>
    </row>
    <row r="263" spans="1:3" x14ac:dyDescent="0.3">
      <c r="A263" t="s">
        <v>670</v>
      </c>
      <c r="B263">
        <v>33</v>
      </c>
      <c r="C263">
        <v>0</v>
      </c>
    </row>
    <row r="264" spans="1:3" x14ac:dyDescent="0.3">
      <c r="A264" t="s">
        <v>663</v>
      </c>
      <c r="B264">
        <v>34</v>
      </c>
      <c r="C264">
        <v>3</v>
      </c>
    </row>
    <row r="265" spans="1:3" x14ac:dyDescent="0.3">
      <c r="A265" t="s">
        <v>664</v>
      </c>
      <c r="B265">
        <v>34</v>
      </c>
      <c r="C265">
        <v>120</v>
      </c>
    </row>
    <row r="266" spans="1:3" x14ac:dyDescent="0.3">
      <c r="A266" t="s">
        <v>665</v>
      </c>
      <c r="B266">
        <v>34</v>
      </c>
      <c r="C266">
        <v>0</v>
      </c>
    </row>
    <row r="267" spans="1:3" x14ac:dyDescent="0.3">
      <c r="A267" t="s">
        <v>666</v>
      </c>
      <c r="B267">
        <v>34</v>
      </c>
      <c r="C267">
        <v>1</v>
      </c>
    </row>
    <row r="268" spans="1:3" x14ac:dyDescent="0.3">
      <c r="A268" t="s">
        <v>667</v>
      </c>
      <c r="B268">
        <v>34</v>
      </c>
      <c r="C268">
        <v>206</v>
      </c>
    </row>
    <row r="269" spans="1:3" x14ac:dyDescent="0.3">
      <c r="A269" t="s">
        <v>577</v>
      </c>
      <c r="B269">
        <v>34</v>
      </c>
      <c r="C269">
        <v>105</v>
      </c>
    </row>
    <row r="270" spans="1:3" x14ac:dyDescent="0.3">
      <c r="A270" t="s">
        <v>668</v>
      </c>
      <c r="B270">
        <v>34</v>
      </c>
      <c r="C270">
        <v>0</v>
      </c>
    </row>
    <row r="271" spans="1:3" x14ac:dyDescent="0.3">
      <c r="A271" t="s">
        <v>272</v>
      </c>
      <c r="B271">
        <v>34</v>
      </c>
      <c r="C271">
        <v>0</v>
      </c>
    </row>
    <row r="272" spans="1:3" x14ac:dyDescent="0.3">
      <c r="A272" t="s">
        <v>669</v>
      </c>
      <c r="B272">
        <v>34</v>
      </c>
      <c r="C272">
        <v>34</v>
      </c>
    </row>
    <row r="273" spans="1:3" x14ac:dyDescent="0.3">
      <c r="A273" t="s">
        <v>670</v>
      </c>
      <c r="B273">
        <v>34</v>
      </c>
      <c r="C27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651"/>
  <sheetViews>
    <sheetView workbookViewId="0">
      <selection activeCell="A4" sqref="A4:R27"/>
    </sheetView>
  </sheetViews>
  <sheetFormatPr defaultRowHeight="14.4" x14ac:dyDescent="0.3"/>
  <sheetData>
    <row r="1" spans="1:18" x14ac:dyDescent="0.3">
      <c r="A1" t="s">
        <v>671</v>
      </c>
    </row>
    <row r="2" spans="1:18" x14ac:dyDescent="0.3">
      <c r="A2" t="s">
        <v>672</v>
      </c>
    </row>
    <row r="3" spans="1:18" x14ac:dyDescent="0.3">
      <c r="A3" t="s">
        <v>0</v>
      </c>
      <c r="B3" t="s">
        <v>1</v>
      </c>
      <c r="C3" t="s">
        <v>246</v>
      </c>
      <c r="D3" t="s">
        <v>247</v>
      </c>
      <c r="E3" t="s">
        <v>248</v>
      </c>
      <c r="F3" t="s">
        <v>249</v>
      </c>
      <c r="G3" t="s">
        <v>250</v>
      </c>
      <c r="H3" t="s">
        <v>251</v>
      </c>
      <c r="I3" t="s">
        <v>252</v>
      </c>
      <c r="J3" t="s">
        <v>253</v>
      </c>
      <c r="K3" t="s">
        <v>673</v>
      </c>
      <c r="L3" t="s">
        <v>674</v>
      </c>
      <c r="M3" t="s">
        <v>675</v>
      </c>
      <c r="N3" t="s">
        <v>676</v>
      </c>
      <c r="O3" t="s">
        <v>677</v>
      </c>
      <c r="P3" t="s">
        <v>678</v>
      </c>
      <c r="Q3" t="s">
        <v>679</v>
      </c>
      <c r="R3" t="s">
        <v>680</v>
      </c>
    </row>
    <row r="4" spans="1:18" x14ac:dyDescent="0.3">
      <c r="A4" t="s">
        <v>254</v>
      </c>
      <c r="B4">
        <v>1</v>
      </c>
      <c r="C4">
        <v>111</v>
      </c>
      <c r="D4">
        <v>112</v>
      </c>
      <c r="E4">
        <v>211</v>
      </c>
      <c r="F4">
        <v>212</v>
      </c>
      <c r="G4">
        <v>121</v>
      </c>
      <c r="H4">
        <v>122</v>
      </c>
      <c r="I4">
        <v>221</v>
      </c>
      <c r="J4">
        <v>222</v>
      </c>
      <c r="K4">
        <v>311</v>
      </c>
      <c r="L4">
        <v>312</v>
      </c>
      <c r="M4">
        <v>411</v>
      </c>
      <c r="N4">
        <v>412</v>
      </c>
      <c r="O4">
        <v>321</v>
      </c>
      <c r="P4">
        <v>322</v>
      </c>
      <c r="Q4">
        <v>421</v>
      </c>
      <c r="R4">
        <v>422</v>
      </c>
    </row>
    <row r="5" spans="1:18" x14ac:dyDescent="0.3">
      <c r="A5" t="s">
        <v>255</v>
      </c>
      <c r="B5">
        <v>1</v>
      </c>
      <c r="C5">
        <v>8</v>
      </c>
      <c r="D5">
        <v>15</v>
      </c>
      <c r="E5">
        <v>8</v>
      </c>
      <c r="F5">
        <v>8</v>
      </c>
      <c r="G5">
        <v>8</v>
      </c>
      <c r="H5">
        <v>15</v>
      </c>
      <c r="I5">
        <v>8</v>
      </c>
      <c r="J5">
        <v>8</v>
      </c>
    </row>
    <row r="6" spans="1:18" x14ac:dyDescent="0.3">
      <c r="A6" t="s">
        <v>256</v>
      </c>
      <c r="B6">
        <v>1</v>
      </c>
      <c r="C6">
        <v>9</v>
      </c>
      <c r="D6">
        <v>51</v>
      </c>
      <c r="E6">
        <v>25</v>
      </c>
      <c r="F6">
        <v>9</v>
      </c>
      <c r="G6">
        <v>14</v>
      </c>
      <c r="H6">
        <v>46</v>
      </c>
      <c r="I6">
        <v>14</v>
      </c>
      <c r="J6">
        <v>20</v>
      </c>
    </row>
    <row r="7" spans="1:18" x14ac:dyDescent="0.3">
      <c r="A7" t="s">
        <v>257</v>
      </c>
      <c r="B7">
        <v>1</v>
      </c>
      <c r="C7">
        <v>3</v>
      </c>
      <c r="D7">
        <v>6</v>
      </c>
      <c r="E7">
        <v>3</v>
      </c>
      <c r="F7">
        <v>3</v>
      </c>
      <c r="G7">
        <v>3</v>
      </c>
      <c r="H7">
        <v>6</v>
      </c>
      <c r="I7">
        <v>3</v>
      </c>
      <c r="J7">
        <v>3</v>
      </c>
    </row>
    <row r="8" spans="1:18" x14ac:dyDescent="0.3">
      <c r="A8" t="s">
        <v>258</v>
      </c>
      <c r="B8">
        <v>1</v>
      </c>
      <c r="C8">
        <v>0</v>
      </c>
      <c r="D8">
        <v>0</v>
      </c>
      <c r="E8">
        <v>0</v>
      </c>
      <c r="F8">
        <v>0</v>
      </c>
      <c r="G8">
        <v>0</v>
      </c>
      <c r="H8">
        <v>0</v>
      </c>
      <c r="I8">
        <v>0</v>
      </c>
      <c r="J8">
        <v>0</v>
      </c>
    </row>
    <row r="9" spans="1:18" x14ac:dyDescent="0.3">
      <c r="A9" t="s">
        <v>259</v>
      </c>
      <c r="B9">
        <v>1</v>
      </c>
      <c r="C9">
        <v>0</v>
      </c>
      <c r="D9">
        <v>0</v>
      </c>
      <c r="E9">
        <v>0</v>
      </c>
      <c r="F9">
        <v>0</v>
      </c>
      <c r="G9">
        <v>0</v>
      </c>
      <c r="H9">
        <v>0</v>
      </c>
      <c r="I9">
        <v>0</v>
      </c>
      <c r="J9">
        <v>0</v>
      </c>
    </row>
    <row r="10" spans="1:18" x14ac:dyDescent="0.3">
      <c r="A10" t="s">
        <v>260</v>
      </c>
      <c r="B10">
        <v>1</v>
      </c>
      <c r="C10">
        <v>3</v>
      </c>
      <c r="D10">
        <v>3</v>
      </c>
      <c r="E10">
        <v>3</v>
      </c>
      <c r="F10">
        <v>3</v>
      </c>
      <c r="G10">
        <v>3</v>
      </c>
      <c r="H10">
        <v>3</v>
      </c>
      <c r="I10">
        <v>3</v>
      </c>
      <c r="J10">
        <v>3</v>
      </c>
    </row>
    <row r="11" spans="1:18" x14ac:dyDescent="0.3">
      <c r="A11" t="s">
        <v>261</v>
      </c>
      <c r="B11">
        <v>1</v>
      </c>
      <c r="C11">
        <v>4</v>
      </c>
      <c r="D11">
        <v>5</v>
      </c>
      <c r="E11">
        <v>4</v>
      </c>
      <c r="F11">
        <v>5</v>
      </c>
      <c r="G11">
        <v>4</v>
      </c>
      <c r="H11">
        <v>5</v>
      </c>
      <c r="I11">
        <v>4</v>
      </c>
      <c r="J11">
        <v>5</v>
      </c>
    </row>
    <row r="12" spans="1:18" x14ac:dyDescent="0.3">
      <c r="A12" t="s">
        <v>262</v>
      </c>
      <c r="B12">
        <v>1</v>
      </c>
      <c r="C12">
        <v>2</v>
      </c>
      <c r="D12">
        <v>2</v>
      </c>
      <c r="E12">
        <v>2</v>
      </c>
      <c r="F12">
        <v>2</v>
      </c>
      <c r="G12">
        <v>2</v>
      </c>
      <c r="H12">
        <v>2</v>
      </c>
      <c r="I12">
        <v>2</v>
      </c>
      <c r="J12">
        <v>2</v>
      </c>
    </row>
    <row r="13" spans="1:18" x14ac:dyDescent="0.3">
      <c r="A13" t="s">
        <v>263</v>
      </c>
      <c r="B13">
        <v>1</v>
      </c>
      <c r="C13">
        <v>0</v>
      </c>
      <c r="D13">
        <v>3</v>
      </c>
      <c r="E13">
        <v>0</v>
      </c>
      <c r="F13">
        <v>0</v>
      </c>
      <c r="G13">
        <v>0</v>
      </c>
      <c r="H13">
        <v>3</v>
      </c>
      <c r="I13">
        <v>0</v>
      </c>
      <c r="J13">
        <v>0</v>
      </c>
    </row>
    <row r="14" spans="1:18" x14ac:dyDescent="0.3">
      <c r="A14" t="s">
        <v>264</v>
      </c>
      <c r="B14">
        <v>1</v>
      </c>
    </row>
    <row r="15" spans="1:18" x14ac:dyDescent="0.3">
      <c r="A15" t="s">
        <v>265</v>
      </c>
      <c r="B15">
        <v>1</v>
      </c>
    </row>
    <row r="16" spans="1:18" x14ac:dyDescent="0.3">
      <c r="A16" t="s">
        <v>266</v>
      </c>
      <c r="B16">
        <v>1</v>
      </c>
    </row>
    <row r="17" spans="1:18" x14ac:dyDescent="0.3">
      <c r="A17" t="s">
        <v>267</v>
      </c>
      <c r="B17">
        <v>1</v>
      </c>
      <c r="C17">
        <v>15</v>
      </c>
      <c r="D17">
        <v>22</v>
      </c>
      <c r="E17">
        <v>15</v>
      </c>
      <c r="F17">
        <v>15</v>
      </c>
      <c r="G17">
        <v>15</v>
      </c>
      <c r="H17">
        <v>22</v>
      </c>
      <c r="I17">
        <v>15</v>
      </c>
      <c r="J17">
        <v>15</v>
      </c>
    </row>
    <row r="18" spans="1:18" x14ac:dyDescent="0.3">
      <c r="A18" t="s">
        <v>268</v>
      </c>
      <c r="B18">
        <v>1</v>
      </c>
      <c r="C18">
        <v>0</v>
      </c>
      <c r="D18">
        <v>1</v>
      </c>
      <c r="E18">
        <v>0</v>
      </c>
      <c r="F18">
        <v>1</v>
      </c>
      <c r="G18">
        <v>0</v>
      </c>
      <c r="H18">
        <v>1</v>
      </c>
      <c r="I18">
        <v>0</v>
      </c>
      <c r="J18">
        <v>1</v>
      </c>
    </row>
    <row r="19" spans="1:18" x14ac:dyDescent="0.3">
      <c r="A19" t="s">
        <v>269</v>
      </c>
      <c r="B19">
        <v>1</v>
      </c>
      <c r="C19">
        <v>1</v>
      </c>
      <c r="D19">
        <v>1</v>
      </c>
      <c r="E19">
        <v>1</v>
      </c>
      <c r="F19">
        <v>1</v>
      </c>
      <c r="G19">
        <v>1</v>
      </c>
      <c r="H19">
        <v>1</v>
      </c>
      <c r="I19">
        <v>1</v>
      </c>
      <c r="J19">
        <v>1</v>
      </c>
    </row>
    <row r="20" spans="1:18" x14ac:dyDescent="0.3">
      <c r="A20" t="s">
        <v>270</v>
      </c>
      <c r="B20">
        <v>1</v>
      </c>
      <c r="C20">
        <v>25</v>
      </c>
      <c r="D20">
        <v>40</v>
      </c>
      <c r="E20">
        <v>98</v>
      </c>
      <c r="F20">
        <v>9</v>
      </c>
      <c r="G20">
        <v>25</v>
      </c>
      <c r="H20">
        <v>45</v>
      </c>
      <c r="I20">
        <v>98</v>
      </c>
      <c r="J20">
        <v>118</v>
      </c>
    </row>
    <row r="21" spans="1:18" x14ac:dyDescent="0.3">
      <c r="A21" t="s">
        <v>271</v>
      </c>
      <c r="B21">
        <v>1</v>
      </c>
      <c r="C21">
        <v>40</v>
      </c>
      <c r="D21">
        <v>98</v>
      </c>
      <c r="E21">
        <v>9</v>
      </c>
      <c r="F21">
        <v>25</v>
      </c>
      <c r="G21">
        <v>45</v>
      </c>
      <c r="H21">
        <v>98</v>
      </c>
      <c r="I21">
        <v>118</v>
      </c>
      <c r="J21">
        <v>25</v>
      </c>
    </row>
    <row r="22" spans="1:18" x14ac:dyDescent="0.3">
      <c r="A22" t="s">
        <v>272</v>
      </c>
      <c r="B22">
        <v>1</v>
      </c>
      <c r="C22">
        <v>34</v>
      </c>
      <c r="D22">
        <v>91</v>
      </c>
      <c r="E22">
        <v>3</v>
      </c>
      <c r="F22">
        <v>18</v>
      </c>
      <c r="G22">
        <v>39</v>
      </c>
      <c r="H22">
        <v>91</v>
      </c>
      <c r="I22">
        <v>112</v>
      </c>
      <c r="J22">
        <v>18</v>
      </c>
    </row>
    <row r="23" spans="1:18" x14ac:dyDescent="0.3">
      <c r="A23" t="s">
        <v>273</v>
      </c>
      <c r="B23">
        <v>1</v>
      </c>
      <c r="C23">
        <v>34</v>
      </c>
      <c r="D23">
        <v>91</v>
      </c>
      <c r="E23">
        <v>3</v>
      </c>
      <c r="F23">
        <v>18</v>
      </c>
      <c r="G23">
        <v>39</v>
      </c>
      <c r="H23">
        <v>91</v>
      </c>
      <c r="I23">
        <v>112</v>
      </c>
      <c r="J23">
        <v>18</v>
      </c>
    </row>
    <row r="24" spans="1:18" x14ac:dyDescent="0.3">
      <c r="A24" t="s">
        <v>274</v>
      </c>
      <c r="B24">
        <v>1</v>
      </c>
      <c r="C24">
        <v>105</v>
      </c>
      <c r="D24">
        <v>0</v>
      </c>
      <c r="E24">
        <v>58</v>
      </c>
      <c r="F24">
        <v>89</v>
      </c>
      <c r="G24">
        <v>105</v>
      </c>
      <c r="H24">
        <v>5</v>
      </c>
      <c r="I24">
        <v>58</v>
      </c>
      <c r="J24">
        <v>78</v>
      </c>
    </row>
    <row r="25" spans="1:18" x14ac:dyDescent="0.3">
      <c r="A25" t="s">
        <v>275</v>
      </c>
      <c r="B25">
        <v>1</v>
      </c>
      <c r="C25">
        <v>114</v>
      </c>
      <c r="D25">
        <v>51</v>
      </c>
      <c r="E25">
        <v>83</v>
      </c>
      <c r="F25">
        <v>98</v>
      </c>
      <c r="G25">
        <v>119</v>
      </c>
      <c r="H25">
        <v>51</v>
      </c>
      <c r="I25">
        <v>72</v>
      </c>
      <c r="J25">
        <v>98</v>
      </c>
    </row>
    <row r="26" spans="1:18" x14ac:dyDescent="0.3">
      <c r="A26" t="s">
        <v>276</v>
      </c>
      <c r="B26">
        <v>1</v>
      </c>
      <c r="C26">
        <v>114</v>
      </c>
      <c r="D26">
        <v>51</v>
      </c>
      <c r="E26">
        <v>83</v>
      </c>
      <c r="F26">
        <v>98</v>
      </c>
      <c r="G26">
        <v>119</v>
      </c>
      <c r="H26">
        <v>51</v>
      </c>
      <c r="I26">
        <v>72</v>
      </c>
      <c r="J26">
        <v>98</v>
      </c>
    </row>
    <row r="27" spans="1:18" x14ac:dyDescent="0.3">
      <c r="A27" t="s">
        <v>681</v>
      </c>
      <c r="B27">
        <v>1</v>
      </c>
      <c r="C27">
        <v>9.4</v>
      </c>
      <c r="D27">
        <v>50.5</v>
      </c>
      <c r="E27">
        <v>8.5</v>
      </c>
      <c r="F27">
        <v>25.6</v>
      </c>
      <c r="G27">
        <v>9.6999999999999993</v>
      </c>
      <c r="H27">
        <v>50.2</v>
      </c>
      <c r="I27">
        <v>12.7</v>
      </c>
      <c r="J27">
        <v>21.4</v>
      </c>
    </row>
    <row r="28" spans="1:18" x14ac:dyDescent="0.3">
      <c r="A28" t="s">
        <v>254</v>
      </c>
      <c r="B28">
        <v>2</v>
      </c>
      <c r="C28">
        <v>111</v>
      </c>
      <c r="D28">
        <v>112</v>
      </c>
      <c r="E28">
        <v>211</v>
      </c>
      <c r="F28">
        <v>212</v>
      </c>
      <c r="G28">
        <v>121</v>
      </c>
      <c r="H28">
        <v>122</v>
      </c>
      <c r="I28">
        <v>221</v>
      </c>
      <c r="J28">
        <v>222</v>
      </c>
      <c r="K28">
        <v>311</v>
      </c>
      <c r="L28">
        <v>312</v>
      </c>
      <c r="M28">
        <v>411</v>
      </c>
      <c r="N28">
        <v>412</v>
      </c>
      <c r="O28">
        <v>321</v>
      </c>
      <c r="P28">
        <v>322</v>
      </c>
      <c r="Q28">
        <v>421</v>
      </c>
      <c r="R28">
        <v>422</v>
      </c>
    </row>
    <row r="29" spans="1:18" x14ac:dyDescent="0.3">
      <c r="A29" t="s">
        <v>255</v>
      </c>
      <c r="B29">
        <v>2</v>
      </c>
      <c r="C29">
        <v>8</v>
      </c>
      <c r="D29">
        <v>15</v>
      </c>
      <c r="F29">
        <v>10</v>
      </c>
      <c r="G29">
        <v>8</v>
      </c>
      <c r="H29">
        <v>15</v>
      </c>
      <c r="J29">
        <v>10</v>
      </c>
    </row>
    <row r="30" spans="1:18" x14ac:dyDescent="0.3">
      <c r="A30" t="s">
        <v>256</v>
      </c>
      <c r="B30">
        <v>2</v>
      </c>
      <c r="C30">
        <v>9</v>
      </c>
      <c r="D30">
        <v>68</v>
      </c>
      <c r="F30">
        <v>24</v>
      </c>
      <c r="G30">
        <v>9</v>
      </c>
      <c r="H30">
        <v>68</v>
      </c>
      <c r="J30">
        <v>24</v>
      </c>
    </row>
    <row r="31" spans="1:18" x14ac:dyDescent="0.3">
      <c r="A31" t="s">
        <v>257</v>
      </c>
      <c r="B31">
        <v>2</v>
      </c>
      <c r="C31">
        <v>3</v>
      </c>
      <c r="D31">
        <v>6</v>
      </c>
      <c r="F31">
        <v>3</v>
      </c>
      <c r="G31">
        <v>3</v>
      </c>
      <c r="H31">
        <v>6</v>
      </c>
      <c r="J31">
        <v>3</v>
      </c>
    </row>
    <row r="32" spans="1:18" x14ac:dyDescent="0.3">
      <c r="A32" t="s">
        <v>258</v>
      </c>
      <c r="B32">
        <v>2</v>
      </c>
      <c r="C32">
        <v>0</v>
      </c>
      <c r="D32">
        <v>0</v>
      </c>
      <c r="F32">
        <v>0</v>
      </c>
      <c r="G32">
        <v>0</v>
      </c>
      <c r="H32">
        <v>0</v>
      </c>
      <c r="J32">
        <v>0</v>
      </c>
    </row>
    <row r="33" spans="1:10" x14ac:dyDescent="0.3">
      <c r="A33" t="s">
        <v>259</v>
      </c>
      <c r="B33">
        <v>2</v>
      </c>
      <c r="C33">
        <v>0</v>
      </c>
      <c r="D33">
        <v>0</v>
      </c>
      <c r="F33">
        <v>0</v>
      </c>
      <c r="G33">
        <v>0</v>
      </c>
      <c r="H33">
        <v>0</v>
      </c>
      <c r="J33">
        <v>0</v>
      </c>
    </row>
    <row r="34" spans="1:10" x14ac:dyDescent="0.3">
      <c r="A34" t="s">
        <v>260</v>
      </c>
      <c r="B34">
        <v>2</v>
      </c>
      <c r="C34">
        <v>3</v>
      </c>
      <c r="D34">
        <v>3</v>
      </c>
      <c r="F34">
        <v>3</v>
      </c>
      <c r="G34">
        <v>3</v>
      </c>
      <c r="H34">
        <v>3</v>
      </c>
      <c r="J34">
        <v>3</v>
      </c>
    </row>
    <row r="35" spans="1:10" x14ac:dyDescent="0.3">
      <c r="A35" t="s">
        <v>261</v>
      </c>
      <c r="B35">
        <v>2</v>
      </c>
      <c r="C35">
        <v>4</v>
      </c>
      <c r="D35">
        <v>5</v>
      </c>
      <c r="F35">
        <v>4</v>
      </c>
      <c r="G35">
        <v>4</v>
      </c>
      <c r="H35">
        <v>5</v>
      </c>
      <c r="J35">
        <v>4</v>
      </c>
    </row>
    <row r="36" spans="1:10" x14ac:dyDescent="0.3">
      <c r="A36" t="s">
        <v>262</v>
      </c>
      <c r="B36">
        <v>2</v>
      </c>
      <c r="C36">
        <v>2</v>
      </c>
      <c r="D36">
        <v>2</v>
      </c>
      <c r="F36">
        <v>2</v>
      </c>
      <c r="G36">
        <v>2</v>
      </c>
      <c r="H36">
        <v>2</v>
      </c>
      <c r="J36">
        <v>2</v>
      </c>
    </row>
    <row r="37" spans="1:10" x14ac:dyDescent="0.3">
      <c r="A37" t="s">
        <v>263</v>
      </c>
      <c r="B37">
        <v>2</v>
      </c>
      <c r="C37">
        <v>0</v>
      </c>
      <c r="D37">
        <v>3</v>
      </c>
      <c r="F37">
        <v>0</v>
      </c>
      <c r="G37">
        <v>0</v>
      </c>
      <c r="H37">
        <v>3</v>
      </c>
      <c r="J37">
        <v>0</v>
      </c>
    </row>
    <row r="38" spans="1:10" x14ac:dyDescent="0.3">
      <c r="A38" t="s">
        <v>264</v>
      </c>
      <c r="B38">
        <v>2</v>
      </c>
    </row>
    <row r="39" spans="1:10" x14ac:dyDescent="0.3">
      <c r="A39" t="s">
        <v>265</v>
      </c>
      <c r="B39">
        <v>2</v>
      </c>
    </row>
    <row r="40" spans="1:10" x14ac:dyDescent="0.3">
      <c r="A40" t="s">
        <v>266</v>
      </c>
      <c r="B40">
        <v>2</v>
      </c>
    </row>
    <row r="41" spans="1:10" x14ac:dyDescent="0.3">
      <c r="A41" t="s">
        <v>267</v>
      </c>
      <c r="B41">
        <v>2</v>
      </c>
      <c r="C41">
        <v>15</v>
      </c>
      <c r="D41">
        <v>22</v>
      </c>
      <c r="F41">
        <v>16</v>
      </c>
      <c r="G41">
        <v>15</v>
      </c>
      <c r="H41">
        <v>22</v>
      </c>
      <c r="J41">
        <v>16</v>
      </c>
    </row>
    <row r="42" spans="1:10" x14ac:dyDescent="0.3">
      <c r="A42" t="s">
        <v>268</v>
      </c>
      <c r="B42">
        <v>2</v>
      </c>
      <c r="C42">
        <v>0</v>
      </c>
      <c r="D42">
        <v>1</v>
      </c>
      <c r="F42">
        <v>1</v>
      </c>
      <c r="G42">
        <v>0</v>
      </c>
      <c r="H42">
        <v>1</v>
      </c>
      <c r="J42">
        <v>1</v>
      </c>
    </row>
    <row r="43" spans="1:10" x14ac:dyDescent="0.3">
      <c r="A43" t="s">
        <v>269</v>
      </c>
      <c r="B43">
        <v>2</v>
      </c>
      <c r="C43">
        <v>1</v>
      </c>
      <c r="D43">
        <v>1</v>
      </c>
      <c r="F43">
        <v>1</v>
      </c>
      <c r="G43">
        <v>1</v>
      </c>
      <c r="H43">
        <v>1</v>
      </c>
      <c r="J43">
        <v>1</v>
      </c>
    </row>
    <row r="44" spans="1:10" x14ac:dyDescent="0.3">
      <c r="A44" t="s">
        <v>270</v>
      </c>
      <c r="B44">
        <v>2</v>
      </c>
      <c r="C44">
        <v>40</v>
      </c>
      <c r="D44">
        <v>55</v>
      </c>
      <c r="F44">
        <v>10</v>
      </c>
      <c r="G44">
        <v>40</v>
      </c>
      <c r="H44">
        <v>55</v>
      </c>
      <c r="J44">
        <v>10</v>
      </c>
    </row>
    <row r="45" spans="1:10" x14ac:dyDescent="0.3">
      <c r="A45" t="s">
        <v>271</v>
      </c>
      <c r="B45">
        <v>2</v>
      </c>
      <c r="C45">
        <v>55</v>
      </c>
      <c r="D45">
        <v>10</v>
      </c>
      <c r="F45">
        <v>40</v>
      </c>
      <c r="G45">
        <v>55</v>
      </c>
      <c r="H45">
        <v>10</v>
      </c>
      <c r="J45">
        <v>40</v>
      </c>
    </row>
    <row r="46" spans="1:10" x14ac:dyDescent="0.3">
      <c r="A46" t="s">
        <v>272</v>
      </c>
      <c r="B46">
        <v>2</v>
      </c>
      <c r="C46">
        <v>49</v>
      </c>
      <c r="D46">
        <v>3</v>
      </c>
      <c r="F46">
        <v>34</v>
      </c>
      <c r="G46">
        <v>49</v>
      </c>
      <c r="H46">
        <v>3</v>
      </c>
      <c r="J46">
        <v>34</v>
      </c>
    </row>
    <row r="47" spans="1:10" x14ac:dyDescent="0.3">
      <c r="A47" t="s">
        <v>273</v>
      </c>
      <c r="B47">
        <v>2</v>
      </c>
      <c r="C47">
        <v>49</v>
      </c>
      <c r="D47">
        <v>3</v>
      </c>
      <c r="F47">
        <v>34</v>
      </c>
      <c r="G47">
        <v>49</v>
      </c>
      <c r="H47">
        <v>3</v>
      </c>
      <c r="J47">
        <v>34</v>
      </c>
    </row>
    <row r="48" spans="1:10" x14ac:dyDescent="0.3">
      <c r="A48" t="s">
        <v>274</v>
      </c>
      <c r="B48">
        <v>2</v>
      </c>
      <c r="C48">
        <v>105</v>
      </c>
      <c r="D48">
        <v>0</v>
      </c>
      <c r="F48">
        <v>75</v>
      </c>
      <c r="G48">
        <v>105</v>
      </c>
      <c r="H48">
        <v>0</v>
      </c>
      <c r="J48">
        <v>75</v>
      </c>
    </row>
    <row r="49" spans="1:18" x14ac:dyDescent="0.3">
      <c r="A49" t="s">
        <v>275</v>
      </c>
      <c r="B49">
        <v>2</v>
      </c>
      <c r="C49">
        <v>114</v>
      </c>
      <c r="D49">
        <v>68</v>
      </c>
      <c r="F49">
        <v>99</v>
      </c>
      <c r="G49">
        <v>114</v>
      </c>
      <c r="H49">
        <v>68</v>
      </c>
      <c r="J49">
        <v>99</v>
      </c>
    </row>
    <row r="50" spans="1:18" x14ac:dyDescent="0.3">
      <c r="A50" t="s">
        <v>276</v>
      </c>
      <c r="B50">
        <v>2</v>
      </c>
      <c r="C50">
        <v>114</v>
      </c>
      <c r="D50">
        <v>68</v>
      </c>
      <c r="F50">
        <v>99</v>
      </c>
      <c r="G50">
        <v>114</v>
      </c>
      <c r="H50">
        <v>68</v>
      </c>
      <c r="J50">
        <v>99</v>
      </c>
    </row>
    <row r="51" spans="1:18" x14ac:dyDescent="0.3">
      <c r="A51" t="s">
        <v>681</v>
      </c>
      <c r="B51">
        <v>2</v>
      </c>
      <c r="C51">
        <v>3.2</v>
      </c>
      <c r="D51">
        <v>82.9</v>
      </c>
      <c r="F51">
        <v>14.9</v>
      </c>
      <c r="G51">
        <v>6.4</v>
      </c>
      <c r="H51">
        <v>79.7</v>
      </c>
      <c r="J51">
        <v>14.9</v>
      </c>
    </row>
    <row r="52" spans="1:18" x14ac:dyDescent="0.3">
      <c r="A52" t="s">
        <v>254</v>
      </c>
      <c r="B52">
        <v>3</v>
      </c>
      <c r="C52">
        <v>111</v>
      </c>
      <c r="D52">
        <v>112</v>
      </c>
      <c r="E52">
        <v>211</v>
      </c>
      <c r="F52">
        <v>212</v>
      </c>
      <c r="G52">
        <v>121</v>
      </c>
      <c r="H52">
        <v>122</v>
      </c>
      <c r="I52">
        <v>221</v>
      </c>
      <c r="J52">
        <v>222</v>
      </c>
      <c r="K52">
        <v>311</v>
      </c>
      <c r="L52">
        <v>312</v>
      </c>
      <c r="M52">
        <v>411</v>
      </c>
      <c r="N52">
        <v>412</v>
      </c>
      <c r="O52">
        <v>321</v>
      </c>
      <c r="P52">
        <v>322</v>
      </c>
      <c r="Q52">
        <v>421</v>
      </c>
      <c r="R52">
        <v>422</v>
      </c>
    </row>
    <row r="53" spans="1:18" x14ac:dyDescent="0.3">
      <c r="A53" t="s">
        <v>255</v>
      </c>
      <c r="B53">
        <v>3</v>
      </c>
      <c r="C53">
        <v>6</v>
      </c>
      <c r="D53">
        <v>12</v>
      </c>
      <c r="F53">
        <v>8</v>
      </c>
      <c r="G53">
        <v>6</v>
      </c>
      <c r="H53">
        <v>12</v>
      </c>
      <c r="J53">
        <v>8</v>
      </c>
    </row>
    <row r="54" spans="1:18" x14ac:dyDescent="0.3">
      <c r="A54" t="s">
        <v>256</v>
      </c>
      <c r="B54">
        <v>3</v>
      </c>
      <c r="C54">
        <v>13.6</v>
      </c>
      <c r="D54">
        <v>53.6</v>
      </c>
      <c r="F54">
        <v>34</v>
      </c>
      <c r="G54">
        <v>13.6</v>
      </c>
      <c r="H54">
        <v>53.6</v>
      </c>
      <c r="J54">
        <v>34</v>
      </c>
    </row>
    <row r="55" spans="1:18" x14ac:dyDescent="0.3">
      <c r="A55" t="s">
        <v>257</v>
      </c>
      <c r="B55">
        <v>3</v>
      </c>
      <c r="C55">
        <v>3</v>
      </c>
      <c r="D55">
        <v>6</v>
      </c>
      <c r="F55">
        <v>3</v>
      </c>
      <c r="G55">
        <v>3</v>
      </c>
      <c r="H55">
        <v>6</v>
      </c>
      <c r="J55">
        <v>3</v>
      </c>
    </row>
    <row r="56" spans="1:18" x14ac:dyDescent="0.3">
      <c r="A56" t="s">
        <v>258</v>
      </c>
      <c r="B56">
        <v>3</v>
      </c>
      <c r="C56">
        <v>0</v>
      </c>
      <c r="D56">
        <v>0</v>
      </c>
      <c r="F56">
        <v>0</v>
      </c>
      <c r="G56">
        <v>0</v>
      </c>
      <c r="H56">
        <v>0</v>
      </c>
      <c r="J56">
        <v>0</v>
      </c>
    </row>
    <row r="57" spans="1:18" x14ac:dyDescent="0.3">
      <c r="A57" t="s">
        <v>259</v>
      </c>
      <c r="B57">
        <v>3</v>
      </c>
      <c r="C57">
        <v>0</v>
      </c>
      <c r="D57">
        <v>0</v>
      </c>
      <c r="F57">
        <v>0</v>
      </c>
      <c r="G57">
        <v>0</v>
      </c>
      <c r="H57">
        <v>0</v>
      </c>
      <c r="J57">
        <v>0</v>
      </c>
    </row>
    <row r="58" spans="1:18" x14ac:dyDescent="0.3">
      <c r="A58" t="s">
        <v>260</v>
      </c>
      <c r="B58">
        <v>3</v>
      </c>
      <c r="C58">
        <v>3</v>
      </c>
      <c r="D58">
        <v>3</v>
      </c>
      <c r="F58">
        <v>3</v>
      </c>
      <c r="G58">
        <v>3</v>
      </c>
      <c r="H58">
        <v>3</v>
      </c>
      <c r="J58">
        <v>3</v>
      </c>
    </row>
    <row r="59" spans="1:18" x14ac:dyDescent="0.3">
      <c r="A59" t="s">
        <v>261</v>
      </c>
      <c r="B59">
        <v>3</v>
      </c>
      <c r="C59">
        <v>4.4000000000000004</v>
      </c>
      <c r="D59">
        <v>4.4000000000000004</v>
      </c>
      <c r="F59">
        <v>4</v>
      </c>
      <c r="G59">
        <v>4.4000000000000004</v>
      </c>
      <c r="H59">
        <v>4.4000000000000004</v>
      </c>
      <c r="J59">
        <v>4</v>
      </c>
    </row>
    <row r="60" spans="1:18" x14ac:dyDescent="0.3">
      <c r="A60" t="s">
        <v>262</v>
      </c>
      <c r="B60">
        <v>3</v>
      </c>
      <c r="C60">
        <v>2</v>
      </c>
      <c r="D60">
        <v>2</v>
      </c>
      <c r="F60">
        <v>2</v>
      </c>
      <c r="G60">
        <v>2</v>
      </c>
      <c r="H60">
        <v>2</v>
      </c>
      <c r="J60">
        <v>2</v>
      </c>
    </row>
    <row r="61" spans="1:18" x14ac:dyDescent="0.3">
      <c r="A61" t="s">
        <v>263</v>
      </c>
      <c r="B61">
        <v>3</v>
      </c>
      <c r="C61">
        <v>0</v>
      </c>
      <c r="D61">
        <v>3</v>
      </c>
      <c r="F61">
        <v>0</v>
      </c>
      <c r="G61">
        <v>0</v>
      </c>
      <c r="H61">
        <v>3</v>
      </c>
      <c r="J61">
        <v>0</v>
      </c>
    </row>
    <row r="62" spans="1:18" x14ac:dyDescent="0.3">
      <c r="A62" t="s">
        <v>264</v>
      </c>
      <c r="B62">
        <v>3</v>
      </c>
    </row>
    <row r="63" spans="1:18" x14ac:dyDescent="0.3">
      <c r="A63" t="s">
        <v>265</v>
      </c>
      <c r="B63">
        <v>3</v>
      </c>
    </row>
    <row r="64" spans="1:18" x14ac:dyDescent="0.3">
      <c r="A64" t="s">
        <v>266</v>
      </c>
      <c r="B64">
        <v>3</v>
      </c>
    </row>
    <row r="65" spans="1:18" x14ac:dyDescent="0.3">
      <c r="A65" t="s">
        <v>267</v>
      </c>
      <c r="B65">
        <v>3</v>
      </c>
      <c r="C65">
        <v>13</v>
      </c>
      <c r="D65">
        <v>20</v>
      </c>
      <c r="F65">
        <v>14</v>
      </c>
      <c r="G65">
        <v>13</v>
      </c>
      <c r="H65">
        <v>20</v>
      </c>
      <c r="J65">
        <v>14</v>
      </c>
    </row>
    <row r="66" spans="1:18" x14ac:dyDescent="0.3">
      <c r="A66" t="s">
        <v>268</v>
      </c>
      <c r="B66">
        <v>3</v>
      </c>
      <c r="C66">
        <v>0</v>
      </c>
      <c r="D66">
        <v>1</v>
      </c>
      <c r="F66">
        <v>1</v>
      </c>
      <c r="G66">
        <v>0</v>
      </c>
      <c r="H66">
        <v>1</v>
      </c>
      <c r="J66">
        <v>1</v>
      </c>
    </row>
    <row r="67" spans="1:18" x14ac:dyDescent="0.3">
      <c r="A67" t="s">
        <v>269</v>
      </c>
      <c r="B67">
        <v>3</v>
      </c>
      <c r="C67">
        <v>1</v>
      </c>
      <c r="D67">
        <v>1</v>
      </c>
      <c r="F67">
        <v>1</v>
      </c>
      <c r="G67">
        <v>1</v>
      </c>
      <c r="H67">
        <v>1</v>
      </c>
      <c r="J67">
        <v>1</v>
      </c>
    </row>
    <row r="68" spans="1:18" x14ac:dyDescent="0.3">
      <c r="A68" t="s">
        <v>270</v>
      </c>
      <c r="B68">
        <v>3</v>
      </c>
      <c r="C68">
        <v>80</v>
      </c>
      <c r="D68">
        <v>100</v>
      </c>
      <c r="F68">
        <v>40</v>
      </c>
      <c r="G68">
        <v>80</v>
      </c>
      <c r="H68">
        <v>100</v>
      </c>
      <c r="J68">
        <v>40</v>
      </c>
    </row>
    <row r="69" spans="1:18" x14ac:dyDescent="0.3">
      <c r="A69" t="s">
        <v>271</v>
      </c>
      <c r="B69">
        <v>3</v>
      </c>
      <c r="C69">
        <v>100</v>
      </c>
      <c r="D69">
        <v>40</v>
      </c>
      <c r="F69">
        <v>80</v>
      </c>
      <c r="G69">
        <v>100</v>
      </c>
      <c r="H69">
        <v>40</v>
      </c>
      <c r="J69">
        <v>80</v>
      </c>
    </row>
    <row r="70" spans="1:18" x14ac:dyDescent="0.3">
      <c r="A70" t="s">
        <v>272</v>
      </c>
      <c r="B70">
        <v>3</v>
      </c>
      <c r="C70">
        <v>93.6</v>
      </c>
      <c r="D70">
        <v>33.6</v>
      </c>
      <c r="F70">
        <v>74</v>
      </c>
      <c r="G70">
        <v>93.6</v>
      </c>
      <c r="H70">
        <v>33.6</v>
      </c>
      <c r="J70">
        <v>74</v>
      </c>
    </row>
    <row r="71" spans="1:18" x14ac:dyDescent="0.3">
      <c r="A71" t="s">
        <v>273</v>
      </c>
      <c r="B71">
        <v>3</v>
      </c>
      <c r="C71">
        <v>93.6</v>
      </c>
      <c r="D71">
        <v>33.6</v>
      </c>
      <c r="F71">
        <v>74</v>
      </c>
      <c r="G71">
        <v>93.6</v>
      </c>
      <c r="H71">
        <v>33.6</v>
      </c>
      <c r="J71">
        <v>74</v>
      </c>
    </row>
    <row r="72" spans="1:18" x14ac:dyDescent="0.3">
      <c r="A72" t="s">
        <v>274</v>
      </c>
      <c r="B72">
        <v>3</v>
      </c>
      <c r="C72">
        <v>100</v>
      </c>
      <c r="D72">
        <v>0</v>
      </c>
      <c r="F72">
        <v>60</v>
      </c>
      <c r="G72">
        <v>100</v>
      </c>
      <c r="H72">
        <v>0</v>
      </c>
      <c r="J72">
        <v>60</v>
      </c>
    </row>
    <row r="73" spans="1:18" x14ac:dyDescent="0.3">
      <c r="A73" t="s">
        <v>275</v>
      </c>
      <c r="B73">
        <v>3</v>
      </c>
      <c r="C73">
        <v>113.6</v>
      </c>
      <c r="D73">
        <v>53.6</v>
      </c>
      <c r="F73">
        <v>94</v>
      </c>
      <c r="G73">
        <v>113.6</v>
      </c>
      <c r="H73">
        <v>53.6</v>
      </c>
      <c r="J73">
        <v>94</v>
      </c>
    </row>
    <row r="74" spans="1:18" x14ac:dyDescent="0.3">
      <c r="A74" t="s">
        <v>276</v>
      </c>
      <c r="B74">
        <v>3</v>
      </c>
      <c r="C74">
        <v>113.6</v>
      </c>
      <c r="D74">
        <v>53.6</v>
      </c>
      <c r="F74">
        <v>94</v>
      </c>
      <c r="G74">
        <v>113.6</v>
      </c>
      <c r="H74">
        <v>53.6</v>
      </c>
      <c r="J74">
        <v>94</v>
      </c>
    </row>
    <row r="75" spans="1:18" x14ac:dyDescent="0.3">
      <c r="A75" t="s">
        <v>681</v>
      </c>
      <c r="B75">
        <v>3</v>
      </c>
      <c r="C75">
        <v>4</v>
      </c>
      <c r="D75">
        <v>77.7</v>
      </c>
      <c r="F75">
        <v>19.5</v>
      </c>
      <c r="G75">
        <v>8.3000000000000007</v>
      </c>
      <c r="H75">
        <v>73.400000000000006</v>
      </c>
      <c r="J75">
        <v>19.5</v>
      </c>
    </row>
    <row r="76" spans="1:18" x14ac:dyDescent="0.3">
      <c r="A76" t="s">
        <v>254</v>
      </c>
      <c r="B76">
        <v>4</v>
      </c>
      <c r="C76">
        <v>111</v>
      </c>
      <c r="D76">
        <v>112</v>
      </c>
      <c r="E76">
        <v>211</v>
      </c>
      <c r="F76">
        <v>212</v>
      </c>
      <c r="G76">
        <v>122</v>
      </c>
      <c r="H76">
        <v>121</v>
      </c>
      <c r="I76">
        <v>213</v>
      </c>
      <c r="J76">
        <v>214</v>
      </c>
      <c r="K76">
        <v>311</v>
      </c>
      <c r="L76">
        <v>312</v>
      </c>
      <c r="M76">
        <v>411</v>
      </c>
      <c r="N76">
        <v>412</v>
      </c>
      <c r="O76">
        <v>321</v>
      </c>
      <c r="P76">
        <v>322</v>
      </c>
      <c r="Q76">
        <v>421</v>
      </c>
      <c r="R76">
        <v>422</v>
      </c>
    </row>
    <row r="77" spans="1:18" x14ac:dyDescent="0.3">
      <c r="A77" t="s">
        <v>255</v>
      </c>
      <c r="B77">
        <v>4</v>
      </c>
      <c r="D77">
        <v>10</v>
      </c>
      <c r="F77">
        <v>8</v>
      </c>
      <c r="G77">
        <v>6</v>
      </c>
      <c r="H77">
        <v>10</v>
      </c>
    </row>
    <row r="78" spans="1:18" x14ac:dyDescent="0.3">
      <c r="A78" t="s">
        <v>256</v>
      </c>
      <c r="B78">
        <v>4</v>
      </c>
      <c r="D78">
        <v>74.400000000000006</v>
      </c>
      <c r="F78">
        <v>33.9</v>
      </c>
      <c r="G78">
        <v>10.4</v>
      </c>
      <c r="H78">
        <v>58.4</v>
      </c>
    </row>
    <row r="79" spans="1:18" x14ac:dyDescent="0.3">
      <c r="A79" t="s">
        <v>257</v>
      </c>
      <c r="B79">
        <v>4</v>
      </c>
      <c r="D79">
        <v>6</v>
      </c>
      <c r="F79">
        <v>3</v>
      </c>
      <c r="G79">
        <v>3</v>
      </c>
      <c r="H79">
        <v>6</v>
      </c>
    </row>
    <row r="80" spans="1:18" x14ac:dyDescent="0.3">
      <c r="A80" t="s">
        <v>258</v>
      </c>
      <c r="B80">
        <v>4</v>
      </c>
      <c r="D80">
        <v>0</v>
      </c>
      <c r="F80">
        <v>0</v>
      </c>
      <c r="G80">
        <v>0</v>
      </c>
      <c r="H80">
        <v>0</v>
      </c>
    </row>
    <row r="81" spans="1:8" x14ac:dyDescent="0.3">
      <c r="A81" t="s">
        <v>259</v>
      </c>
      <c r="B81">
        <v>4</v>
      </c>
      <c r="D81">
        <v>0</v>
      </c>
      <c r="F81">
        <v>0</v>
      </c>
      <c r="G81">
        <v>0</v>
      </c>
      <c r="H81">
        <v>0</v>
      </c>
    </row>
    <row r="82" spans="1:8" x14ac:dyDescent="0.3">
      <c r="A82" t="s">
        <v>260</v>
      </c>
      <c r="B82">
        <v>4</v>
      </c>
      <c r="D82">
        <v>3</v>
      </c>
      <c r="F82">
        <v>3</v>
      </c>
      <c r="G82">
        <v>3</v>
      </c>
      <c r="H82">
        <v>3</v>
      </c>
    </row>
    <row r="83" spans="1:8" x14ac:dyDescent="0.3">
      <c r="A83" t="s">
        <v>261</v>
      </c>
      <c r="B83">
        <v>4</v>
      </c>
      <c r="D83">
        <v>3.6</v>
      </c>
      <c r="F83">
        <v>3.6</v>
      </c>
      <c r="G83">
        <v>3.6</v>
      </c>
      <c r="H83">
        <v>3.6</v>
      </c>
    </row>
    <row r="84" spans="1:8" x14ac:dyDescent="0.3">
      <c r="A84" t="s">
        <v>262</v>
      </c>
      <c r="B84">
        <v>4</v>
      </c>
      <c r="D84">
        <v>2</v>
      </c>
      <c r="F84">
        <v>2.5</v>
      </c>
      <c r="G84">
        <v>2</v>
      </c>
      <c r="H84">
        <v>2</v>
      </c>
    </row>
    <row r="85" spans="1:8" x14ac:dyDescent="0.3">
      <c r="A85" t="s">
        <v>263</v>
      </c>
      <c r="B85">
        <v>4</v>
      </c>
      <c r="D85">
        <v>3</v>
      </c>
      <c r="F85">
        <v>0</v>
      </c>
      <c r="G85">
        <v>0</v>
      </c>
      <c r="H85">
        <v>3</v>
      </c>
    </row>
    <row r="86" spans="1:8" x14ac:dyDescent="0.3">
      <c r="A86" t="s">
        <v>264</v>
      </c>
      <c r="B86">
        <v>4</v>
      </c>
      <c r="D86">
        <v>5</v>
      </c>
      <c r="F86">
        <v>5</v>
      </c>
      <c r="H86">
        <v>5</v>
      </c>
    </row>
    <row r="87" spans="1:8" x14ac:dyDescent="0.3">
      <c r="A87" t="s">
        <v>265</v>
      </c>
      <c r="B87">
        <v>4</v>
      </c>
      <c r="D87">
        <v>14</v>
      </c>
      <c r="F87">
        <v>23</v>
      </c>
      <c r="H87">
        <v>12</v>
      </c>
    </row>
    <row r="88" spans="1:8" x14ac:dyDescent="0.3">
      <c r="A88" t="s">
        <v>266</v>
      </c>
      <c r="B88">
        <v>4</v>
      </c>
      <c r="D88">
        <v>0</v>
      </c>
      <c r="F88">
        <v>0</v>
      </c>
      <c r="H88">
        <v>0</v>
      </c>
    </row>
    <row r="89" spans="1:8" x14ac:dyDescent="0.3">
      <c r="A89" t="s">
        <v>267</v>
      </c>
      <c r="B89">
        <v>4</v>
      </c>
      <c r="D89">
        <v>24.6</v>
      </c>
      <c r="F89">
        <v>34.1</v>
      </c>
      <c r="G89">
        <v>16</v>
      </c>
      <c r="H89">
        <v>22.6</v>
      </c>
    </row>
    <row r="90" spans="1:8" x14ac:dyDescent="0.3">
      <c r="A90" t="s">
        <v>268</v>
      </c>
      <c r="B90">
        <v>4</v>
      </c>
      <c r="D90">
        <v>1</v>
      </c>
      <c r="F90">
        <v>0</v>
      </c>
      <c r="G90">
        <v>0</v>
      </c>
      <c r="H90">
        <v>1</v>
      </c>
    </row>
    <row r="91" spans="1:8" x14ac:dyDescent="0.3">
      <c r="A91" t="s">
        <v>269</v>
      </c>
      <c r="B91">
        <v>4</v>
      </c>
      <c r="D91">
        <v>1</v>
      </c>
      <c r="F91">
        <v>1</v>
      </c>
      <c r="G91">
        <v>1</v>
      </c>
      <c r="H91">
        <v>1</v>
      </c>
    </row>
    <row r="92" spans="1:8" x14ac:dyDescent="0.3">
      <c r="A92" t="s">
        <v>270</v>
      </c>
      <c r="B92">
        <v>4</v>
      </c>
      <c r="D92">
        <v>25</v>
      </c>
      <c r="F92">
        <v>105</v>
      </c>
      <c r="G92">
        <v>89</v>
      </c>
      <c r="H92">
        <v>25</v>
      </c>
    </row>
    <row r="93" spans="1:8" x14ac:dyDescent="0.3">
      <c r="A93" t="s">
        <v>271</v>
      </c>
      <c r="B93">
        <v>4</v>
      </c>
      <c r="D93">
        <v>105</v>
      </c>
      <c r="F93">
        <v>25</v>
      </c>
      <c r="G93">
        <v>105</v>
      </c>
      <c r="H93">
        <v>89</v>
      </c>
    </row>
    <row r="94" spans="1:8" x14ac:dyDescent="0.3">
      <c r="A94" t="s">
        <v>272</v>
      </c>
      <c r="B94">
        <v>4</v>
      </c>
      <c r="D94">
        <v>99.4</v>
      </c>
      <c r="F94">
        <v>18.899999999999999</v>
      </c>
      <c r="G94">
        <v>99.4</v>
      </c>
      <c r="H94">
        <v>83.4</v>
      </c>
    </row>
    <row r="95" spans="1:8" x14ac:dyDescent="0.3">
      <c r="A95" t="s">
        <v>273</v>
      </c>
      <c r="B95">
        <v>4</v>
      </c>
      <c r="D95">
        <v>85.4</v>
      </c>
      <c r="F95">
        <v>18.899999999999999</v>
      </c>
      <c r="G95">
        <v>99.4</v>
      </c>
      <c r="H95">
        <v>71.400000000000006</v>
      </c>
    </row>
    <row r="96" spans="1:8" x14ac:dyDescent="0.3">
      <c r="A96" t="s">
        <v>274</v>
      </c>
      <c r="B96">
        <v>4</v>
      </c>
      <c r="D96">
        <v>0</v>
      </c>
      <c r="F96">
        <v>80</v>
      </c>
      <c r="G96">
        <v>64</v>
      </c>
      <c r="H96">
        <v>0</v>
      </c>
    </row>
    <row r="97" spans="1:18" x14ac:dyDescent="0.3">
      <c r="A97" t="s">
        <v>275</v>
      </c>
      <c r="B97">
        <v>4</v>
      </c>
      <c r="D97">
        <v>74.400000000000006</v>
      </c>
      <c r="F97">
        <v>113.9</v>
      </c>
      <c r="G97">
        <v>74.400000000000006</v>
      </c>
      <c r="H97">
        <v>58.4</v>
      </c>
    </row>
    <row r="98" spans="1:18" x14ac:dyDescent="0.3">
      <c r="A98" t="s">
        <v>276</v>
      </c>
      <c r="B98">
        <v>4</v>
      </c>
      <c r="D98">
        <v>60.4</v>
      </c>
      <c r="F98">
        <v>113.9</v>
      </c>
      <c r="G98">
        <v>74.400000000000006</v>
      </c>
      <c r="H98">
        <v>46.4</v>
      </c>
    </row>
    <row r="99" spans="1:18" x14ac:dyDescent="0.3">
      <c r="A99" t="s">
        <v>681</v>
      </c>
      <c r="B99">
        <v>4</v>
      </c>
      <c r="D99">
        <v>78.099999999999994</v>
      </c>
      <c r="F99">
        <v>30.2</v>
      </c>
      <c r="G99">
        <v>10.4</v>
      </c>
      <c r="H99">
        <v>62.1</v>
      </c>
    </row>
    <row r="100" spans="1:18" x14ac:dyDescent="0.3">
      <c r="A100" t="s">
        <v>254</v>
      </c>
      <c r="B100">
        <v>5</v>
      </c>
      <c r="C100">
        <v>112</v>
      </c>
      <c r="D100">
        <v>111</v>
      </c>
      <c r="E100">
        <v>211</v>
      </c>
      <c r="F100">
        <v>212</v>
      </c>
      <c r="G100">
        <v>121</v>
      </c>
      <c r="H100">
        <v>122</v>
      </c>
      <c r="I100">
        <v>221</v>
      </c>
      <c r="J100">
        <v>222</v>
      </c>
      <c r="K100">
        <v>311</v>
      </c>
      <c r="L100">
        <v>312</v>
      </c>
      <c r="M100">
        <v>411</v>
      </c>
      <c r="N100">
        <v>412</v>
      </c>
      <c r="O100">
        <v>321</v>
      </c>
      <c r="P100">
        <v>322</v>
      </c>
      <c r="Q100">
        <v>421</v>
      </c>
      <c r="R100">
        <v>422</v>
      </c>
    </row>
    <row r="101" spans="1:18" x14ac:dyDescent="0.3">
      <c r="A101" t="s">
        <v>255</v>
      </c>
      <c r="B101">
        <v>5</v>
      </c>
      <c r="C101">
        <v>6</v>
      </c>
      <c r="D101">
        <v>10</v>
      </c>
      <c r="F101">
        <v>8</v>
      </c>
      <c r="H101">
        <v>10</v>
      </c>
    </row>
    <row r="102" spans="1:18" x14ac:dyDescent="0.3">
      <c r="A102" t="s">
        <v>256</v>
      </c>
      <c r="B102">
        <v>5</v>
      </c>
      <c r="C102">
        <v>14</v>
      </c>
      <c r="D102">
        <v>52</v>
      </c>
      <c r="F102">
        <v>36</v>
      </c>
      <c r="H102">
        <v>72</v>
      </c>
    </row>
    <row r="103" spans="1:18" x14ac:dyDescent="0.3">
      <c r="A103" t="s">
        <v>257</v>
      </c>
      <c r="B103">
        <v>5</v>
      </c>
      <c r="C103">
        <v>3</v>
      </c>
      <c r="D103">
        <v>6</v>
      </c>
      <c r="F103">
        <v>3</v>
      </c>
      <c r="H103">
        <v>6</v>
      </c>
    </row>
    <row r="104" spans="1:18" x14ac:dyDescent="0.3">
      <c r="A104" t="s">
        <v>258</v>
      </c>
      <c r="B104">
        <v>5</v>
      </c>
      <c r="C104">
        <v>0</v>
      </c>
      <c r="D104">
        <v>0</v>
      </c>
      <c r="F104">
        <v>0</v>
      </c>
      <c r="H104">
        <v>0</v>
      </c>
    </row>
    <row r="105" spans="1:18" x14ac:dyDescent="0.3">
      <c r="A105" t="s">
        <v>259</v>
      </c>
      <c r="B105">
        <v>5</v>
      </c>
      <c r="C105">
        <v>0</v>
      </c>
      <c r="D105">
        <v>0</v>
      </c>
      <c r="F105">
        <v>0</v>
      </c>
      <c r="H105">
        <v>0</v>
      </c>
    </row>
    <row r="106" spans="1:18" x14ac:dyDescent="0.3">
      <c r="A106" t="s">
        <v>260</v>
      </c>
      <c r="B106">
        <v>5</v>
      </c>
      <c r="C106">
        <v>3</v>
      </c>
      <c r="D106">
        <v>3</v>
      </c>
      <c r="F106">
        <v>3</v>
      </c>
      <c r="H106">
        <v>3</v>
      </c>
    </row>
    <row r="107" spans="1:18" x14ac:dyDescent="0.3">
      <c r="A107" t="s">
        <v>261</v>
      </c>
      <c r="B107">
        <v>5</v>
      </c>
      <c r="C107">
        <v>4</v>
      </c>
      <c r="D107">
        <v>4</v>
      </c>
      <c r="F107">
        <v>4</v>
      </c>
      <c r="H107">
        <v>4</v>
      </c>
    </row>
    <row r="108" spans="1:18" x14ac:dyDescent="0.3">
      <c r="A108" t="s">
        <v>262</v>
      </c>
      <c r="B108">
        <v>5</v>
      </c>
      <c r="C108">
        <v>2</v>
      </c>
      <c r="D108">
        <v>2</v>
      </c>
      <c r="F108">
        <v>2</v>
      </c>
      <c r="H108">
        <v>2</v>
      </c>
    </row>
    <row r="109" spans="1:18" x14ac:dyDescent="0.3">
      <c r="A109" t="s">
        <v>263</v>
      </c>
      <c r="B109">
        <v>5</v>
      </c>
      <c r="C109">
        <v>0</v>
      </c>
      <c r="D109">
        <v>3</v>
      </c>
      <c r="F109">
        <v>0</v>
      </c>
      <c r="H109">
        <v>3</v>
      </c>
    </row>
    <row r="110" spans="1:18" x14ac:dyDescent="0.3">
      <c r="A110" t="s">
        <v>264</v>
      </c>
      <c r="B110">
        <v>5</v>
      </c>
      <c r="D110">
        <v>5</v>
      </c>
      <c r="F110">
        <v>5</v>
      </c>
      <c r="H110">
        <v>5</v>
      </c>
    </row>
    <row r="111" spans="1:18" x14ac:dyDescent="0.3">
      <c r="A111" t="s">
        <v>265</v>
      </c>
      <c r="B111">
        <v>5</v>
      </c>
      <c r="D111">
        <v>14</v>
      </c>
      <c r="F111">
        <v>25</v>
      </c>
      <c r="H111">
        <v>17</v>
      </c>
    </row>
    <row r="112" spans="1:18" x14ac:dyDescent="0.3">
      <c r="A112" t="s">
        <v>266</v>
      </c>
      <c r="B112">
        <v>5</v>
      </c>
      <c r="D112">
        <v>0</v>
      </c>
      <c r="F112">
        <v>0</v>
      </c>
      <c r="H112">
        <v>0</v>
      </c>
    </row>
    <row r="113" spans="1:18" x14ac:dyDescent="0.3">
      <c r="A113" t="s">
        <v>267</v>
      </c>
      <c r="B113">
        <v>5</v>
      </c>
      <c r="C113">
        <v>16</v>
      </c>
      <c r="D113">
        <v>25</v>
      </c>
      <c r="F113">
        <v>36</v>
      </c>
      <c r="H113">
        <v>28</v>
      </c>
    </row>
    <row r="114" spans="1:18" x14ac:dyDescent="0.3">
      <c r="A114" t="s">
        <v>268</v>
      </c>
      <c r="B114">
        <v>5</v>
      </c>
      <c r="C114">
        <v>0</v>
      </c>
      <c r="D114">
        <v>1</v>
      </c>
      <c r="F114">
        <v>0</v>
      </c>
      <c r="H114">
        <v>1</v>
      </c>
    </row>
    <row r="115" spans="1:18" x14ac:dyDescent="0.3">
      <c r="A115" t="s">
        <v>269</v>
      </c>
      <c r="B115">
        <v>5</v>
      </c>
      <c r="C115">
        <v>1</v>
      </c>
      <c r="D115">
        <v>1</v>
      </c>
      <c r="F115">
        <v>1</v>
      </c>
      <c r="H115">
        <v>1</v>
      </c>
    </row>
    <row r="116" spans="1:18" x14ac:dyDescent="0.3">
      <c r="A116" t="s">
        <v>270</v>
      </c>
      <c r="B116">
        <v>5</v>
      </c>
      <c r="C116">
        <v>59</v>
      </c>
      <c r="D116">
        <v>1</v>
      </c>
      <c r="F116">
        <v>79</v>
      </c>
      <c r="H116">
        <v>1</v>
      </c>
    </row>
    <row r="117" spans="1:18" x14ac:dyDescent="0.3">
      <c r="A117" t="s">
        <v>271</v>
      </c>
      <c r="B117">
        <v>5</v>
      </c>
      <c r="C117">
        <v>79</v>
      </c>
      <c r="D117">
        <v>59</v>
      </c>
      <c r="F117">
        <v>1</v>
      </c>
      <c r="H117">
        <v>79</v>
      </c>
    </row>
    <row r="118" spans="1:18" x14ac:dyDescent="0.3">
      <c r="A118" t="s">
        <v>272</v>
      </c>
      <c r="B118">
        <v>5</v>
      </c>
      <c r="C118">
        <v>73</v>
      </c>
      <c r="D118">
        <v>53</v>
      </c>
      <c r="F118">
        <v>115</v>
      </c>
      <c r="H118">
        <v>73</v>
      </c>
    </row>
    <row r="119" spans="1:18" x14ac:dyDescent="0.3">
      <c r="A119" t="s">
        <v>273</v>
      </c>
      <c r="B119">
        <v>5</v>
      </c>
      <c r="C119">
        <v>73</v>
      </c>
      <c r="D119">
        <v>39</v>
      </c>
      <c r="F119">
        <v>115</v>
      </c>
      <c r="H119">
        <v>56</v>
      </c>
    </row>
    <row r="120" spans="1:18" x14ac:dyDescent="0.3">
      <c r="A120" t="s">
        <v>274</v>
      </c>
      <c r="B120">
        <v>5</v>
      </c>
      <c r="C120">
        <v>58</v>
      </c>
      <c r="D120">
        <v>0</v>
      </c>
      <c r="F120">
        <v>78</v>
      </c>
      <c r="H120">
        <v>0</v>
      </c>
    </row>
    <row r="121" spans="1:18" x14ac:dyDescent="0.3">
      <c r="A121" t="s">
        <v>275</v>
      </c>
      <c r="B121">
        <v>5</v>
      </c>
      <c r="C121">
        <v>72</v>
      </c>
      <c r="D121">
        <v>52</v>
      </c>
      <c r="F121">
        <v>114</v>
      </c>
      <c r="H121">
        <v>72</v>
      </c>
    </row>
    <row r="122" spans="1:18" x14ac:dyDescent="0.3">
      <c r="A122" t="s">
        <v>276</v>
      </c>
      <c r="B122">
        <v>5</v>
      </c>
      <c r="C122">
        <v>72</v>
      </c>
      <c r="D122">
        <v>38</v>
      </c>
      <c r="F122">
        <v>114</v>
      </c>
      <c r="H122">
        <v>55</v>
      </c>
    </row>
    <row r="123" spans="1:18" x14ac:dyDescent="0.3">
      <c r="A123" t="s">
        <v>681</v>
      </c>
      <c r="B123">
        <v>5</v>
      </c>
      <c r="C123">
        <v>14</v>
      </c>
      <c r="D123">
        <v>52</v>
      </c>
      <c r="F123">
        <v>36</v>
      </c>
      <c r="H123">
        <v>72</v>
      </c>
    </row>
    <row r="124" spans="1:18" x14ac:dyDescent="0.3">
      <c r="A124" t="s">
        <v>254</v>
      </c>
      <c r="B124">
        <v>6</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3">
      <c r="A125" t="s">
        <v>255</v>
      </c>
      <c r="B125">
        <v>6</v>
      </c>
      <c r="C125">
        <v>6</v>
      </c>
      <c r="D125">
        <v>10</v>
      </c>
      <c r="F125">
        <v>8</v>
      </c>
      <c r="H125">
        <v>10</v>
      </c>
    </row>
    <row r="126" spans="1:18" x14ac:dyDescent="0.3">
      <c r="A126" t="s">
        <v>256</v>
      </c>
      <c r="B126">
        <v>6</v>
      </c>
      <c r="C126">
        <v>13</v>
      </c>
      <c r="D126">
        <v>51</v>
      </c>
      <c r="F126">
        <v>39</v>
      </c>
      <c r="H126">
        <v>69</v>
      </c>
    </row>
    <row r="127" spans="1:18" x14ac:dyDescent="0.3">
      <c r="A127" t="s">
        <v>257</v>
      </c>
      <c r="B127">
        <v>6</v>
      </c>
      <c r="C127">
        <v>3</v>
      </c>
      <c r="D127">
        <v>6</v>
      </c>
      <c r="F127">
        <v>3</v>
      </c>
      <c r="H127">
        <v>6</v>
      </c>
    </row>
    <row r="128" spans="1:18" x14ac:dyDescent="0.3">
      <c r="A128" t="s">
        <v>258</v>
      </c>
      <c r="B128">
        <v>6</v>
      </c>
      <c r="C128">
        <v>0</v>
      </c>
      <c r="D128">
        <v>0</v>
      </c>
      <c r="F128">
        <v>0</v>
      </c>
      <c r="H128">
        <v>0</v>
      </c>
    </row>
    <row r="129" spans="1:8" x14ac:dyDescent="0.3">
      <c r="A129" t="s">
        <v>259</v>
      </c>
      <c r="B129">
        <v>6</v>
      </c>
      <c r="C129">
        <v>0</v>
      </c>
      <c r="D129">
        <v>0</v>
      </c>
      <c r="F129">
        <v>0</v>
      </c>
      <c r="H129">
        <v>0</v>
      </c>
    </row>
    <row r="130" spans="1:8" x14ac:dyDescent="0.3">
      <c r="A130" t="s">
        <v>260</v>
      </c>
      <c r="B130">
        <v>6</v>
      </c>
      <c r="C130">
        <v>3</v>
      </c>
      <c r="D130">
        <v>3</v>
      </c>
      <c r="F130">
        <v>3</v>
      </c>
      <c r="H130">
        <v>3</v>
      </c>
    </row>
    <row r="131" spans="1:8" x14ac:dyDescent="0.3">
      <c r="A131" t="s">
        <v>261</v>
      </c>
      <c r="B131">
        <v>6</v>
      </c>
      <c r="C131">
        <v>3</v>
      </c>
      <c r="D131">
        <v>5</v>
      </c>
      <c r="F131">
        <v>3</v>
      </c>
      <c r="H131">
        <v>5</v>
      </c>
    </row>
    <row r="132" spans="1:8" x14ac:dyDescent="0.3">
      <c r="A132" t="s">
        <v>262</v>
      </c>
      <c r="B132">
        <v>6</v>
      </c>
      <c r="C132">
        <v>2</v>
      </c>
      <c r="D132">
        <v>2</v>
      </c>
      <c r="F132">
        <v>2</v>
      </c>
      <c r="H132">
        <v>2</v>
      </c>
    </row>
    <row r="133" spans="1:8" x14ac:dyDescent="0.3">
      <c r="A133" t="s">
        <v>263</v>
      </c>
      <c r="B133">
        <v>6</v>
      </c>
      <c r="C133">
        <v>0</v>
      </c>
      <c r="D133">
        <v>3</v>
      </c>
      <c r="F133">
        <v>0</v>
      </c>
      <c r="H133">
        <v>3</v>
      </c>
    </row>
    <row r="134" spans="1:8" x14ac:dyDescent="0.3">
      <c r="A134" t="s">
        <v>264</v>
      </c>
      <c r="B134">
        <v>6</v>
      </c>
      <c r="D134">
        <v>5</v>
      </c>
      <c r="F134">
        <v>5</v>
      </c>
      <c r="H134">
        <v>5</v>
      </c>
    </row>
    <row r="135" spans="1:8" x14ac:dyDescent="0.3">
      <c r="A135" t="s">
        <v>265</v>
      </c>
      <c r="B135">
        <v>6</v>
      </c>
      <c r="D135">
        <v>13</v>
      </c>
      <c r="F135">
        <v>18</v>
      </c>
      <c r="H135">
        <v>13</v>
      </c>
    </row>
    <row r="136" spans="1:8" x14ac:dyDescent="0.3">
      <c r="A136" t="s">
        <v>266</v>
      </c>
      <c r="B136">
        <v>6</v>
      </c>
      <c r="D136">
        <v>0</v>
      </c>
      <c r="F136">
        <v>0</v>
      </c>
      <c r="H136">
        <v>0</v>
      </c>
    </row>
    <row r="137" spans="1:8" x14ac:dyDescent="0.3">
      <c r="A137" t="s">
        <v>267</v>
      </c>
      <c r="B137">
        <v>6</v>
      </c>
      <c r="C137">
        <v>16</v>
      </c>
      <c r="D137">
        <v>25</v>
      </c>
      <c r="F137">
        <v>28</v>
      </c>
      <c r="H137">
        <v>25</v>
      </c>
    </row>
    <row r="138" spans="1:8" x14ac:dyDescent="0.3">
      <c r="A138" t="s">
        <v>268</v>
      </c>
      <c r="B138">
        <v>6</v>
      </c>
      <c r="C138">
        <v>0</v>
      </c>
      <c r="D138">
        <v>1</v>
      </c>
      <c r="F138">
        <v>1</v>
      </c>
      <c r="H138">
        <v>1</v>
      </c>
    </row>
    <row r="139" spans="1:8" x14ac:dyDescent="0.3">
      <c r="A139" t="s">
        <v>269</v>
      </c>
      <c r="B139">
        <v>6</v>
      </c>
      <c r="C139">
        <v>1</v>
      </c>
      <c r="D139">
        <v>1</v>
      </c>
      <c r="F139">
        <v>1</v>
      </c>
      <c r="H139">
        <v>1</v>
      </c>
    </row>
    <row r="140" spans="1:8" x14ac:dyDescent="0.3">
      <c r="A140" t="s">
        <v>270</v>
      </c>
      <c r="B140">
        <v>6</v>
      </c>
      <c r="C140">
        <v>15</v>
      </c>
      <c r="D140">
        <v>33</v>
      </c>
      <c r="F140">
        <v>91</v>
      </c>
      <c r="H140">
        <v>15</v>
      </c>
    </row>
    <row r="141" spans="1:8" x14ac:dyDescent="0.3">
      <c r="A141" t="s">
        <v>271</v>
      </c>
      <c r="B141">
        <v>6</v>
      </c>
      <c r="C141">
        <v>33</v>
      </c>
      <c r="D141">
        <v>91</v>
      </c>
      <c r="F141">
        <v>15</v>
      </c>
      <c r="H141">
        <v>91</v>
      </c>
    </row>
    <row r="142" spans="1:8" x14ac:dyDescent="0.3">
      <c r="A142" t="s">
        <v>272</v>
      </c>
      <c r="B142">
        <v>6</v>
      </c>
      <c r="C142">
        <v>28</v>
      </c>
      <c r="D142">
        <v>84</v>
      </c>
      <c r="F142">
        <v>10</v>
      </c>
      <c r="H142">
        <v>84</v>
      </c>
    </row>
    <row r="143" spans="1:8" x14ac:dyDescent="0.3">
      <c r="A143" t="s">
        <v>273</v>
      </c>
      <c r="B143">
        <v>6</v>
      </c>
      <c r="C143">
        <v>28</v>
      </c>
      <c r="D143">
        <v>71</v>
      </c>
      <c r="F143">
        <v>10</v>
      </c>
      <c r="H143">
        <v>71</v>
      </c>
    </row>
    <row r="144" spans="1:8" x14ac:dyDescent="0.3">
      <c r="A144" t="s">
        <v>274</v>
      </c>
      <c r="B144">
        <v>6</v>
      </c>
      <c r="C144">
        <v>0</v>
      </c>
      <c r="D144">
        <v>18</v>
      </c>
      <c r="F144">
        <v>76</v>
      </c>
      <c r="H144">
        <v>0</v>
      </c>
    </row>
    <row r="145" spans="1:18" x14ac:dyDescent="0.3">
      <c r="A145" t="s">
        <v>275</v>
      </c>
      <c r="B145">
        <v>6</v>
      </c>
      <c r="C145">
        <v>13</v>
      </c>
      <c r="D145">
        <v>69</v>
      </c>
      <c r="F145">
        <v>115</v>
      </c>
      <c r="H145">
        <v>69</v>
      </c>
    </row>
    <row r="146" spans="1:18" x14ac:dyDescent="0.3">
      <c r="A146" t="s">
        <v>276</v>
      </c>
      <c r="B146">
        <v>6</v>
      </c>
      <c r="C146">
        <v>13</v>
      </c>
      <c r="D146">
        <v>56</v>
      </c>
      <c r="F146">
        <v>115</v>
      </c>
      <c r="H146">
        <v>56</v>
      </c>
    </row>
    <row r="147" spans="1:18" x14ac:dyDescent="0.3">
      <c r="A147" t="s">
        <v>681</v>
      </c>
      <c r="B147">
        <v>6</v>
      </c>
      <c r="C147">
        <v>9.1999999999999993</v>
      </c>
      <c r="D147">
        <v>69.099999999999994</v>
      </c>
      <c r="F147">
        <v>24.7</v>
      </c>
      <c r="H147">
        <v>83.3</v>
      </c>
    </row>
    <row r="148" spans="1:18" x14ac:dyDescent="0.3">
      <c r="A148" t="s">
        <v>254</v>
      </c>
      <c r="B148">
        <v>7</v>
      </c>
      <c r="C148">
        <v>111</v>
      </c>
      <c r="D148">
        <v>112</v>
      </c>
      <c r="E148">
        <v>211</v>
      </c>
      <c r="F148">
        <v>212</v>
      </c>
      <c r="G148">
        <v>121</v>
      </c>
      <c r="H148">
        <v>122</v>
      </c>
      <c r="I148">
        <v>221</v>
      </c>
      <c r="J148">
        <v>222</v>
      </c>
      <c r="K148">
        <v>311</v>
      </c>
      <c r="L148">
        <v>312</v>
      </c>
      <c r="M148">
        <v>411</v>
      </c>
      <c r="N148">
        <v>412</v>
      </c>
      <c r="O148">
        <v>321</v>
      </c>
      <c r="P148">
        <v>322</v>
      </c>
      <c r="Q148">
        <v>421</v>
      </c>
      <c r="R148">
        <v>422</v>
      </c>
    </row>
    <row r="149" spans="1:18" x14ac:dyDescent="0.3">
      <c r="A149" t="s">
        <v>255</v>
      </c>
      <c r="B149">
        <v>7</v>
      </c>
      <c r="D149">
        <v>10</v>
      </c>
      <c r="G149">
        <v>6</v>
      </c>
      <c r="H149">
        <v>10</v>
      </c>
      <c r="J149">
        <v>8</v>
      </c>
    </row>
    <row r="150" spans="1:18" x14ac:dyDescent="0.3">
      <c r="A150" t="s">
        <v>256</v>
      </c>
      <c r="B150">
        <v>7</v>
      </c>
      <c r="D150">
        <v>75.5</v>
      </c>
      <c r="G150">
        <v>14</v>
      </c>
      <c r="H150">
        <v>56.5</v>
      </c>
      <c r="J150">
        <v>33</v>
      </c>
    </row>
    <row r="151" spans="1:18" x14ac:dyDescent="0.3">
      <c r="A151" t="s">
        <v>257</v>
      </c>
      <c r="B151">
        <v>7</v>
      </c>
      <c r="D151">
        <v>6</v>
      </c>
      <c r="G151">
        <v>3</v>
      </c>
      <c r="H151">
        <v>6</v>
      </c>
      <c r="J151">
        <v>3</v>
      </c>
    </row>
    <row r="152" spans="1:18" x14ac:dyDescent="0.3">
      <c r="A152" t="s">
        <v>258</v>
      </c>
      <c r="B152">
        <v>7</v>
      </c>
      <c r="D152">
        <v>0</v>
      </c>
      <c r="G152">
        <v>0</v>
      </c>
      <c r="H152">
        <v>0</v>
      </c>
      <c r="J152">
        <v>0</v>
      </c>
    </row>
    <row r="153" spans="1:18" x14ac:dyDescent="0.3">
      <c r="A153" t="s">
        <v>259</v>
      </c>
      <c r="B153">
        <v>7</v>
      </c>
      <c r="D153">
        <v>0</v>
      </c>
      <c r="G153">
        <v>0</v>
      </c>
      <c r="H153">
        <v>0</v>
      </c>
      <c r="J153">
        <v>0</v>
      </c>
    </row>
    <row r="154" spans="1:18" x14ac:dyDescent="0.3">
      <c r="A154" t="s">
        <v>260</v>
      </c>
      <c r="B154">
        <v>7</v>
      </c>
      <c r="D154">
        <v>3</v>
      </c>
      <c r="G154">
        <v>3</v>
      </c>
      <c r="H154">
        <v>3</v>
      </c>
      <c r="J154">
        <v>3</v>
      </c>
    </row>
    <row r="155" spans="1:18" x14ac:dyDescent="0.3">
      <c r="A155" t="s">
        <v>261</v>
      </c>
      <c r="B155">
        <v>7</v>
      </c>
      <c r="D155">
        <v>3.5</v>
      </c>
      <c r="G155">
        <v>3</v>
      </c>
      <c r="H155">
        <v>3.5</v>
      </c>
      <c r="J155">
        <v>4</v>
      </c>
    </row>
    <row r="156" spans="1:18" x14ac:dyDescent="0.3">
      <c r="A156" t="s">
        <v>262</v>
      </c>
      <c r="B156">
        <v>7</v>
      </c>
      <c r="D156">
        <v>2</v>
      </c>
      <c r="G156">
        <v>2</v>
      </c>
      <c r="H156">
        <v>2</v>
      </c>
      <c r="J156">
        <v>2</v>
      </c>
    </row>
    <row r="157" spans="1:18" x14ac:dyDescent="0.3">
      <c r="A157" t="s">
        <v>263</v>
      </c>
      <c r="B157">
        <v>7</v>
      </c>
      <c r="D157">
        <v>3</v>
      </c>
      <c r="G157">
        <v>0</v>
      </c>
      <c r="H157">
        <v>3</v>
      </c>
      <c r="J157">
        <v>0</v>
      </c>
    </row>
    <row r="158" spans="1:18" x14ac:dyDescent="0.3">
      <c r="A158" t="s">
        <v>264</v>
      </c>
      <c r="B158">
        <v>7</v>
      </c>
      <c r="D158">
        <v>5</v>
      </c>
      <c r="H158">
        <v>5</v>
      </c>
      <c r="J158">
        <v>5</v>
      </c>
    </row>
    <row r="159" spans="1:18" x14ac:dyDescent="0.3">
      <c r="A159" t="s">
        <v>265</v>
      </c>
      <c r="B159">
        <v>7</v>
      </c>
      <c r="D159">
        <v>15</v>
      </c>
      <c r="H159">
        <v>15</v>
      </c>
      <c r="J159">
        <v>24</v>
      </c>
    </row>
    <row r="160" spans="1:18" x14ac:dyDescent="0.3">
      <c r="A160" t="s">
        <v>266</v>
      </c>
      <c r="B160">
        <v>7</v>
      </c>
      <c r="D160">
        <v>0</v>
      </c>
      <c r="H160">
        <v>0</v>
      </c>
      <c r="J160">
        <v>0</v>
      </c>
    </row>
    <row r="161" spans="1:18" x14ac:dyDescent="0.3">
      <c r="A161" t="s">
        <v>267</v>
      </c>
      <c r="B161">
        <v>7</v>
      </c>
      <c r="D161">
        <v>25.5</v>
      </c>
      <c r="G161">
        <v>16</v>
      </c>
      <c r="H161">
        <v>25.5</v>
      </c>
      <c r="J161">
        <v>35</v>
      </c>
    </row>
    <row r="162" spans="1:18" x14ac:dyDescent="0.3">
      <c r="A162" t="s">
        <v>268</v>
      </c>
      <c r="B162">
        <v>7</v>
      </c>
      <c r="D162">
        <v>1</v>
      </c>
      <c r="G162">
        <v>0</v>
      </c>
      <c r="H162">
        <v>1</v>
      </c>
      <c r="J162">
        <v>1</v>
      </c>
    </row>
    <row r="163" spans="1:18" x14ac:dyDescent="0.3">
      <c r="A163" t="s">
        <v>269</v>
      </c>
      <c r="B163">
        <v>7</v>
      </c>
      <c r="D163">
        <v>1</v>
      </c>
      <c r="G163">
        <v>1</v>
      </c>
      <c r="H163">
        <v>1</v>
      </c>
      <c r="J163">
        <v>1</v>
      </c>
    </row>
    <row r="164" spans="1:18" x14ac:dyDescent="0.3">
      <c r="A164" t="s">
        <v>270</v>
      </c>
      <c r="B164">
        <v>7</v>
      </c>
      <c r="D164">
        <v>1</v>
      </c>
      <c r="G164">
        <v>1</v>
      </c>
      <c r="H164">
        <v>20</v>
      </c>
      <c r="J164">
        <v>82</v>
      </c>
    </row>
    <row r="165" spans="1:18" x14ac:dyDescent="0.3">
      <c r="A165" t="s">
        <v>271</v>
      </c>
      <c r="B165">
        <v>7</v>
      </c>
      <c r="D165">
        <v>82</v>
      </c>
      <c r="G165">
        <v>20</v>
      </c>
      <c r="H165">
        <v>82</v>
      </c>
      <c r="J165">
        <v>1</v>
      </c>
    </row>
    <row r="166" spans="1:18" x14ac:dyDescent="0.3">
      <c r="A166" t="s">
        <v>272</v>
      </c>
      <c r="B166">
        <v>7</v>
      </c>
      <c r="D166">
        <v>76.5</v>
      </c>
      <c r="G166">
        <v>15</v>
      </c>
      <c r="H166">
        <v>76.5</v>
      </c>
      <c r="J166">
        <v>115</v>
      </c>
    </row>
    <row r="167" spans="1:18" x14ac:dyDescent="0.3">
      <c r="A167" t="s">
        <v>273</v>
      </c>
      <c r="B167">
        <v>7</v>
      </c>
      <c r="D167">
        <v>61.5</v>
      </c>
      <c r="G167">
        <v>15</v>
      </c>
      <c r="H167">
        <v>61.5</v>
      </c>
      <c r="J167">
        <v>115</v>
      </c>
    </row>
    <row r="168" spans="1:18" x14ac:dyDescent="0.3">
      <c r="A168" t="s">
        <v>274</v>
      </c>
      <c r="B168">
        <v>7</v>
      </c>
      <c r="D168">
        <v>0</v>
      </c>
      <c r="G168">
        <v>0</v>
      </c>
      <c r="H168">
        <v>19</v>
      </c>
      <c r="J168">
        <v>81</v>
      </c>
    </row>
    <row r="169" spans="1:18" x14ac:dyDescent="0.3">
      <c r="A169" t="s">
        <v>275</v>
      </c>
      <c r="B169">
        <v>7</v>
      </c>
      <c r="D169">
        <v>75.5</v>
      </c>
      <c r="G169">
        <v>14</v>
      </c>
      <c r="H169">
        <v>75.5</v>
      </c>
      <c r="J169">
        <v>114</v>
      </c>
    </row>
    <row r="170" spans="1:18" x14ac:dyDescent="0.3">
      <c r="A170" t="s">
        <v>276</v>
      </c>
      <c r="B170">
        <v>7</v>
      </c>
      <c r="D170">
        <v>60.5</v>
      </c>
      <c r="G170">
        <v>14</v>
      </c>
      <c r="H170">
        <v>60.5</v>
      </c>
      <c r="J170">
        <v>114</v>
      </c>
    </row>
    <row r="171" spans="1:18" x14ac:dyDescent="0.3">
      <c r="A171" t="s">
        <v>681</v>
      </c>
      <c r="B171">
        <v>7</v>
      </c>
      <c r="D171">
        <v>75.5</v>
      </c>
      <c r="G171">
        <v>8.4</v>
      </c>
      <c r="H171">
        <v>62.1</v>
      </c>
      <c r="J171">
        <v>33</v>
      </c>
    </row>
    <row r="172" spans="1:18" x14ac:dyDescent="0.3">
      <c r="A172" t="s">
        <v>254</v>
      </c>
      <c r="B172">
        <v>9</v>
      </c>
      <c r="C172">
        <v>112</v>
      </c>
      <c r="D172">
        <v>111</v>
      </c>
      <c r="E172">
        <v>211</v>
      </c>
      <c r="F172">
        <v>212</v>
      </c>
      <c r="G172">
        <v>121</v>
      </c>
      <c r="H172">
        <v>122</v>
      </c>
      <c r="I172">
        <v>221</v>
      </c>
      <c r="J172">
        <v>222</v>
      </c>
      <c r="K172">
        <v>311</v>
      </c>
      <c r="L172">
        <v>312</v>
      </c>
      <c r="M172">
        <v>411</v>
      </c>
      <c r="N172">
        <v>412</v>
      </c>
      <c r="O172">
        <v>321</v>
      </c>
      <c r="P172">
        <v>322</v>
      </c>
      <c r="Q172">
        <v>421</v>
      </c>
      <c r="R172">
        <v>422</v>
      </c>
    </row>
    <row r="173" spans="1:18" x14ac:dyDescent="0.3">
      <c r="A173" t="s">
        <v>255</v>
      </c>
      <c r="B173">
        <v>9</v>
      </c>
      <c r="C173">
        <v>6</v>
      </c>
      <c r="D173">
        <v>12</v>
      </c>
      <c r="F173">
        <v>8</v>
      </c>
      <c r="G173">
        <v>6</v>
      </c>
      <c r="H173">
        <v>12</v>
      </c>
      <c r="J173">
        <v>8</v>
      </c>
    </row>
    <row r="174" spans="1:18" x14ac:dyDescent="0.3">
      <c r="A174" t="s">
        <v>256</v>
      </c>
      <c r="B174">
        <v>9</v>
      </c>
      <c r="C174">
        <v>6.8</v>
      </c>
      <c r="D174">
        <v>64.8</v>
      </c>
      <c r="F174">
        <v>29.3</v>
      </c>
      <c r="G174">
        <v>28.8</v>
      </c>
      <c r="H174">
        <v>42.8</v>
      </c>
      <c r="J174">
        <v>29.3</v>
      </c>
    </row>
    <row r="175" spans="1:18" x14ac:dyDescent="0.3">
      <c r="A175" t="s">
        <v>257</v>
      </c>
      <c r="B175">
        <v>9</v>
      </c>
      <c r="C175">
        <v>3</v>
      </c>
      <c r="D175">
        <v>6</v>
      </c>
      <c r="F175">
        <v>3</v>
      </c>
      <c r="G175">
        <v>3</v>
      </c>
      <c r="H175">
        <v>6</v>
      </c>
      <c r="J175">
        <v>3</v>
      </c>
    </row>
    <row r="176" spans="1:18" x14ac:dyDescent="0.3">
      <c r="A176" t="s">
        <v>258</v>
      </c>
      <c r="B176">
        <v>9</v>
      </c>
      <c r="C176">
        <v>0</v>
      </c>
      <c r="D176">
        <v>0</v>
      </c>
      <c r="F176">
        <v>0</v>
      </c>
      <c r="G176">
        <v>0</v>
      </c>
      <c r="H176">
        <v>0</v>
      </c>
      <c r="J176">
        <v>0</v>
      </c>
    </row>
    <row r="177" spans="1:10" x14ac:dyDescent="0.3">
      <c r="A177" t="s">
        <v>259</v>
      </c>
      <c r="B177">
        <v>9</v>
      </c>
      <c r="C177">
        <v>0</v>
      </c>
      <c r="D177">
        <v>0</v>
      </c>
      <c r="F177">
        <v>0</v>
      </c>
      <c r="G177">
        <v>0</v>
      </c>
      <c r="H177">
        <v>0</v>
      </c>
      <c r="J177">
        <v>0</v>
      </c>
    </row>
    <row r="178" spans="1:10" x14ac:dyDescent="0.3">
      <c r="A178" t="s">
        <v>260</v>
      </c>
      <c r="B178">
        <v>9</v>
      </c>
      <c r="C178">
        <v>3</v>
      </c>
      <c r="D178">
        <v>3</v>
      </c>
      <c r="F178">
        <v>3</v>
      </c>
      <c r="G178">
        <v>3</v>
      </c>
      <c r="H178">
        <v>3</v>
      </c>
      <c r="J178">
        <v>3</v>
      </c>
    </row>
    <row r="179" spans="1:10" x14ac:dyDescent="0.3">
      <c r="A179" t="s">
        <v>261</v>
      </c>
      <c r="B179">
        <v>9</v>
      </c>
      <c r="C179">
        <v>4.2</v>
      </c>
      <c r="D179">
        <v>4.2</v>
      </c>
      <c r="F179">
        <v>4.7</v>
      </c>
      <c r="G179">
        <v>4.2</v>
      </c>
      <c r="H179">
        <v>4.2</v>
      </c>
      <c r="J179">
        <v>4.7</v>
      </c>
    </row>
    <row r="180" spans="1:10" x14ac:dyDescent="0.3">
      <c r="A180" t="s">
        <v>262</v>
      </c>
      <c r="B180">
        <v>9</v>
      </c>
      <c r="C180">
        <v>2</v>
      </c>
      <c r="D180">
        <v>2</v>
      </c>
      <c r="F180">
        <v>2</v>
      </c>
      <c r="G180">
        <v>2</v>
      </c>
      <c r="H180">
        <v>2</v>
      </c>
      <c r="J180">
        <v>2</v>
      </c>
    </row>
    <row r="181" spans="1:10" x14ac:dyDescent="0.3">
      <c r="A181" t="s">
        <v>263</v>
      </c>
      <c r="B181">
        <v>9</v>
      </c>
      <c r="C181">
        <v>0</v>
      </c>
      <c r="D181">
        <v>3</v>
      </c>
      <c r="F181">
        <v>0</v>
      </c>
      <c r="G181">
        <v>0</v>
      </c>
      <c r="H181">
        <v>3</v>
      </c>
      <c r="J181">
        <v>0</v>
      </c>
    </row>
    <row r="182" spans="1:10" x14ac:dyDescent="0.3">
      <c r="A182" t="s">
        <v>264</v>
      </c>
      <c r="B182">
        <v>9</v>
      </c>
    </row>
    <row r="183" spans="1:10" x14ac:dyDescent="0.3">
      <c r="A183" t="s">
        <v>265</v>
      </c>
      <c r="B183">
        <v>9</v>
      </c>
    </row>
    <row r="184" spans="1:10" x14ac:dyDescent="0.3">
      <c r="A184" t="s">
        <v>266</v>
      </c>
      <c r="B184">
        <v>9</v>
      </c>
    </row>
    <row r="185" spans="1:10" x14ac:dyDescent="0.3">
      <c r="A185" t="s">
        <v>267</v>
      </c>
      <c r="B185">
        <v>9</v>
      </c>
      <c r="C185">
        <v>13</v>
      </c>
      <c r="D185">
        <v>20</v>
      </c>
      <c r="F185">
        <v>15</v>
      </c>
      <c r="G185">
        <v>13</v>
      </c>
      <c r="H185">
        <v>20</v>
      </c>
      <c r="J185">
        <v>15</v>
      </c>
    </row>
    <row r="186" spans="1:10" x14ac:dyDescent="0.3">
      <c r="A186" t="s">
        <v>268</v>
      </c>
      <c r="B186">
        <v>9</v>
      </c>
      <c r="C186">
        <v>0</v>
      </c>
      <c r="D186">
        <v>1</v>
      </c>
      <c r="F186">
        <v>1</v>
      </c>
      <c r="G186">
        <v>0</v>
      </c>
      <c r="H186">
        <v>1</v>
      </c>
      <c r="J186">
        <v>1</v>
      </c>
    </row>
    <row r="187" spans="1:10" x14ac:dyDescent="0.3">
      <c r="A187" t="s">
        <v>269</v>
      </c>
      <c r="B187">
        <v>9</v>
      </c>
      <c r="C187">
        <v>1</v>
      </c>
      <c r="D187">
        <v>1</v>
      </c>
      <c r="F187">
        <v>1</v>
      </c>
      <c r="G187">
        <v>1</v>
      </c>
      <c r="H187">
        <v>1</v>
      </c>
      <c r="J187">
        <v>1</v>
      </c>
    </row>
    <row r="188" spans="1:10" x14ac:dyDescent="0.3">
      <c r="A188" t="s">
        <v>270</v>
      </c>
      <c r="B188">
        <v>9</v>
      </c>
      <c r="C188">
        <v>71</v>
      </c>
      <c r="D188">
        <v>0</v>
      </c>
      <c r="F188">
        <v>84</v>
      </c>
      <c r="G188">
        <v>0</v>
      </c>
      <c r="H188">
        <v>35</v>
      </c>
      <c r="J188">
        <v>84</v>
      </c>
    </row>
    <row r="189" spans="1:10" x14ac:dyDescent="0.3">
      <c r="A189" t="s">
        <v>271</v>
      </c>
      <c r="B189">
        <v>9</v>
      </c>
      <c r="C189">
        <v>84</v>
      </c>
      <c r="D189">
        <v>71</v>
      </c>
      <c r="F189">
        <v>0</v>
      </c>
      <c r="G189">
        <v>35</v>
      </c>
      <c r="H189">
        <v>84</v>
      </c>
      <c r="J189">
        <v>0</v>
      </c>
    </row>
    <row r="190" spans="1:10" x14ac:dyDescent="0.3">
      <c r="A190" t="s">
        <v>272</v>
      </c>
      <c r="B190">
        <v>9</v>
      </c>
      <c r="C190">
        <v>77.8</v>
      </c>
      <c r="D190">
        <v>64.8</v>
      </c>
      <c r="F190">
        <v>113.3</v>
      </c>
      <c r="G190">
        <v>28.8</v>
      </c>
      <c r="H190">
        <v>77.8</v>
      </c>
      <c r="J190">
        <v>113.3</v>
      </c>
    </row>
    <row r="191" spans="1:10" x14ac:dyDescent="0.3">
      <c r="A191" t="s">
        <v>273</v>
      </c>
      <c r="B191">
        <v>9</v>
      </c>
      <c r="C191">
        <v>77.8</v>
      </c>
      <c r="D191">
        <v>64.8</v>
      </c>
      <c r="F191">
        <v>113.3</v>
      </c>
      <c r="G191">
        <v>28.8</v>
      </c>
      <c r="H191">
        <v>77.8</v>
      </c>
      <c r="J191">
        <v>113.3</v>
      </c>
    </row>
    <row r="192" spans="1:10" x14ac:dyDescent="0.3">
      <c r="A192" t="s">
        <v>274</v>
      </c>
      <c r="B192">
        <v>9</v>
      </c>
      <c r="C192">
        <v>71</v>
      </c>
      <c r="D192">
        <v>0</v>
      </c>
      <c r="F192">
        <v>84</v>
      </c>
      <c r="G192">
        <v>0</v>
      </c>
      <c r="H192">
        <v>35</v>
      </c>
      <c r="J192">
        <v>84</v>
      </c>
    </row>
    <row r="193" spans="1:18" x14ac:dyDescent="0.3">
      <c r="A193" t="s">
        <v>275</v>
      </c>
      <c r="B193">
        <v>9</v>
      </c>
      <c r="C193">
        <v>77.8</v>
      </c>
      <c r="D193">
        <v>64.8</v>
      </c>
      <c r="F193">
        <v>113.3</v>
      </c>
      <c r="G193">
        <v>28.8</v>
      </c>
      <c r="H193">
        <v>77.8</v>
      </c>
      <c r="J193">
        <v>113.3</v>
      </c>
    </row>
    <row r="194" spans="1:18" x14ac:dyDescent="0.3">
      <c r="A194" t="s">
        <v>276</v>
      </c>
      <c r="B194">
        <v>9</v>
      </c>
      <c r="C194">
        <v>77.8</v>
      </c>
      <c r="D194">
        <v>64.8</v>
      </c>
      <c r="F194">
        <v>113.3</v>
      </c>
      <c r="G194">
        <v>28.8</v>
      </c>
      <c r="H194">
        <v>77.8</v>
      </c>
      <c r="J194">
        <v>113.3</v>
      </c>
    </row>
    <row r="195" spans="1:18" x14ac:dyDescent="0.3">
      <c r="A195" t="s">
        <v>681</v>
      </c>
      <c r="B195">
        <v>9</v>
      </c>
      <c r="C195">
        <v>1.4</v>
      </c>
      <c r="D195">
        <v>79.900000000000006</v>
      </c>
      <c r="F195">
        <v>19.600000000000001</v>
      </c>
      <c r="G195">
        <v>14.7</v>
      </c>
      <c r="H195">
        <v>66.599999999999994</v>
      </c>
      <c r="J195">
        <v>19.600000000000001</v>
      </c>
    </row>
    <row r="196" spans="1:18" x14ac:dyDescent="0.3">
      <c r="A196" t="s">
        <v>254</v>
      </c>
      <c r="B196">
        <v>10</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3">
      <c r="A197" t="s">
        <v>255</v>
      </c>
      <c r="B197">
        <v>10</v>
      </c>
      <c r="C197">
        <v>5</v>
      </c>
      <c r="D197">
        <v>10</v>
      </c>
      <c r="F197">
        <v>8</v>
      </c>
      <c r="G197">
        <v>5</v>
      </c>
      <c r="H197">
        <v>12</v>
      </c>
      <c r="J197">
        <v>8</v>
      </c>
    </row>
    <row r="198" spans="1:18" x14ac:dyDescent="0.3">
      <c r="A198" t="s">
        <v>256</v>
      </c>
      <c r="B198">
        <v>10</v>
      </c>
      <c r="C198">
        <v>21</v>
      </c>
      <c r="D198">
        <v>46.9</v>
      </c>
      <c r="F198">
        <v>34</v>
      </c>
      <c r="G198">
        <v>14</v>
      </c>
      <c r="H198">
        <v>53.9</v>
      </c>
      <c r="J198">
        <v>34</v>
      </c>
    </row>
    <row r="199" spans="1:18" x14ac:dyDescent="0.3">
      <c r="A199" t="s">
        <v>257</v>
      </c>
      <c r="B199">
        <v>10</v>
      </c>
      <c r="C199">
        <v>3</v>
      </c>
      <c r="D199">
        <v>6</v>
      </c>
      <c r="F199">
        <v>3</v>
      </c>
      <c r="G199">
        <v>3</v>
      </c>
      <c r="H199">
        <v>6</v>
      </c>
      <c r="J199">
        <v>3</v>
      </c>
    </row>
    <row r="200" spans="1:18" x14ac:dyDescent="0.3">
      <c r="A200" t="s">
        <v>258</v>
      </c>
      <c r="B200">
        <v>10</v>
      </c>
      <c r="C200">
        <v>0</v>
      </c>
      <c r="D200">
        <v>0</v>
      </c>
      <c r="F200">
        <v>0</v>
      </c>
      <c r="G200">
        <v>0</v>
      </c>
      <c r="H200">
        <v>0</v>
      </c>
      <c r="J200">
        <v>0</v>
      </c>
    </row>
    <row r="201" spans="1:18" x14ac:dyDescent="0.3">
      <c r="A201" t="s">
        <v>259</v>
      </c>
      <c r="B201">
        <v>10</v>
      </c>
      <c r="C201">
        <v>0</v>
      </c>
      <c r="D201">
        <v>0</v>
      </c>
      <c r="F201">
        <v>0</v>
      </c>
      <c r="G201">
        <v>0</v>
      </c>
      <c r="H201">
        <v>0</v>
      </c>
      <c r="J201">
        <v>0</v>
      </c>
    </row>
    <row r="202" spans="1:18" x14ac:dyDescent="0.3">
      <c r="A202" t="s">
        <v>260</v>
      </c>
      <c r="B202">
        <v>10</v>
      </c>
      <c r="C202">
        <v>3</v>
      </c>
      <c r="D202">
        <v>3</v>
      </c>
      <c r="F202">
        <v>3</v>
      </c>
      <c r="G202">
        <v>3</v>
      </c>
      <c r="H202">
        <v>3</v>
      </c>
      <c r="J202">
        <v>3</v>
      </c>
    </row>
    <row r="203" spans="1:18" x14ac:dyDescent="0.3">
      <c r="A203" t="s">
        <v>261</v>
      </c>
      <c r="B203">
        <v>10</v>
      </c>
      <c r="C203">
        <v>4</v>
      </c>
      <c r="D203">
        <v>4.0999999999999996</v>
      </c>
      <c r="F203">
        <v>4</v>
      </c>
      <c r="G203">
        <v>4</v>
      </c>
      <c r="H203">
        <v>4.0999999999999996</v>
      </c>
      <c r="J203">
        <v>4</v>
      </c>
    </row>
    <row r="204" spans="1:18" x14ac:dyDescent="0.3">
      <c r="A204" t="s">
        <v>262</v>
      </c>
      <c r="B204">
        <v>10</v>
      </c>
      <c r="C204">
        <v>2</v>
      </c>
      <c r="D204">
        <v>2</v>
      </c>
      <c r="F204">
        <v>2</v>
      </c>
      <c r="G204">
        <v>2</v>
      </c>
      <c r="H204">
        <v>2</v>
      </c>
      <c r="J204">
        <v>2</v>
      </c>
    </row>
    <row r="205" spans="1:18" x14ac:dyDescent="0.3">
      <c r="A205" t="s">
        <v>263</v>
      </c>
      <c r="B205">
        <v>10</v>
      </c>
      <c r="C205">
        <v>0</v>
      </c>
      <c r="D205">
        <v>3</v>
      </c>
      <c r="F205">
        <v>0</v>
      </c>
      <c r="G205">
        <v>0</v>
      </c>
      <c r="H205">
        <v>3</v>
      </c>
      <c r="J205">
        <v>0</v>
      </c>
    </row>
    <row r="206" spans="1:18" x14ac:dyDescent="0.3">
      <c r="A206" t="s">
        <v>264</v>
      </c>
      <c r="B206">
        <v>10</v>
      </c>
    </row>
    <row r="207" spans="1:18" x14ac:dyDescent="0.3">
      <c r="A207" t="s">
        <v>265</v>
      </c>
      <c r="B207">
        <v>10</v>
      </c>
    </row>
    <row r="208" spans="1:18" x14ac:dyDescent="0.3">
      <c r="A208" t="s">
        <v>266</v>
      </c>
      <c r="B208">
        <v>10</v>
      </c>
    </row>
    <row r="209" spans="1:18" x14ac:dyDescent="0.3">
      <c r="A209" t="s">
        <v>267</v>
      </c>
      <c r="B209">
        <v>10</v>
      </c>
      <c r="C209">
        <v>12</v>
      </c>
      <c r="D209">
        <v>20</v>
      </c>
      <c r="F209">
        <v>14</v>
      </c>
      <c r="G209">
        <v>12</v>
      </c>
      <c r="H209">
        <v>20</v>
      </c>
      <c r="J209">
        <v>14</v>
      </c>
    </row>
    <row r="210" spans="1:18" x14ac:dyDescent="0.3">
      <c r="A210" t="s">
        <v>268</v>
      </c>
      <c r="B210">
        <v>10</v>
      </c>
      <c r="C210">
        <v>0</v>
      </c>
      <c r="D210">
        <v>1</v>
      </c>
      <c r="F210">
        <v>1</v>
      </c>
      <c r="G210">
        <v>0</v>
      </c>
      <c r="H210">
        <v>1</v>
      </c>
      <c r="J210">
        <v>1</v>
      </c>
    </row>
    <row r="211" spans="1:18" x14ac:dyDescent="0.3">
      <c r="A211" t="s">
        <v>269</v>
      </c>
      <c r="B211">
        <v>10</v>
      </c>
      <c r="C211">
        <v>1</v>
      </c>
      <c r="D211">
        <v>1</v>
      </c>
      <c r="F211">
        <v>1</v>
      </c>
      <c r="G211">
        <v>1</v>
      </c>
      <c r="H211">
        <v>1</v>
      </c>
      <c r="J211">
        <v>1</v>
      </c>
    </row>
    <row r="212" spans="1:18" x14ac:dyDescent="0.3">
      <c r="A212" t="s">
        <v>270</v>
      </c>
      <c r="B212">
        <v>10</v>
      </c>
      <c r="C212">
        <v>101</v>
      </c>
      <c r="D212">
        <v>8</v>
      </c>
      <c r="F212">
        <v>61</v>
      </c>
      <c r="G212">
        <v>101</v>
      </c>
      <c r="H212">
        <v>1</v>
      </c>
      <c r="J212">
        <v>61</v>
      </c>
    </row>
    <row r="213" spans="1:18" x14ac:dyDescent="0.3">
      <c r="A213" t="s">
        <v>271</v>
      </c>
      <c r="B213">
        <v>10</v>
      </c>
      <c r="C213">
        <v>8</v>
      </c>
      <c r="D213">
        <v>61</v>
      </c>
      <c r="F213">
        <v>101</v>
      </c>
      <c r="G213">
        <v>1</v>
      </c>
      <c r="H213">
        <v>61</v>
      </c>
      <c r="J213">
        <v>101</v>
      </c>
    </row>
    <row r="214" spans="1:18" x14ac:dyDescent="0.3">
      <c r="A214" t="s">
        <v>272</v>
      </c>
      <c r="B214">
        <v>10</v>
      </c>
      <c r="C214">
        <v>2</v>
      </c>
      <c r="D214">
        <v>54.9</v>
      </c>
      <c r="F214">
        <v>95</v>
      </c>
      <c r="G214">
        <v>115</v>
      </c>
      <c r="H214">
        <v>54.9</v>
      </c>
      <c r="J214">
        <v>95</v>
      </c>
    </row>
    <row r="215" spans="1:18" x14ac:dyDescent="0.3">
      <c r="A215" t="s">
        <v>273</v>
      </c>
      <c r="B215">
        <v>10</v>
      </c>
      <c r="C215">
        <v>2</v>
      </c>
      <c r="D215">
        <v>54.9</v>
      </c>
      <c r="F215">
        <v>95</v>
      </c>
      <c r="G215">
        <v>115</v>
      </c>
      <c r="H215">
        <v>54.9</v>
      </c>
      <c r="J215">
        <v>95</v>
      </c>
    </row>
    <row r="216" spans="1:18" x14ac:dyDescent="0.3">
      <c r="A216" t="s">
        <v>274</v>
      </c>
      <c r="B216">
        <v>10</v>
      </c>
      <c r="C216">
        <v>100</v>
      </c>
      <c r="D216">
        <v>7</v>
      </c>
      <c r="F216">
        <v>60</v>
      </c>
      <c r="G216">
        <v>100</v>
      </c>
      <c r="H216">
        <v>0</v>
      </c>
      <c r="J216">
        <v>60</v>
      </c>
    </row>
    <row r="217" spans="1:18" x14ac:dyDescent="0.3">
      <c r="A217" t="s">
        <v>275</v>
      </c>
      <c r="B217">
        <v>10</v>
      </c>
      <c r="C217">
        <v>1</v>
      </c>
      <c r="D217">
        <v>53.9</v>
      </c>
      <c r="F217">
        <v>94</v>
      </c>
      <c r="G217">
        <v>114</v>
      </c>
      <c r="H217">
        <v>53.9</v>
      </c>
      <c r="J217">
        <v>94</v>
      </c>
    </row>
    <row r="218" spans="1:18" x14ac:dyDescent="0.3">
      <c r="A218" t="s">
        <v>276</v>
      </c>
      <c r="B218">
        <v>10</v>
      </c>
      <c r="C218">
        <v>1</v>
      </c>
      <c r="D218">
        <v>53.9</v>
      </c>
      <c r="F218">
        <v>94</v>
      </c>
      <c r="G218">
        <v>114</v>
      </c>
      <c r="H218">
        <v>53.9</v>
      </c>
      <c r="J218">
        <v>94</v>
      </c>
    </row>
    <row r="219" spans="1:18" x14ac:dyDescent="0.3">
      <c r="A219" t="s">
        <v>681</v>
      </c>
      <c r="B219">
        <v>10</v>
      </c>
      <c r="C219">
        <v>18.600000000000001</v>
      </c>
      <c r="D219">
        <v>56</v>
      </c>
      <c r="F219">
        <v>27.3</v>
      </c>
      <c r="G219">
        <v>8</v>
      </c>
      <c r="H219">
        <v>66.599999999999994</v>
      </c>
      <c r="J219">
        <v>27.3</v>
      </c>
    </row>
    <row r="220" spans="1:18" x14ac:dyDescent="0.3">
      <c r="A220" t="s">
        <v>254</v>
      </c>
      <c r="B220">
        <v>11</v>
      </c>
      <c r="C220">
        <v>111</v>
      </c>
      <c r="D220">
        <v>112</v>
      </c>
      <c r="E220">
        <v>211</v>
      </c>
      <c r="F220">
        <v>212</v>
      </c>
      <c r="G220">
        <v>121</v>
      </c>
      <c r="H220">
        <v>122</v>
      </c>
      <c r="I220">
        <v>221</v>
      </c>
      <c r="J220">
        <v>222</v>
      </c>
      <c r="K220">
        <v>311</v>
      </c>
      <c r="L220">
        <v>312</v>
      </c>
      <c r="M220">
        <v>411</v>
      </c>
      <c r="N220">
        <v>412</v>
      </c>
      <c r="O220">
        <v>321</v>
      </c>
      <c r="P220">
        <v>322</v>
      </c>
      <c r="Q220">
        <v>421</v>
      </c>
      <c r="R220">
        <v>422</v>
      </c>
    </row>
    <row r="221" spans="1:18" x14ac:dyDescent="0.3">
      <c r="A221" t="s">
        <v>255</v>
      </c>
      <c r="B221">
        <v>11</v>
      </c>
      <c r="C221">
        <v>5</v>
      </c>
      <c r="D221">
        <v>12</v>
      </c>
      <c r="F221">
        <v>8</v>
      </c>
      <c r="G221">
        <v>5</v>
      </c>
      <c r="H221">
        <v>12</v>
      </c>
      <c r="J221">
        <v>8</v>
      </c>
    </row>
    <row r="222" spans="1:18" x14ac:dyDescent="0.3">
      <c r="A222" t="s">
        <v>256</v>
      </c>
      <c r="B222">
        <v>11</v>
      </c>
      <c r="C222">
        <v>14</v>
      </c>
      <c r="D222">
        <v>63.5</v>
      </c>
      <c r="F222">
        <v>23.3</v>
      </c>
      <c r="G222">
        <v>14</v>
      </c>
      <c r="H222">
        <v>63.5</v>
      </c>
      <c r="J222">
        <v>23.3</v>
      </c>
    </row>
    <row r="223" spans="1:18" x14ac:dyDescent="0.3">
      <c r="A223" t="s">
        <v>257</v>
      </c>
      <c r="B223">
        <v>11</v>
      </c>
      <c r="C223">
        <v>2</v>
      </c>
      <c r="D223">
        <v>6</v>
      </c>
      <c r="F223">
        <v>3</v>
      </c>
      <c r="G223">
        <v>2</v>
      </c>
      <c r="H223">
        <v>6</v>
      </c>
      <c r="J223">
        <v>3</v>
      </c>
    </row>
    <row r="224" spans="1:18" x14ac:dyDescent="0.3">
      <c r="A224" t="s">
        <v>258</v>
      </c>
      <c r="B224">
        <v>11</v>
      </c>
      <c r="C224">
        <v>0</v>
      </c>
      <c r="D224">
        <v>0</v>
      </c>
      <c r="F224">
        <v>0</v>
      </c>
      <c r="G224">
        <v>0</v>
      </c>
      <c r="H224">
        <v>0</v>
      </c>
      <c r="J224">
        <v>0</v>
      </c>
    </row>
    <row r="225" spans="1:10" x14ac:dyDescent="0.3">
      <c r="A225" t="s">
        <v>259</v>
      </c>
      <c r="B225">
        <v>11</v>
      </c>
      <c r="C225">
        <v>0</v>
      </c>
      <c r="D225">
        <v>0</v>
      </c>
      <c r="F225">
        <v>0</v>
      </c>
      <c r="G225">
        <v>0</v>
      </c>
      <c r="H225">
        <v>0</v>
      </c>
      <c r="J225">
        <v>0</v>
      </c>
    </row>
    <row r="226" spans="1:10" x14ac:dyDescent="0.3">
      <c r="A226" t="s">
        <v>260</v>
      </c>
      <c r="B226">
        <v>11</v>
      </c>
      <c r="C226">
        <v>2</v>
      </c>
      <c r="D226">
        <v>3</v>
      </c>
      <c r="F226">
        <v>3</v>
      </c>
      <c r="G226">
        <v>2</v>
      </c>
      <c r="H226">
        <v>3</v>
      </c>
      <c r="J226">
        <v>3</v>
      </c>
    </row>
    <row r="227" spans="1:10" x14ac:dyDescent="0.3">
      <c r="A227" t="s">
        <v>261</v>
      </c>
      <c r="B227">
        <v>11</v>
      </c>
      <c r="C227">
        <v>4</v>
      </c>
      <c r="D227">
        <v>4.5</v>
      </c>
      <c r="F227">
        <v>4.5</v>
      </c>
      <c r="G227">
        <v>4</v>
      </c>
      <c r="H227">
        <v>4.5</v>
      </c>
      <c r="J227">
        <v>4.5</v>
      </c>
    </row>
    <row r="228" spans="1:10" x14ac:dyDescent="0.3">
      <c r="A228" t="s">
        <v>262</v>
      </c>
      <c r="B228">
        <v>11</v>
      </c>
      <c r="C228">
        <v>2</v>
      </c>
      <c r="D228">
        <v>2</v>
      </c>
      <c r="F228">
        <v>2.2000000000000002</v>
      </c>
      <c r="G228">
        <v>2</v>
      </c>
      <c r="H228">
        <v>2</v>
      </c>
      <c r="J228">
        <v>2.2000000000000002</v>
      </c>
    </row>
    <row r="229" spans="1:10" x14ac:dyDescent="0.3">
      <c r="A229" t="s">
        <v>263</v>
      </c>
      <c r="B229">
        <v>11</v>
      </c>
      <c r="C229">
        <v>0</v>
      </c>
      <c r="D229">
        <v>3</v>
      </c>
      <c r="F229">
        <v>0</v>
      </c>
      <c r="G229">
        <v>0</v>
      </c>
      <c r="H229">
        <v>3</v>
      </c>
      <c r="J229">
        <v>0</v>
      </c>
    </row>
    <row r="230" spans="1:10" x14ac:dyDescent="0.3">
      <c r="A230" t="s">
        <v>264</v>
      </c>
      <c r="B230">
        <v>11</v>
      </c>
    </row>
    <row r="231" spans="1:10" x14ac:dyDescent="0.3">
      <c r="A231" t="s">
        <v>265</v>
      </c>
      <c r="B231">
        <v>11</v>
      </c>
    </row>
    <row r="232" spans="1:10" x14ac:dyDescent="0.3">
      <c r="A232" t="s">
        <v>266</v>
      </c>
      <c r="B232">
        <v>11</v>
      </c>
    </row>
    <row r="233" spans="1:10" x14ac:dyDescent="0.3">
      <c r="A233" t="s">
        <v>267</v>
      </c>
      <c r="B233">
        <v>11</v>
      </c>
      <c r="C233">
        <v>12</v>
      </c>
      <c r="D233">
        <v>20</v>
      </c>
      <c r="F233">
        <v>15</v>
      </c>
      <c r="G233">
        <v>12</v>
      </c>
      <c r="H233">
        <v>20</v>
      </c>
      <c r="J233">
        <v>15</v>
      </c>
    </row>
    <row r="234" spans="1:10" x14ac:dyDescent="0.3">
      <c r="A234" t="s">
        <v>268</v>
      </c>
      <c r="B234">
        <v>11</v>
      </c>
      <c r="C234">
        <v>0</v>
      </c>
      <c r="D234">
        <v>1</v>
      </c>
      <c r="F234">
        <v>1</v>
      </c>
      <c r="G234">
        <v>0</v>
      </c>
      <c r="H234">
        <v>1</v>
      </c>
      <c r="J234">
        <v>1</v>
      </c>
    </row>
    <row r="235" spans="1:10" x14ac:dyDescent="0.3">
      <c r="A235" t="s">
        <v>269</v>
      </c>
      <c r="B235">
        <v>11</v>
      </c>
      <c r="C235">
        <v>1</v>
      </c>
      <c r="D235">
        <v>1</v>
      </c>
      <c r="F235">
        <v>1</v>
      </c>
      <c r="G235">
        <v>1</v>
      </c>
      <c r="H235">
        <v>1</v>
      </c>
      <c r="J235">
        <v>1</v>
      </c>
    </row>
    <row r="236" spans="1:10" x14ac:dyDescent="0.3">
      <c r="A236" t="s">
        <v>270</v>
      </c>
      <c r="B236">
        <v>11</v>
      </c>
      <c r="C236">
        <v>110</v>
      </c>
      <c r="D236">
        <v>10</v>
      </c>
      <c r="F236">
        <v>80</v>
      </c>
      <c r="G236">
        <v>110</v>
      </c>
      <c r="H236">
        <v>10</v>
      </c>
      <c r="J236">
        <v>80</v>
      </c>
    </row>
    <row r="237" spans="1:10" x14ac:dyDescent="0.3">
      <c r="A237" t="s">
        <v>271</v>
      </c>
      <c r="B237">
        <v>11</v>
      </c>
      <c r="C237">
        <v>10</v>
      </c>
      <c r="D237">
        <v>80</v>
      </c>
      <c r="F237">
        <v>110</v>
      </c>
      <c r="G237">
        <v>10</v>
      </c>
      <c r="H237">
        <v>80</v>
      </c>
      <c r="J237">
        <v>110</v>
      </c>
    </row>
    <row r="238" spans="1:10" x14ac:dyDescent="0.3">
      <c r="A238" t="s">
        <v>272</v>
      </c>
      <c r="B238">
        <v>11</v>
      </c>
      <c r="C238">
        <v>4</v>
      </c>
      <c r="D238">
        <v>73.5</v>
      </c>
      <c r="F238">
        <v>103.3</v>
      </c>
      <c r="G238">
        <v>4</v>
      </c>
      <c r="H238">
        <v>73.5</v>
      </c>
      <c r="J238">
        <v>103.3</v>
      </c>
    </row>
    <row r="239" spans="1:10" x14ac:dyDescent="0.3">
      <c r="A239" t="s">
        <v>273</v>
      </c>
      <c r="B239">
        <v>11</v>
      </c>
      <c r="C239">
        <v>4</v>
      </c>
      <c r="D239">
        <v>73.5</v>
      </c>
      <c r="F239">
        <v>103.3</v>
      </c>
      <c r="G239">
        <v>4</v>
      </c>
      <c r="H239">
        <v>73.5</v>
      </c>
      <c r="J239">
        <v>103.3</v>
      </c>
    </row>
    <row r="240" spans="1:10" x14ac:dyDescent="0.3">
      <c r="A240" t="s">
        <v>274</v>
      </c>
      <c r="B240">
        <v>11</v>
      </c>
      <c r="C240">
        <v>100</v>
      </c>
      <c r="D240">
        <v>0</v>
      </c>
      <c r="F240">
        <v>70</v>
      </c>
      <c r="G240">
        <v>100</v>
      </c>
      <c r="H240">
        <v>0</v>
      </c>
      <c r="J240">
        <v>70</v>
      </c>
    </row>
    <row r="241" spans="1:18" x14ac:dyDescent="0.3">
      <c r="A241" t="s">
        <v>275</v>
      </c>
      <c r="B241">
        <v>11</v>
      </c>
      <c r="C241">
        <v>114</v>
      </c>
      <c r="D241">
        <v>63.5</v>
      </c>
      <c r="F241">
        <v>93.3</v>
      </c>
      <c r="G241">
        <v>114</v>
      </c>
      <c r="H241">
        <v>63.5</v>
      </c>
      <c r="J241">
        <v>93.3</v>
      </c>
    </row>
    <row r="242" spans="1:18" x14ac:dyDescent="0.3">
      <c r="A242" t="s">
        <v>276</v>
      </c>
      <c r="B242">
        <v>11</v>
      </c>
      <c r="C242">
        <v>114</v>
      </c>
      <c r="D242">
        <v>63.5</v>
      </c>
      <c r="F242">
        <v>93.3</v>
      </c>
      <c r="G242">
        <v>114</v>
      </c>
      <c r="H242">
        <v>63.5</v>
      </c>
      <c r="J242">
        <v>93.3</v>
      </c>
    </row>
    <row r="243" spans="1:18" x14ac:dyDescent="0.3">
      <c r="A243" t="s">
        <v>681</v>
      </c>
      <c r="B243">
        <v>11</v>
      </c>
      <c r="C243">
        <v>4.2</v>
      </c>
      <c r="D243">
        <v>88.4</v>
      </c>
      <c r="F243">
        <v>8.1999999999999993</v>
      </c>
      <c r="G243">
        <v>4.7</v>
      </c>
      <c r="H243">
        <v>87.9</v>
      </c>
      <c r="J243">
        <v>8.1999999999999993</v>
      </c>
    </row>
    <row r="244" spans="1:18" x14ac:dyDescent="0.3">
      <c r="A244" t="s">
        <v>254</v>
      </c>
      <c r="B244">
        <v>12</v>
      </c>
      <c r="C244">
        <v>112</v>
      </c>
      <c r="D244">
        <v>111</v>
      </c>
      <c r="E244">
        <v>211</v>
      </c>
      <c r="F244">
        <v>212</v>
      </c>
      <c r="G244">
        <v>121</v>
      </c>
      <c r="H244">
        <v>122</v>
      </c>
      <c r="I244">
        <v>221</v>
      </c>
      <c r="J244">
        <v>222</v>
      </c>
      <c r="K244">
        <v>311</v>
      </c>
      <c r="L244">
        <v>312</v>
      </c>
      <c r="M244">
        <v>411</v>
      </c>
      <c r="N244">
        <v>412</v>
      </c>
      <c r="O244">
        <v>321</v>
      </c>
      <c r="P244">
        <v>322</v>
      </c>
      <c r="Q244">
        <v>421</v>
      </c>
      <c r="R244">
        <v>422</v>
      </c>
    </row>
    <row r="245" spans="1:18" x14ac:dyDescent="0.3">
      <c r="A245" t="s">
        <v>255</v>
      </c>
      <c r="B245">
        <v>12</v>
      </c>
      <c r="C245">
        <v>5</v>
      </c>
      <c r="D245">
        <v>12</v>
      </c>
      <c r="E245">
        <v>5</v>
      </c>
      <c r="F245">
        <v>10</v>
      </c>
      <c r="G245">
        <v>1</v>
      </c>
      <c r="H245">
        <v>12</v>
      </c>
      <c r="I245">
        <v>1</v>
      </c>
      <c r="J245">
        <v>10</v>
      </c>
    </row>
    <row r="246" spans="1:18" x14ac:dyDescent="0.3">
      <c r="A246" t="s">
        <v>256</v>
      </c>
      <c r="B246">
        <v>12</v>
      </c>
      <c r="C246">
        <v>14.4</v>
      </c>
      <c r="D246">
        <v>48.2</v>
      </c>
      <c r="E246">
        <v>10.3</v>
      </c>
      <c r="F246">
        <v>21.4</v>
      </c>
      <c r="G246">
        <v>14.4</v>
      </c>
      <c r="H246">
        <v>46.3</v>
      </c>
      <c r="I246">
        <v>10.3</v>
      </c>
      <c r="J246">
        <v>21.4</v>
      </c>
    </row>
    <row r="247" spans="1:18" x14ac:dyDescent="0.3">
      <c r="A247" t="s">
        <v>257</v>
      </c>
      <c r="B247">
        <v>12</v>
      </c>
      <c r="C247">
        <v>2</v>
      </c>
      <c r="D247">
        <v>6</v>
      </c>
      <c r="E247">
        <v>2</v>
      </c>
      <c r="F247">
        <v>3</v>
      </c>
      <c r="G247">
        <v>2</v>
      </c>
      <c r="H247">
        <v>6</v>
      </c>
      <c r="I247">
        <v>2</v>
      </c>
      <c r="J247">
        <v>3</v>
      </c>
    </row>
    <row r="248" spans="1:18" x14ac:dyDescent="0.3">
      <c r="A248" t="s">
        <v>258</v>
      </c>
      <c r="B248">
        <v>12</v>
      </c>
      <c r="C248">
        <v>0</v>
      </c>
      <c r="D248">
        <v>0</v>
      </c>
      <c r="E248">
        <v>0</v>
      </c>
      <c r="F248">
        <v>0</v>
      </c>
      <c r="G248">
        <v>0</v>
      </c>
      <c r="H248">
        <v>0</v>
      </c>
      <c r="I248">
        <v>0</v>
      </c>
      <c r="J248">
        <v>0</v>
      </c>
    </row>
    <row r="249" spans="1:18" x14ac:dyDescent="0.3">
      <c r="A249" t="s">
        <v>259</v>
      </c>
      <c r="B249">
        <v>12</v>
      </c>
      <c r="C249">
        <v>0</v>
      </c>
      <c r="D249">
        <v>0</v>
      </c>
      <c r="E249">
        <v>0</v>
      </c>
      <c r="F249">
        <v>0</v>
      </c>
      <c r="G249">
        <v>0</v>
      </c>
      <c r="H249">
        <v>0</v>
      </c>
      <c r="I249">
        <v>0</v>
      </c>
      <c r="J249">
        <v>0</v>
      </c>
    </row>
    <row r="250" spans="1:18" x14ac:dyDescent="0.3">
      <c r="A250" t="s">
        <v>260</v>
      </c>
      <c r="B250">
        <v>12</v>
      </c>
      <c r="C250">
        <v>2</v>
      </c>
      <c r="D250">
        <v>3</v>
      </c>
      <c r="E250">
        <v>2</v>
      </c>
      <c r="F250">
        <v>3</v>
      </c>
      <c r="G250">
        <v>2</v>
      </c>
      <c r="H250">
        <v>3</v>
      </c>
      <c r="I250">
        <v>2</v>
      </c>
      <c r="J250">
        <v>3</v>
      </c>
    </row>
    <row r="251" spans="1:18" x14ac:dyDescent="0.3">
      <c r="A251" t="s">
        <v>261</v>
      </c>
      <c r="B251">
        <v>12</v>
      </c>
      <c r="C251">
        <v>4</v>
      </c>
      <c r="D251">
        <v>4</v>
      </c>
      <c r="E251">
        <v>5</v>
      </c>
      <c r="F251">
        <v>4.3</v>
      </c>
      <c r="G251">
        <v>4</v>
      </c>
      <c r="H251">
        <v>5</v>
      </c>
      <c r="I251">
        <v>5</v>
      </c>
      <c r="J251">
        <v>4.3</v>
      </c>
    </row>
    <row r="252" spans="1:18" x14ac:dyDescent="0.3">
      <c r="A252" t="s">
        <v>262</v>
      </c>
      <c r="B252">
        <v>12</v>
      </c>
      <c r="C252">
        <v>1.6</v>
      </c>
      <c r="D252">
        <v>1.8</v>
      </c>
      <c r="E252">
        <v>2.7</v>
      </c>
      <c r="F252">
        <v>2.2999999999999998</v>
      </c>
      <c r="G252">
        <v>1.6</v>
      </c>
      <c r="H252">
        <v>2.7</v>
      </c>
      <c r="I252">
        <v>2.7</v>
      </c>
      <c r="J252">
        <v>2.2999999999999998</v>
      </c>
    </row>
    <row r="253" spans="1:18" x14ac:dyDescent="0.3">
      <c r="A253" t="s">
        <v>263</v>
      </c>
      <c r="B253">
        <v>12</v>
      </c>
      <c r="C253">
        <v>0</v>
      </c>
      <c r="D253">
        <v>1</v>
      </c>
      <c r="E253">
        <v>3</v>
      </c>
      <c r="F253">
        <v>0</v>
      </c>
      <c r="G253">
        <v>0</v>
      </c>
      <c r="H253">
        <v>1</v>
      </c>
      <c r="I253">
        <v>0</v>
      </c>
      <c r="J253">
        <v>0</v>
      </c>
    </row>
    <row r="254" spans="1:18" x14ac:dyDescent="0.3">
      <c r="A254" t="s">
        <v>264</v>
      </c>
      <c r="B254">
        <v>12</v>
      </c>
    </row>
    <row r="255" spans="1:18" x14ac:dyDescent="0.3">
      <c r="A255" t="s">
        <v>265</v>
      </c>
      <c r="B255">
        <v>12</v>
      </c>
    </row>
    <row r="256" spans="1:18" x14ac:dyDescent="0.3">
      <c r="A256" t="s">
        <v>266</v>
      </c>
      <c r="B256">
        <v>12</v>
      </c>
    </row>
    <row r="257" spans="1:18" x14ac:dyDescent="0.3">
      <c r="A257" t="s">
        <v>267</v>
      </c>
      <c r="B257">
        <v>12</v>
      </c>
      <c r="C257">
        <v>12</v>
      </c>
      <c r="D257">
        <v>20</v>
      </c>
      <c r="E257">
        <v>13</v>
      </c>
      <c r="F257">
        <v>17</v>
      </c>
      <c r="G257">
        <v>12</v>
      </c>
      <c r="H257">
        <v>20</v>
      </c>
      <c r="I257">
        <v>13</v>
      </c>
      <c r="J257">
        <v>17</v>
      </c>
    </row>
    <row r="258" spans="1:18" x14ac:dyDescent="0.3">
      <c r="A258" t="s">
        <v>268</v>
      </c>
      <c r="B258">
        <v>12</v>
      </c>
      <c r="C258">
        <v>0</v>
      </c>
      <c r="D258">
        <v>1</v>
      </c>
      <c r="E258">
        <v>0</v>
      </c>
      <c r="F258">
        <v>1</v>
      </c>
      <c r="G258">
        <v>0</v>
      </c>
      <c r="H258">
        <v>1</v>
      </c>
      <c r="I258">
        <v>0</v>
      </c>
      <c r="J258">
        <v>1</v>
      </c>
    </row>
    <row r="259" spans="1:18" x14ac:dyDescent="0.3">
      <c r="A259" t="s">
        <v>269</v>
      </c>
      <c r="B259">
        <v>12</v>
      </c>
      <c r="C259">
        <v>1</v>
      </c>
      <c r="D259">
        <v>1</v>
      </c>
      <c r="E259">
        <v>1</v>
      </c>
      <c r="F259">
        <v>1</v>
      </c>
      <c r="G259">
        <v>1</v>
      </c>
      <c r="H259">
        <v>1</v>
      </c>
      <c r="I259">
        <v>1</v>
      </c>
      <c r="J259">
        <v>1</v>
      </c>
    </row>
    <row r="260" spans="1:18" x14ac:dyDescent="0.3">
      <c r="A260" t="s">
        <v>270</v>
      </c>
      <c r="B260">
        <v>12</v>
      </c>
      <c r="C260">
        <v>69</v>
      </c>
      <c r="D260">
        <v>15</v>
      </c>
      <c r="E260">
        <v>89</v>
      </c>
      <c r="F260">
        <v>107</v>
      </c>
      <c r="G260">
        <v>15</v>
      </c>
      <c r="H260">
        <v>35</v>
      </c>
      <c r="I260">
        <v>89</v>
      </c>
      <c r="J260">
        <v>107</v>
      </c>
    </row>
    <row r="261" spans="1:18" x14ac:dyDescent="0.3">
      <c r="A261" t="s">
        <v>271</v>
      </c>
      <c r="B261">
        <v>12</v>
      </c>
      <c r="C261">
        <v>89</v>
      </c>
      <c r="D261">
        <v>69</v>
      </c>
      <c r="E261">
        <v>107</v>
      </c>
      <c r="F261">
        <v>15</v>
      </c>
      <c r="G261">
        <v>35</v>
      </c>
      <c r="H261">
        <v>89</v>
      </c>
      <c r="I261">
        <v>107</v>
      </c>
      <c r="J261">
        <v>15</v>
      </c>
    </row>
    <row r="262" spans="1:18" x14ac:dyDescent="0.3">
      <c r="A262" t="s">
        <v>272</v>
      </c>
      <c r="B262">
        <v>12</v>
      </c>
      <c r="C262">
        <v>83.4</v>
      </c>
      <c r="D262">
        <v>63.2</v>
      </c>
      <c r="E262">
        <v>99.3</v>
      </c>
      <c r="F262">
        <v>8.4</v>
      </c>
      <c r="G262">
        <v>29.4</v>
      </c>
      <c r="H262">
        <v>81.3</v>
      </c>
      <c r="I262">
        <v>99.3</v>
      </c>
      <c r="J262">
        <v>8.4</v>
      </c>
    </row>
    <row r="263" spans="1:18" x14ac:dyDescent="0.3">
      <c r="A263" t="s">
        <v>273</v>
      </c>
      <c r="B263">
        <v>12</v>
      </c>
      <c r="C263">
        <v>83.4</v>
      </c>
      <c r="D263">
        <v>63.2</v>
      </c>
      <c r="E263">
        <v>99.3</v>
      </c>
      <c r="F263">
        <v>8.4</v>
      </c>
      <c r="G263">
        <v>29.4</v>
      </c>
      <c r="H263">
        <v>81.3</v>
      </c>
      <c r="I263">
        <v>99.3</v>
      </c>
      <c r="J263">
        <v>8.4</v>
      </c>
    </row>
    <row r="264" spans="1:18" x14ac:dyDescent="0.3">
      <c r="A264" t="s">
        <v>274</v>
      </c>
      <c r="B264">
        <v>12</v>
      </c>
      <c r="C264">
        <v>54</v>
      </c>
      <c r="D264">
        <v>0</v>
      </c>
      <c r="E264">
        <v>74</v>
      </c>
      <c r="F264">
        <v>92</v>
      </c>
      <c r="G264">
        <v>0</v>
      </c>
      <c r="H264">
        <v>20</v>
      </c>
      <c r="I264">
        <v>74</v>
      </c>
      <c r="J264">
        <v>92</v>
      </c>
    </row>
    <row r="265" spans="1:18" x14ac:dyDescent="0.3">
      <c r="A265" t="s">
        <v>275</v>
      </c>
      <c r="B265">
        <v>12</v>
      </c>
      <c r="C265">
        <v>68.400000000000006</v>
      </c>
      <c r="D265">
        <v>48.2</v>
      </c>
      <c r="E265">
        <v>84.3</v>
      </c>
      <c r="F265">
        <v>113.4</v>
      </c>
      <c r="G265">
        <v>14.4</v>
      </c>
      <c r="H265">
        <v>66.3</v>
      </c>
      <c r="I265">
        <v>84.3</v>
      </c>
      <c r="J265">
        <v>113.4</v>
      </c>
    </row>
    <row r="266" spans="1:18" x14ac:dyDescent="0.3">
      <c r="A266" t="s">
        <v>276</v>
      </c>
      <c r="B266">
        <v>12</v>
      </c>
      <c r="C266">
        <v>68.400000000000006</v>
      </c>
      <c r="D266">
        <v>48.2</v>
      </c>
      <c r="E266">
        <v>84.3</v>
      </c>
      <c r="F266">
        <v>113.4</v>
      </c>
      <c r="G266">
        <v>14.4</v>
      </c>
      <c r="H266">
        <v>66.3</v>
      </c>
      <c r="I266">
        <v>84.3</v>
      </c>
      <c r="J266">
        <v>113.4</v>
      </c>
    </row>
    <row r="267" spans="1:18" x14ac:dyDescent="0.3">
      <c r="A267" t="s">
        <v>681</v>
      </c>
      <c r="B267">
        <v>12</v>
      </c>
      <c r="C267">
        <v>26.1</v>
      </c>
      <c r="D267">
        <v>40.9</v>
      </c>
      <c r="E267">
        <v>13</v>
      </c>
      <c r="F267">
        <v>14.3</v>
      </c>
      <c r="G267">
        <v>11.7</v>
      </c>
      <c r="H267">
        <v>53.4</v>
      </c>
      <c r="I267">
        <v>7.4</v>
      </c>
      <c r="J267">
        <v>19.899999999999999</v>
      </c>
    </row>
    <row r="268" spans="1:18" x14ac:dyDescent="0.3">
      <c r="A268" t="s">
        <v>254</v>
      </c>
      <c r="B268">
        <v>13</v>
      </c>
      <c r="C268">
        <v>111</v>
      </c>
      <c r="D268">
        <v>112</v>
      </c>
      <c r="E268">
        <v>211</v>
      </c>
      <c r="F268">
        <v>212</v>
      </c>
      <c r="G268">
        <v>121</v>
      </c>
      <c r="H268">
        <v>122</v>
      </c>
      <c r="I268">
        <v>213</v>
      </c>
      <c r="J268">
        <v>214</v>
      </c>
      <c r="K268">
        <v>311</v>
      </c>
      <c r="L268">
        <v>312</v>
      </c>
      <c r="M268">
        <v>411</v>
      </c>
      <c r="N268">
        <v>412</v>
      </c>
      <c r="O268">
        <v>321</v>
      </c>
      <c r="P268">
        <v>322</v>
      </c>
      <c r="Q268">
        <v>421</v>
      </c>
      <c r="R268">
        <v>422</v>
      </c>
    </row>
    <row r="269" spans="1:18" x14ac:dyDescent="0.3">
      <c r="A269" t="s">
        <v>255</v>
      </c>
      <c r="B269">
        <v>13</v>
      </c>
      <c r="D269">
        <v>12</v>
      </c>
      <c r="E269">
        <v>8</v>
      </c>
      <c r="F269">
        <v>8</v>
      </c>
      <c r="G269">
        <v>5</v>
      </c>
      <c r="H269">
        <v>12</v>
      </c>
    </row>
    <row r="270" spans="1:18" x14ac:dyDescent="0.3">
      <c r="A270" t="s">
        <v>256</v>
      </c>
      <c r="B270">
        <v>13</v>
      </c>
      <c r="D270">
        <v>65.7</v>
      </c>
      <c r="E270">
        <v>10.9</v>
      </c>
      <c r="F270">
        <v>24.3</v>
      </c>
      <c r="G270">
        <v>9.9</v>
      </c>
      <c r="H270">
        <v>49.7</v>
      </c>
    </row>
    <row r="271" spans="1:18" x14ac:dyDescent="0.3">
      <c r="A271" t="s">
        <v>257</v>
      </c>
      <c r="B271">
        <v>13</v>
      </c>
      <c r="D271">
        <v>6</v>
      </c>
      <c r="E271">
        <v>3</v>
      </c>
      <c r="F271">
        <v>3</v>
      </c>
      <c r="G271">
        <v>3</v>
      </c>
      <c r="H271">
        <v>6</v>
      </c>
    </row>
    <row r="272" spans="1:18" x14ac:dyDescent="0.3">
      <c r="A272" t="s">
        <v>258</v>
      </c>
      <c r="B272">
        <v>13</v>
      </c>
      <c r="D272">
        <v>0</v>
      </c>
      <c r="E272">
        <v>0</v>
      </c>
      <c r="F272">
        <v>0</v>
      </c>
      <c r="G272">
        <v>0</v>
      </c>
      <c r="H272">
        <v>0</v>
      </c>
    </row>
    <row r="273" spans="1:8" x14ac:dyDescent="0.3">
      <c r="A273" t="s">
        <v>259</v>
      </c>
      <c r="B273">
        <v>13</v>
      </c>
      <c r="D273">
        <v>0</v>
      </c>
      <c r="E273">
        <v>0</v>
      </c>
      <c r="F273">
        <v>0</v>
      </c>
      <c r="G273">
        <v>0</v>
      </c>
      <c r="H273">
        <v>0</v>
      </c>
    </row>
    <row r="274" spans="1:8" x14ac:dyDescent="0.3">
      <c r="A274" t="s">
        <v>260</v>
      </c>
      <c r="B274">
        <v>13</v>
      </c>
      <c r="D274">
        <v>3</v>
      </c>
      <c r="E274">
        <v>3</v>
      </c>
      <c r="F274">
        <v>3</v>
      </c>
      <c r="G274">
        <v>3</v>
      </c>
      <c r="H274">
        <v>3</v>
      </c>
    </row>
    <row r="275" spans="1:8" x14ac:dyDescent="0.3">
      <c r="A275" t="s">
        <v>261</v>
      </c>
      <c r="B275">
        <v>13</v>
      </c>
      <c r="D275">
        <v>4.3</v>
      </c>
      <c r="E275">
        <v>4</v>
      </c>
      <c r="F275">
        <v>4.3</v>
      </c>
      <c r="G275">
        <v>4.0999999999999996</v>
      </c>
      <c r="H275">
        <v>4.3</v>
      </c>
    </row>
    <row r="276" spans="1:8" x14ac:dyDescent="0.3">
      <c r="A276" t="s">
        <v>262</v>
      </c>
      <c r="B276">
        <v>13</v>
      </c>
      <c r="D276">
        <v>2</v>
      </c>
      <c r="E276">
        <v>2.1</v>
      </c>
      <c r="F276">
        <v>2.4</v>
      </c>
      <c r="G276">
        <v>2</v>
      </c>
      <c r="H276">
        <v>2</v>
      </c>
    </row>
    <row r="277" spans="1:8" x14ac:dyDescent="0.3">
      <c r="A277" t="s">
        <v>263</v>
      </c>
      <c r="B277">
        <v>13</v>
      </c>
      <c r="D277">
        <v>3</v>
      </c>
      <c r="E277">
        <v>0</v>
      </c>
      <c r="F277">
        <v>0</v>
      </c>
      <c r="G277">
        <v>0</v>
      </c>
      <c r="H277">
        <v>3</v>
      </c>
    </row>
    <row r="278" spans="1:8" x14ac:dyDescent="0.3">
      <c r="A278" t="s">
        <v>264</v>
      </c>
      <c r="B278">
        <v>13</v>
      </c>
    </row>
    <row r="279" spans="1:8" x14ac:dyDescent="0.3">
      <c r="A279" t="s">
        <v>265</v>
      </c>
      <c r="B279">
        <v>13</v>
      </c>
    </row>
    <row r="280" spans="1:8" x14ac:dyDescent="0.3">
      <c r="A280" t="s">
        <v>266</v>
      </c>
      <c r="B280">
        <v>13</v>
      </c>
    </row>
    <row r="281" spans="1:8" x14ac:dyDescent="0.3">
      <c r="A281" t="s">
        <v>267</v>
      </c>
      <c r="B281">
        <v>13</v>
      </c>
      <c r="D281">
        <v>20</v>
      </c>
      <c r="E281">
        <v>15</v>
      </c>
      <c r="F281">
        <v>15</v>
      </c>
      <c r="G281">
        <v>12</v>
      </c>
      <c r="H281">
        <v>20</v>
      </c>
    </row>
    <row r="282" spans="1:8" x14ac:dyDescent="0.3">
      <c r="A282" t="s">
        <v>268</v>
      </c>
      <c r="B282">
        <v>13</v>
      </c>
      <c r="D282">
        <v>1</v>
      </c>
      <c r="E282">
        <v>0</v>
      </c>
      <c r="F282">
        <v>0</v>
      </c>
      <c r="G282">
        <v>0</v>
      </c>
      <c r="H282">
        <v>1</v>
      </c>
    </row>
    <row r="283" spans="1:8" x14ac:dyDescent="0.3">
      <c r="A283" t="s">
        <v>269</v>
      </c>
      <c r="B283">
        <v>13</v>
      </c>
      <c r="D283">
        <v>1</v>
      </c>
      <c r="E283">
        <v>1</v>
      </c>
      <c r="F283">
        <v>1</v>
      </c>
      <c r="G283">
        <v>1</v>
      </c>
      <c r="H283">
        <v>1</v>
      </c>
    </row>
    <row r="284" spans="1:8" x14ac:dyDescent="0.3">
      <c r="A284" t="s">
        <v>270</v>
      </c>
      <c r="B284">
        <v>13</v>
      </c>
      <c r="D284">
        <v>20</v>
      </c>
      <c r="E284">
        <v>92</v>
      </c>
      <c r="F284">
        <v>109</v>
      </c>
      <c r="G284">
        <v>20</v>
      </c>
      <c r="H284">
        <v>36</v>
      </c>
    </row>
    <row r="285" spans="1:8" x14ac:dyDescent="0.3">
      <c r="A285" t="s">
        <v>271</v>
      </c>
      <c r="B285">
        <v>13</v>
      </c>
      <c r="D285">
        <v>92</v>
      </c>
      <c r="E285">
        <v>109</v>
      </c>
      <c r="F285">
        <v>20</v>
      </c>
      <c r="G285">
        <v>36</v>
      </c>
      <c r="H285">
        <v>92</v>
      </c>
    </row>
    <row r="286" spans="1:8" x14ac:dyDescent="0.3">
      <c r="A286" t="s">
        <v>272</v>
      </c>
      <c r="B286">
        <v>13</v>
      </c>
      <c r="D286">
        <v>85.7</v>
      </c>
      <c r="E286">
        <v>102.9</v>
      </c>
      <c r="F286">
        <v>13.3</v>
      </c>
      <c r="G286">
        <v>29.9</v>
      </c>
      <c r="H286">
        <v>85.7</v>
      </c>
    </row>
    <row r="287" spans="1:8" x14ac:dyDescent="0.3">
      <c r="A287" t="s">
        <v>273</v>
      </c>
      <c r="B287">
        <v>13</v>
      </c>
      <c r="D287">
        <v>85.7</v>
      </c>
      <c r="E287">
        <v>102.9</v>
      </c>
      <c r="F287">
        <v>13.3</v>
      </c>
      <c r="G287">
        <v>29.9</v>
      </c>
      <c r="H287">
        <v>85.7</v>
      </c>
    </row>
    <row r="288" spans="1:8" x14ac:dyDescent="0.3">
      <c r="A288" t="s">
        <v>274</v>
      </c>
      <c r="B288">
        <v>13</v>
      </c>
      <c r="D288">
        <v>0</v>
      </c>
      <c r="E288">
        <v>72</v>
      </c>
      <c r="F288">
        <v>89</v>
      </c>
      <c r="G288">
        <v>0</v>
      </c>
      <c r="H288">
        <v>16</v>
      </c>
    </row>
    <row r="289" spans="1:18" x14ac:dyDescent="0.3">
      <c r="A289" t="s">
        <v>275</v>
      </c>
      <c r="B289">
        <v>13</v>
      </c>
      <c r="D289">
        <v>65.7</v>
      </c>
      <c r="E289">
        <v>82.9</v>
      </c>
      <c r="F289">
        <v>113.3</v>
      </c>
      <c r="G289">
        <v>9.9</v>
      </c>
      <c r="H289">
        <v>65.7</v>
      </c>
    </row>
    <row r="290" spans="1:18" x14ac:dyDescent="0.3">
      <c r="A290" t="s">
        <v>276</v>
      </c>
      <c r="B290">
        <v>13</v>
      </c>
      <c r="D290">
        <v>65.7</v>
      </c>
      <c r="E290">
        <v>82.9</v>
      </c>
      <c r="F290">
        <v>113.3</v>
      </c>
      <c r="G290">
        <v>9.9</v>
      </c>
      <c r="H290">
        <v>65.7</v>
      </c>
    </row>
    <row r="291" spans="1:18" x14ac:dyDescent="0.3">
      <c r="A291" t="s">
        <v>681</v>
      </c>
      <c r="B291">
        <v>13</v>
      </c>
      <c r="D291">
        <v>91.3</v>
      </c>
      <c r="E291">
        <v>1.6</v>
      </c>
      <c r="F291">
        <v>8</v>
      </c>
      <c r="G291">
        <v>7.2</v>
      </c>
      <c r="H291">
        <v>78</v>
      </c>
    </row>
    <row r="292" spans="1:18" x14ac:dyDescent="0.3">
      <c r="A292" t="s">
        <v>254</v>
      </c>
      <c r="B292">
        <v>14</v>
      </c>
      <c r="C292">
        <v>111</v>
      </c>
      <c r="D292">
        <v>112</v>
      </c>
      <c r="E292">
        <v>211</v>
      </c>
      <c r="F292">
        <v>212</v>
      </c>
      <c r="G292">
        <v>121</v>
      </c>
      <c r="H292">
        <v>122</v>
      </c>
      <c r="I292">
        <v>221</v>
      </c>
      <c r="J292">
        <v>222</v>
      </c>
      <c r="K292">
        <v>311</v>
      </c>
      <c r="L292">
        <v>312</v>
      </c>
      <c r="M292">
        <v>411</v>
      </c>
      <c r="N292">
        <v>412</v>
      </c>
      <c r="O292">
        <v>321</v>
      </c>
      <c r="P292">
        <v>322</v>
      </c>
      <c r="Q292">
        <v>421</v>
      </c>
      <c r="R292">
        <v>422</v>
      </c>
    </row>
    <row r="293" spans="1:18" x14ac:dyDescent="0.3">
      <c r="A293" t="s">
        <v>255</v>
      </c>
      <c r="B293">
        <v>14</v>
      </c>
      <c r="C293">
        <v>5</v>
      </c>
      <c r="D293">
        <v>12</v>
      </c>
      <c r="F293">
        <v>8</v>
      </c>
      <c r="G293">
        <v>5</v>
      </c>
      <c r="H293">
        <v>12</v>
      </c>
      <c r="J293">
        <v>8</v>
      </c>
    </row>
    <row r="294" spans="1:18" x14ac:dyDescent="0.3">
      <c r="A294" t="s">
        <v>256</v>
      </c>
      <c r="B294">
        <v>14</v>
      </c>
      <c r="C294">
        <v>9</v>
      </c>
      <c r="D294">
        <v>57.6</v>
      </c>
      <c r="F294">
        <v>33.200000000000003</v>
      </c>
      <c r="G294">
        <v>9</v>
      </c>
      <c r="H294">
        <v>57.6</v>
      </c>
      <c r="J294">
        <v>33.200000000000003</v>
      </c>
    </row>
    <row r="295" spans="1:18" x14ac:dyDescent="0.3">
      <c r="A295" t="s">
        <v>257</v>
      </c>
      <c r="B295">
        <v>14</v>
      </c>
      <c r="C295">
        <v>3</v>
      </c>
      <c r="D295">
        <v>6</v>
      </c>
      <c r="F295">
        <v>3</v>
      </c>
      <c r="G295">
        <v>3</v>
      </c>
      <c r="H295">
        <v>6</v>
      </c>
      <c r="J295">
        <v>3</v>
      </c>
    </row>
    <row r="296" spans="1:18" x14ac:dyDescent="0.3">
      <c r="A296" t="s">
        <v>258</v>
      </c>
      <c r="B296">
        <v>14</v>
      </c>
      <c r="C296">
        <v>0</v>
      </c>
      <c r="D296">
        <v>0</v>
      </c>
      <c r="F296">
        <v>0</v>
      </c>
      <c r="G296">
        <v>0</v>
      </c>
      <c r="H296">
        <v>0</v>
      </c>
      <c r="J296">
        <v>0</v>
      </c>
    </row>
    <row r="297" spans="1:18" x14ac:dyDescent="0.3">
      <c r="A297" t="s">
        <v>259</v>
      </c>
      <c r="B297">
        <v>14</v>
      </c>
      <c r="C297">
        <v>0</v>
      </c>
      <c r="D297">
        <v>0</v>
      </c>
      <c r="F297">
        <v>0</v>
      </c>
      <c r="G297">
        <v>0</v>
      </c>
      <c r="H297">
        <v>0</v>
      </c>
      <c r="J297">
        <v>0</v>
      </c>
    </row>
    <row r="298" spans="1:18" x14ac:dyDescent="0.3">
      <c r="A298" t="s">
        <v>260</v>
      </c>
      <c r="B298">
        <v>14</v>
      </c>
      <c r="C298">
        <v>3</v>
      </c>
      <c r="D298">
        <v>3</v>
      </c>
      <c r="F298">
        <v>3</v>
      </c>
      <c r="G298">
        <v>3</v>
      </c>
      <c r="H298">
        <v>3</v>
      </c>
      <c r="J298">
        <v>3</v>
      </c>
    </row>
    <row r="299" spans="1:18" x14ac:dyDescent="0.3">
      <c r="A299" t="s">
        <v>261</v>
      </c>
      <c r="B299">
        <v>14</v>
      </c>
      <c r="C299">
        <v>4</v>
      </c>
      <c r="D299">
        <v>5.4</v>
      </c>
      <c r="F299">
        <v>4.8</v>
      </c>
      <c r="G299">
        <v>4</v>
      </c>
      <c r="H299">
        <v>5.4</v>
      </c>
      <c r="J299">
        <v>4.8</v>
      </c>
    </row>
    <row r="300" spans="1:18" x14ac:dyDescent="0.3">
      <c r="A300" t="s">
        <v>262</v>
      </c>
      <c r="B300">
        <v>14</v>
      </c>
      <c r="C300">
        <v>2</v>
      </c>
      <c r="D300">
        <v>2</v>
      </c>
      <c r="F300">
        <v>2</v>
      </c>
      <c r="G300">
        <v>2</v>
      </c>
      <c r="H300">
        <v>2</v>
      </c>
      <c r="J300">
        <v>2</v>
      </c>
    </row>
    <row r="301" spans="1:18" x14ac:dyDescent="0.3">
      <c r="A301" t="s">
        <v>263</v>
      </c>
      <c r="B301">
        <v>14</v>
      </c>
      <c r="C301">
        <v>0</v>
      </c>
      <c r="D301">
        <v>3</v>
      </c>
      <c r="F301">
        <v>0</v>
      </c>
      <c r="G301">
        <v>0</v>
      </c>
      <c r="H301">
        <v>3</v>
      </c>
      <c r="J301">
        <v>0</v>
      </c>
    </row>
    <row r="302" spans="1:18" x14ac:dyDescent="0.3">
      <c r="A302" t="s">
        <v>264</v>
      </c>
      <c r="B302">
        <v>14</v>
      </c>
    </row>
    <row r="303" spans="1:18" x14ac:dyDescent="0.3">
      <c r="A303" t="s">
        <v>265</v>
      </c>
      <c r="B303">
        <v>14</v>
      </c>
    </row>
    <row r="304" spans="1:18" x14ac:dyDescent="0.3">
      <c r="A304" t="s">
        <v>266</v>
      </c>
      <c r="B304">
        <v>14</v>
      </c>
    </row>
    <row r="305" spans="1:18" x14ac:dyDescent="0.3">
      <c r="A305" t="s">
        <v>267</v>
      </c>
      <c r="B305">
        <v>14</v>
      </c>
      <c r="C305">
        <v>12</v>
      </c>
      <c r="D305">
        <v>20</v>
      </c>
      <c r="F305">
        <v>15</v>
      </c>
      <c r="G305">
        <v>12</v>
      </c>
      <c r="H305">
        <v>20</v>
      </c>
      <c r="J305">
        <v>15</v>
      </c>
    </row>
    <row r="306" spans="1:18" x14ac:dyDescent="0.3">
      <c r="A306" t="s">
        <v>268</v>
      </c>
      <c r="B306">
        <v>14</v>
      </c>
      <c r="C306">
        <v>0</v>
      </c>
      <c r="D306">
        <v>1</v>
      </c>
      <c r="F306">
        <v>0</v>
      </c>
      <c r="G306">
        <v>0</v>
      </c>
      <c r="H306">
        <v>1</v>
      </c>
      <c r="J306">
        <v>0</v>
      </c>
    </row>
    <row r="307" spans="1:18" x14ac:dyDescent="0.3">
      <c r="A307" t="s">
        <v>269</v>
      </c>
      <c r="B307">
        <v>14</v>
      </c>
      <c r="C307">
        <v>1</v>
      </c>
      <c r="D307">
        <v>1</v>
      </c>
      <c r="F307">
        <v>1</v>
      </c>
      <c r="G307">
        <v>1</v>
      </c>
      <c r="H307">
        <v>1</v>
      </c>
      <c r="J307">
        <v>1</v>
      </c>
    </row>
    <row r="308" spans="1:18" x14ac:dyDescent="0.3">
      <c r="A308" t="s">
        <v>270</v>
      </c>
      <c r="B308">
        <v>14</v>
      </c>
      <c r="C308">
        <v>50</v>
      </c>
      <c r="D308">
        <v>65</v>
      </c>
      <c r="F308">
        <v>10</v>
      </c>
      <c r="G308">
        <v>50</v>
      </c>
      <c r="H308">
        <v>65</v>
      </c>
      <c r="J308">
        <v>10</v>
      </c>
    </row>
    <row r="309" spans="1:18" x14ac:dyDescent="0.3">
      <c r="A309" t="s">
        <v>271</v>
      </c>
      <c r="B309">
        <v>14</v>
      </c>
      <c r="C309">
        <v>65</v>
      </c>
      <c r="D309">
        <v>10</v>
      </c>
      <c r="F309">
        <v>50</v>
      </c>
      <c r="G309">
        <v>65</v>
      </c>
      <c r="H309">
        <v>10</v>
      </c>
      <c r="J309">
        <v>50</v>
      </c>
    </row>
    <row r="310" spans="1:18" x14ac:dyDescent="0.3">
      <c r="A310" t="s">
        <v>272</v>
      </c>
      <c r="B310">
        <v>14</v>
      </c>
      <c r="C310">
        <v>59</v>
      </c>
      <c r="D310">
        <v>2.6</v>
      </c>
      <c r="F310">
        <v>43.2</v>
      </c>
      <c r="G310">
        <v>59</v>
      </c>
      <c r="H310">
        <v>2.6</v>
      </c>
      <c r="J310">
        <v>43.2</v>
      </c>
    </row>
    <row r="311" spans="1:18" x14ac:dyDescent="0.3">
      <c r="A311" t="s">
        <v>273</v>
      </c>
      <c r="B311">
        <v>14</v>
      </c>
      <c r="C311">
        <v>59</v>
      </c>
      <c r="D311">
        <v>2.6</v>
      </c>
      <c r="F311">
        <v>43.2</v>
      </c>
      <c r="G311">
        <v>59</v>
      </c>
      <c r="H311">
        <v>2.6</v>
      </c>
      <c r="J311">
        <v>43.2</v>
      </c>
    </row>
    <row r="312" spans="1:18" x14ac:dyDescent="0.3">
      <c r="A312" t="s">
        <v>274</v>
      </c>
      <c r="B312">
        <v>14</v>
      </c>
      <c r="C312">
        <v>105</v>
      </c>
      <c r="D312">
        <v>0</v>
      </c>
      <c r="F312">
        <v>65</v>
      </c>
      <c r="G312">
        <v>105</v>
      </c>
      <c r="H312">
        <v>0</v>
      </c>
      <c r="J312">
        <v>65</v>
      </c>
    </row>
    <row r="313" spans="1:18" x14ac:dyDescent="0.3">
      <c r="A313" t="s">
        <v>275</v>
      </c>
      <c r="B313">
        <v>14</v>
      </c>
      <c r="C313">
        <v>114</v>
      </c>
      <c r="D313">
        <v>57.6</v>
      </c>
      <c r="F313">
        <v>98.2</v>
      </c>
      <c r="G313">
        <v>114</v>
      </c>
      <c r="H313">
        <v>57.6</v>
      </c>
      <c r="J313">
        <v>98.2</v>
      </c>
    </row>
    <row r="314" spans="1:18" x14ac:dyDescent="0.3">
      <c r="A314" t="s">
        <v>276</v>
      </c>
      <c r="B314">
        <v>14</v>
      </c>
      <c r="C314">
        <v>114</v>
      </c>
      <c r="D314">
        <v>57.6</v>
      </c>
      <c r="F314">
        <v>98.2</v>
      </c>
      <c r="G314">
        <v>114</v>
      </c>
      <c r="H314">
        <v>57.6</v>
      </c>
      <c r="J314">
        <v>98.2</v>
      </c>
    </row>
    <row r="315" spans="1:18" x14ac:dyDescent="0.3">
      <c r="A315" t="s">
        <v>681</v>
      </c>
      <c r="B315">
        <v>14</v>
      </c>
      <c r="C315">
        <v>2.4</v>
      </c>
      <c r="D315">
        <v>83.5</v>
      </c>
      <c r="F315">
        <v>13.9</v>
      </c>
      <c r="G315">
        <v>3.7</v>
      </c>
      <c r="H315">
        <v>82.2</v>
      </c>
      <c r="J315">
        <v>13.9</v>
      </c>
    </row>
    <row r="316" spans="1:18" x14ac:dyDescent="0.3">
      <c r="A316" t="s">
        <v>254</v>
      </c>
      <c r="B316">
        <v>15</v>
      </c>
      <c r="C316">
        <v>111</v>
      </c>
      <c r="D316">
        <v>112</v>
      </c>
      <c r="E316">
        <v>211</v>
      </c>
      <c r="F316">
        <v>212</v>
      </c>
      <c r="G316">
        <v>121</v>
      </c>
      <c r="H316">
        <v>122</v>
      </c>
      <c r="I316">
        <v>213</v>
      </c>
      <c r="J316">
        <v>214</v>
      </c>
      <c r="K316">
        <v>311</v>
      </c>
      <c r="L316">
        <v>312</v>
      </c>
      <c r="M316">
        <v>411</v>
      </c>
      <c r="N316">
        <v>412</v>
      </c>
      <c r="O316">
        <v>321</v>
      </c>
      <c r="P316">
        <v>322</v>
      </c>
      <c r="Q316">
        <v>421</v>
      </c>
      <c r="R316">
        <v>422</v>
      </c>
    </row>
    <row r="317" spans="1:18" x14ac:dyDescent="0.3">
      <c r="A317" t="s">
        <v>255</v>
      </c>
      <c r="B317">
        <v>15</v>
      </c>
      <c r="C317">
        <v>5</v>
      </c>
      <c r="D317">
        <v>12</v>
      </c>
      <c r="E317">
        <v>8</v>
      </c>
      <c r="F317">
        <v>8</v>
      </c>
      <c r="G317">
        <v>5</v>
      </c>
      <c r="H317">
        <v>12</v>
      </c>
    </row>
    <row r="318" spans="1:18" x14ac:dyDescent="0.3">
      <c r="A318" t="s">
        <v>256</v>
      </c>
      <c r="B318">
        <v>15</v>
      </c>
      <c r="C318">
        <v>9</v>
      </c>
      <c r="D318">
        <v>54.6</v>
      </c>
      <c r="E318">
        <v>14.2</v>
      </c>
      <c r="F318">
        <v>15.2</v>
      </c>
      <c r="G318">
        <v>9</v>
      </c>
      <c r="H318">
        <v>54.6</v>
      </c>
    </row>
    <row r="319" spans="1:18" x14ac:dyDescent="0.3">
      <c r="A319" t="s">
        <v>257</v>
      </c>
      <c r="B319">
        <v>15</v>
      </c>
      <c r="C319">
        <v>3</v>
      </c>
      <c r="D319">
        <v>6</v>
      </c>
      <c r="E319">
        <v>3</v>
      </c>
      <c r="F319">
        <v>3</v>
      </c>
      <c r="G319">
        <v>3</v>
      </c>
      <c r="H319">
        <v>6</v>
      </c>
    </row>
    <row r="320" spans="1:18" x14ac:dyDescent="0.3">
      <c r="A320" t="s">
        <v>258</v>
      </c>
      <c r="B320">
        <v>15</v>
      </c>
      <c r="C320">
        <v>0</v>
      </c>
      <c r="D320">
        <v>0</v>
      </c>
      <c r="E320">
        <v>0</v>
      </c>
      <c r="F320">
        <v>0</v>
      </c>
      <c r="G320">
        <v>0</v>
      </c>
      <c r="H320">
        <v>0</v>
      </c>
    </row>
    <row r="321" spans="1:8" x14ac:dyDescent="0.3">
      <c r="A321" t="s">
        <v>259</v>
      </c>
      <c r="B321">
        <v>15</v>
      </c>
      <c r="C321">
        <v>0</v>
      </c>
      <c r="D321">
        <v>0</v>
      </c>
      <c r="E321">
        <v>0</v>
      </c>
      <c r="F321">
        <v>0</v>
      </c>
      <c r="G321">
        <v>0</v>
      </c>
      <c r="H321">
        <v>0</v>
      </c>
    </row>
    <row r="322" spans="1:8" x14ac:dyDescent="0.3">
      <c r="A322" t="s">
        <v>260</v>
      </c>
      <c r="B322">
        <v>15</v>
      </c>
      <c r="C322">
        <v>3</v>
      </c>
      <c r="D322">
        <v>3</v>
      </c>
      <c r="E322">
        <v>3</v>
      </c>
      <c r="F322">
        <v>3</v>
      </c>
      <c r="G322">
        <v>3</v>
      </c>
      <c r="H322">
        <v>3</v>
      </c>
    </row>
    <row r="323" spans="1:8" x14ac:dyDescent="0.3">
      <c r="A323" t="s">
        <v>261</v>
      </c>
      <c r="B323">
        <v>15</v>
      </c>
      <c r="C323">
        <v>4</v>
      </c>
      <c r="D323">
        <v>5.4</v>
      </c>
      <c r="E323">
        <v>4.8</v>
      </c>
      <c r="F323">
        <v>4.8</v>
      </c>
      <c r="G323">
        <v>4</v>
      </c>
      <c r="H323">
        <v>5.4</v>
      </c>
    </row>
    <row r="324" spans="1:8" x14ac:dyDescent="0.3">
      <c r="A324" t="s">
        <v>262</v>
      </c>
      <c r="B324">
        <v>15</v>
      </c>
      <c r="C324">
        <v>2</v>
      </c>
      <c r="D324">
        <v>2</v>
      </c>
      <c r="E324">
        <v>2</v>
      </c>
      <c r="F324">
        <v>2</v>
      </c>
      <c r="G324">
        <v>2</v>
      </c>
      <c r="H324">
        <v>2</v>
      </c>
    </row>
    <row r="325" spans="1:8" x14ac:dyDescent="0.3">
      <c r="A325" t="s">
        <v>263</v>
      </c>
      <c r="B325">
        <v>15</v>
      </c>
      <c r="C325">
        <v>0</v>
      </c>
      <c r="D325">
        <v>3</v>
      </c>
      <c r="E325">
        <v>0</v>
      </c>
      <c r="F325">
        <v>0</v>
      </c>
      <c r="G325">
        <v>0</v>
      </c>
      <c r="H325">
        <v>3</v>
      </c>
    </row>
    <row r="326" spans="1:8" x14ac:dyDescent="0.3">
      <c r="A326" t="s">
        <v>264</v>
      </c>
      <c r="B326">
        <v>15</v>
      </c>
    </row>
    <row r="327" spans="1:8" x14ac:dyDescent="0.3">
      <c r="A327" t="s">
        <v>265</v>
      </c>
      <c r="B327">
        <v>15</v>
      </c>
    </row>
    <row r="328" spans="1:8" x14ac:dyDescent="0.3">
      <c r="A328" t="s">
        <v>266</v>
      </c>
      <c r="B328">
        <v>15</v>
      </c>
    </row>
    <row r="329" spans="1:8" x14ac:dyDescent="0.3">
      <c r="A329" t="s">
        <v>267</v>
      </c>
      <c r="B329">
        <v>15</v>
      </c>
      <c r="C329">
        <v>12</v>
      </c>
      <c r="D329">
        <v>20</v>
      </c>
      <c r="E329">
        <v>15</v>
      </c>
      <c r="F329">
        <v>15</v>
      </c>
      <c r="G329">
        <v>12</v>
      </c>
      <c r="H329">
        <v>20</v>
      </c>
    </row>
    <row r="330" spans="1:8" x14ac:dyDescent="0.3">
      <c r="A330" t="s">
        <v>268</v>
      </c>
      <c r="B330">
        <v>15</v>
      </c>
      <c r="C330">
        <v>0</v>
      </c>
      <c r="D330">
        <v>1</v>
      </c>
      <c r="E330">
        <v>0</v>
      </c>
      <c r="F330">
        <v>0</v>
      </c>
      <c r="G330">
        <v>0</v>
      </c>
      <c r="H330">
        <v>1</v>
      </c>
    </row>
    <row r="331" spans="1:8" x14ac:dyDescent="0.3">
      <c r="A331" t="s">
        <v>269</v>
      </c>
      <c r="B331">
        <v>15</v>
      </c>
      <c r="C331">
        <v>1</v>
      </c>
      <c r="D331">
        <v>1</v>
      </c>
      <c r="E331">
        <v>1</v>
      </c>
      <c r="F331">
        <v>1</v>
      </c>
      <c r="G331">
        <v>1</v>
      </c>
      <c r="H331">
        <v>1</v>
      </c>
    </row>
    <row r="332" spans="1:8" x14ac:dyDescent="0.3">
      <c r="A332" t="s">
        <v>270</v>
      </c>
      <c r="B332">
        <v>15</v>
      </c>
      <c r="C332">
        <v>85</v>
      </c>
      <c r="D332">
        <v>100</v>
      </c>
      <c r="E332">
        <v>42</v>
      </c>
      <c r="F332">
        <v>63</v>
      </c>
      <c r="G332">
        <v>85</v>
      </c>
      <c r="H332">
        <v>100</v>
      </c>
    </row>
    <row r="333" spans="1:8" x14ac:dyDescent="0.3">
      <c r="A333" t="s">
        <v>271</v>
      </c>
      <c r="B333">
        <v>15</v>
      </c>
      <c r="C333">
        <v>100</v>
      </c>
      <c r="D333">
        <v>42</v>
      </c>
      <c r="E333">
        <v>63</v>
      </c>
      <c r="F333">
        <v>85</v>
      </c>
      <c r="G333">
        <v>100</v>
      </c>
      <c r="H333">
        <v>42</v>
      </c>
    </row>
    <row r="334" spans="1:8" x14ac:dyDescent="0.3">
      <c r="A334" t="s">
        <v>272</v>
      </c>
      <c r="B334">
        <v>15</v>
      </c>
      <c r="C334">
        <v>94</v>
      </c>
      <c r="D334">
        <v>34.6</v>
      </c>
      <c r="E334">
        <v>56.2</v>
      </c>
      <c r="F334">
        <v>78.2</v>
      </c>
      <c r="G334">
        <v>94</v>
      </c>
      <c r="H334">
        <v>34.6</v>
      </c>
    </row>
    <row r="335" spans="1:8" x14ac:dyDescent="0.3">
      <c r="A335" t="s">
        <v>273</v>
      </c>
      <c r="B335">
        <v>15</v>
      </c>
      <c r="C335">
        <v>94</v>
      </c>
      <c r="D335">
        <v>34.6</v>
      </c>
      <c r="E335">
        <v>56.2</v>
      </c>
      <c r="F335">
        <v>78.2</v>
      </c>
      <c r="G335">
        <v>94</v>
      </c>
      <c r="H335">
        <v>34.6</v>
      </c>
    </row>
    <row r="336" spans="1:8" x14ac:dyDescent="0.3">
      <c r="A336" t="s">
        <v>274</v>
      </c>
      <c r="B336">
        <v>15</v>
      </c>
      <c r="C336">
        <v>105</v>
      </c>
      <c r="D336">
        <v>0</v>
      </c>
      <c r="E336">
        <v>62</v>
      </c>
      <c r="F336">
        <v>83</v>
      </c>
      <c r="G336">
        <v>105</v>
      </c>
      <c r="H336">
        <v>0</v>
      </c>
    </row>
    <row r="337" spans="1:18" x14ac:dyDescent="0.3">
      <c r="A337" t="s">
        <v>275</v>
      </c>
      <c r="B337">
        <v>15</v>
      </c>
      <c r="C337">
        <v>114</v>
      </c>
      <c r="D337">
        <v>54.6</v>
      </c>
      <c r="E337">
        <v>76.2</v>
      </c>
      <c r="F337">
        <v>98.2</v>
      </c>
      <c r="G337">
        <v>114</v>
      </c>
      <c r="H337">
        <v>54.6</v>
      </c>
    </row>
    <row r="338" spans="1:18" x14ac:dyDescent="0.3">
      <c r="A338" t="s">
        <v>276</v>
      </c>
      <c r="B338">
        <v>15</v>
      </c>
      <c r="C338">
        <v>114</v>
      </c>
      <c r="D338">
        <v>54.6</v>
      </c>
      <c r="E338">
        <v>76.2</v>
      </c>
      <c r="F338">
        <v>98.2</v>
      </c>
      <c r="G338">
        <v>114</v>
      </c>
      <c r="H338">
        <v>54.6</v>
      </c>
    </row>
    <row r="339" spans="1:18" x14ac:dyDescent="0.3">
      <c r="A339" t="s">
        <v>681</v>
      </c>
      <c r="B339">
        <v>15</v>
      </c>
      <c r="C339">
        <v>1.4</v>
      </c>
      <c r="D339">
        <v>81.3</v>
      </c>
      <c r="E339">
        <v>5.2</v>
      </c>
      <c r="F339">
        <v>5.0999999999999996</v>
      </c>
      <c r="G339">
        <v>6.4</v>
      </c>
      <c r="H339">
        <v>76.3</v>
      </c>
    </row>
    <row r="340" spans="1:18" x14ac:dyDescent="0.3">
      <c r="A340" t="s">
        <v>254</v>
      </c>
      <c r="B340">
        <v>16</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3">
      <c r="A341" t="s">
        <v>255</v>
      </c>
      <c r="B341">
        <v>16</v>
      </c>
      <c r="D341">
        <v>12</v>
      </c>
      <c r="F341">
        <v>8</v>
      </c>
      <c r="G341">
        <v>4</v>
      </c>
      <c r="H341">
        <v>12</v>
      </c>
      <c r="J341">
        <v>8</v>
      </c>
    </row>
    <row r="342" spans="1:18" x14ac:dyDescent="0.3">
      <c r="A342" t="s">
        <v>256</v>
      </c>
      <c r="B342">
        <v>16</v>
      </c>
      <c r="D342">
        <v>78.5</v>
      </c>
      <c r="F342">
        <v>28.4</v>
      </c>
      <c r="G342">
        <v>10</v>
      </c>
      <c r="H342">
        <v>64.5</v>
      </c>
      <c r="J342">
        <v>28.4</v>
      </c>
    </row>
    <row r="343" spans="1:18" x14ac:dyDescent="0.3">
      <c r="A343" t="s">
        <v>257</v>
      </c>
      <c r="B343">
        <v>16</v>
      </c>
      <c r="D343">
        <v>6</v>
      </c>
      <c r="F343">
        <v>3</v>
      </c>
      <c r="G343">
        <v>3</v>
      </c>
      <c r="H343">
        <v>6</v>
      </c>
      <c r="J343">
        <v>3</v>
      </c>
    </row>
    <row r="344" spans="1:18" x14ac:dyDescent="0.3">
      <c r="A344" t="s">
        <v>258</v>
      </c>
      <c r="B344">
        <v>16</v>
      </c>
      <c r="D344">
        <v>0</v>
      </c>
      <c r="F344">
        <v>0</v>
      </c>
      <c r="G344">
        <v>0</v>
      </c>
      <c r="H344">
        <v>0</v>
      </c>
      <c r="J344">
        <v>0</v>
      </c>
    </row>
    <row r="345" spans="1:18" x14ac:dyDescent="0.3">
      <c r="A345" t="s">
        <v>259</v>
      </c>
      <c r="B345">
        <v>16</v>
      </c>
      <c r="D345">
        <v>0</v>
      </c>
      <c r="F345">
        <v>0</v>
      </c>
      <c r="G345">
        <v>0</v>
      </c>
      <c r="H345">
        <v>0</v>
      </c>
      <c r="J345">
        <v>0</v>
      </c>
    </row>
    <row r="346" spans="1:18" x14ac:dyDescent="0.3">
      <c r="A346" t="s">
        <v>260</v>
      </c>
      <c r="B346">
        <v>16</v>
      </c>
      <c r="D346">
        <v>3</v>
      </c>
      <c r="F346">
        <v>3</v>
      </c>
      <c r="G346">
        <v>3</v>
      </c>
      <c r="H346">
        <v>3</v>
      </c>
      <c r="J346">
        <v>3</v>
      </c>
    </row>
    <row r="347" spans="1:18" x14ac:dyDescent="0.3">
      <c r="A347" t="s">
        <v>261</v>
      </c>
      <c r="B347">
        <v>16</v>
      </c>
      <c r="D347">
        <v>4.5</v>
      </c>
      <c r="F347">
        <v>4.5999999999999996</v>
      </c>
      <c r="G347">
        <v>3.5</v>
      </c>
      <c r="H347">
        <v>4.5</v>
      </c>
      <c r="J347">
        <v>4.5999999999999996</v>
      </c>
    </row>
    <row r="348" spans="1:18" x14ac:dyDescent="0.3">
      <c r="A348" t="s">
        <v>262</v>
      </c>
      <c r="B348">
        <v>16</v>
      </c>
      <c r="D348">
        <v>2</v>
      </c>
      <c r="F348">
        <v>2</v>
      </c>
      <c r="G348">
        <v>0.5</v>
      </c>
      <c r="H348">
        <v>2</v>
      </c>
      <c r="J348">
        <v>2</v>
      </c>
    </row>
    <row r="349" spans="1:18" x14ac:dyDescent="0.3">
      <c r="A349" t="s">
        <v>263</v>
      </c>
      <c r="B349">
        <v>16</v>
      </c>
      <c r="D349">
        <v>3</v>
      </c>
      <c r="F349">
        <v>0</v>
      </c>
      <c r="G349">
        <v>0</v>
      </c>
      <c r="H349">
        <v>3</v>
      </c>
      <c r="J349">
        <v>0</v>
      </c>
    </row>
    <row r="350" spans="1:18" x14ac:dyDescent="0.3">
      <c r="A350" t="s">
        <v>264</v>
      </c>
      <c r="B350">
        <v>16</v>
      </c>
    </row>
    <row r="351" spans="1:18" x14ac:dyDescent="0.3">
      <c r="A351" t="s">
        <v>265</v>
      </c>
      <c r="B351">
        <v>16</v>
      </c>
    </row>
    <row r="352" spans="1:18" x14ac:dyDescent="0.3">
      <c r="A352" t="s">
        <v>266</v>
      </c>
      <c r="B352">
        <v>16</v>
      </c>
    </row>
    <row r="353" spans="1:18" x14ac:dyDescent="0.3">
      <c r="A353" t="s">
        <v>267</v>
      </c>
      <c r="B353">
        <v>16</v>
      </c>
      <c r="D353">
        <v>20</v>
      </c>
      <c r="F353">
        <v>15</v>
      </c>
      <c r="G353">
        <v>12</v>
      </c>
      <c r="H353">
        <v>20</v>
      </c>
      <c r="J353">
        <v>15</v>
      </c>
    </row>
    <row r="354" spans="1:18" x14ac:dyDescent="0.3">
      <c r="A354" t="s">
        <v>268</v>
      </c>
      <c r="B354">
        <v>16</v>
      </c>
      <c r="D354">
        <v>1</v>
      </c>
      <c r="F354">
        <v>1</v>
      </c>
      <c r="G354">
        <v>0</v>
      </c>
      <c r="H354">
        <v>1</v>
      </c>
      <c r="J354">
        <v>1</v>
      </c>
    </row>
    <row r="355" spans="1:18" x14ac:dyDescent="0.3">
      <c r="A355" t="s">
        <v>269</v>
      </c>
      <c r="B355">
        <v>16</v>
      </c>
      <c r="D355">
        <v>1</v>
      </c>
      <c r="F355">
        <v>1</v>
      </c>
      <c r="G355">
        <v>1</v>
      </c>
      <c r="H355">
        <v>1</v>
      </c>
      <c r="J355">
        <v>1</v>
      </c>
    </row>
    <row r="356" spans="1:18" x14ac:dyDescent="0.3">
      <c r="A356" t="s">
        <v>270</v>
      </c>
      <c r="B356">
        <v>16</v>
      </c>
      <c r="D356">
        <v>100</v>
      </c>
      <c r="F356">
        <v>65</v>
      </c>
      <c r="G356">
        <v>100</v>
      </c>
      <c r="H356">
        <v>114</v>
      </c>
      <c r="J356">
        <v>65</v>
      </c>
    </row>
    <row r="357" spans="1:18" x14ac:dyDescent="0.3">
      <c r="A357" t="s">
        <v>271</v>
      </c>
      <c r="B357">
        <v>16</v>
      </c>
      <c r="D357">
        <v>65</v>
      </c>
      <c r="F357">
        <v>100</v>
      </c>
      <c r="G357">
        <v>114</v>
      </c>
      <c r="H357">
        <v>65</v>
      </c>
      <c r="J357">
        <v>100</v>
      </c>
    </row>
    <row r="358" spans="1:18" x14ac:dyDescent="0.3">
      <c r="A358" t="s">
        <v>272</v>
      </c>
      <c r="B358">
        <v>16</v>
      </c>
      <c r="D358">
        <v>58.5</v>
      </c>
      <c r="F358">
        <v>93.4</v>
      </c>
      <c r="G358">
        <v>110</v>
      </c>
      <c r="H358">
        <v>58.5</v>
      </c>
      <c r="J358">
        <v>93.4</v>
      </c>
    </row>
    <row r="359" spans="1:18" x14ac:dyDescent="0.3">
      <c r="A359" t="s">
        <v>273</v>
      </c>
      <c r="B359">
        <v>16</v>
      </c>
      <c r="D359">
        <v>58.5</v>
      </c>
      <c r="F359">
        <v>93.4</v>
      </c>
      <c r="G359">
        <v>110</v>
      </c>
      <c r="H359">
        <v>58.5</v>
      </c>
      <c r="J359">
        <v>93.4</v>
      </c>
    </row>
    <row r="360" spans="1:18" x14ac:dyDescent="0.3">
      <c r="A360" t="s">
        <v>274</v>
      </c>
      <c r="B360">
        <v>16</v>
      </c>
      <c r="D360">
        <v>0</v>
      </c>
      <c r="F360">
        <v>85</v>
      </c>
      <c r="G360">
        <v>0</v>
      </c>
      <c r="H360">
        <v>14</v>
      </c>
      <c r="J360">
        <v>85</v>
      </c>
    </row>
    <row r="361" spans="1:18" x14ac:dyDescent="0.3">
      <c r="A361" t="s">
        <v>275</v>
      </c>
      <c r="B361">
        <v>16</v>
      </c>
      <c r="D361">
        <v>78.5</v>
      </c>
      <c r="F361">
        <v>113.4</v>
      </c>
      <c r="G361">
        <v>10</v>
      </c>
      <c r="H361">
        <v>78.5</v>
      </c>
      <c r="J361">
        <v>113.4</v>
      </c>
    </row>
    <row r="362" spans="1:18" x14ac:dyDescent="0.3">
      <c r="A362" t="s">
        <v>276</v>
      </c>
      <c r="B362">
        <v>16</v>
      </c>
      <c r="D362">
        <v>78.5</v>
      </c>
      <c r="F362">
        <v>113.4</v>
      </c>
      <c r="G362">
        <v>10</v>
      </c>
      <c r="H362">
        <v>78.5</v>
      </c>
      <c r="J362">
        <v>113.4</v>
      </c>
    </row>
    <row r="363" spans="1:18" x14ac:dyDescent="0.3">
      <c r="A363" t="s">
        <v>681</v>
      </c>
      <c r="B363">
        <v>16</v>
      </c>
      <c r="D363">
        <v>101.6</v>
      </c>
      <c r="F363">
        <v>5.3</v>
      </c>
      <c r="G363">
        <v>1.2</v>
      </c>
      <c r="H363">
        <v>96.4</v>
      </c>
      <c r="J363">
        <v>5.3</v>
      </c>
    </row>
    <row r="364" spans="1:18" x14ac:dyDescent="0.3">
      <c r="A364" t="s">
        <v>254</v>
      </c>
      <c r="B364">
        <v>19</v>
      </c>
      <c r="C364">
        <v>111</v>
      </c>
      <c r="D364">
        <v>112</v>
      </c>
      <c r="E364">
        <v>211</v>
      </c>
      <c r="F364">
        <v>212</v>
      </c>
      <c r="G364">
        <v>121</v>
      </c>
      <c r="H364">
        <v>122</v>
      </c>
      <c r="I364">
        <v>221</v>
      </c>
      <c r="J364">
        <v>222</v>
      </c>
      <c r="K364">
        <v>311</v>
      </c>
      <c r="L364">
        <v>312</v>
      </c>
      <c r="M364">
        <v>411</v>
      </c>
      <c r="N364">
        <v>412</v>
      </c>
      <c r="O364">
        <v>321</v>
      </c>
      <c r="P364">
        <v>322</v>
      </c>
      <c r="Q364">
        <v>421</v>
      </c>
      <c r="R364">
        <v>422</v>
      </c>
    </row>
    <row r="365" spans="1:18" x14ac:dyDescent="0.3">
      <c r="A365" t="s">
        <v>255</v>
      </c>
      <c r="B365">
        <v>19</v>
      </c>
      <c r="C365">
        <v>6</v>
      </c>
      <c r="D365">
        <v>15</v>
      </c>
      <c r="G365">
        <v>6</v>
      </c>
      <c r="H365">
        <v>1</v>
      </c>
      <c r="J365">
        <v>8</v>
      </c>
    </row>
    <row r="366" spans="1:18" x14ac:dyDescent="0.3">
      <c r="A366" t="s">
        <v>256</v>
      </c>
      <c r="B366">
        <v>19</v>
      </c>
      <c r="C366">
        <v>9</v>
      </c>
      <c r="D366">
        <v>53</v>
      </c>
      <c r="G366">
        <v>9</v>
      </c>
      <c r="H366">
        <v>53</v>
      </c>
      <c r="J366">
        <v>38.200000000000003</v>
      </c>
    </row>
    <row r="367" spans="1:18" x14ac:dyDescent="0.3">
      <c r="A367" t="s">
        <v>257</v>
      </c>
      <c r="B367">
        <v>19</v>
      </c>
      <c r="C367">
        <v>3</v>
      </c>
      <c r="D367">
        <v>6</v>
      </c>
      <c r="G367">
        <v>3</v>
      </c>
      <c r="H367">
        <v>6</v>
      </c>
      <c r="J367">
        <v>3</v>
      </c>
    </row>
    <row r="368" spans="1:18" x14ac:dyDescent="0.3">
      <c r="A368" t="s">
        <v>258</v>
      </c>
      <c r="B368">
        <v>19</v>
      </c>
      <c r="C368">
        <v>0</v>
      </c>
      <c r="D368">
        <v>0</v>
      </c>
      <c r="G368">
        <v>0</v>
      </c>
      <c r="H368">
        <v>0</v>
      </c>
      <c r="J368">
        <v>0</v>
      </c>
    </row>
    <row r="369" spans="1:10" x14ac:dyDescent="0.3">
      <c r="A369" t="s">
        <v>259</v>
      </c>
      <c r="B369">
        <v>19</v>
      </c>
      <c r="C369">
        <v>0</v>
      </c>
      <c r="D369">
        <v>0</v>
      </c>
      <c r="G369">
        <v>0</v>
      </c>
      <c r="H369">
        <v>0</v>
      </c>
      <c r="J369">
        <v>0</v>
      </c>
    </row>
    <row r="370" spans="1:10" x14ac:dyDescent="0.3">
      <c r="A370" t="s">
        <v>260</v>
      </c>
      <c r="B370">
        <v>19</v>
      </c>
      <c r="C370">
        <v>3</v>
      </c>
      <c r="D370">
        <v>3</v>
      </c>
      <c r="G370">
        <v>3</v>
      </c>
      <c r="H370">
        <v>3</v>
      </c>
      <c r="J370">
        <v>3</v>
      </c>
    </row>
    <row r="371" spans="1:10" x14ac:dyDescent="0.3">
      <c r="A371" t="s">
        <v>261</v>
      </c>
      <c r="B371">
        <v>19</v>
      </c>
      <c r="C371">
        <v>4</v>
      </c>
      <c r="D371">
        <v>5</v>
      </c>
      <c r="G371">
        <v>4</v>
      </c>
      <c r="H371">
        <v>5</v>
      </c>
      <c r="J371">
        <v>4.8</v>
      </c>
    </row>
    <row r="372" spans="1:10" x14ac:dyDescent="0.3">
      <c r="A372" t="s">
        <v>262</v>
      </c>
      <c r="B372">
        <v>19</v>
      </c>
      <c r="C372">
        <v>2</v>
      </c>
      <c r="D372">
        <v>2</v>
      </c>
      <c r="G372">
        <v>2</v>
      </c>
      <c r="H372">
        <v>2</v>
      </c>
      <c r="J372">
        <v>2</v>
      </c>
    </row>
    <row r="373" spans="1:10" x14ac:dyDescent="0.3">
      <c r="A373" t="s">
        <v>263</v>
      </c>
      <c r="B373">
        <v>19</v>
      </c>
      <c r="C373">
        <v>0</v>
      </c>
      <c r="D373">
        <v>3</v>
      </c>
      <c r="G373">
        <v>0</v>
      </c>
      <c r="H373">
        <v>3</v>
      </c>
      <c r="J373">
        <v>0</v>
      </c>
    </row>
    <row r="374" spans="1:10" x14ac:dyDescent="0.3">
      <c r="A374" t="s">
        <v>264</v>
      </c>
      <c r="B374">
        <v>19</v>
      </c>
    </row>
    <row r="375" spans="1:10" x14ac:dyDescent="0.3">
      <c r="A375" t="s">
        <v>265</v>
      </c>
      <c r="B375">
        <v>19</v>
      </c>
    </row>
    <row r="376" spans="1:10" x14ac:dyDescent="0.3">
      <c r="A376" t="s">
        <v>266</v>
      </c>
      <c r="B376">
        <v>19</v>
      </c>
    </row>
    <row r="377" spans="1:10" x14ac:dyDescent="0.3">
      <c r="A377" t="s">
        <v>267</v>
      </c>
      <c r="B377">
        <v>19</v>
      </c>
      <c r="C377">
        <v>13</v>
      </c>
      <c r="D377">
        <v>22</v>
      </c>
      <c r="G377">
        <v>13</v>
      </c>
      <c r="H377">
        <v>22</v>
      </c>
      <c r="J377">
        <v>15</v>
      </c>
    </row>
    <row r="378" spans="1:10" x14ac:dyDescent="0.3">
      <c r="A378" t="s">
        <v>268</v>
      </c>
      <c r="B378">
        <v>19</v>
      </c>
      <c r="C378">
        <v>0</v>
      </c>
      <c r="D378">
        <v>1</v>
      </c>
      <c r="G378">
        <v>0</v>
      </c>
      <c r="H378">
        <v>1</v>
      </c>
      <c r="J378">
        <v>0</v>
      </c>
    </row>
    <row r="379" spans="1:10" x14ac:dyDescent="0.3">
      <c r="A379" t="s">
        <v>269</v>
      </c>
      <c r="B379">
        <v>19</v>
      </c>
      <c r="C379">
        <v>1</v>
      </c>
      <c r="D379">
        <v>1</v>
      </c>
      <c r="G379">
        <v>1</v>
      </c>
      <c r="H379">
        <v>1</v>
      </c>
      <c r="J379">
        <v>1</v>
      </c>
    </row>
    <row r="380" spans="1:10" x14ac:dyDescent="0.3">
      <c r="A380" t="s">
        <v>270</v>
      </c>
      <c r="B380">
        <v>19</v>
      </c>
      <c r="C380">
        <v>5</v>
      </c>
      <c r="D380">
        <v>20</v>
      </c>
      <c r="G380">
        <v>5</v>
      </c>
      <c r="H380">
        <v>20</v>
      </c>
      <c r="J380">
        <v>80</v>
      </c>
    </row>
    <row r="381" spans="1:10" x14ac:dyDescent="0.3">
      <c r="A381" t="s">
        <v>271</v>
      </c>
      <c r="B381">
        <v>19</v>
      </c>
      <c r="C381">
        <v>20</v>
      </c>
      <c r="D381">
        <v>80</v>
      </c>
      <c r="G381">
        <v>20</v>
      </c>
      <c r="H381">
        <v>80</v>
      </c>
      <c r="J381">
        <v>5</v>
      </c>
    </row>
    <row r="382" spans="1:10" x14ac:dyDescent="0.3">
      <c r="A382" t="s">
        <v>272</v>
      </c>
      <c r="B382">
        <v>19</v>
      </c>
      <c r="C382">
        <v>14</v>
      </c>
      <c r="D382">
        <v>73</v>
      </c>
      <c r="G382">
        <v>14</v>
      </c>
      <c r="H382">
        <v>73</v>
      </c>
      <c r="J382">
        <v>118.2</v>
      </c>
    </row>
    <row r="383" spans="1:10" x14ac:dyDescent="0.3">
      <c r="A383" t="s">
        <v>273</v>
      </c>
      <c r="B383">
        <v>19</v>
      </c>
      <c r="C383">
        <v>14</v>
      </c>
      <c r="D383">
        <v>73</v>
      </c>
      <c r="G383">
        <v>14</v>
      </c>
      <c r="H383">
        <v>73</v>
      </c>
      <c r="J383">
        <v>118.2</v>
      </c>
    </row>
    <row r="384" spans="1:10" x14ac:dyDescent="0.3">
      <c r="A384" t="s">
        <v>274</v>
      </c>
      <c r="B384">
        <v>19</v>
      </c>
      <c r="C384">
        <v>105</v>
      </c>
      <c r="D384">
        <v>0</v>
      </c>
      <c r="G384">
        <v>105</v>
      </c>
      <c r="H384">
        <v>0</v>
      </c>
      <c r="J384">
        <v>60</v>
      </c>
    </row>
    <row r="385" spans="1:18" x14ac:dyDescent="0.3">
      <c r="A385" t="s">
        <v>275</v>
      </c>
      <c r="B385">
        <v>19</v>
      </c>
      <c r="C385">
        <v>114</v>
      </c>
      <c r="D385">
        <v>53</v>
      </c>
      <c r="G385">
        <v>114</v>
      </c>
      <c r="H385">
        <v>53</v>
      </c>
      <c r="J385">
        <v>98.2</v>
      </c>
    </row>
    <row r="386" spans="1:18" x14ac:dyDescent="0.3">
      <c r="A386" t="s">
        <v>276</v>
      </c>
      <c r="B386">
        <v>19</v>
      </c>
      <c r="C386">
        <v>114</v>
      </c>
      <c r="D386">
        <v>53</v>
      </c>
      <c r="G386">
        <v>114</v>
      </c>
      <c r="H386">
        <v>53</v>
      </c>
      <c r="J386">
        <v>98.2</v>
      </c>
    </row>
    <row r="387" spans="1:18" x14ac:dyDescent="0.3">
      <c r="A387" t="s">
        <v>681</v>
      </c>
      <c r="B387">
        <v>19</v>
      </c>
      <c r="C387">
        <v>2.4</v>
      </c>
      <c r="D387">
        <v>86.9</v>
      </c>
      <c r="G387">
        <v>5.2</v>
      </c>
      <c r="H387">
        <v>84.1</v>
      </c>
      <c r="J387">
        <v>10.9</v>
      </c>
    </row>
    <row r="388" spans="1:18" x14ac:dyDescent="0.3">
      <c r="A388" t="s">
        <v>254</v>
      </c>
      <c r="B388">
        <v>21</v>
      </c>
      <c r="C388">
        <v>111</v>
      </c>
      <c r="D388">
        <v>112</v>
      </c>
      <c r="E388">
        <v>211</v>
      </c>
      <c r="F388">
        <v>212</v>
      </c>
      <c r="G388">
        <v>121</v>
      </c>
      <c r="H388">
        <v>122</v>
      </c>
      <c r="I388">
        <v>221</v>
      </c>
      <c r="J388">
        <v>222</v>
      </c>
      <c r="K388">
        <v>311</v>
      </c>
      <c r="L388">
        <v>312</v>
      </c>
      <c r="M388">
        <v>411</v>
      </c>
      <c r="N388">
        <v>412</v>
      </c>
      <c r="O388">
        <v>321</v>
      </c>
      <c r="P388">
        <v>322</v>
      </c>
      <c r="Q388">
        <v>421</v>
      </c>
      <c r="R388">
        <v>422</v>
      </c>
    </row>
    <row r="389" spans="1:18" x14ac:dyDescent="0.3">
      <c r="A389" t="s">
        <v>255</v>
      </c>
      <c r="B389">
        <v>21</v>
      </c>
      <c r="C389">
        <v>6</v>
      </c>
      <c r="D389">
        <v>12</v>
      </c>
      <c r="F389">
        <v>8</v>
      </c>
      <c r="G389">
        <v>1</v>
      </c>
      <c r="H389">
        <v>12</v>
      </c>
      <c r="J389">
        <v>8</v>
      </c>
    </row>
    <row r="390" spans="1:18" x14ac:dyDescent="0.3">
      <c r="A390" t="s">
        <v>256</v>
      </c>
      <c r="B390">
        <v>21</v>
      </c>
      <c r="C390">
        <v>33.5</v>
      </c>
      <c r="D390">
        <v>35</v>
      </c>
      <c r="F390">
        <v>31</v>
      </c>
      <c r="G390">
        <v>13.5</v>
      </c>
      <c r="H390">
        <v>55</v>
      </c>
      <c r="J390">
        <v>31</v>
      </c>
    </row>
    <row r="391" spans="1:18" x14ac:dyDescent="0.3">
      <c r="A391" t="s">
        <v>257</v>
      </c>
      <c r="B391">
        <v>21</v>
      </c>
      <c r="C391">
        <v>3</v>
      </c>
      <c r="D391">
        <v>6</v>
      </c>
      <c r="F391">
        <v>3</v>
      </c>
      <c r="G391">
        <v>3</v>
      </c>
      <c r="H391">
        <v>6</v>
      </c>
      <c r="J391">
        <v>3</v>
      </c>
    </row>
    <row r="392" spans="1:18" x14ac:dyDescent="0.3">
      <c r="A392" t="s">
        <v>258</v>
      </c>
      <c r="B392">
        <v>21</v>
      </c>
      <c r="C392">
        <v>0</v>
      </c>
      <c r="D392">
        <v>0</v>
      </c>
      <c r="F392">
        <v>0</v>
      </c>
      <c r="G392">
        <v>0</v>
      </c>
      <c r="H392">
        <v>0</v>
      </c>
      <c r="J392">
        <v>0</v>
      </c>
    </row>
    <row r="393" spans="1:18" x14ac:dyDescent="0.3">
      <c r="A393" t="s">
        <v>259</v>
      </c>
      <c r="B393">
        <v>21</v>
      </c>
      <c r="C393">
        <v>0</v>
      </c>
      <c r="D393">
        <v>0</v>
      </c>
      <c r="F393">
        <v>0</v>
      </c>
      <c r="G393">
        <v>0</v>
      </c>
      <c r="H393">
        <v>0</v>
      </c>
      <c r="J393">
        <v>0</v>
      </c>
    </row>
    <row r="394" spans="1:18" x14ac:dyDescent="0.3">
      <c r="A394" t="s">
        <v>260</v>
      </c>
      <c r="B394">
        <v>21</v>
      </c>
      <c r="C394">
        <v>3</v>
      </c>
      <c r="D394">
        <v>3</v>
      </c>
      <c r="F394">
        <v>3</v>
      </c>
      <c r="G394">
        <v>3</v>
      </c>
      <c r="H394">
        <v>3</v>
      </c>
      <c r="J394">
        <v>3</v>
      </c>
    </row>
    <row r="395" spans="1:18" x14ac:dyDescent="0.3">
      <c r="A395" t="s">
        <v>261</v>
      </c>
      <c r="B395">
        <v>21</v>
      </c>
      <c r="C395">
        <v>4.5</v>
      </c>
      <c r="D395">
        <v>5</v>
      </c>
      <c r="F395">
        <v>5</v>
      </c>
      <c r="G395">
        <v>4.5</v>
      </c>
      <c r="H395">
        <v>5</v>
      </c>
      <c r="J395">
        <v>5</v>
      </c>
    </row>
    <row r="396" spans="1:18" x14ac:dyDescent="0.3">
      <c r="A396" t="s">
        <v>262</v>
      </c>
      <c r="B396">
        <v>21</v>
      </c>
      <c r="C396">
        <v>2</v>
      </c>
      <c r="D396">
        <v>2</v>
      </c>
      <c r="F396">
        <v>2</v>
      </c>
      <c r="G396">
        <v>2</v>
      </c>
      <c r="H396">
        <v>2</v>
      </c>
      <c r="J396">
        <v>2</v>
      </c>
    </row>
    <row r="397" spans="1:18" x14ac:dyDescent="0.3">
      <c r="A397" t="s">
        <v>263</v>
      </c>
      <c r="B397">
        <v>21</v>
      </c>
      <c r="C397">
        <v>0</v>
      </c>
      <c r="D397">
        <v>3</v>
      </c>
      <c r="F397">
        <v>0</v>
      </c>
      <c r="G397">
        <v>0</v>
      </c>
      <c r="H397">
        <v>3</v>
      </c>
      <c r="J397">
        <v>0</v>
      </c>
    </row>
    <row r="398" spans="1:18" x14ac:dyDescent="0.3">
      <c r="A398" t="s">
        <v>264</v>
      </c>
      <c r="B398">
        <v>21</v>
      </c>
    </row>
    <row r="399" spans="1:18" x14ac:dyDescent="0.3">
      <c r="A399" t="s">
        <v>265</v>
      </c>
      <c r="B399">
        <v>21</v>
      </c>
    </row>
    <row r="400" spans="1:18" x14ac:dyDescent="0.3">
      <c r="A400" t="s">
        <v>266</v>
      </c>
      <c r="B400">
        <v>21</v>
      </c>
    </row>
    <row r="401" spans="1:18" x14ac:dyDescent="0.3">
      <c r="A401" t="s">
        <v>267</v>
      </c>
      <c r="B401">
        <v>21</v>
      </c>
      <c r="C401">
        <v>13</v>
      </c>
      <c r="D401">
        <v>20</v>
      </c>
      <c r="F401">
        <v>16</v>
      </c>
      <c r="G401">
        <v>13</v>
      </c>
      <c r="H401">
        <v>20</v>
      </c>
      <c r="J401">
        <v>16</v>
      </c>
    </row>
    <row r="402" spans="1:18" x14ac:dyDescent="0.3">
      <c r="A402" t="s">
        <v>268</v>
      </c>
      <c r="B402">
        <v>21</v>
      </c>
      <c r="C402">
        <v>0</v>
      </c>
      <c r="D402">
        <v>1</v>
      </c>
      <c r="F402">
        <v>1</v>
      </c>
      <c r="G402">
        <v>0</v>
      </c>
      <c r="H402">
        <v>1</v>
      </c>
      <c r="J402">
        <v>1</v>
      </c>
    </row>
    <row r="403" spans="1:18" x14ac:dyDescent="0.3">
      <c r="A403" t="s">
        <v>269</v>
      </c>
      <c r="B403">
        <v>21</v>
      </c>
      <c r="C403">
        <v>1</v>
      </c>
      <c r="D403">
        <v>1</v>
      </c>
      <c r="F403">
        <v>1</v>
      </c>
      <c r="G403">
        <v>1</v>
      </c>
      <c r="H403">
        <v>1</v>
      </c>
      <c r="J403">
        <v>1</v>
      </c>
    </row>
    <row r="404" spans="1:18" x14ac:dyDescent="0.3">
      <c r="A404" t="s">
        <v>270</v>
      </c>
      <c r="B404">
        <v>21</v>
      </c>
      <c r="C404">
        <v>10</v>
      </c>
      <c r="D404">
        <v>50</v>
      </c>
      <c r="F404">
        <v>92</v>
      </c>
      <c r="G404">
        <v>10</v>
      </c>
      <c r="H404">
        <v>30</v>
      </c>
      <c r="J404">
        <v>92</v>
      </c>
    </row>
    <row r="405" spans="1:18" x14ac:dyDescent="0.3">
      <c r="A405" t="s">
        <v>271</v>
      </c>
      <c r="B405">
        <v>21</v>
      </c>
      <c r="C405">
        <v>50</v>
      </c>
      <c r="D405">
        <v>92</v>
      </c>
      <c r="F405">
        <v>10</v>
      </c>
      <c r="G405">
        <v>30</v>
      </c>
      <c r="H405">
        <v>92</v>
      </c>
      <c r="J405">
        <v>10</v>
      </c>
    </row>
    <row r="406" spans="1:18" x14ac:dyDescent="0.3">
      <c r="A406" t="s">
        <v>272</v>
      </c>
      <c r="B406">
        <v>21</v>
      </c>
      <c r="C406">
        <v>43.5</v>
      </c>
      <c r="D406">
        <v>85</v>
      </c>
      <c r="F406">
        <v>3</v>
      </c>
      <c r="G406">
        <v>23.5</v>
      </c>
      <c r="H406">
        <v>85</v>
      </c>
      <c r="J406">
        <v>3</v>
      </c>
    </row>
    <row r="407" spans="1:18" x14ac:dyDescent="0.3">
      <c r="A407" t="s">
        <v>273</v>
      </c>
      <c r="B407">
        <v>21</v>
      </c>
      <c r="C407">
        <v>43.5</v>
      </c>
      <c r="D407">
        <v>85</v>
      </c>
      <c r="F407">
        <v>3</v>
      </c>
      <c r="G407">
        <v>23.5</v>
      </c>
      <c r="H407">
        <v>85</v>
      </c>
      <c r="J407">
        <v>3</v>
      </c>
    </row>
    <row r="408" spans="1:18" x14ac:dyDescent="0.3">
      <c r="A408" t="s">
        <v>274</v>
      </c>
      <c r="B408">
        <v>21</v>
      </c>
      <c r="C408">
        <v>100</v>
      </c>
      <c r="D408">
        <v>20</v>
      </c>
      <c r="F408">
        <v>62</v>
      </c>
      <c r="G408">
        <v>100</v>
      </c>
      <c r="H408">
        <v>0</v>
      </c>
      <c r="J408">
        <v>62</v>
      </c>
    </row>
    <row r="409" spans="1:18" x14ac:dyDescent="0.3">
      <c r="A409" t="s">
        <v>275</v>
      </c>
      <c r="B409">
        <v>21</v>
      </c>
      <c r="C409">
        <v>13.5</v>
      </c>
      <c r="D409">
        <v>55</v>
      </c>
      <c r="F409">
        <v>93</v>
      </c>
      <c r="G409">
        <v>113.5</v>
      </c>
      <c r="H409">
        <v>55</v>
      </c>
      <c r="J409">
        <v>93</v>
      </c>
    </row>
    <row r="410" spans="1:18" x14ac:dyDescent="0.3">
      <c r="A410" t="s">
        <v>276</v>
      </c>
      <c r="B410">
        <v>21</v>
      </c>
      <c r="C410">
        <v>13.5</v>
      </c>
      <c r="D410">
        <v>55</v>
      </c>
      <c r="F410">
        <v>93</v>
      </c>
      <c r="G410">
        <v>113.5</v>
      </c>
      <c r="H410">
        <v>55</v>
      </c>
      <c r="J410">
        <v>93</v>
      </c>
    </row>
    <row r="411" spans="1:18" x14ac:dyDescent="0.3">
      <c r="A411" t="s">
        <v>681</v>
      </c>
      <c r="B411">
        <v>21</v>
      </c>
      <c r="C411">
        <v>23.3</v>
      </c>
      <c r="D411">
        <v>59.7</v>
      </c>
      <c r="F411">
        <v>16.5</v>
      </c>
      <c r="G411">
        <v>5.0999999999999996</v>
      </c>
      <c r="H411">
        <v>77.900000000000006</v>
      </c>
      <c r="J411">
        <v>16.5</v>
      </c>
    </row>
    <row r="412" spans="1:18" x14ac:dyDescent="0.3">
      <c r="A412" t="s">
        <v>254</v>
      </c>
      <c r="B412">
        <v>22</v>
      </c>
      <c r="C412">
        <v>111</v>
      </c>
      <c r="D412">
        <v>112</v>
      </c>
      <c r="E412">
        <v>211</v>
      </c>
      <c r="F412">
        <v>212</v>
      </c>
      <c r="G412">
        <v>121</v>
      </c>
      <c r="H412">
        <v>122</v>
      </c>
      <c r="I412">
        <v>221</v>
      </c>
      <c r="J412">
        <v>222</v>
      </c>
      <c r="K412">
        <v>311</v>
      </c>
      <c r="L412">
        <v>312</v>
      </c>
      <c r="M412">
        <v>411</v>
      </c>
      <c r="N412">
        <v>412</v>
      </c>
      <c r="O412">
        <v>321</v>
      </c>
      <c r="P412">
        <v>322</v>
      </c>
      <c r="Q412">
        <v>421</v>
      </c>
      <c r="R412">
        <v>422</v>
      </c>
    </row>
    <row r="413" spans="1:18" x14ac:dyDescent="0.3">
      <c r="A413" t="s">
        <v>255</v>
      </c>
      <c r="B413">
        <v>22</v>
      </c>
      <c r="C413">
        <v>5</v>
      </c>
      <c r="D413">
        <v>12</v>
      </c>
      <c r="F413">
        <v>8</v>
      </c>
      <c r="G413">
        <v>1</v>
      </c>
      <c r="H413">
        <v>12</v>
      </c>
      <c r="J413">
        <v>8</v>
      </c>
    </row>
    <row r="414" spans="1:18" x14ac:dyDescent="0.3">
      <c r="A414" t="s">
        <v>256</v>
      </c>
      <c r="B414">
        <v>22</v>
      </c>
      <c r="C414">
        <v>8.4</v>
      </c>
      <c r="D414">
        <v>64.8</v>
      </c>
      <c r="F414">
        <v>28.5</v>
      </c>
      <c r="G414">
        <v>8.4</v>
      </c>
      <c r="H414">
        <v>64.8</v>
      </c>
      <c r="J414">
        <v>28.5</v>
      </c>
    </row>
    <row r="415" spans="1:18" x14ac:dyDescent="0.3">
      <c r="A415" t="s">
        <v>257</v>
      </c>
      <c r="B415">
        <v>22</v>
      </c>
      <c r="C415">
        <v>2</v>
      </c>
      <c r="D415">
        <v>6</v>
      </c>
      <c r="F415">
        <v>3</v>
      </c>
      <c r="G415">
        <v>2</v>
      </c>
      <c r="H415">
        <v>6</v>
      </c>
      <c r="J415">
        <v>3</v>
      </c>
    </row>
    <row r="416" spans="1:18" x14ac:dyDescent="0.3">
      <c r="A416" t="s">
        <v>258</v>
      </c>
      <c r="B416">
        <v>22</v>
      </c>
      <c r="C416">
        <v>0</v>
      </c>
      <c r="D416">
        <v>0</v>
      </c>
      <c r="F416">
        <v>0</v>
      </c>
      <c r="G416">
        <v>0</v>
      </c>
      <c r="H416">
        <v>0</v>
      </c>
      <c r="J416">
        <v>0</v>
      </c>
    </row>
    <row r="417" spans="1:10" x14ac:dyDescent="0.3">
      <c r="A417" t="s">
        <v>259</v>
      </c>
      <c r="B417">
        <v>22</v>
      </c>
      <c r="C417">
        <v>0</v>
      </c>
      <c r="D417">
        <v>0</v>
      </c>
      <c r="F417">
        <v>0</v>
      </c>
      <c r="G417">
        <v>0</v>
      </c>
      <c r="H417">
        <v>0</v>
      </c>
      <c r="J417">
        <v>0</v>
      </c>
    </row>
    <row r="418" spans="1:10" x14ac:dyDescent="0.3">
      <c r="A418" t="s">
        <v>260</v>
      </c>
      <c r="B418">
        <v>22</v>
      </c>
      <c r="C418">
        <v>2</v>
      </c>
      <c r="D418">
        <v>3</v>
      </c>
      <c r="F418">
        <v>3</v>
      </c>
      <c r="G418">
        <v>2</v>
      </c>
      <c r="H418">
        <v>3</v>
      </c>
      <c r="J418">
        <v>3</v>
      </c>
    </row>
    <row r="419" spans="1:10" x14ac:dyDescent="0.3">
      <c r="A419" t="s">
        <v>261</v>
      </c>
      <c r="B419">
        <v>22</v>
      </c>
      <c r="C419">
        <v>4.3</v>
      </c>
      <c r="D419">
        <v>4</v>
      </c>
      <c r="F419">
        <v>4</v>
      </c>
      <c r="G419">
        <v>4.3</v>
      </c>
      <c r="H419">
        <v>4</v>
      </c>
      <c r="J419">
        <v>4</v>
      </c>
    </row>
    <row r="420" spans="1:10" x14ac:dyDescent="0.3">
      <c r="A420" t="s">
        <v>262</v>
      </c>
      <c r="B420">
        <v>22</v>
      </c>
      <c r="C420">
        <v>2.2999999999999998</v>
      </c>
      <c r="D420">
        <v>1.2</v>
      </c>
      <c r="F420">
        <v>2.5</v>
      </c>
      <c r="G420">
        <v>2.2999999999999998</v>
      </c>
      <c r="H420">
        <v>1.2</v>
      </c>
      <c r="J420">
        <v>2.5</v>
      </c>
    </row>
    <row r="421" spans="1:10" x14ac:dyDescent="0.3">
      <c r="A421" t="s">
        <v>263</v>
      </c>
      <c r="B421">
        <v>22</v>
      </c>
      <c r="C421">
        <v>0</v>
      </c>
      <c r="D421">
        <v>3</v>
      </c>
      <c r="F421">
        <v>0</v>
      </c>
      <c r="G421">
        <v>0</v>
      </c>
      <c r="H421">
        <v>3</v>
      </c>
      <c r="J421">
        <v>0</v>
      </c>
    </row>
    <row r="422" spans="1:10" x14ac:dyDescent="0.3">
      <c r="A422" t="s">
        <v>264</v>
      </c>
      <c r="B422">
        <v>22</v>
      </c>
    </row>
    <row r="423" spans="1:10" x14ac:dyDescent="0.3">
      <c r="A423" t="s">
        <v>265</v>
      </c>
      <c r="B423">
        <v>22</v>
      </c>
    </row>
    <row r="424" spans="1:10" x14ac:dyDescent="0.3">
      <c r="A424" t="s">
        <v>266</v>
      </c>
      <c r="B424">
        <v>22</v>
      </c>
    </row>
    <row r="425" spans="1:10" x14ac:dyDescent="0.3">
      <c r="A425" t="s">
        <v>267</v>
      </c>
      <c r="B425">
        <v>22</v>
      </c>
      <c r="C425">
        <v>12</v>
      </c>
      <c r="D425">
        <v>20</v>
      </c>
      <c r="F425">
        <v>15</v>
      </c>
      <c r="G425">
        <v>12</v>
      </c>
      <c r="H425">
        <v>20</v>
      </c>
      <c r="J425">
        <v>15</v>
      </c>
    </row>
    <row r="426" spans="1:10" x14ac:dyDescent="0.3">
      <c r="A426" t="s">
        <v>268</v>
      </c>
      <c r="B426">
        <v>22</v>
      </c>
      <c r="C426">
        <v>0</v>
      </c>
      <c r="D426">
        <v>1</v>
      </c>
      <c r="F426">
        <v>1</v>
      </c>
      <c r="G426">
        <v>0</v>
      </c>
      <c r="H426">
        <v>1</v>
      </c>
      <c r="J426">
        <v>1</v>
      </c>
    </row>
    <row r="427" spans="1:10" x14ac:dyDescent="0.3">
      <c r="A427" t="s">
        <v>269</v>
      </c>
      <c r="B427">
        <v>22</v>
      </c>
      <c r="C427">
        <v>1</v>
      </c>
      <c r="D427">
        <v>1</v>
      </c>
      <c r="F427">
        <v>1</v>
      </c>
      <c r="G427">
        <v>1</v>
      </c>
      <c r="H427">
        <v>1</v>
      </c>
      <c r="J427">
        <v>1</v>
      </c>
    </row>
    <row r="428" spans="1:10" x14ac:dyDescent="0.3">
      <c r="A428" t="s">
        <v>270</v>
      </c>
      <c r="B428">
        <v>22</v>
      </c>
      <c r="C428">
        <v>65</v>
      </c>
      <c r="D428">
        <v>80</v>
      </c>
      <c r="F428">
        <v>30</v>
      </c>
      <c r="G428">
        <v>65</v>
      </c>
      <c r="H428">
        <v>80</v>
      </c>
      <c r="J428">
        <v>30</v>
      </c>
    </row>
    <row r="429" spans="1:10" x14ac:dyDescent="0.3">
      <c r="A429" t="s">
        <v>271</v>
      </c>
      <c r="B429">
        <v>22</v>
      </c>
      <c r="C429">
        <v>80</v>
      </c>
      <c r="D429">
        <v>30</v>
      </c>
      <c r="F429">
        <v>65</v>
      </c>
      <c r="G429">
        <v>80</v>
      </c>
      <c r="H429">
        <v>30</v>
      </c>
      <c r="J429">
        <v>65</v>
      </c>
    </row>
    <row r="430" spans="1:10" x14ac:dyDescent="0.3">
      <c r="A430" t="s">
        <v>272</v>
      </c>
      <c r="B430">
        <v>22</v>
      </c>
      <c r="C430">
        <v>73.400000000000006</v>
      </c>
      <c r="D430">
        <v>24.8</v>
      </c>
      <c r="F430">
        <v>58.5</v>
      </c>
      <c r="G430">
        <v>73.400000000000006</v>
      </c>
      <c r="H430">
        <v>24.8</v>
      </c>
      <c r="J430">
        <v>58.5</v>
      </c>
    </row>
    <row r="431" spans="1:10" x14ac:dyDescent="0.3">
      <c r="A431" t="s">
        <v>273</v>
      </c>
      <c r="B431">
        <v>22</v>
      </c>
      <c r="C431">
        <v>73.400000000000006</v>
      </c>
      <c r="D431">
        <v>24.8</v>
      </c>
      <c r="F431">
        <v>58.5</v>
      </c>
      <c r="G431">
        <v>73.400000000000006</v>
      </c>
      <c r="H431">
        <v>24.8</v>
      </c>
      <c r="J431">
        <v>58.5</v>
      </c>
    </row>
    <row r="432" spans="1:10" x14ac:dyDescent="0.3">
      <c r="A432" t="s">
        <v>274</v>
      </c>
      <c r="B432">
        <v>22</v>
      </c>
      <c r="C432">
        <v>105</v>
      </c>
      <c r="D432">
        <v>0</v>
      </c>
      <c r="F432">
        <v>70</v>
      </c>
      <c r="G432">
        <v>105</v>
      </c>
      <c r="H432">
        <v>0</v>
      </c>
      <c r="J432">
        <v>70</v>
      </c>
    </row>
    <row r="433" spans="1:18" x14ac:dyDescent="0.3">
      <c r="A433" t="s">
        <v>275</v>
      </c>
      <c r="B433">
        <v>22</v>
      </c>
      <c r="C433">
        <v>113.4</v>
      </c>
      <c r="D433">
        <v>64.8</v>
      </c>
      <c r="F433">
        <v>98.5</v>
      </c>
      <c r="G433">
        <v>113.4</v>
      </c>
      <c r="H433">
        <v>64.8</v>
      </c>
      <c r="J433">
        <v>98.5</v>
      </c>
    </row>
    <row r="434" spans="1:18" x14ac:dyDescent="0.3">
      <c r="A434" t="s">
        <v>276</v>
      </c>
      <c r="B434">
        <v>22</v>
      </c>
      <c r="C434">
        <v>113.4</v>
      </c>
      <c r="D434">
        <v>64.8</v>
      </c>
      <c r="F434">
        <v>98.5</v>
      </c>
      <c r="G434">
        <v>113.4</v>
      </c>
      <c r="H434">
        <v>64.8</v>
      </c>
      <c r="J434">
        <v>98.5</v>
      </c>
    </row>
    <row r="435" spans="1:18" x14ac:dyDescent="0.3">
      <c r="A435" t="s">
        <v>681</v>
      </c>
      <c r="B435">
        <v>22</v>
      </c>
      <c r="C435">
        <v>4.5999999999999996</v>
      </c>
      <c r="D435">
        <v>77</v>
      </c>
      <c r="F435">
        <v>20.100000000000001</v>
      </c>
      <c r="G435">
        <v>4.5</v>
      </c>
      <c r="H435">
        <v>77.099999999999994</v>
      </c>
      <c r="J435">
        <v>20.100000000000001</v>
      </c>
    </row>
    <row r="436" spans="1:18" x14ac:dyDescent="0.3">
      <c r="A436" t="s">
        <v>254</v>
      </c>
      <c r="B436">
        <v>23</v>
      </c>
      <c r="C436">
        <v>111</v>
      </c>
      <c r="D436">
        <v>112</v>
      </c>
      <c r="E436">
        <v>211</v>
      </c>
      <c r="F436">
        <v>212</v>
      </c>
      <c r="G436">
        <v>121</v>
      </c>
      <c r="H436">
        <v>122</v>
      </c>
      <c r="I436">
        <v>221</v>
      </c>
      <c r="J436">
        <v>222</v>
      </c>
      <c r="K436">
        <v>311</v>
      </c>
      <c r="L436">
        <v>312</v>
      </c>
      <c r="M436">
        <v>411</v>
      </c>
      <c r="N436">
        <v>412</v>
      </c>
      <c r="O436">
        <v>321</v>
      </c>
      <c r="P436">
        <v>322</v>
      </c>
      <c r="Q436">
        <v>421</v>
      </c>
      <c r="R436">
        <v>422</v>
      </c>
    </row>
    <row r="437" spans="1:18" x14ac:dyDescent="0.3">
      <c r="A437" t="s">
        <v>255</v>
      </c>
      <c r="B437">
        <v>23</v>
      </c>
      <c r="C437">
        <v>5</v>
      </c>
      <c r="D437">
        <v>12</v>
      </c>
      <c r="F437">
        <v>8</v>
      </c>
      <c r="G437">
        <v>5</v>
      </c>
      <c r="H437">
        <v>12</v>
      </c>
      <c r="J437">
        <v>8</v>
      </c>
    </row>
    <row r="438" spans="1:18" x14ac:dyDescent="0.3">
      <c r="A438" t="s">
        <v>256</v>
      </c>
      <c r="B438">
        <v>23</v>
      </c>
      <c r="C438">
        <v>24.3</v>
      </c>
      <c r="D438">
        <v>54.5</v>
      </c>
      <c r="F438">
        <v>24.1</v>
      </c>
      <c r="G438">
        <v>24.3</v>
      </c>
      <c r="H438">
        <v>54.5</v>
      </c>
      <c r="J438">
        <v>24</v>
      </c>
    </row>
    <row r="439" spans="1:18" x14ac:dyDescent="0.3">
      <c r="A439" t="s">
        <v>257</v>
      </c>
      <c r="B439">
        <v>23</v>
      </c>
      <c r="C439">
        <v>2</v>
      </c>
      <c r="D439">
        <v>6</v>
      </c>
      <c r="F439">
        <v>2</v>
      </c>
      <c r="G439">
        <v>2</v>
      </c>
      <c r="H439">
        <v>6</v>
      </c>
      <c r="J439">
        <v>2</v>
      </c>
    </row>
    <row r="440" spans="1:18" x14ac:dyDescent="0.3">
      <c r="A440" t="s">
        <v>258</v>
      </c>
      <c r="B440">
        <v>23</v>
      </c>
      <c r="C440">
        <v>0</v>
      </c>
      <c r="D440">
        <v>0</v>
      </c>
      <c r="F440">
        <v>0</v>
      </c>
      <c r="G440">
        <v>0</v>
      </c>
      <c r="H440">
        <v>0</v>
      </c>
      <c r="J440">
        <v>0</v>
      </c>
    </row>
    <row r="441" spans="1:18" x14ac:dyDescent="0.3">
      <c r="A441" t="s">
        <v>259</v>
      </c>
      <c r="B441">
        <v>23</v>
      </c>
      <c r="C441">
        <v>0</v>
      </c>
      <c r="D441">
        <v>0</v>
      </c>
      <c r="F441">
        <v>0</v>
      </c>
      <c r="G441">
        <v>0</v>
      </c>
      <c r="H441">
        <v>0</v>
      </c>
      <c r="J441">
        <v>0</v>
      </c>
    </row>
    <row r="442" spans="1:18" x14ac:dyDescent="0.3">
      <c r="A442" t="s">
        <v>260</v>
      </c>
      <c r="B442">
        <v>23</v>
      </c>
      <c r="C442">
        <v>2</v>
      </c>
      <c r="D442">
        <v>3</v>
      </c>
      <c r="F442">
        <v>2</v>
      </c>
      <c r="G442">
        <v>2</v>
      </c>
      <c r="H442">
        <v>3</v>
      </c>
      <c r="J442">
        <v>2</v>
      </c>
    </row>
    <row r="443" spans="1:18" x14ac:dyDescent="0.3">
      <c r="A443" t="s">
        <v>261</v>
      </c>
      <c r="B443">
        <v>23</v>
      </c>
      <c r="C443">
        <v>3.5</v>
      </c>
      <c r="D443">
        <v>4.3</v>
      </c>
      <c r="F443">
        <v>3.9</v>
      </c>
      <c r="G443">
        <v>3.5</v>
      </c>
      <c r="H443">
        <v>4.3</v>
      </c>
      <c r="J443">
        <v>4</v>
      </c>
    </row>
    <row r="444" spans="1:18" x14ac:dyDescent="0.3">
      <c r="A444" t="s">
        <v>262</v>
      </c>
      <c r="B444">
        <v>23</v>
      </c>
      <c r="C444">
        <v>2.2000000000000002</v>
      </c>
      <c r="D444">
        <v>1.2</v>
      </c>
      <c r="F444">
        <v>2</v>
      </c>
      <c r="G444">
        <v>2.2000000000000002</v>
      </c>
      <c r="H444">
        <v>1.2</v>
      </c>
      <c r="J444">
        <v>2</v>
      </c>
    </row>
    <row r="445" spans="1:18" x14ac:dyDescent="0.3">
      <c r="A445" t="s">
        <v>263</v>
      </c>
      <c r="B445">
        <v>23</v>
      </c>
      <c r="C445">
        <v>0</v>
      </c>
      <c r="D445">
        <v>3</v>
      </c>
      <c r="F445">
        <v>0</v>
      </c>
      <c r="G445">
        <v>0</v>
      </c>
      <c r="H445">
        <v>3</v>
      </c>
      <c r="J445">
        <v>0</v>
      </c>
    </row>
    <row r="446" spans="1:18" x14ac:dyDescent="0.3">
      <c r="A446" t="s">
        <v>264</v>
      </c>
      <c r="B446">
        <v>23</v>
      </c>
    </row>
    <row r="447" spans="1:18" x14ac:dyDescent="0.3">
      <c r="A447" t="s">
        <v>265</v>
      </c>
      <c r="B447">
        <v>23</v>
      </c>
    </row>
    <row r="448" spans="1:18" x14ac:dyDescent="0.3">
      <c r="A448" t="s">
        <v>266</v>
      </c>
      <c r="B448">
        <v>23</v>
      </c>
    </row>
    <row r="449" spans="1:18" x14ac:dyDescent="0.3">
      <c r="A449" t="s">
        <v>267</v>
      </c>
      <c r="B449">
        <v>23</v>
      </c>
      <c r="C449">
        <v>12</v>
      </c>
      <c r="D449">
        <v>20</v>
      </c>
      <c r="F449">
        <v>15</v>
      </c>
      <c r="G449">
        <v>12</v>
      </c>
      <c r="H449">
        <v>20</v>
      </c>
      <c r="J449">
        <v>15</v>
      </c>
    </row>
    <row r="450" spans="1:18" x14ac:dyDescent="0.3">
      <c r="A450" t="s">
        <v>268</v>
      </c>
      <c r="B450">
        <v>23</v>
      </c>
      <c r="C450">
        <v>0</v>
      </c>
      <c r="D450">
        <v>1</v>
      </c>
      <c r="F450">
        <v>1</v>
      </c>
      <c r="G450">
        <v>0</v>
      </c>
      <c r="H450">
        <v>1</v>
      </c>
      <c r="J450">
        <v>1</v>
      </c>
    </row>
    <row r="451" spans="1:18" x14ac:dyDescent="0.3">
      <c r="A451" t="s">
        <v>269</v>
      </c>
      <c r="B451">
        <v>23</v>
      </c>
      <c r="C451">
        <v>1</v>
      </c>
      <c r="D451">
        <v>1</v>
      </c>
      <c r="F451">
        <v>1</v>
      </c>
      <c r="G451">
        <v>1</v>
      </c>
      <c r="H451">
        <v>1</v>
      </c>
      <c r="J451">
        <v>1</v>
      </c>
    </row>
    <row r="452" spans="1:18" x14ac:dyDescent="0.3">
      <c r="A452" t="s">
        <v>270</v>
      </c>
      <c r="B452">
        <v>23</v>
      </c>
      <c r="C452">
        <v>55</v>
      </c>
      <c r="D452">
        <v>85</v>
      </c>
      <c r="F452">
        <v>25</v>
      </c>
      <c r="G452">
        <v>55</v>
      </c>
      <c r="H452">
        <v>85</v>
      </c>
      <c r="J452">
        <v>25</v>
      </c>
    </row>
    <row r="453" spans="1:18" x14ac:dyDescent="0.3">
      <c r="A453" t="s">
        <v>271</v>
      </c>
      <c r="B453">
        <v>23</v>
      </c>
      <c r="C453">
        <v>85</v>
      </c>
      <c r="D453">
        <v>25</v>
      </c>
      <c r="F453">
        <v>55</v>
      </c>
      <c r="G453">
        <v>85</v>
      </c>
      <c r="H453">
        <v>25</v>
      </c>
      <c r="J453">
        <v>55</v>
      </c>
    </row>
    <row r="454" spans="1:18" x14ac:dyDescent="0.3">
      <c r="A454" t="s">
        <v>272</v>
      </c>
      <c r="B454">
        <v>23</v>
      </c>
      <c r="C454">
        <v>79.3</v>
      </c>
      <c r="D454">
        <v>19.5</v>
      </c>
      <c r="F454">
        <v>49.1</v>
      </c>
      <c r="G454">
        <v>79.3</v>
      </c>
      <c r="H454">
        <v>19.5</v>
      </c>
      <c r="J454">
        <v>49</v>
      </c>
    </row>
    <row r="455" spans="1:18" x14ac:dyDescent="0.3">
      <c r="A455" t="s">
        <v>273</v>
      </c>
      <c r="B455">
        <v>23</v>
      </c>
      <c r="C455">
        <v>79.3</v>
      </c>
      <c r="D455">
        <v>19.5</v>
      </c>
      <c r="F455">
        <v>49.1</v>
      </c>
      <c r="G455">
        <v>79.3</v>
      </c>
      <c r="H455">
        <v>19.5</v>
      </c>
      <c r="J455">
        <v>49</v>
      </c>
    </row>
    <row r="456" spans="1:18" x14ac:dyDescent="0.3">
      <c r="A456" t="s">
        <v>274</v>
      </c>
      <c r="B456">
        <v>23</v>
      </c>
      <c r="C456">
        <v>90</v>
      </c>
      <c r="D456">
        <v>0</v>
      </c>
      <c r="F456">
        <v>60</v>
      </c>
      <c r="G456">
        <v>90</v>
      </c>
      <c r="H456">
        <v>0</v>
      </c>
      <c r="J456">
        <v>60</v>
      </c>
    </row>
    <row r="457" spans="1:18" x14ac:dyDescent="0.3">
      <c r="A457" t="s">
        <v>275</v>
      </c>
      <c r="B457">
        <v>23</v>
      </c>
      <c r="C457">
        <v>114.3</v>
      </c>
      <c r="D457">
        <v>54.5</v>
      </c>
      <c r="F457">
        <v>84.1</v>
      </c>
      <c r="G457">
        <v>114.3</v>
      </c>
      <c r="H457">
        <v>54.5</v>
      </c>
      <c r="J457">
        <v>84</v>
      </c>
    </row>
    <row r="458" spans="1:18" x14ac:dyDescent="0.3">
      <c r="A458" t="s">
        <v>276</v>
      </c>
      <c r="B458">
        <v>23</v>
      </c>
      <c r="C458">
        <v>114.3</v>
      </c>
      <c r="D458">
        <v>54.5</v>
      </c>
      <c r="F458">
        <v>84.1</v>
      </c>
      <c r="G458">
        <v>114.3</v>
      </c>
      <c r="H458">
        <v>54.5</v>
      </c>
      <c r="J458">
        <v>84</v>
      </c>
    </row>
    <row r="459" spans="1:18" x14ac:dyDescent="0.3">
      <c r="A459" t="s">
        <v>681</v>
      </c>
      <c r="B459">
        <v>23</v>
      </c>
      <c r="C459">
        <v>7.2</v>
      </c>
      <c r="D459">
        <v>77.099999999999994</v>
      </c>
      <c r="F459">
        <v>18.600000000000001</v>
      </c>
      <c r="G459">
        <v>5</v>
      </c>
      <c r="H459">
        <v>79.3</v>
      </c>
      <c r="J459">
        <v>18.5</v>
      </c>
    </row>
    <row r="460" spans="1:18" x14ac:dyDescent="0.3">
      <c r="A460" t="s">
        <v>254</v>
      </c>
      <c r="B460">
        <v>24</v>
      </c>
      <c r="C460">
        <v>111</v>
      </c>
      <c r="D460">
        <v>112</v>
      </c>
      <c r="E460">
        <v>211</v>
      </c>
      <c r="F460">
        <v>212</v>
      </c>
      <c r="G460">
        <v>121</v>
      </c>
      <c r="H460">
        <v>122</v>
      </c>
      <c r="I460">
        <v>221</v>
      </c>
      <c r="J460">
        <v>222</v>
      </c>
      <c r="K460">
        <v>311</v>
      </c>
      <c r="L460">
        <v>312</v>
      </c>
      <c r="M460">
        <v>411</v>
      </c>
      <c r="N460">
        <v>412</v>
      </c>
      <c r="O460">
        <v>321</v>
      </c>
      <c r="P460">
        <v>322</v>
      </c>
      <c r="Q460">
        <v>421</v>
      </c>
      <c r="R460">
        <v>422</v>
      </c>
    </row>
    <row r="461" spans="1:18" x14ac:dyDescent="0.3">
      <c r="A461" t="s">
        <v>255</v>
      </c>
      <c r="B461">
        <v>24</v>
      </c>
      <c r="C461">
        <v>5</v>
      </c>
      <c r="D461">
        <v>12</v>
      </c>
      <c r="F461">
        <v>8</v>
      </c>
      <c r="G461">
        <v>5</v>
      </c>
      <c r="H461">
        <v>12</v>
      </c>
      <c r="J461">
        <v>8</v>
      </c>
    </row>
    <row r="462" spans="1:18" x14ac:dyDescent="0.3">
      <c r="A462" t="s">
        <v>256</v>
      </c>
      <c r="B462">
        <v>24</v>
      </c>
      <c r="C462">
        <v>19</v>
      </c>
      <c r="D462">
        <v>60.7</v>
      </c>
      <c r="F462">
        <v>22</v>
      </c>
      <c r="G462">
        <v>19</v>
      </c>
      <c r="H462">
        <v>60.7</v>
      </c>
      <c r="J462">
        <v>22</v>
      </c>
    </row>
    <row r="463" spans="1:18" x14ac:dyDescent="0.3">
      <c r="A463" t="s">
        <v>257</v>
      </c>
      <c r="B463">
        <v>24</v>
      </c>
      <c r="C463">
        <v>2</v>
      </c>
      <c r="D463">
        <v>6</v>
      </c>
      <c r="F463">
        <v>2</v>
      </c>
      <c r="G463">
        <v>2</v>
      </c>
      <c r="H463">
        <v>6</v>
      </c>
      <c r="J463">
        <v>2</v>
      </c>
    </row>
    <row r="464" spans="1:18" x14ac:dyDescent="0.3">
      <c r="A464" t="s">
        <v>258</v>
      </c>
      <c r="B464">
        <v>24</v>
      </c>
      <c r="C464">
        <v>0</v>
      </c>
      <c r="D464">
        <v>0</v>
      </c>
      <c r="F464">
        <v>0</v>
      </c>
      <c r="G464">
        <v>0</v>
      </c>
      <c r="H464">
        <v>0</v>
      </c>
      <c r="J464">
        <v>0</v>
      </c>
    </row>
    <row r="465" spans="1:10" x14ac:dyDescent="0.3">
      <c r="A465" t="s">
        <v>259</v>
      </c>
      <c r="B465">
        <v>24</v>
      </c>
      <c r="C465">
        <v>0</v>
      </c>
      <c r="D465">
        <v>0</v>
      </c>
      <c r="F465">
        <v>0</v>
      </c>
      <c r="G465">
        <v>0</v>
      </c>
      <c r="H465">
        <v>0</v>
      </c>
      <c r="J465">
        <v>0</v>
      </c>
    </row>
    <row r="466" spans="1:10" x14ac:dyDescent="0.3">
      <c r="A466" t="s">
        <v>260</v>
      </c>
      <c r="B466">
        <v>24</v>
      </c>
      <c r="C466">
        <v>2</v>
      </c>
      <c r="D466">
        <v>3</v>
      </c>
      <c r="F466">
        <v>2</v>
      </c>
      <c r="G466">
        <v>2</v>
      </c>
      <c r="H466">
        <v>3</v>
      </c>
      <c r="J466">
        <v>2</v>
      </c>
    </row>
    <row r="467" spans="1:10" x14ac:dyDescent="0.3">
      <c r="A467" t="s">
        <v>261</v>
      </c>
      <c r="B467">
        <v>24</v>
      </c>
      <c r="C467">
        <v>4</v>
      </c>
      <c r="D467">
        <v>4.3</v>
      </c>
      <c r="F467">
        <v>4</v>
      </c>
      <c r="G467">
        <v>4</v>
      </c>
      <c r="H467">
        <v>4.3</v>
      </c>
      <c r="J467">
        <v>4</v>
      </c>
    </row>
    <row r="468" spans="1:10" x14ac:dyDescent="0.3">
      <c r="A468" t="s">
        <v>262</v>
      </c>
      <c r="B468">
        <v>24</v>
      </c>
      <c r="C468">
        <v>2</v>
      </c>
      <c r="D468">
        <v>2</v>
      </c>
      <c r="F468">
        <v>2</v>
      </c>
      <c r="G468">
        <v>2</v>
      </c>
      <c r="H468">
        <v>2</v>
      </c>
      <c r="J468">
        <v>2</v>
      </c>
    </row>
    <row r="469" spans="1:10" x14ac:dyDescent="0.3">
      <c r="A469" t="s">
        <v>263</v>
      </c>
      <c r="B469">
        <v>24</v>
      </c>
      <c r="C469">
        <v>0</v>
      </c>
      <c r="D469">
        <v>3</v>
      </c>
      <c r="F469">
        <v>0</v>
      </c>
      <c r="G469">
        <v>0</v>
      </c>
      <c r="H469">
        <v>3</v>
      </c>
      <c r="J469">
        <v>0</v>
      </c>
    </row>
    <row r="470" spans="1:10" x14ac:dyDescent="0.3">
      <c r="A470" t="s">
        <v>264</v>
      </c>
      <c r="B470">
        <v>24</v>
      </c>
    </row>
    <row r="471" spans="1:10" x14ac:dyDescent="0.3">
      <c r="A471" t="s">
        <v>265</v>
      </c>
      <c r="B471">
        <v>24</v>
      </c>
    </row>
    <row r="472" spans="1:10" x14ac:dyDescent="0.3">
      <c r="A472" t="s">
        <v>266</v>
      </c>
      <c r="B472">
        <v>24</v>
      </c>
    </row>
    <row r="473" spans="1:10" x14ac:dyDescent="0.3">
      <c r="A473" t="s">
        <v>267</v>
      </c>
      <c r="B473">
        <v>24</v>
      </c>
      <c r="C473">
        <v>12</v>
      </c>
      <c r="D473">
        <v>20</v>
      </c>
      <c r="F473">
        <v>15</v>
      </c>
      <c r="G473">
        <v>12</v>
      </c>
      <c r="H473">
        <v>20</v>
      </c>
      <c r="J473">
        <v>15</v>
      </c>
    </row>
    <row r="474" spans="1:10" x14ac:dyDescent="0.3">
      <c r="A474" t="s">
        <v>268</v>
      </c>
      <c r="B474">
        <v>24</v>
      </c>
      <c r="C474">
        <v>0</v>
      </c>
      <c r="D474">
        <v>1</v>
      </c>
      <c r="F474">
        <v>1</v>
      </c>
      <c r="G474">
        <v>0</v>
      </c>
      <c r="H474">
        <v>1</v>
      </c>
      <c r="J474">
        <v>1</v>
      </c>
    </row>
    <row r="475" spans="1:10" x14ac:dyDescent="0.3">
      <c r="A475" t="s">
        <v>269</v>
      </c>
      <c r="B475">
        <v>24</v>
      </c>
      <c r="C475">
        <v>1</v>
      </c>
      <c r="D475">
        <v>1</v>
      </c>
      <c r="F475">
        <v>1</v>
      </c>
      <c r="G475">
        <v>1</v>
      </c>
      <c r="H475">
        <v>1</v>
      </c>
      <c r="J475">
        <v>1</v>
      </c>
    </row>
    <row r="476" spans="1:10" x14ac:dyDescent="0.3">
      <c r="A476" t="s">
        <v>270</v>
      </c>
      <c r="B476">
        <v>24</v>
      </c>
      <c r="C476">
        <v>65</v>
      </c>
      <c r="D476">
        <v>90</v>
      </c>
      <c r="F476">
        <v>37</v>
      </c>
      <c r="G476">
        <v>65</v>
      </c>
      <c r="H476">
        <v>90</v>
      </c>
      <c r="J476">
        <v>37</v>
      </c>
    </row>
    <row r="477" spans="1:10" x14ac:dyDescent="0.3">
      <c r="A477" t="s">
        <v>271</v>
      </c>
      <c r="B477">
        <v>24</v>
      </c>
      <c r="C477">
        <v>90</v>
      </c>
      <c r="D477">
        <v>37</v>
      </c>
      <c r="F477">
        <v>65</v>
      </c>
      <c r="G477">
        <v>90</v>
      </c>
      <c r="H477">
        <v>37</v>
      </c>
      <c r="J477">
        <v>65</v>
      </c>
    </row>
    <row r="478" spans="1:10" x14ac:dyDescent="0.3">
      <c r="A478" t="s">
        <v>272</v>
      </c>
      <c r="B478">
        <v>24</v>
      </c>
      <c r="C478">
        <v>84</v>
      </c>
      <c r="D478">
        <v>30.7</v>
      </c>
      <c r="F478">
        <v>59</v>
      </c>
      <c r="G478">
        <v>84</v>
      </c>
      <c r="H478">
        <v>30.7</v>
      </c>
      <c r="J478">
        <v>59</v>
      </c>
    </row>
    <row r="479" spans="1:10" x14ac:dyDescent="0.3">
      <c r="A479" t="s">
        <v>273</v>
      </c>
      <c r="B479">
        <v>24</v>
      </c>
      <c r="C479">
        <v>84</v>
      </c>
      <c r="D479">
        <v>30.7</v>
      </c>
      <c r="F479">
        <v>59</v>
      </c>
      <c r="G479">
        <v>84</v>
      </c>
      <c r="H479">
        <v>30.7</v>
      </c>
      <c r="J479">
        <v>59</v>
      </c>
    </row>
    <row r="480" spans="1:10" x14ac:dyDescent="0.3">
      <c r="A480" t="s">
        <v>274</v>
      </c>
      <c r="B480">
        <v>24</v>
      </c>
      <c r="C480">
        <v>95</v>
      </c>
      <c r="D480">
        <v>0</v>
      </c>
      <c r="F480">
        <v>67</v>
      </c>
      <c r="G480">
        <v>95</v>
      </c>
      <c r="H480">
        <v>0</v>
      </c>
      <c r="J480">
        <v>67</v>
      </c>
    </row>
    <row r="481" spans="1:18" x14ac:dyDescent="0.3">
      <c r="A481" t="s">
        <v>275</v>
      </c>
      <c r="B481">
        <v>24</v>
      </c>
      <c r="C481">
        <v>114</v>
      </c>
      <c r="D481">
        <v>60.7</v>
      </c>
      <c r="F481">
        <v>89</v>
      </c>
      <c r="G481">
        <v>114</v>
      </c>
      <c r="H481">
        <v>60.7</v>
      </c>
      <c r="J481">
        <v>89</v>
      </c>
    </row>
    <row r="482" spans="1:18" x14ac:dyDescent="0.3">
      <c r="A482" t="s">
        <v>276</v>
      </c>
      <c r="B482">
        <v>24</v>
      </c>
      <c r="C482">
        <v>114</v>
      </c>
      <c r="D482">
        <v>60.7</v>
      </c>
      <c r="F482">
        <v>89</v>
      </c>
      <c r="G482">
        <v>114</v>
      </c>
      <c r="H482">
        <v>60.7</v>
      </c>
      <c r="J482">
        <v>89</v>
      </c>
    </row>
    <row r="483" spans="1:18" x14ac:dyDescent="0.3">
      <c r="A483" t="s">
        <v>681</v>
      </c>
      <c r="B483">
        <v>24</v>
      </c>
      <c r="C483">
        <v>4.5999999999999996</v>
      </c>
      <c r="D483">
        <v>76.2</v>
      </c>
      <c r="F483">
        <v>20.9</v>
      </c>
      <c r="G483">
        <v>3.4</v>
      </c>
      <c r="H483">
        <v>77.400000000000006</v>
      </c>
      <c r="J483">
        <v>20.9</v>
      </c>
    </row>
    <row r="484" spans="1:18" x14ac:dyDescent="0.3">
      <c r="A484" t="s">
        <v>254</v>
      </c>
      <c r="B484">
        <v>25</v>
      </c>
      <c r="C484">
        <v>111</v>
      </c>
      <c r="D484">
        <v>112</v>
      </c>
      <c r="E484">
        <v>211</v>
      </c>
      <c r="F484">
        <v>212</v>
      </c>
      <c r="G484">
        <v>121</v>
      </c>
      <c r="H484">
        <v>122</v>
      </c>
      <c r="I484">
        <v>221</v>
      </c>
      <c r="J484">
        <v>222</v>
      </c>
      <c r="K484">
        <v>311</v>
      </c>
      <c r="L484">
        <v>312</v>
      </c>
      <c r="M484">
        <v>411</v>
      </c>
      <c r="N484">
        <v>412</v>
      </c>
      <c r="O484">
        <v>321</v>
      </c>
      <c r="P484">
        <v>322</v>
      </c>
      <c r="Q484">
        <v>421</v>
      </c>
      <c r="R484">
        <v>422</v>
      </c>
    </row>
    <row r="485" spans="1:18" x14ac:dyDescent="0.3">
      <c r="A485" t="s">
        <v>255</v>
      </c>
      <c r="B485">
        <v>25</v>
      </c>
      <c r="D485">
        <v>1</v>
      </c>
      <c r="F485">
        <v>8</v>
      </c>
      <c r="G485">
        <v>4</v>
      </c>
      <c r="H485">
        <v>1</v>
      </c>
      <c r="J485">
        <v>8</v>
      </c>
    </row>
    <row r="486" spans="1:18" x14ac:dyDescent="0.3">
      <c r="A486" t="s">
        <v>256</v>
      </c>
      <c r="B486">
        <v>25</v>
      </c>
      <c r="D486">
        <v>83.8</v>
      </c>
      <c r="F486">
        <v>23.6</v>
      </c>
      <c r="G486">
        <v>16</v>
      </c>
      <c r="H486">
        <v>63.8</v>
      </c>
      <c r="J486">
        <v>23.6</v>
      </c>
    </row>
    <row r="487" spans="1:18" x14ac:dyDescent="0.3">
      <c r="A487" t="s">
        <v>257</v>
      </c>
      <c r="B487">
        <v>25</v>
      </c>
      <c r="D487">
        <v>6</v>
      </c>
      <c r="F487">
        <v>3</v>
      </c>
      <c r="G487">
        <v>3</v>
      </c>
      <c r="H487">
        <v>6</v>
      </c>
      <c r="J487">
        <v>3</v>
      </c>
    </row>
    <row r="488" spans="1:18" x14ac:dyDescent="0.3">
      <c r="A488" t="s">
        <v>258</v>
      </c>
      <c r="B488">
        <v>25</v>
      </c>
      <c r="D488">
        <v>0</v>
      </c>
      <c r="F488">
        <v>0</v>
      </c>
      <c r="G488">
        <v>0</v>
      </c>
      <c r="H488">
        <v>0</v>
      </c>
      <c r="J488">
        <v>0</v>
      </c>
    </row>
    <row r="489" spans="1:18" x14ac:dyDescent="0.3">
      <c r="A489" t="s">
        <v>259</v>
      </c>
      <c r="B489">
        <v>25</v>
      </c>
      <c r="D489">
        <v>0</v>
      </c>
      <c r="F489">
        <v>0</v>
      </c>
      <c r="G489">
        <v>0</v>
      </c>
      <c r="H489">
        <v>0</v>
      </c>
      <c r="J489">
        <v>0</v>
      </c>
    </row>
    <row r="490" spans="1:18" x14ac:dyDescent="0.3">
      <c r="A490" t="s">
        <v>260</v>
      </c>
      <c r="B490">
        <v>25</v>
      </c>
      <c r="D490">
        <v>3</v>
      </c>
      <c r="F490">
        <v>3</v>
      </c>
      <c r="G490">
        <v>3</v>
      </c>
      <c r="H490">
        <v>3</v>
      </c>
      <c r="J490">
        <v>3</v>
      </c>
    </row>
    <row r="491" spans="1:18" x14ac:dyDescent="0.3">
      <c r="A491" t="s">
        <v>261</v>
      </c>
      <c r="B491">
        <v>25</v>
      </c>
      <c r="D491">
        <v>4.3</v>
      </c>
      <c r="F491">
        <v>4.2</v>
      </c>
      <c r="G491">
        <v>3.5</v>
      </c>
      <c r="H491">
        <v>4.3</v>
      </c>
      <c r="J491">
        <v>4.2</v>
      </c>
    </row>
    <row r="492" spans="1:18" x14ac:dyDescent="0.3">
      <c r="A492" t="s">
        <v>262</v>
      </c>
      <c r="B492">
        <v>25</v>
      </c>
      <c r="D492">
        <v>1.9</v>
      </c>
      <c r="F492">
        <v>2.2000000000000002</v>
      </c>
      <c r="G492">
        <v>0.5</v>
      </c>
      <c r="H492">
        <v>1.9</v>
      </c>
      <c r="J492">
        <v>2.2000000000000002</v>
      </c>
    </row>
    <row r="493" spans="1:18" x14ac:dyDescent="0.3">
      <c r="A493" t="s">
        <v>263</v>
      </c>
      <c r="B493">
        <v>25</v>
      </c>
      <c r="D493">
        <v>3</v>
      </c>
      <c r="F493">
        <v>0</v>
      </c>
      <c r="G493">
        <v>0</v>
      </c>
      <c r="H493">
        <v>3</v>
      </c>
      <c r="J493">
        <v>0</v>
      </c>
    </row>
    <row r="494" spans="1:18" x14ac:dyDescent="0.3">
      <c r="A494" t="s">
        <v>264</v>
      </c>
      <c r="B494">
        <v>25</v>
      </c>
    </row>
    <row r="495" spans="1:18" x14ac:dyDescent="0.3">
      <c r="A495" t="s">
        <v>265</v>
      </c>
      <c r="B495">
        <v>25</v>
      </c>
    </row>
    <row r="496" spans="1:18" x14ac:dyDescent="0.3">
      <c r="A496" t="s">
        <v>266</v>
      </c>
      <c r="B496">
        <v>25</v>
      </c>
    </row>
    <row r="497" spans="1:18" x14ac:dyDescent="0.3">
      <c r="A497" t="s">
        <v>267</v>
      </c>
      <c r="B497">
        <v>25</v>
      </c>
      <c r="D497">
        <v>7.2</v>
      </c>
      <c r="F497">
        <v>15</v>
      </c>
      <c r="G497">
        <v>16</v>
      </c>
      <c r="H497">
        <v>7.2</v>
      </c>
      <c r="J497">
        <v>15</v>
      </c>
    </row>
    <row r="498" spans="1:18" x14ac:dyDescent="0.3">
      <c r="A498" t="s">
        <v>268</v>
      </c>
      <c r="B498">
        <v>25</v>
      </c>
      <c r="D498">
        <v>1</v>
      </c>
      <c r="F498">
        <v>1</v>
      </c>
      <c r="G498">
        <v>0</v>
      </c>
      <c r="H498">
        <v>1</v>
      </c>
      <c r="J498">
        <v>1</v>
      </c>
    </row>
    <row r="499" spans="1:18" x14ac:dyDescent="0.3">
      <c r="A499" t="s">
        <v>269</v>
      </c>
      <c r="B499">
        <v>25</v>
      </c>
      <c r="D499">
        <v>1</v>
      </c>
      <c r="F499">
        <v>1</v>
      </c>
      <c r="G499">
        <v>1</v>
      </c>
      <c r="H499">
        <v>1</v>
      </c>
      <c r="J499">
        <v>1</v>
      </c>
    </row>
    <row r="500" spans="1:18" x14ac:dyDescent="0.3">
      <c r="A500" t="s">
        <v>270</v>
      </c>
      <c r="B500">
        <v>25</v>
      </c>
      <c r="D500">
        <v>1</v>
      </c>
      <c r="F500">
        <v>91</v>
      </c>
      <c r="G500">
        <v>1</v>
      </c>
      <c r="H500">
        <v>21</v>
      </c>
      <c r="J500">
        <v>91</v>
      </c>
    </row>
    <row r="501" spans="1:18" x14ac:dyDescent="0.3">
      <c r="A501" t="s">
        <v>271</v>
      </c>
      <c r="B501">
        <v>25</v>
      </c>
      <c r="D501">
        <v>91</v>
      </c>
      <c r="F501">
        <v>1</v>
      </c>
      <c r="G501">
        <v>21</v>
      </c>
      <c r="H501">
        <v>91</v>
      </c>
      <c r="J501">
        <v>1</v>
      </c>
    </row>
    <row r="502" spans="1:18" x14ac:dyDescent="0.3">
      <c r="A502" t="s">
        <v>272</v>
      </c>
      <c r="B502">
        <v>25</v>
      </c>
      <c r="D502">
        <v>84.8</v>
      </c>
      <c r="F502">
        <v>114.6</v>
      </c>
      <c r="G502">
        <v>17</v>
      </c>
      <c r="H502">
        <v>84.8</v>
      </c>
      <c r="J502">
        <v>114.6</v>
      </c>
    </row>
    <row r="503" spans="1:18" x14ac:dyDescent="0.3">
      <c r="A503" t="s">
        <v>273</v>
      </c>
      <c r="B503">
        <v>25</v>
      </c>
      <c r="D503">
        <v>84.8</v>
      </c>
      <c r="F503">
        <v>114.6</v>
      </c>
      <c r="G503">
        <v>17</v>
      </c>
      <c r="H503">
        <v>84.8</v>
      </c>
      <c r="J503">
        <v>114.6</v>
      </c>
    </row>
    <row r="504" spans="1:18" x14ac:dyDescent="0.3">
      <c r="A504" t="s">
        <v>274</v>
      </c>
      <c r="B504">
        <v>25</v>
      </c>
      <c r="D504">
        <v>0</v>
      </c>
      <c r="F504">
        <v>90</v>
      </c>
      <c r="G504">
        <v>0</v>
      </c>
      <c r="H504">
        <v>20</v>
      </c>
      <c r="J504">
        <v>90</v>
      </c>
    </row>
    <row r="505" spans="1:18" x14ac:dyDescent="0.3">
      <c r="A505" t="s">
        <v>275</v>
      </c>
      <c r="B505">
        <v>25</v>
      </c>
      <c r="D505">
        <v>83.8</v>
      </c>
      <c r="F505">
        <v>113.6</v>
      </c>
      <c r="G505">
        <v>16</v>
      </c>
      <c r="H505">
        <v>83.8</v>
      </c>
      <c r="J505">
        <v>113.6</v>
      </c>
    </row>
    <row r="506" spans="1:18" x14ac:dyDescent="0.3">
      <c r="A506" t="s">
        <v>276</v>
      </c>
      <c r="B506">
        <v>25</v>
      </c>
      <c r="D506">
        <v>83.8</v>
      </c>
      <c r="F506">
        <v>113.6</v>
      </c>
      <c r="G506">
        <v>16</v>
      </c>
      <c r="H506">
        <v>83.8</v>
      </c>
      <c r="J506">
        <v>113.6</v>
      </c>
    </row>
    <row r="507" spans="1:18" x14ac:dyDescent="0.3">
      <c r="A507" t="s">
        <v>681</v>
      </c>
      <c r="B507">
        <v>25</v>
      </c>
      <c r="D507">
        <v>90</v>
      </c>
      <c r="F507">
        <v>17.399999999999999</v>
      </c>
      <c r="G507">
        <v>5.2</v>
      </c>
      <c r="H507">
        <v>80.8</v>
      </c>
      <c r="J507">
        <v>17.399999999999999</v>
      </c>
    </row>
    <row r="508" spans="1:18" x14ac:dyDescent="0.3">
      <c r="A508" t="s">
        <v>254</v>
      </c>
      <c r="B508">
        <v>26</v>
      </c>
      <c r="C508">
        <v>111</v>
      </c>
      <c r="D508">
        <v>112</v>
      </c>
      <c r="E508">
        <v>211</v>
      </c>
      <c r="F508">
        <v>212</v>
      </c>
      <c r="G508">
        <v>121</v>
      </c>
      <c r="H508">
        <v>122</v>
      </c>
      <c r="I508">
        <v>213</v>
      </c>
      <c r="J508">
        <v>214</v>
      </c>
      <c r="K508">
        <v>311</v>
      </c>
      <c r="L508">
        <v>312</v>
      </c>
      <c r="M508">
        <v>411</v>
      </c>
      <c r="N508">
        <v>412</v>
      </c>
      <c r="O508">
        <v>321</v>
      </c>
      <c r="P508">
        <v>322</v>
      </c>
      <c r="Q508">
        <v>421</v>
      </c>
      <c r="R508">
        <v>422</v>
      </c>
    </row>
    <row r="509" spans="1:18" x14ac:dyDescent="0.3">
      <c r="A509" t="s">
        <v>255</v>
      </c>
      <c r="B509">
        <v>26</v>
      </c>
      <c r="C509">
        <v>5</v>
      </c>
      <c r="D509">
        <v>12</v>
      </c>
      <c r="G509">
        <v>5</v>
      </c>
      <c r="H509">
        <v>12</v>
      </c>
      <c r="I509">
        <v>8</v>
      </c>
      <c r="J509">
        <v>8</v>
      </c>
    </row>
    <row r="510" spans="1:18" x14ac:dyDescent="0.3">
      <c r="A510" t="s">
        <v>256</v>
      </c>
      <c r="B510">
        <v>26</v>
      </c>
      <c r="C510">
        <v>8.9</v>
      </c>
      <c r="D510">
        <v>54.1</v>
      </c>
      <c r="G510">
        <v>8.9</v>
      </c>
      <c r="H510">
        <v>54.1</v>
      </c>
      <c r="I510">
        <v>18.100000000000001</v>
      </c>
      <c r="J510">
        <v>13.1</v>
      </c>
    </row>
    <row r="511" spans="1:18" x14ac:dyDescent="0.3">
      <c r="A511" t="s">
        <v>257</v>
      </c>
      <c r="B511">
        <v>26</v>
      </c>
      <c r="C511">
        <v>2</v>
      </c>
      <c r="D511">
        <v>6</v>
      </c>
      <c r="G511">
        <v>2</v>
      </c>
      <c r="H511">
        <v>6</v>
      </c>
      <c r="I511">
        <v>2</v>
      </c>
      <c r="J511">
        <v>2</v>
      </c>
    </row>
    <row r="512" spans="1:18" x14ac:dyDescent="0.3">
      <c r="A512" t="s">
        <v>258</v>
      </c>
      <c r="B512">
        <v>26</v>
      </c>
      <c r="C512">
        <v>0</v>
      </c>
      <c r="D512">
        <v>0</v>
      </c>
      <c r="G512">
        <v>0</v>
      </c>
      <c r="H512">
        <v>0</v>
      </c>
      <c r="I512">
        <v>0</v>
      </c>
      <c r="J512">
        <v>0</v>
      </c>
    </row>
    <row r="513" spans="1:10" x14ac:dyDescent="0.3">
      <c r="A513" t="s">
        <v>259</v>
      </c>
      <c r="B513">
        <v>26</v>
      </c>
      <c r="C513">
        <v>0</v>
      </c>
      <c r="D513">
        <v>0</v>
      </c>
      <c r="G513">
        <v>0</v>
      </c>
      <c r="H513">
        <v>0</v>
      </c>
      <c r="I513">
        <v>0</v>
      </c>
      <c r="J513">
        <v>0</v>
      </c>
    </row>
    <row r="514" spans="1:10" x14ac:dyDescent="0.3">
      <c r="A514" t="s">
        <v>260</v>
      </c>
      <c r="B514">
        <v>26</v>
      </c>
      <c r="C514">
        <v>2</v>
      </c>
      <c r="D514">
        <v>3</v>
      </c>
      <c r="G514">
        <v>2</v>
      </c>
      <c r="H514">
        <v>3</v>
      </c>
      <c r="I514">
        <v>2</v>
      </c>
      <c r="J514">
        <v>2</v>
      </c>
    </row>
    <row r="515" spans="1:10" x14ac:dyDescent="0.3">
      <c r="A515" t="s">
        <v>261</v>
      </c>
      <c r="B515">
        <v>26</v>
      </c>
      <c r="C515">
        <v>4.0999999999999996</v>
      </c>
      <c r="D515">
        <v>4.7</v>
      </c>
      <c r="G515">
        <v>4.0999999999999996</v>
      </c>
      <c r="H515">
        <v>4.7</v>
      </c>
      <c r="I515">
        <v>4.4000000000000004</v>
      </c>
      <c r="J515">
        <v>4.4000000000000004</v>
      </c>
    </row>
    <row r="516" spans="1:10" x14ac:dyDescent="0.3">
      <c r="A516" t="s">
        <v>262</v>
      </c>
      <c r="B516">
        <v>26</v>
      </c>
      <c r="C516">
        <v>2</v>
      </c>
      <c r="D516">
        <v>1.2</v>
      </c>
      <c r="G516">
        <v>2</v>
      </c>
      <c r="H516">
        <v>1.2</v>
      </c>
      <c r="I516">
        <v>2.5</v>
      </c>
      <c r="J516">
        <v>2.5</v>
      </c>
    </row>
    <row r="517" spans="1:10" x14ac:dyDescent="0.3">
      <c r="A517" t="s">
        <v>263</v>
      </c>
      <c r="B517">
        <v>26</v>
      </c>
      <c r="C517">
        <v>0</v>
      </c>
      <c r="D517">
        <v>3</v>
      </c>
      <c r="G517">
        <v>0</v>
      </c>
      <c r="H517">
        <v>3</v>
      </c>
      <c r="I517">
        <v>0</v>
      </c>
      <c r="J517">
        <v>0</v>
      </c>
    </row>
    <row r="518" spans="1:10" x14ac:dyDescent="0.3">
      <c r="A518" t="s">
        <v>264</v>
      </c>
      <c r="B518">
        <v>26</v>
      </c>
    </row>
    <row r="519" spans="1:10" x14ac:dyDescent="0.3">
      <c r="A519" t="s">
        <v>265</v>
      </c>
      <c r="B519">
        <v>26</v>
      </c>
    </row>
    <row r="520" spans="1:10" x14ac:dyDescent="0.3">
      <c r="A520" t="s">
        <v>266</v>
      </c>
      <c r="B520">
        <v>26</v>
      </c>
    </row>
    <row r="521" spans="1:10" x14ac:dyDescent="0.3">
      <c r="A521" t="s">
        <v>267</v>
      </c>
      <c r="B521">
        <v>26</v>
      </c>
      <c r="C521">
        <v>12</v>
      </c>
      <c r="D521">
        <v>20</v>
      </c>
      <c r="G521">
        <v>12</v>
      </c>
      <c r="H521">
        <v>20</v>
      </c>
      <c r="I521">
        <v>15</v>
      </c>
      <c r="J521">
        <v>15</v>
      </c>
    </row>
    <row r="522" spans="1:10" x14ac:dyDescent="0.3">
      <c r="A522" t="s">
        <v>268</v>
      </c>
      <c r="B522">
        <v>26</v>
      </c>
      <c r="C522">
        <v>0</v>
      </c>
      <c r="D522">
        <v>1</v>
      </c>
      <c r="G522">
        <v>0</v>
      </c>
      <c r="H522">
        <v>1</v>
      </c>
      <c r="I522">
        <v>1</v>
      </c>
      <c r="J522">
        <v>1</v>
      </c>
    </row>
    <row r="523" spans="1:10" x14ac:dyDescent="0.3">
      <c r="A523" t="s">
        <v>269</v>
      </c>
      <c r="B523">
        <v>26</v>
      </c>
      <c r="C523">
        <v>1</v>
      </c>
      <c r="D523">
        <v>1</v>
      </c>
      <c r="G523">
        <v>1</v>
      </c>
      <c r="H523">
        <v>1</v>
      </c>
      <c r="I523">
        <v>1</v>
      </c>
      <c r="J523">
        <v>1</v>
      </c>
    </row>
    <row r="524" spans="1:10" x14ac:dyDescent="0.3">
      <c r="A524" t="s">
        <v>270</v>
      </c>
      <c r="B524">
        <v>26</v>
      </c>
      <c r="C524">
        <v>0</v>
      </c>
      <c r="D524">
        <v>15</v>
      </c>
      <c r="G524">
        <v>0</v>
      </c>
      <c r="H524">
        <v>15</v>
      </c>
      <c r="I524">
        <v>75</v>
      </c>
      <c r="J524">
        <v>100</v>
      </c>
    </row>
    <row r="525" spans="1:10" x14ac:dyDescent="0.3">
      <c r="A525" t="s">
        <v>271</v>
      </c>
      <c r="B525">
        <v>26</v>
      </c>
      <c r="C525">
        <v>15</v>
      </c>
      <c r="D525">
        <v>75</v>
      </c>
      <c r="G525">
        <v>15</v>
      </c>
      <c r="H525">
        <v>75</v>
      </c>
      <c r="I525">
        <v>100</v>
      </c>
      <c r="J525">
        <v>0</v>
      </c>
    </row>
    <row r="526" spans="1:10" x14ac:dyDescent="0.3">
      <c r="A526" t="s">
        <v>272</v>
      </c>
      <c r="B526">
        <v>26</v>
      </c>
      <c r="C526">
        <v>8.9</v>
      </c>
      <c r="D526">
        <v>69.099999999999994</v>
      </c>
      <c r="G526">
        <v>8.9</v>
      </c>
      <c r="H526">
        <v>69.099999999999994</v>
      </c>
      <c r="I526">
        <v>93.1</v>
      </c>
      <c r="J526">
        <v>113.1</v>
      </c>
    </row>
    <row r="527" spans="1:10" x14ac:dyDescent="0.3">
      <c r="A527" t="s">
        <v>273</v>
      </c>
      <c r="B527">
        <v>26</v>
      </c>
      <c r="C527">
        <v>8.9</v>
      </c>
      <c r="D527">
        <v>69.099999999999994</v>
      </c>
      <c r="G527">
        <v>8.9</v>
      </c>
      <c r="H527">
        <v>69.099999999999994</v>
      </c>
      <c r="I527">
        <v>93.1</v>
      </c>
      <c r="J527">
        <v>113.1</v>
      </c>
    </row>
    <row r="528" spans="1:10" x14ac:dyDescent="0.3">
      <c r="A528" t="s">
        <v>274</v>
      </c>
      <c r="B528">
        <v>26</v>
      </c>
      <c r="C528">
        <v>105</v>
      </c>
      <c r="D528">
        <v>0</v>
      </c>
      <c r="G528">
        <v>105</v>
      </c>
      <c r="H528">
        <v>0</v>
      </c>
      <c r="I528">
        <v>60</v>
      </c>
      <c r="J528">
        <v>85</v>
      </c>
    </row>
    <row r="529" spans="1:18" x14ac:dyDescent="0.3">
      <c r="A529" t="s">
        <v>275</v>
      </c>
      <c r="B529">
        <v>26</v>
      </c>
      <c r="C529">
        <v>113.9</v>
      </c>
      <c r="D529">
        <v>54.1</v>
      </c>
      <c r="G529">
        <v>113.9</v>
      </c>
      <c r="H529">
        <v>54.1</v>
      </c>
      <c r="I529">
        <v>78.099999999999994</v>
      </c>
      <c r="J529">
        <v>98.1</v>
      </c>
    </row>
    <row r="530" spans="1:18" x14ac:dyDescent="0.3">
      <c r="A530" t="s">
        <v>276</v>
      </c>
      <c r="B530">
        <v>26</v>
      </c>
      <c r="C530">
        <v>113.9</v>
      </c>
      <c r="D530">
        <v>54.1</v>
      </c>
      <c r="G530">
        <v>113.9</v>
      </c>
      <c r="H530">
        <v>54.1</v>
      </c>
      <c r="I530">
        <v>78.099999999999994</v>
      </c>
      <c r="J530">
        <v>98.1</v>
      </c>
    </row>
    <row r="531" spans="1:18" x14ac:dyDescent="0.3">
      <c r="A531" t="s">
        <v>681</v>
      </c>
      <c r="B531">
        <v>26</v>
      </c>
      <c r="C531">
        <v>7.4</v>
      </c>
      <c r="D531">
        <v>65.8</v>
      </c>
      <c r="G531">
        <v>1.1000000000000001</v>
      </c>
      <c r="H531">
        <v>72.099999999999994</v>
      </c>
      <c r="I531">
        <v>6.9</v>
      </c>
      <c r="J531">
        <v>14.1</v>
      </c>
    </row>
    <row r="532" spans="1:18" x14ac:dyDescent="0.3">
      <c r="A532" t="s">
        <v>254</v>
      </c>
      <c r="B532">
        <v>30</v>
      </c>
      <c r="C532">
        <v>111</v>
      </c>
      <c r="D532">
        <v>112</v>
      </c>
      <c r="E532">
        <v>211</v>
      </c>
      <c r="F532">
        <v>212</v>
      </c>
      <c r="G532">
        <v>121</v>
      </c>
      <c r="H532">
        <v>122</v>
      </c>
      <c r="I532">
        <v>221</v>
      </c>
      <c r="J532">
        <v>213</v>
      </c>
      <c r="K532">
        <v>311</v>
      </c>
      <c r="L532">
        <v>312</v>
      </c>
      <c r="M532">
        <v>411</v>
      </c>
      <c r="N532">
        <v>412</v>
      </c>
      <c r="O532">
        <v>321</v>
      </c>
      <c r="P532">
        <v>322</v>
      </c>
      <c r="Q532">
        <v>421</v>
      </c>
      <c r="R532">
        <v>422</v>
      </c>
    </row>
    <row r="533" spans="1:18" x14ac:dyDescent="0.3">
      <c r="A533" t="s">
        <v>255</v>
      </c>
      <c r="B533">
        <v>30</v>
      </c>
      <c r="D533">
        <v>15</v>
      </c>
      <c r="F533">
        <v>6</v>
      </c>
      <c r="G533">
        <v>6</v>
      </c>
      <c r="H533">
        <v>15</v>
      </c>
      <c r="J533">
        <v>1</v>
      </c>
    </row>
    <row r="534" spans="1:18" x14ac:dyDescent="0.3">
      <c r="A534" t="s">
        <v>256</v>
      </c>
      <c r="B534">
        <v>30</v>
      </c>
      <c r="D534">
        <v>61.6</v>
      </c>
      <c r="F534">
        <v>14.2</v>
      </c>
      <c r="G534">
        <v>9.3000000000000007</v>
      </c>
      <c r="H534">
        <v>46.6</v>
      </c>
      <c r="J534">
        <v>27</v>
      </c>
    </row>
    <row r="535" spans="1:18" x14ac:dyDescent="0.3">
      <c r="A535" t="s">
        <v>257</v>
      </c>
      <c r="B535">
        <v>30</v>
      </c>
      <c r="D535">
        <v>6</v>
      </c>
      <c r="F535">
        <v>3</v>
      </c>
      <c r="G535">
        <v>2</v>
      </c>
      <c r="H535">
        <v>6</v>
      </c>
      <c r="J535">
        <v>3</v>
      </c>
    </row>
    <row r="536" spans="1:18" x14ac:dyDescent="0.3">
      <c r="A536" t="s">
        <v>258</v>
      </c>
      <c r="B536">
        <v>30</v>
      </c>
      <c r="D536">
        <v>0</v>
      </c>
      <c r="F536">
        <v>0</v>
      </c>
      <c r="G536">
        <v>0</v>
      </c>
      <c r="H536">
        <v>0</v>
      </c>
      <c r="J536">
        <v>0</v>
      </c>
    </row>
    <row r="537" spans="1:18" x14ac:dyDescent="0.3">
      <c r="A537" t="s">
        <v>259</v>
      </c>
      <c r="B537">
        <v>30</v>
      </c>
      <c r="D537">
        <v>0</v>
      </c>
      <c r="F537">
        <v>0</v>
      </c>
      <c r="G537">
        <v>0</v>
      </c>
      <c r="H537">
        <v>0</v>
      </c>
      <c r="J537">
        <v>0</v>
      </c>
    </row>
    <row r="538" spans="1:18" x14ac:dyDescent="0.3">
      <c r="A538" t="s">
        <v>260</v>
      </c>
      <c r="B538">
        <v>30</v>
      </c>
      <c r="D538">
        <v>3</v>
      </c>
      <c r="F538">
        <v>3</v>
      </c>
      <c r="G538">
        <v>2</v>
      </c>
      <c r="H538">
        <v>3</v>
      </c>
      <c r="J538">
        <v>3</v>
      </c>
    </row>
    <row r="539" spans="1:18" x14ac:dyDescent="0.3">
      <c r="A539" t="s">
        <v>261</v>
      </c>
      <c r="B539">
        <v>30</v>
      </c>
      <c r="D539">
        <v>5</v>
      </c>
      <c r="F539">
        <v>3.3</v>
      </c>
      <c r="G539">
        <v>3.2</v>
      </c>
      <c r="H539">
        <v>5</v>
      </c>
      <c r="J539">
        <v>3</v>
      </c>
    </row>
    <row r="540" spans="1:18" x14ac:dyDescent="0.3">
      <c r="A540" t="s">
        <v>262</v>
      </c>
      <c r="B540">
        <v>30</v>
      </c>
      <c r="D540">
        <v>2.4</v>
      </c>
      <c r="F540">
        <v>2.5</v>
      </c>
      <c r="G540">
        <v>2.5</v>
      </c>
      <c r="H540">
        <v>2.4</v>
      </c>
      <c r="J540">
        <v>1</v>
      </c>
    </row>
    <row r="541" spans="1:18" x14ac:dyDescent="0.3">
      <c r="A541" t="s">
        <v>263</v>
      </c>
      <c r="B541">
        <v>30</v>
      </c>
      <c r="D541">
        <v>3</v>
      </c>
      <c r="F541">
        <v>0</v>
      </c>
      <c r="G541">
        <v>0</v>
      </c>
      <c r="H541">
        <v>3</v>
      </c>
      <c r="J541">
        <v>0</v>
      </c>
    </row>
    <row r="542" spans="1:18" x14ac:dyDescent="0.3">
      <c r="A542" t="s">
        <v>264</v>
      </c>
      <c r="B542">
        <v>30</v>
      </c>
      <c r="J542">
        <v>5</v>
      </c>
    </row>
    <row r="543" spans="1:18" x14ac:dyDescent="0.3">
      <c r="A543" t="s">
        <v>265</v>
      </c>
      <c r="B543">
        <v>30</v>
      </c>
      <c r="J543">
        <v>22</v>
      </c>
    </row>
    <row r="544" spans="1:18" x14ac:dyDescent="0.3">
      <c r="A544" t="s">
        <v>266</v>
      </c>
      <c r="B544">
        <v>30</v>
      </c>
      <c r="J544">
        <v>0</v>
      </c>
    </row>
    <row r="545" spans="1:18" x14ac:dyDescent="0.3">
      <c r="A545" t="s">
        <v>267</v>
      </c>
      <c r="B545">
        <v>30</v>
      </c>
      <c r="D545">
        <v>22.4</v>
      </c>
      <c r="F545">
        <v>13</v>
      </c>
      <c r="G545">
        <v>14</v>
      </c>
      <c r="H545">
        <v>22.4</v>
      </c>
      <c r="J545">
        <v>31</v>
      </c>
    </row>
    <row r="546" spans="1:18" x14ac:dyDescent="0.3">
      <c r="A546" t="s">
        <v>268</v>
      </c>
      <c r="B546">
        <v>30</v>
      </c>
      <c r="D546">
        <v>1</v>
      </c>
      <c r="F546">
        <v>0</v>
      </c>
      <c r="G546">
        <v>0</v>
      </c>
      <c r="H546">
        <v>1</v>
      </c>
      <c r="J546">
        <v>0</v>
      </c>
    </row>
    <row r="547" spans="1:18" x14ac:dyDescent="0.3">
      <c r="A547" t="s">
        <v>269</v>
      </c>
      <c r="B547">
        <v>30</v>
      </c>
      <c r="D547">
        <v>1</v>
      </c>
      <c r="F547">
        <v>1</v>
      </c>
      <c r="G547">
        <v>1</v>
      </c>
      <c r="H547">
        <v>1</v>
      </c>
      <c r="J547">
        <v>1</v>
      </c>
    </row>
    <row r="548" spans="1:18" x14ac:dyDescent="0.3">
      <c r="A548" t="s">
        <v>270</v>
      </c>
      <c r="B548">
        <v>30</v>
      </c>
      <c r="D548">
        <v>59.4</v>
      </c>
      <c r="F548">
        <v>8.4</v>
      </c>
      <c r="G548">
        <v>59.4</v>
      </c>
      <c r="H548">
        <v>74.400000000000006</v>
      </c>
      <c r="J548">
        <v>28.4</v>
      </c>
    </row>
    <row r="549" spans="1:18" x14ac:dyDescent="0.3">
      <c r="A549" t="s">
        <v>271</v>
      </c>
      <c r="B549">
        <v>30</v>
      </c>
      <c r="D549">
        <v>8.4</v>
      </c>
      <c r="F549">
        <v>28.4</v>
      </c>
      <c r="G549">
        <v>74.400000000000006</v>
      </c>
      <c r="H549">
        <v>8.4</v>
      </c>
      <c r="J549">
        <v>59.4</v>
      </c>
    </row>
    <row r="550" spans="1:18" x14ac:dyDescent="0.3">
      <c r="A550" t="s">
        <v>272</v>
      </c>
      <c r="B550">
        <v>30</v>
      </c>
      <c r="D550">
        <v>1</v>
      </c>
      <c r="F550">
        <v>22.6</v>
      </c>
      <c r="G550">
        <v>68.7</v>
      </c>
      <c r="H550">
        <v>1</v>
      </c>
      <c r="J550">
        <v>55.4</v>
      </c>
    </row>
    <row r="551" spans="1:18" x14ac:dyDescent="0.3">
      <c r="A551" t="s">
        <v>273</v>
      </c>
      <c r="B551">
        <v>30</v>
      </c>
      <c r="D551">
        <v>1</v>
      </c>
      <c r="F551">
        <v>22.6</v>
      </c>
      <c r="G551">
        <v>68.7</v>
      </c>
      <c r="H551">
        <v>1</v>
      </c>
      <c r="J551">
        <v>55.4</v>
      </c>
    </row>
    <row r="552" spans="1:18" x14ac:dyDescent="0.3">
      <c r="A552" t="s">
        <v>274</v>
      </c>
      <c r="B552">
        <v>30</v>
      </c>
      <c r="D552">
        <v>58.4</v>
      </c>
      <c r="F552">
        <v>7.4</v>
      </c>
      <c r="G552">
        <v>58.4</v>
      </c>
      <c r="H552">
        <v>73.400000000000006</v>
      </c>
      <c r="J552">
        <v>27.4</v>
      </c>
    </row>
    <row r="553" spans="1:18" x14ac:dyDescent="0.3">
      <c r="A553" t="s">
        <v>275</v>
      </c>
      <c r="B553">
        <v>30</v>
      </c>
      <c r="D553">
        <v>0</v>
      </c>
      <c r="F553">
        <v>21.6</v>
      </c>
      <c r="G553">
        <v>67.7</v>
      </c>
      <c r="H553">
        <v>0</v>
      </c>
      <c r="J553">
        <v>54.4</v>
      </c>
    </row>
    <row r="554" spans="1:18" x14ac:dyDescent="0.3">
      <c r="A554" t="s">
        <v>276</v>
      </c>
      <c r="B554">
        <v>30</v>
      </c>
      <c r="D554">
        <v>0</v>
      </c>
      <c r="F554">
        <v>21.6</v>
      </c>
      <c r="G554">
        <v>67.7</v>
      </c>
      <c r="H554">
        <v>0</v>
      </c>
      <c r="J554">
        <v>54.4</v>
      </c>
    </row>
    <row r="555" spans="1:18" x14ac:dyDescent="0.3">
      <c r="A555" t="s">
        <v>681</v>
      </c>
      <c r="B555">
        <v>30</v>
      </c>
      <c r="D555">
        <v>100.5</v>
      </c>
      <c r="F555">
        <v>6.3</v>
      </c>
      <c r="G555">
        <v>3.6</v>
      </c>
      <c r="H555">
        <v>91.2</v>
      </c>
      <c r="J555">
        <v>0</v>
      </c>
    </row>
    <row r="556" spans="1:18" x14ac:dyDescent="0.3">
      <c r="A556" t="s">
        <v>254</v>
      </c>
      <c r="B556">
        <v>31</v>
      </c>
      <c r="C556">
        <v>111</v>
      </c>
      <c r="D556">
        <v>112</v>
      </c>
      <c r="E556">
        <v>211</v>
      </c>
      <c r="F556">
        <v>212</v>
      </c>
      <c r="G556">
        <v>121</v>
      </c>
      <c r="H556">
        <v>122</v>
      </c>
      <c r="I556">
        <v>213</v>
      </c>
      <c r="J556">
        <v>214</v>
      </c>
      <c r="K556">
        <v>311</v>
      </c>
      <c r="L556">
        <v>312</v>
      </c>
      <c r="M556">
        <v>411</v>
      </c>
      <c r="N556">
        <v>412</v>
      </c>
      <c r="O556">
        <v>321</v>
      </c>
      <c r="P556">
        <v>322</v>
      </c>
      <c r="Q556">
        <v>421</v>
      </c>
      <c r="R556">
        <v>422</v>
      </c>
    </row>
    <row r="557" spans="1:18" x14ac:dyDescent="0.3">
      <c r="A557" t="s">
        <v>255</v>
      </c>
      <c r="B557">
        <v>31</v>
      </c>
      <c r="D557">
        <v>15</v>
      </c>
      <c r="E557">
        <v>8</v>
      </c>
      <c r="F557">
        <v>10</v>
      </c>
      <c r="G557">
        <v>10</v>
      </c>
      <c r="H557">
        <v>15</v>
      </c>
    </row>
    <row r="558" spans="1:18" x14ac:dyDescent="0.3">
      <c r="A558" t="s">
        <v>256</v>
      </c>
      <c r="B558">
        <v>31</v>
      </c>
      <c r="D558">
        <v>62.1</v>
      </c>
      <c r="E558">
        <v>24.7</v>
      </c>
      <c r="F558">
        <v>11.6</v>
      </c>
      <c r="G558">
        <v>11.5</v>
      </c>
      <c r="H558">
        <v>44.1</v>
      </c>
    </row>
    <row r="559" spans="1:18" x14ac:dyDescent="0.3">
      <c r="A559" t="s">
        <v>257</v>
      </c>
      <c r="B559">
        <v>31</v>
      </c>
      <c r="D559">
        <v>6</v>
      </c>
      <c r="E559">
        <v>3</v>
      </c>
      <c r="F559">
        <v>3</v>
      </c>
      <c r="G559">
        <v>3</v>
      </c>
      <c r="H559">
        <v>6</v>
      </c>
    </row>
    <row r="560" spans="1:18" x14ac:dyDescent="0.3">
      <c r="A560" t="s">
        <v>258</v>
      </c>
      <c r="B560">
        <v>31</v>
      </c>
      <c r="D560">
        <v>0</v>
      </c>
      <c r="E560">
        <v>0</v>
      </c>
      <c r="F560">
        <v>0</v>
      </c>
      <c r="G560">
        <v>0</v>
      </c>
      <c r="H560">
        <v>0</v>
      </c>
    </row>
    <row r="561" spans="1:8" x14ac:dyDescent="0.3">
      <c r="A561" t="s">
        <v>259</v>
      </c>
      <c r="B561">
        <v>31</v>
      </c>
      <c r="D561">
        <v>0</v>
      </c>
      <c r="E561">
        <v>0</v>
      </c>
      <c r="F561">
        <v>0</v>
      </c>
      <c r="G561">
        <v>0</v>
      </c>
      <c r="H561">
        <v>0</v>
      </c>
    </row>
    <row r="562" spans="1:8" x14ac:dyDescent="0.3">
      <c r="A562" t="s">
        <v>260</v>
      </c>
      <c r="B562">
        <v>31</v>
      </c>
      <c r="D562">
        <v>3</v>
      </c>
      <c r="E562">
        <v>3</v>
      </c>
      <c r="F562">
        <v>3</v>
      </c>
      <c r="G562">
        <v>3</v>
      </c>
      <c r="H562">
        <v>3</v>
      </c>
    </row>
    <row r="563" spans="1:8" x14ac:dyDescent="0.3">
      <c r="A563" t="s">
        <v>261</v>
      </c>
      <c r="B563">
        <v>31</v>
      </c>
      <c r="D563">
        <v>5</v>
      </c>
      <c r="E563">
        <v>3.8</v>
      </c>
      <c r="F563">
        <v>4.9000000000000004</v>
      </c>
      <c r="G563">
        <v>4</v>
      </c>
      <c r="H563">
        <v>5</v>
      </c>
    </row>
    <row r="564" spans="1:8" x14ac:dyDescent="0.3">
      <c r="A564" t="s">
        <v>262</v>
      </c>
      <c r="B564">
        <v>31</v>
      </c>
      <c r="D564">
        <v>2.9</v>
      </c>
      <c r="E564">
        <v>2.5</v>
      </c>
      <c r="F564">
        <v>2.5</v>
      </c>
      <c r="G564">
        <v>2.5</v>
      </c>
      <c r="H564">
        <v>2.9</v>
      </c>
    </row>
    <row r="565" spans="1:8" x14ac:dyDescent="0.3">
      <c r="A565" t="s">
        <v>263</v>
      </c>
      <c r="B565">
        <v>31</v>
      </c>
      <c r="D565">
        <v>3</v>
      </c>
      <c r="E565">
        <v>0</v>
      </c>
      <c r="F565">
        <v>0</v>
      </c>
      <c r="G565">
        <v>0</v>
      </c>
      <c r="H565">
        <v>3</v>
      </c>
    </row>
    <row r="566" spans="1:8" x14ac:dyDescent="0.3">
      <c r="A566" t="s">
        <v>264</v>
      </c>
      <c r="B566">
        <v>31</v>
      </c>
    </row>
    <row r="567" spans="1:8" x14ac:dyDescent="0.3">
      <c r="A567" t="s">
        <v>265</v>
      </c>
      <c r="B567">
        <v>31</v>
      </c>
    </row>
    <row r="568" spans="1:8" x14ac:dyDescent="0.3">
      <c r="A568" t="s">
        <v>266</v>
      </c>
      <c r="B568">
        <v>31</v>
      </c>
    </row>
    <row r="569" spans="1:8" x14ac:dyDescent="0.3">
      <c r="A569" t="s">
        <v>267</v>
      </c>
      <c r="B569">
        <v>31</v>
      </c>
      <c r="D569">
        <v>23</v>
      </c>
      <c r="E569">
        <v>15</v>
      </c>
      <c r="F569">
        <v>17.399999999999999</v>
      </c>
      <c r="G569">
        <v>18</v>
      </c>
      <c r="H569">
        <v>23</v>
      </c>
    </row>
    <row r="570" spans="1:8" x14ac:dyDescent="0.3">
      <c r="A570" t="s">
        <v>268</v>
      </c>
      <c r="B570">
        <v>31</v>
      </c>
      <c r="D570">
        <v>1</v>
      </c>
      <c r="E570">
        <v>0</v>
      </c>
      <c r="F570">
        <v>0</v>
      </c>
      <c r="G570">
        <v>0</v>
      </c>
      <c r="H570">
        <v>1</v>
      </c>
    </row>
    <row r="571" spans="1:8" x14ac:dyDescent="0.3">
      <c r="A571" t="s">
        <v>269</v>
      </c>
      <c r="B571">
        <v>31</v>
      </c>
      <c r="D571">
        <v>1</v>
      </c>
      <c r="E571">
        <v>1</v>
      </c>
      <c r="F571">
        <v>1</v>
      </c>
      <c r="G571">
        <v>1</v>
      </c>
      <c r="H571">
        <v>1</v>
      </c>
    </row>
    <row r="572" spans="1:8" x14ac:dyDescent="0.3">
      <c r="A572" t="s">
        <v>270</v>
      </c>
      <c r="B572">
        <v>31</v>
      </c>
      <c r="D572">
        <v>67.900000000000006</v>
      </c>
      <c r="E572">
        <v>17.899999999999999</v>
      </c>
      <c r="F572">
        <v>48.9</v>
      </c>
      <c r="G572">
        <v>67.900000000000006</v>
      </c>
      <c r="H572">
        <v>85.9</v>
      </c>
    </row>
    <row r="573" spans="1:8" x14ac:dyDescent="0.3">
      <c r="A573" t="s">
        <v>271</v>
      </c>
      <c r="B573">
        <v>31</v>
      </c>
      <c r="D573">
        <v>17.899999999999999</v>
      </c>
      <c r="E573">
        <v>48.9</v>
      </c>
      <c r="F573">
        <v>67.900000000000006</v>
      </c>
      <c r="G573">
        <v>85.9</v>
      </c>
      <c r="H573">
        <v>17.899999999999999</v>
      </c>
    </row>
    <row r="574" spans="1:8" x14ac:dyDescent="0.3">
      <c r="A574" t="s">
        <v>272</v>
      </c>
      <c r="B574">
        <v>31</v>
      </c>
      <c r="D574">
        <v>10</v>
      </c>
      <c r="E574">
        <v>42.6</v>
      </c>
      <c r="F574">
        <v>60.5</v>
      </c>
      <c r="G574">
        <v>79.400000000000006</v>
      </c>
      <c r="H574">
        <v>10</v>
      </c>
    </row>
    <row r="575" spans="1:8" x14ac:dyDescent="0.3">
      <c r="A575" t="s">
        <v>273</v>
      </c>
      <c r="B575">
        <v>31</v>
      </c>
      <c r="D575">
        <v>10</v>
      </c>
      <c r="E575">
        <v>42.6</v>
      </c>
      <c r="F575">
        <v>60.5</v>
      </c>
      <c r="G575">
        <v>79.400000000000006</v>
      </c>
      <c r="H575">
        <v>10</v>
      </c>
    </row>
    <row r="576" spans="1:8" x14ac:dyDescent="0.3">
      <c r="A576" t="s">
        <v>274</v>
      </c>
      <c r="B576">
        <v>31</v>
      </c>
      <c r="D576">
        <v>57.9</v>
      </c>
      <c r="E576">
        <v>7.9</v>
      </c>
      <c r="F576">
        <v>38.9</v>
      </c>
      <c r="G576">
        <v>57.9</v>
      </c>
      <c r="H576">
        <v>75.900000000000006</v>
      </c>
    </row>
    <row r="577" spans="1:18" x14ac:dyDescent="0.3">
      <c r="A577" t="s">
        <v>275</v>
      </c>
      <c r="B577">
        <v>31</v>
      </c>
      <c r="D577">
        <v>0</v>
      </c>
      <c r="E577">
        <v>32.6</v>
      </c>
      <c r="F577">
        <v>50.5</v>
      </c>
      <c r="G577">
        <v>69.400000000000006</v>
      </c>
      <c r="H577">
        <v>0</v>
      </c>
    </row>
    <row r="578" spans="1:18" x14ac:dyDescent="0.3">
      <c r="A578" t="s">
        <v>276</v>
      </c>
      <c r="B578">
        <v>31</v>
      </c>
      <c r="D578">
        <v>0</v>
      </c>
      <c r="E578">
        <v>32.6</v>
      </c>
      <c r="F578">
        <v>50.5</v>
      </c>
      <c r="G578">
        <v>69.400000000000006</v>
      </c>
      <c r="H578">
        <v>0</v>
      </c>
    </row>
    <row r="579" spans="1:18" x14ac:dyDescent="0.3">
      <c r="A579" t="s">
        <v>681</v>
      </c>
      <c r="B579">
        <v>31</v>
      </c>
      <c r="D579">
        <v>72.099999999999994</v>
      </c>
      <c r="E579">
        <v>13.8</v>
      </c>
      <c r="F579">
        <v>12.5</v>
      </c>
      <c r="G579">
        <v>11.6</v>
      </c>
      <c r="H579">
        <v>54</v>
      </c>
    </row>
    <row r="580" spans="1:18" x14ac:dyDescent="0.3">
      <c r="A580" t="s">
        <v>254</v>
      </c>
      <c r="B580">
        <v>32</v>
      </c>
      <c r="C580">
        <v>111</v>
      </c>
      <c r="D580">
        <v>112</v>
      </c>
      <c r="E580">
        <v>212</v>
      </c>
      <c r="F580">
        <v>211</v>
      </c>
      <c r="G580">
        <v>121</v>
      </c>
      <c r="H580">
        <v>122</v>
      </c>
      <c r="I580">
        <v>221</v>
      </c>
      <c r="J580">
        <v>222</v>
      </c>
      <c r="K580">
        <v>311</v>
      </c>
      <c r="L580">
        <v>312</v>
      </c>
      <c r="M580">
        <v>411</v>
      </c>
      <c r="N580">
        <v>412</v>
      </c>
      <c r="O580">
        <v>321</v>
      </c>
      <c r="P580">
        <v>322</v>
      </c>
      <c r="Q580">
        <v>421</v>
      </c>
      <c r="R580">
        <v>422</v>
      </c>
    </row>
    <row r="581" spans="1:18" x14ac:dyDescent="0.3">
      <c r="A581" t="s">
        <v>255</v>
      </c>
      <c r="B581">
        <v>32</v>
      </c>
      <c r="C581">
        <v>4</v>
      </c>
      <c r="D581">
        <v>15</v>
      </c>
      <c r="E581">
        <v>1</v>
      </c>
      <c r="F581">
        <v>6.5</v>
      </c>
      <c r="G581">
        <v>4</v>
      </c>
      <c r="H581">
        <v>15</v>
      </c>
      <c r="J581">
        <v>6.5</v>
      </c>
    </row>
    <row r="582" spans="1:18" x14ac:dyDescent="0.3">
      <c r="A582" t="s">
        <v>256</v>
      </c>
      <c r="B582">
        <v>32</v>
      </c>
      <c r="C582">
        <v>17.2</v>
      </c>
      <c r="D582">
        <v>48.2</v>
      </c>
      <c r="E582">
        <v>9.9</v>
      </c>
      <c r="F582">
        <v>17.600000000000001</v>
      </c>
      <c r="G582">
        <v>8.1999999999999993</v>
      </c>
      <c r="H582">
        <v>57.2</v>
      </c>
      <c r="J582">
        <v>33.6</v>
      </c>
    </row>
    <row r="583" spans="1:18" x14ac:dyDescent="0.3">
      <c r="A583" t="s">
        <v>257</v>
      </c>
      <c r="B583">
        <v>32</v>
      </c>
      <c r="C583">
        <v>2</v>
      </c>
      <c r="D583">
        <v>6</v>
      </c>
      <c r="E583">
        <v>2</v>
      </c>
      <c r="F583">
        <v>3</v>
      </c>
      <c r="G583">
        <v>2</v>
      </c>
      <c r="H583">
        <v>6</v>
      </c>
      <c r="J583">
        <v>3</v>
      </c>
    </row>
    <row r="584" spans="1:18" x14ac:dyDescent="0.3">
      <c r="A584" t="s">
        <v>258</v>
      </c>
      <c r="B584">
        <v>32</v>
      </c>
      <c r="C584">
        <v>0</v>
      </c>
      <c r="D584">
        <v>0</v>
      </c>
      <c r="E584">
        <v>0</v>
      </c>
      <c r="F584">
        <v>0</v>
      </c>
      <c r="G584">
        <v>0</v>
      </c>
      <c r="H584">
        <v>0</v>
      </c>
      <c r="J584">
        <v>0</v>
      </c>
    </row>
    <row r="585" spans="1:18" x14ac:dyDescent="0.3">
      <c r="A585" t="s">
        <v>259</v>
      </c>
      <c r="B585">
        <v>32</v>
      </c>
      <c r="C585">
        <v>0</v>
      </c>
      <c r="D585">
        <v>0</v>
      </c>
      <c r="E585">
        <v>0</v>
      </c>
      <c r="F585">
        <v>0</v>
      </c>
      <c r="G585">
        <v>0</v>
      </c>
      <c r="H585">
        <v>0</v>
      </c>
      <c r="J585">
        <v>0</v>
      </c>
    </row>
    <row r="586" spans="1:18" x14ac:dyDescent="0.3">
      <c r="A586" t="s">
        <v>260</v>
      </c>
      <c r="B586">
        <v>32</v>
      </c>
      <c r="C586">
        <v>2</v>
      </c>
      <c r="D586">
        <v>3</v>
      </c>
      <c r="E586">
        <v>2</v>
      </c>
      <c r="F586">
        <v>3</v>
      </c>
      <c r="G586">
        <v>2</v>
      </c>
      <c r="H586">
        <v>3</v>
      </c>
      <c r="J586">
        <v>3</v>
      </c>
    </row>
    <row r="587" spans="1:18" x14ac:dyDescent="0.3">
      <c r="A587" t="s">
        <v>261</v>
      </c>
      <c r="B587">
        <v>32</v>
      </c>
      <c r="C587">
        <v>5.3</v>
      </c>
      <c r="D587">
        <v>5.3</v>
      </c>
      <c r="E587">
        <v>3.6</v>
      </c>
      <c r="F587">
        <v>3.9</v>
      </c>
      <c r="G587">
        <v>5.3</v>
      </c>
      <c r="H587">
        <v>5.3</v>
      </c>
      <c r="J587">
        <v>3.9</v>
      </c>
    </row>
    <row r="588" spans="1:18" x14ac:dyDescent="0.3">
      <c r="A588" t="s">
        <v>262</v>
      </c>
      <c r="B588">
        <v>32</v>
      </c>
      <c r="C588">
        <v>2.5</v>
      </c>
      <c r="D588">
        <v>1.5</v>
      </c>
      <c r="E588">
        <v>2.5</v>
      </c>
      <c r="F588">
        <v>2.5</v>
      </c>
      <c r="G588">
        <v>2.5</v>
      </c>
      <c r="H588">
        <v>1.5</v>
      </c>
      <c r="J588">
        <v>2.5</v>
      </c>
    </row>
    <row r="589" spans="1:18" x14ac:dyDescent="0.3">
      <c r="A589" t="s">
        <v>263</v>
      </c>
      <c r="B589">
        <v>32</v>
      </c>
      <c r="C589">
        <v>0</v>
      </c>
      <c r="D589">
        <v>3</v>
      </c>
      <c r="E589">
        <v>0</v>
      </c>
      <c r="F589">
        <v>0</v>
      </c>
      <c r="G589">
        <v>0</v>
      </c>
      <c r="H589">
        <v>3</v>
      </c>
      <c r="J589">
        <v>0</v>
      </c>
    </row>
    <row r="590" spans="1:18" x14ac:dyDescent="0.3">
      <c r="A590" t="s">
        <v>264</v>
      </c>
      <c r="B590">
        <v>32</v>
      </c>
    </row>
    <row r="591" spans="1:18" x14ac:dyDescent="0.3">
      <c r="A591" t="s">
        <v>265</v>
      </c>
      <c r="B591">
        <v>32</v>
      </c>
    </row>
    <row r="592" spans="1:18" x14ac:dyDescent="0.3">
      <c r="A592" t="s">
        <v>266</v>
      </c>
      <c r="B592">
        <v>32</v>
      </c>
    </row>
    <row r="593" spans="1:18" x14ac:dyDescent="0.3">
      <c r="A593" t="s">
        <v>267</v>
      </c>
      <c r="B593">
        <v>32</v>
      </c>
      <c r="C593">
        <v>12</v>
      </c>
      <c r="D593">
        <v>23</v>
      </c>
      <c r="E593">
        <v>14</v>
      </c>
      <c r="F593">
        <v>14</v>
      </c>
      <c r="G593">
        <v>12</v>
      </c>
      <c r="H593">
        <v>23</v>
      </c>
      <c r="J593">
        <v>14</v>
      </c>
    </row>
    <row r="594" spans="1:18" x14ac:dyDescent="0.3">
      <c r="A594" t="s">
        <v>268</v>
      </c>
      <c r="B594">
        <v>32</v>
      </c>
      <c r="C594">
        <v>0</v>
      </c>
      <c r="D594">
        <v>1</v>
      </c>
      <c r="E594">
        <v>0</v>
      </c>
      <c r="F594">
        <v>1</v>
      </c>
      <c r="G594">
        <v>0</v>
      </c>
      <c r="H594">
        <v>1</v>
      </c>
      <c r="J594">
        <v>1</v>
      </c>
    </row>
    <row r="595" spans="1:18" x14ac:dyDescent="0.3">
      <c r="A595" t="s">
        <v>269</v>
      </c>
      <c r="B595">
        <v>32</v>
      </c>
      <c r="C595">
        <v>1</v>
      </c>
      <c r="D595">
        <v>1</v>
      </c>
      <c r="E595">
        <v>1</v>
      </c>
      <c r="F595">
        <v>1</v>
      </c>
      <c r="G595">
        <v>1</v>
      </c>
      <c r="H595">
        <v>1</v>
      </c>
      <c r="J595">
        <v>1</v>
      </c>
    </row>
    <row r="596" spans="1:18" x14ac:dyDescent="0.3">
      <c r="A596" t="s">
        <v>270</v>
      </c>
      <c r="B596">
        <v>32</v>
      </c>
      <c r="C596">
        <v>72.3</v>
      </c>
      <c r="D596">
        <v>97.3</v>
      </c>
      <c r="E596">
        <v>56.3</v>
      </c>
      <c r="F596">
        <v>32.299999999999997</v>
      </c>
      <c r="G596">
        <v>72.3</v>
      </c>
      <c r="H596">
        <v>88.3</v>
      </c>
      <c r="J596">
        <v>32.299999999999997</v>
      </c>
    </row>
    <row r="597" spans="1:18" x14ac:dyDescent="0.3">
      <c r="A597" t="s">
        <v>271</v>
      </c>
      <c r="B597">
        <v>32</v>
      </c>
      <c r="C597">
        <v>97.3</v>
      </c>
      <c r="D597">
        <v>32.299999999999997</v>
      </c>
      <c r="E597">
        <v>72.3</v>
      </c>
      <c r="F597">
        <v>56.3</v>
      </c>
      <c r="G597">
        <v>88.3</v>
      </c>
      <c r="H597">
        <v>32.299999999999997</v>
      </c>
      <c r="J597">
        <v>72.3</v>
      </c>
    </row>
    <row r="598" spans="1:18" x14ac:dyDescent="0.3">
      <c r="A598" t="s">
        <v>272</v>
      </c>
      <c r="B598">
        <v>32</v>
      </c>
      <c r="C598">
        <v>89.5</v>
      </c>
      <c r="D598">
        <v>25.5</v>
      </c>
      <c r="E598">
        <v>66.2</v>
      </c>
      <c r="F598">
        <v>49.9</v>
      </c>
      <c r="G598">
        <v>80.5</v>
      </c>
      <c r="H598">
        <v>25.5</v>
      </c>
      <c r="J598">
        <v>65.900000000000006</v>
      </c>
    </row>
    <row r="599" spans="1:18" x14ac:dyDescent="0.3">
      <c r="A599" t="s">
        <v>273</v>
      </c>
      <c r="B599">
        <v>32</v>
      </c>
      <c r="C599">
        <v>89.5</v>
      </c>
      <c r="D599">
        <v>25.5</v>
      </c>
      <c r="E599">
        <v>66.2</v>
      </c>
      <c r="F599">
        <v>49.9</v>
      </c>
      <c r="G599">
        <v>80.5</v>
      </c>
      <c r="H599">
        <v>25.5</v>
      </c>
      <c r="J599">
        <v>65.900000000000006</v>
      </c>
    </row>
    <row r="600" spans="1:18" x14ac:dyDescent="0.3">
      <c r="A600" t="s">
        <v>274</v>
      </c>
      <c r="B600">
        <v>32</v>
      </c>
      <c r="C600">
        <v>46.8</v>
      </c>
      <c r="D600">
        <v>71.8</v>
      </c>
      <c r="E600">
        <v>30.8</v>
      </c>
      <c r="F600">
        <v>6.8</v>
      </c>
      <c r="G600">
        <v>46.8</v>
      </c>
      <c r="H600">
        <v>62.8</v>
      </c>
      <c r="J600">
        <v>6.8</v>
      </c>
    </row>
    <row r="601" spans="1:18" x14ac:dyDescent="0.3">
      <c r="A601" t="s">
        <v>275</v>
      </c>
      <c r="B601">
        <v>32</v>
      </c>
      <c r="C601">
        <v>64</v>
      </c>
      <c r="D601">
        <v>0</v>
      </c>
      <c r="E601">
        <v>40.700000000000003</v>
      </c>
      <c r="F601">
        <v>24.4</v>
      </c>
      <c r="G601">
        <v>55</v>
      </c>
      <c r="H601">
        <v>0</v>
      </c>
      <c r="J601">
        <v>40.4</v>
      </c>
    </row>
    <row r="602" spans="1:18" x14ac:dyDescent="0.3">
      <c r="A602" t="s">
        <v>276</v>
      </c>
      <c r="B602">
        <v>32</v>
      </c>
      <c r="C602">
        <v>64</v>
      </c>
      <c r="D602">
        <v>0</v>
      </c>
      <c r="E602">
        <v>40.700000000000003</v>
      </c>
      <c r="F602">
        <v>24.4</v>
      </c>
      <c r="G602">
        <v>55</v>
      </c>
      <c r="H602">
        <v>0</v>
      </c>
      <c r="J602">
        <v>40.4</v>
      </c>
    </row>
    <row r="603" spans="1:18" x14ac:dyDescent="0.3">
      <c r="A603" t="s">
        <v>681</v>
      </c>
      <c r="B603">
        <v>32</v>
      </c>
      <c r="C603">
        <v>13.1</v>
      </c>
      <c r="D603">
        <v>55.4</v>
      </c>
      <c r="E603">
        <v>7</v>
      </c>
      <c r="F603">
        <v>17.399999999999999</v>
      </c>
      <c r="G603">
        <v>6.7</v>
      </c>
      <c r="H603">
        <v>61.8</v>
      </c>
      <c r="J603">
        <v>30.5</v>
      </c>
    </row>
    <row r="604" spans="1:18" x14ac:dyDescent="0.3">
      <c r="A604" t="s">
        <v>254</v>
      </c>
      <c r="B604">
        <v>33</v>
      </c>
      <c r="C604">
        <v>111</v>
      </c>
      <c r="D604">
        <v>112</v>
      </c>
      <c r="E604">
        <v>211</v>
      </c>
      <c r="F604">
        <v>212</v>
      </c>
      <c r="G604">
        <v>121</v>
      </c>
      <c r="H604">
        <v>122</v>
      </c>
      <c r="I604">
        <v>221</v>
      </c>
      <c r="J604">
        <v>222</v>
      </c>
      <c r="K604">
        <v>311</v>
      </c>
      <c r="L604">
        <v>312</v>
      </c>
      <c r="M604">
        <v>411</v>
      </c>
      <c r="N604">
        <v>412</v>
      </c>
      <c r="O604">
        <v>321</v>
      </c>
      <c r="P604">
        <v>322</v>
      </c>
      <c r="Q604">
        <v>421</v>
      </c>
      <c r="R604">
        <v>422</v>
      </c>
    </row>
    <row r="605" spans="1:18" x14ac:dyDescent="0.3">
      <c r="A605" t="s">
        <v>255</v>
      </c>
      <c r="B605">
        <v>33</v>
      </c>
      <c r="C605">
        <v>6</v>
      </c>
      <c r="D605">
        <v>15</v>
      </c>
      <c r="F605">
        <v>10</v>
      </c>
      <c r="G605">
        <v>6</v>
      </c>
      <c r="H605">
        <v>15</v>
      </c>
      <c r="J605">
        <v>10</v>
      </c>
    </row>
    <row r="606" spans="1:18" x14ac:dyDescent="0.3">
      <c r="A606" t="s">
        <v>256</v>
      </c>
      <c r="B606">
        <v>33</v>
      </c>
      <c r="C606">
        <v>14.1</v>
      </c>
      <c r="D606">
        <v>63.5</v>
      </c>
      <c r="F606">
        <v>23.3</v>
      </c>
      <c r="G606">
        <v>14.5</v>
      </c>
      <c r="H606">
        <v>63.5</v>
      </c>
      <c r="J606">
        <v>23.3</v>
      </c>
    </row>
    <row r="607" spans="1:18" x14ac:dyDescent="0.3">
      <c r="A607" t="s">
        <v>257</v>
      </c>
      <c r="B607">
        <v>33</v>
      </c>
      <c r="C607">
        <v>3</v>
      </c>
      <c r="D607">
        <v>3</v>
      </c>
      <c r="F607">
        <v>3</v>
      </c>
      <c r="G607">
        <v>3</v>
      </c>
      <c r="H607">
        <v>3</v>
      </c>
      <c r="J607">
        <v>3</v>
      </c>
    </row>
    <row r="608" spans="1:18" x14ac:dyDescent="0.3">
      <c r="A608" t="s">
        <v>258</v>
      </c>
      <c r="B608">
        <v>33</v>
      </c>
      <c r="C608">
        <v>0</v>
      </c>
      <c r="D608">
        <v>0</v>
      </c>
      <c r="F608">
        <v>0</v>
      </c>
      <c r="G608">
        <v>0</v>
      </c>
      <c r="H608">
        <v>0</v>
      </c>
      <c r="J608">
        <v>0</v>
      </c>
    </row>
    <row r="609" spans="1:10" x14ac:dyDescent="0.3">
      <c r="A609" t="s">
        <v>259</v>
      </c>
      <c r="B609">
        <v>33</v>
      </c>
      <c r="C609">
        <v>0</v>
      </c>
      <c r="D609">
        <v>0</v>
      </c>
      <c r="F609">
        <v>0</v>
      </c>
      <c r="G609">
        <v>0</v>
      </c>
      <c r="H609">
        <v>0</v>
      </c>
      <c r="J609">
        <v>0</v>
      </c>
    </row>
    <row r="610" spans="1:10" x14ac:dyDescent="0.3">
      <c r="A610" t="s">
        <v>260</v>
      </c>
      <c r="B610">
        <v>33</v>
      </c>
      <c r="C610">
        <v>3</v>
      </c>
      <c r="D610">
        <v>3</v>
      </c>
      <c r="F610">
        <v>3</v>
      </c>
      <c r="G610">
        <v>3</v>
      </c>
      <c r="H610">
        <v>3</v>
      </c>
      <c r="J610">
        <v>3</v>
      </c>
    </row>
    <row r="611" spans="1:10" x14ac:dyDescent="0.3">
      <c r="A611" t="s">
        <v>261</v>
      </c>
      <c r="B611">
        <v>33</v>
      </c>
      <c r="C611">
        <v>3.4</v>
      </c>
      <c r="D611">
        <v>5</v>
      </c>
      <c r="F611">
        <v>4.2</v>
      </c>
      <c r="G611">
        <v>3</v>
      </c>
      <c r="H611">
        <v>5</v>
      </c>
      <c r="J611">
        <v>4.2</v>
      </c>
    </row>
    <row r="612" spans="1:10" x14ac:dyDescent="0.3">
      <c r="A612" t="s">
        <v>262</v>
      </c>
      <c r="B612">
        <v>33</v>
      </c>
      <c r="C612">
        <v>2.5</v>
      </c>
      <c r="D612">
        <v>1.5</v>
      </c>
      <c r="F612">
        <v>2.5</v>
      </c>
      <c r="G612">
        <v>2.5</v>
      </c>
      <c r="H612">
        <v>1.5</v>
      </c>
      <c r="J612">
        <v>2.5</v>
      </c>
    </row>
    <row r="613" spans="1:10" x14ac:dyDescent="0.3">
      <c r="A613" t="s">
        <v>263</v>
      </c>
      <c r="B613">
        <v>33</v>
      </c>
      <c r="C613">
        <v>0</v>
      </c>
      <c r="D613">
        <v>3</v>
      </c>
      <c r="F613">
        <v>0</v>
      </c>
      <c r="G613">
        <v>0</v>
      </c>
      <c r="H613">
        <v>3</v>
      </c>
      <c r="J613">
        <v>0</v>
      </c>
    </row>
    <row r="614" spans="1:10" x14ac:dyDescent="0.3">
      <c r="A614" t="s">
        <v>264</v>
      </c>
      <c r="B614">
        <v>33</v>
      </c>
    </row>
    <row r="615" spans="1:10" x14ac:dyDescent="0.3">
      <c r="A615" t="s">
        <v>265</v>
      </c>
      <c r="B615">
        <v>33</v>
      </c>
    </row>
    <row r="616" spans="1:10" x14ac:dyDescent="0.3">
      <c r="A616" t="s">
        <v>266</v>
      </c>
      <c r="B616">
        <v>33</v>
      </c>
    </row>
    <row r="617" spans="1:10" x14ac:dyDescent="0.3">
      <c r="A617" t="s">
        <v>267</v>
      </c>
      <c r="B617">
        <v>33</v>
      </c>
      <c r="C617">
        <v>11.9</v>
      </c>
      <c r="D617">
        <v>21.5</v>
      </c>
      <c r="F617">
        <v>16.7</v>
      </c>
      <c r="G617">
        <v>11.5</v>
      </c>
      <c r="H617">
        <v>21.5</v>
      </c>
      <c r="J617">
        <v>16.7</v>
      </c>
    </row>
    <row r="618" spans="1:10" x14ac:dyDescent="0.3">
      <c r="A618" t="s">
        <v>268</v>
      </c>
      <c r="B618">
        <v>33</v>
      </c>
      <c r="C618">
        <v>0</v>
      </c>
      <c r="D618">
        <v>1</v>
      </c>
      <c r="F618">
        <v>1</v>
      </c>
      <c r="G618">
        <v>0</v>
      </c>
      <c r="H618">
        <v>1</v>
      </c>
      <c r="J618">
        <v>1</v>
      </c>
    </row>
    <row r="619" spans="1:10" x14ac:dyDescent="0.3">
      <c r="A619" t="s">
        <v>269</v>
      </c>
      <c r="B619">
        <v>33</v>
      </c>
      <c r="C619">
        <v>1</v>
      </c>
      <c r="D619">
        <v>1</v>
      </c>
      <c r="F619">
        <v>1</v>
      </c>
      <c r="G619">
        <v>1</v>
      </c>
      <c r="H619">
        <v>1</v>
      </c>
      <c r="J619">
        <v>1</v>
      </c>
    </row>
    <row r="620" spans="1:10" x14ac:dyDescent="0.3">
      <c r="A620" t="s">
        <v>270</v>
      </c>
      <c r="B620">
        <v>33</v>
      </c>
      <c r="C620">
        <v>101.5</v>
      </c>
      <c r="D620">
        <v>1.5</v>
      </c>
      <c r="F620">
        <v>71.5</v>
      </c>
      <c r="G620">
        <v>101.5</v>
      </c>
      <c r="H620">
        <v>1.5</v>
      </c>
      <c r="J620">
        <v>71.5</v>
      </c>
    </row>
    <row r="621" spans="1:10" x14ac:dyDescent="0.3">
      <c r="A621" t="s">
        <v>271</v>
      </c>
      <c r="B621">
        <v>33</v>
      </c>
      <c r="C621">
        <v>1.5</v>
      </c>
      <c r="D621">
        <v>71.5</v>
      </c>
      <c r="F621">
        <v>101.5</v>
      </c>
      <c r="G621">
        <v>1.5</v>
      </c>
      <c r="H621">
        <v>71.5</v>
      </c>
      <c r="J621">
        <v>101.5</v>
      </c>
    </row>
    <row r="622" spans="1:10" x14ac:dyDescent="0.3">
      <c r="A622" t="s">
        <v>272</v>
      </c>
      <c r="B622">
        <v>33</v>
      </c>
      <c r="C622">
        <v>115.6</v>
      </c>
      <c r="D622">
        <v>65</v>
      </c>
      <c r="F622">
        <v>94.8</v>
      </c>
      <c r="G622">
        <v>116</v>
      </c>
      <c r="H622">
        <v>65</v>
      </c>
      <c r="J622">
        <v>94.8</v>
      </c>
    </row>
    <row r="623" spans="1:10" x14ac:dyDescent="0.3">
      <c r="A623" t="s">
        <v>273</v>
      </c>
      <c r="B623">
        <v>33</v>
      </c>
      <c r="C623">
        <v>115.6</v>
      </c>
      <c r="D623">
        <v>65</v>
      </c>
      <c r="F623">
        <v>94.8</v>
      </c>
      <c r="G623">
        <v>116</v>
      </c>
      <c r="H623">
        <v>65</v>
      </c>
      <c r="J623">
        <v>94.8</v>
      </c>
    </row>
    <row r="624" spans="1:10" x14ac:dyDescent="0.3">
      <c r="A624" t="s">
        <v>274</v>
      </c>
      <c r="B624">
        <v>33</v>
      </c>
      <c r="C624">
        <v>36.5</v>
      </c>
      <c r="D624">
        <v>56.5</v>
      </c>
      <c r="F624">
        <v>6.5</v>
      </c>
      <c r="G624">
        <v>36.5</v>
      </c>
      <c r="H624">
        <v>56.5</v>
      </c>
      <c r="J624">
        <v>6.5</v>
      </c>
    </row>
    <row r="625" spans="1:18" x14ac:dyDescent="0.3">
      <c r="A625" t="s">
        <v>275</v>
      </c>
      <c r="B625">
        <v>33</v>
      </c>
      <c r="C625">
        <v>50.6</v>
      </c>
      <c r="D625">
        <v>0</v>
      </c>
      <c r="F625">
        <v>29.8</v>
      </c>
      <c r="G625">
        <v>51</v>
      </c>
      <c r="H625">
        <v>0</v>
      </c>
      <c r="J625">
        <v>29.8</v>
      </c>
    </row>
    <row r="626" spans="1:18" x14ac:dyDescent="0.3">
      <c r="A626" t="s">
        <v>276</v>
      </c>
      <c r="B626">
        <v>33</v>
      </c>
      <c r="C626">
        <v>50.6</v>
      </c>
      <c r="D626">
        <v>0</v>
      </c>
      <c r="F626">
        <v>29.8</v>
      </c>
      <c r="G626">
        <v>51</v>
      </c>
      <c r="H626">
        <v>0</v>
      </c>
      <c r="J626">
        <v>29.8</v>
      </c>
    </row>
    <row r="627" spans="1:18" x14ac:dyDescent="0.3">
      <c r="A627" t="s">
        <v>681</v>
      </c>
      <c r="B627">
        <v>33</v>
      </c>
      <c r="C627">
        <v>5.3</v>
      </c>
      <c r="D627">
        <v>81</v>
      </c>
      <c r="F627">
        <v>14.6</v>
      </c>
      <c r="G627">
        <v>5.3</v>
      </c>
      <c r="H627">
        <v>81.400000000000006</v>
      </c>
      <c r="J627">
        <v>14.6</v>
      </c>
    </row>
    <row r="628" spans="1:18" x14ac:dyDescent="0.3">
      <c r="A628" t="s">
        <v>254</v>
      </c>
      <c r="B628">
        <v>34</v>
      </c>
      <c r="C628">
        <v>111</v>
      </c>
      <c r="D628">
        <v>112</v>
      </c>
      <c r="E628">
        <v>211</v>
      </c>
      <c r="F628">
        <v>212</v>
      </c>
      <c r="G628">
        <v>121</v>
      </c>
      <c r="H628">
        <v>122</v>
      </c>
      <c r="I628">
        <v>221</v>
      </c>
      <c r="J628">
        <v>222</v>
      </c>
      <c r="K628">
        <v>311</v>
      </c>
      <c r="L628">
        <v>312</v>
      </c>
      <c r="M628">
        <v>411</v>
      </c>
      <c r="N628">
        <v>412</v>
      </c>
      <c r="O628">
        <v>321</v>
      </c>
      <c r="P628">
        <v>322</v>
      </c>
      <c r="Q628">
        <v>421</v>
      </c>
      <c r="R628">
        <v>422</v>
      </c>
    </row>
    <row r="629" spans="1:18" x14ac:dyDescent="0.3">
      <c r="A629" t="s">
        <v>255</v>
      </c>
      <c r="B629">
        <v>34</v>
      </c>
      <c r="C629">
        <v>4</v>
      </c>
      <c r="D629">
        <v>15</v>
      </c>
      <c r="F629">
        <v>8</v>
      </c>
      <c r="G629">
        <v>4</v>
      </c>
      <c r="H629">
        <v>15</v>
      </c>
      <c r="J629">
        <v>8</v>
      </c>
    </row>
    <row r="630" spans="1:18" x14ac:dyDescent="0.3">
      <c r="A630" t="s">
        <v>256</v>
      </c>
      <c r="B630">
        <v>34</v>
      </c>
      <c r="C630">
        <v>10.9</v>
      </c>
      <c r="D630">
        <v>65.5</v>
      </c>
      <c r="F630">
        <v>23.7</v>
      </c>
      <c r="G630">
        <v>11.1</v>
      </c>
      <c r="H630">
        <v>65.5</v>
      </c>
      <c r="J630">
        <v>25.7</v>
      </c>
    </row>
    <row r="631" spans="1:18" x14ac:dyDescent="0.3">
      <c r="A631" t="s">
        <v>257</v>
      </c>
      <c r="B631">
        <v>34</v>
      </c>
      <c r="C631">
        <v>3</v>
      </c>
      <c r="D631">
        <v>3</v>
      </c>
      <c r="F631">
        <v>3</v>
      </c>
      <c r="G631">
        <v>3</v>
      </c>
      <c r="H631">
        <v>3</v>
      </c>
      <c r="J631">
        <v>3</v>
      </c>
    </row>
    <row r="632" spans="1:18" x14ac:dyDescent="0.3">
      <c r="A632" t="s">
        <v>258</v>
      </c>
      <c r="B632">
        <v>34</v>
      </c>
      <c r="C632">
        <v>0</v>
      </c>
      <c r="D632">
        <v>0</v>
      </c>
      <c r="F632">
        <v>0</v>
      </c>
      <c r="G632">
        <v>0</v>
      </c>
      <c r="H632">
        <v>0</v>
      </c>
      <c r="J632">
        <v>0</v>
      </c>
    </row>
    <row r="633" spans="1:18" x14ac:dyDescent="0.3">
      <c r="A633" t="s">
        <v>259</v>
      </c>
      <c r="B633">
        <v>34</v>
      </c>
      <c r="C633">
        <v>0</v>
      </c>
      <c r="D633">
        <v>0</v>
      </c>
      <c r="F633">
        <v>0</v>
      </c>
      <c r="G633">
        <v>0</v>
      </c>
      <c r="H633">
        <v>0</v>
      </c>
      <c r="J633">
        <v>0</v>
      </c>
    </row>
    <row r="634" spans="1:18" x14ac:dyDescent="0.3">
      <c r="A634" t="s">
        <v>260</v>
      </c>
      <c r="B634">
        <v>34</v>
      </c>
      <c r="C634">
        <v>3</v>
      </c>
      <c r="D634">
        <v>3</v>
      </c>
      <c r="F634">
        <v>3</v>
      </c>
      <c r="G634">
        <v>3</v>
      </c>
      <c r="H634">
        <v>3</v>
      </c>
      <c r="J634">
        <v>3</v>
      </c>
    </row>
    <row r="635" spans="1:18" x14ac:dyDescent="0.3">
      <c r="A635" t="s">
        <v>261</v>
      </c>
      <c r="B635">
        <v>34</v>
      </c>
      <c r="C635">
        <v>4.5999999999999996</v>
      </c>
      <c r="D635">
        <v>4.5999999999999996</v>
      </c>
      <c r="F635">
        <v>3.8</v>
      </c>
      <c r="G635">
        <v>4.5999999999999996</v>
      </c>
      <c r="H635">
        <v>4.5999999999999996</v>
      </c>
      <c r="J635">
        <v>3.8</v>
      </c>
    </row>
    <row r="636" spans="1:18" x14ac:dyDescent="0.3">
      <c r="A636" t="s">
        <v>262</v>
      </c>
      <c r="B636">
        <v>34</v>
      </c>
      <c r="C636">
        <v>2.5</v>
      </c>
      <c r="D636">
        <v>1.9</v>
      </c>
      <c r="F636">
        <v>2.5</v>
      </c>
      <c r="G636">
        <v>2.2999999999999998</v>
      </c>
      <c r="H636">
        <v>1.9</v>
      </c>
      <c r="J636">
        <v>0.5</v>
      </c>
    </row>
    <row r="637" spans="1:18" x14ac:dyDescent="0.3">
      <c r="A637" t="s">
        <v>263</v>
      </c>
      <c r="B637">
        <v>34</v>
      </c>
      <c r="C637">
        <v>0</v>
      </c>
      <c r="D637">
        <v>3</v>
      </c>
      <c r="F637">
        <v>0</v>
      </c>
      <c r="G637">
        <v>0</v>
      </c>
      <c r="H637">
        <v>3</v>
      </c>
      <c r="J637">
        <v>0</v>
      </c>
    </row>
    <row r="638" spans="1:18" x14ac:dyDescent="0.3">
      <c r="A638" t="s">
        <v>264</v>
      </c>
      <c r="B638">
        <v>34</v>
      </c>
    </row>
    <row r="639" spans="1:18" x14ac:dyDescent="0.3">
      <c r="A639" t="s">
        <v>265</v>
      </c>
      <c r="B639">
        <v>34</v>
      </c>
    </row>
    <row r="640" spans="1:18" x14ac:dyDescent="0.3">
      <c r="A640" t="s">
        <v>266</v>
      </c>
      <c r="B640">
        <v>34</v>
      </c>
    </row>
    <row r="641" spans="1:10" x14ac:dyDescent="0.3">
      <c r="A641" t="s">
        <v>267</v>
      </c>
      <c r="B641">
        <v>34</v>
      </c>
      <c r="C641">
        <v>12</v>
      </c>
      <c r="D641">
        <v>22</v>
      </c>
      <c r="F641">
        <v>15</v>
      </c>
      <c r="G641">
        <v>12</v>
      </c>
      <c r="H641">
        <v>22</v>
      </c>
      <c r="J641">
        <v>15</v>
      </c>
    </row>
    <row r="642" spans="1:10" x14ac:dyDescent="0.3">
      <c r="A642" t="s">
        <v>268</v>
      </c>
      <c r="B642">
        <v>34</v>
      </c>
      <c r="C642">
        <v>0</v>
      </c>
      <c r="D642">
        <v>1</v>
      </c>
      <c r="F642">
        <v>1</v>
      </c>
      <c r="G642">
        <v>0</v>
      </c>
      <c r="H642">
        <v>1</v>
      </c>
      <c r="J642">
        <v>1</v>
      </c>
    </row>
    <row r="643" spans="1:10" x14ac:dyDescent="0.3">
      <c r="A643" t="s">
        <v>269</v>
      </c>
      <c r="B643">
        <v>34</v>
      </c>
      <c r="C643">
        <v>1</v>
      </c>
      <c r="D643">
        <v>1</v>
      </c>
      <c r="F643">
        <v>1</v>
      </c>
      <c r="G643">
        <v>1</v>
      </c>
      <c r="H643">
        <v>1</v>
      </c>
      <c r="J643">
        <v>1</v>
      </c>
    </row>
    <row r="644" spans="1:10" x14ac:dyDescent="0.3">
      <c r="A644" t="s">
        <v>270</v>
      </c>
      <c r="B644">
        <v>34</v>
      </c>
      <c r="C644">
        <v>21.5</v>
      </c>
      <c r="D644">
        <v>39.5</v>
      </c>
      <c r="F644">
        <v>111.5</v>
      </c>
      <c r="G644">
        <v>21.5</v>
      </c>
      <c r="H644">
        <v>39.5</v>
      </c>
      <c r="J644">
        <v>111.5</v>
      </c>
    </row>
    <row r="645" spans="1:10" x14ac:dyDescent="0.3">
      <c r="A645" t="s">
        <v>271</v>
      </c>
      <c r="B645">
        <v>34</v>
      </c>
      <c r="C645">
        <v>39.5</v>
      </c>
      <c r="D645">
        <v>111.5</v>
      </c>
      <c r="F645">
        <v>21.5</v>
      </c>
      <c r="G645">
        <v>39.5</v>
      </c>
      <c r="H645">
        <v>111.5</v>
      </c>
      <c r="J645">
        <v>21.5</v>
      </c>
    </row>
    <row r="646" spans="1:10" x14ac:dyDescent="0.3">
      <c r="A646" t="s">
        <v>272</v>
      </c>
      <c r="B646">
        <v>34</v>
      </c>
      <c r="C646">
        <v>32.4</v>
      </c>
      <c r="D646">
        <v>105</v>
      </c>
      <c r="F646">
        <v>15.2</v>
      </c>
      <c r="G646">
        <v>32.6</v>
      </c>
      <c r="H646">
        <v>105</v>
      </c>
      <c r="J646">
        <v>17.2</v>
      </c>
    </row>
    <row r="647" spans="1:10" x14ac:dyDescent="0.3">
      <c r="A647" t="s">
        <v>273</v>
      </c>
      <c r="B647">
        <v>34</v>
      </c>
      <c r="C647">
        <v>32.4</v>
      </c>
      <c r="D647">
        <v>105</v>
      </c>
      <c r="F647">
        <v>15.2</v>
      </c>
      <c r="G647">
        <v>32.6</v>
      </c>
      <c r="H647">
        <v>105</v>
      </c>
      <c r="J647">
        <v>17.2</v>
      </c>
    </row>
    <row r="648" spans="1:10" x14ac:dyDescent="0.3">
      <c r="A648" t="s">
        <v>274</v>
      </c>
      <c r="B648">
        <v>34</v>
      </c>
      <c r="C648">
        <v>36.5</v>
      </c>
      <c r="D648">
        <v>54.5</v>
      </c>
      <c r="F648">
        <v>6.5</v>
      </c>
      <c r="G648">
        <v>36.5</v>
      </c>
      <c r="H648">
        <v>54.5</v>
      </c>
      <c r="J648">
        <v>6.5</v>
      </c>
    </row>
    <row r="649" spans="1:10" x14ac:dyDescent="0.3">
      <c r="A649" t="s">
        <v>275</v>
      </c>
      <c r="B649">
        <v>34</v>
      </c>
      <c r="C649">
        <v>47.4</v>
      </c>
      <c r="D649">
        <v>0</v>
      </c>
      <c r="F649">
        <v>30.2</v>
      </c>
      <c r="G649">
        <v>47.6</v>
      </c>
      <c r="H649">
        <v>0</v>
      </c>
      <c r="J649">
        <v>32.200000000000003</v>
      </c>
    </row>
    <row r="650" spans="1:10" x14ac:dyDescent="0.3">
      <c r="A650" t="s">
        <v>276</v>
      </c>
      <c r="B650">
        <v>34</v>
      </c>
      <c r="C650">
        <v>47.4</v>
      </c>
      <c r="D650">
        <v>0</v>
      </c>
      <c r="F650">
        <v>30.2</v>
      </c>
      <c r="G650">
        <v>47.6</v>
      </c>
      <c r="H650">
        <v>0</v>
      </c>
      <c r="J650">
        <v>32.200000000000003</v>
      </c>
    </row>
    <row r="651" spans="1:10" x14ac:dyDescent="0.3">
      <c r="A651" t="s">
        <v>681</v>
      </c>
      <c r="B651">
        <v>34</v>
      </c>
      <c r="C651">
        <v>5.0999999999999996</v>
      </c>
      <c r="D651">
        <v>85.6</v>
      </c>
      <c r="F651">
        <v>9.4</v>
      </c>
      <c r="G651">
        <v>5.0999999999999996</v>
      </c>
      <c r="H651">
        <v>85.8</v>
      </c>
      <c r="J651">
        <v>11.4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X123"/>
  <sheetViews>
    <sheetView topLeftCell="A73" workbookViewId="0">
      <selection activeCell="A100" sqref="A100:R123"/>
    </sheetView>
  </sheetViews>
  <sheetFormatPr defaultRowHeight="14.4" x14ac:dyDescent="0.3"/>
  <cols>
    <col min="1" max="1" width="13.5546875" customWidth="1"/>
  </cols>
  <sheetData>
    <row r="1" spans="1:8" x14ac:dyDescent="0.3">
      <c r="A1" t="s">
        <v>566</v>
      </c>
    </row>
    <row r="2" spans="1:8" x14ac:dyDescent="0.3">
      <c r="A2" t="s">
        <v>567</v>
      </c>
    </row>
    <row r="3" spans="1:8" x14ac:dyDescent="0.3">
      <c r="A3" t="s">
        <v>0</v>
      </c>
      <c r="B3" t="s">
        <v>1</v>
      </c>
      <c r="C3" t="s">
        <v>402</v>
      </c>
      <c r="D3" t="s">
        <v>403</v>
      </c>
      <c r="E3" t="s">
        <v>400</v>
      </c>
      <c r="F3" t="s">
        <v>401</v>
      </c>
      <c r="G3" t="s">
        <v>568</v>
      </c>
      <c r="H3" t="s">
        <v>569</v>
      </c>
    </row>
    <row r="4" spans="1:8" x14ac:dyDescent="0.3">
      <c r="A4" t="s">
        <v>570</v>
      </c>
      <c r="B4">
        <v>1</v>
      </c>
      <c r="C4">
        <v>101</v>
      </c>
      <c r="D4">
        <v>2</v>
      </c>
      <c r="E4">
        <v>102</v>
      </c>
      <c r="F4">
        <v>103</v>
      </c>
    </row>
    <row r="5" spans="1:8" x14ac:dyDescent="0.3">
      <c r="A5" t="s">
        <v>36</v>
      </c>
      <c r="B5">
        <v>1</v>
      </c>
      <c r="C5">
        <v>3</v>
      </c>
      <c r="D5">
        <v>3</v>
      </c>
      <c r="E5">
        <v>2</v>
      </c>
      <c r="F5">
        <v>3</v>
      </c>
    </row>
    <row r="6" spans="1:8" x14ac:dyDescent="0.3">
      <c r="A6" t="s">
        <v>506</v>
      </c>
      <c r="B6">
        <v>1</v>
      </c>
      <c r="C6" t="s">
        <v>571</v>
      </c>
      <c r="D6" t="s">
        <v>571</v>
      </c>
      <c r="E6" t="s">
        <v>572</v>
      </c>
      <c r="F6" t="s">
        <v>573</v>
      </c>
    </row>
    <row r="7" spans="1:8" x14ac:dyDescent="0.3">
      <c r="A7" t="s">
        <v>574</v>
      </c>
      <c r="B7">
        <v>1</v>
      </c>
      <c r="C7">
        <v>620</v>
      </c>
      <c r="D7">
        <v>1609</v>
      </c>
      <c r="E7">
        <v>980</v>
      </c>
      <c r="F7">
        <v>1124</v>
      </c>
    </row>
    <row r="8" spans="1:8" x14ac:dyDescent="0.3">
      <c r="A8" t="s">
        <v>42</v>
      </c>
      <c r="B8">
        <v>1</v>
      </c>
      <c r="C8">
        <v>45</v>
      </c>
      <c r="D8">
        <v>45</v>
      </c>
      <c r="E8">
        <v>30</v>
      </c>
      <c r="F8">
        <v>30</v>
      </c>
    </row>
    <row r="9" spans="1:8" x14ac:dyDescent="0.3">
      <c r="A9" t="s">
        <v>575</v>
      </c>
      <c r="B9">
        <v>1</v>
      </c>
      <c r="C9">
        <v>9.4</v>
      </c>
      <c r="D9">
        <v>24.4</v>
      </c>
      <c r="E9">
        <v>22.3</v>
      </c>
      <c r="F9">
        <v>25.5</v>
      </c>
    </row>
    <row r="10" spans="1:8" x14ac:dyDescent="0.3">
      <c r="A10" t="s">
        <v>41</v>
      </c>
      <c r="B10">
        <v>1</v>
      </c>
      <c r="C10">
        <v>0</v>
      </c>
      <c r="D10">
        <v>0</v>
      </c>
      <c r="E10">
        <v>0</v>
      </c>
      <c r="F10">
        <v>0</v>
      </c>
    </row>
    <row r="11" spans="1:8" x14ac:dyDescent="0.3">
      <c r="A11" t="s">
        <v>576</v>
      </c>
      <c r="B11">
        <v>1</v>
      </c>
      <c r="C11">
        <v>12</v>
      </c>
      <c r="D11">
        <v>12</v>
      </c>
      <c r="E11">
        <v>12</v>
      </c>
      <c r="F11">
        <v>12</v>
      </c>
    </row>
    <row r="12" spans="1:8" x14ac:dyDescent="0.3">
      <c r="A12" t="s">
        <v>577</v>
      </c>
      <c r="B12">
        <v>1</v>
      </c>
      <c r="C12">
        <v>0</v>
      </c>
      <c r="D12">
        <v>0</v>
      </c>
      <c r="E12">
        <v>0</v>
      </c>
      <c r="F12">
        <v>0</v>
      </c>
    </row>
    <row r="13" spans="1:8" x14ac:dyDescent="0.3">
      <c r="A13" t="s">
        <v>578</v>
      </c>
      <c r="B13">
        <v>1</v>
      </c>
      <c r="C13">
        <v>0</v>
      </c>
      <c r="D13">
        <v>0</v>
      </c>
      <c r="E13">
        <v>0</v>
      </c>
      <c r="F13">
        <v>0</v>
      </c>
    </row>
    <row r="14" spans="1:8" x14ac:dyDescent="0.3">
      <c r="A14" t="s">
        <v>579</v>
      </c>
      <c r="B14">
        <v>1</v>
      </c>
      <c r="C14">
        <v>16</v>
      </c>
      <c r="D14">
        <v>16</v>
      </c>
      <c r="E14">
        <v>16</v>
      </c>
      <c r="F14">
        <v>16</v>
      </c>
    </row>
    <row r="15" spans="1:8" x14ac:dyDescent="0.3">
      <c r="A15" t="s">
        <v>580</v>
      </c>
      <c r="B15">
        <v>1</v>
      </c>
      <c r="C15">
        <v>500</v>
      </c>
      <c r="D15">
        <v>500</v>
      </c>
      <c r="E15">
        <v>500</v>
      </c>
      <c r="F15">
        <v>500</v>
      </c>
    </row>
    <row r="16" spans="1:8" x14ac:dyDescent="0.3">
      <c r="A16" t="s">
        <v>581</v>
      </c>
      <c r="B16">
        <v>1</v>
      </c>
      <c r="C16">
        <v>1980</v>
      </c>
      <c r="D16">
        <v>1980</v>
      </c>
      <c r="E16">
        <v>1320</v>
      </c>
      <c r="F16">
        <v>1320</v>
      </c>
    </row>
    <row r="17" spans="1:24" x14ac:dyDescent="0.3">
      <c r="A17" t="s">
        <v>582</v>
      </c>
      <c r="B17">
        <v>1</v>
      </c>
      <c r="C17">
        <v>1320</v>
      </c>
      <c r="D17">
        <v>1320</v>
      </c>
      <c r="E17">
        <v>880</v>
      </c>
      <c r="F17">
        <v>880</v>
      </c>
    </row>
    <row r="18" spans="1:24" x14ac:dyDescent="0.3">
      <c r="A18" t="s">
        <v>583</v>
      </c>
      <c r="B18">
        <v>1</v>
      </c>
      <c r="C18">
        <v>2640</v>
      </c>
      <c r="D18">
        <v>2640</v>
      </c>
      <c r="E18">
        <v>1760</v>
      </c>
      <c r="F18">
        <v>1760</v>
      </c>
    </row>
    <row r="19" spans="1:24" x14ac:dyDescent="0.3">
      <c r="A19" t="s">
        <v>584</v>
      </c>
      <c r="B19">
        <v>1</v>
      </c>
    </row>
    <row r="20" spans="1:24" x14ac:dyDescent="0.3">
      <c r="A20" t="s">
        <v>585</v>
      </c>
      <c r="B20">
        <v>1</v>
      </c>
    </row>
    <row r="21" spans="1:24" x14ac:dyDescent="0.3">
      <c r="A21" t="s">
        <v>586</v>
      </c>
      <c r="B21">
        <v>1</v>
      </c>
    </row>
    <row r="22" spans="1:24" x14ac:dyDescent="0.3">
      <c r="A22" t="s">
        <v>587</v>
      </c>
      <c r="B22">
        <v>1</v>
      </c>
      <c r="C22" t="b">
        <v>0</v>
      </c>
      <c r="D22" t="b">
        <v>0</v>
      </c>
      <c r="E22" t="b">
        <v>0</v>
      </c>
      <c r="F22" t="b">
        <v>0</v>
      </c>
    </row>
    <row r="23" spans="1:24" x14ac:dyDescent="0.3">
      <c r="A23" t="s">
        <v>588</v>
      </c>
      <c r="B23">
        <v>1</v>
      </c>
      <c r="C23" t="b">
        <v>0</v>
      </c>
      <c r="D23" t="b">
        <v>0</v>
      </c>
      <c r="E23" t="b">
        <v>0</v>
      </c>
      <c r="F23" t="b">
        <v>0</v>
      </c>
    </row>
    <row r="24" spans="1:24" x14ac:dyDescent="0.3">
      <c r="A24" t="s">
        <v>625</v>
      </c>
    </row>
    <row r="25" spans="1:24" x14ac:dyDescent="0.3">
      <c r="A25" t="s">
        <v>626</v>
      </c>
    </row>
    <row r="26" spans="1:24" x14ac:dyDescent="0.3">
      <c r="A26" t="s">
        <v>0</v>
      </c>
      <c r="B26" t="s">
        <v>1</v>
      </c>
      <c r="C26" t="s">
        <v>627</v>
      </c>
      <c r="D26" t="s">
        <v>3</v>
      </c>
      <c r="E26" t="s">
        <v>4</v>
      </c>
      <c r="F26" t="s">
        <v>5</v>
      </c>
      <c r="G26" t="s">
        <v>628</v>
      </c>
      <c r="H26" t="s">
        <v>8</v>
      </c>
      <c r="I26" t="s">
        <v>9</v>
      </c>
      <c r="J26" t="s">
        <v>10</v>
      </c>
      <c r="K26" t="s">
        <v>13</v>
      </c>
      <c r="L26" t="s">
        <v>14</v>
      </c>
      <c r="M26" t="s">
        <v>15</v>
      </c>
      <c r="N26" t="s">
        <v>18</v>
      </c>
      <c r="O26" t="s">
        <v>19</v>
      </c>
      <c r="P26" t="s">
        <v>20</v>
      </c>
      <c r="Q26" t="s">
        <v>25</v>
      </c>
      <c r="R26" t="s">
        <v>26</v>
      </c>
      <c r="S26" t="s">
        <v>27</v>
      </c>
      <c r="T26" t="s">
        <v>28</v>
      </c>
      <c r="U26" t="s">
        <v>29</v>
      </c>
      <c r="V26" t="s">
        <v>30</v>
      </c>
      <c r="W26" t="s">
        <v>629</v>
      </c>
      <c r="X26" t="s">
        <v>630</v>
      </c>
    </row>
    <row r="27" spans="1:24" x14ac:dyDescent="0.3">
      <c r="A27" t="s">
        <v>34</v>
      </c>
      <c r="B27">
        <v>1</v>
      </c>
      <c r="C27">
        <v>101</v>
      </c>
      <c r="D27">
        <v>101</v>
      </c>
      <c r="E27">
        <v>101</v>
      </c>
      <c r="F27">
        <v>101</v>
      </c>
      <c r="G27">
        <v>2</v>
      </c>
      <c r="H27">
        <v>2</v>
      </c>
      <c r="I27">
        <v>2</v>
      </c>
      <c r="J27">
        <v>2</v>
      </c>
      <c r="K27">
        <v>102</v>
      </c>
      <c r="L27">
        <v>102</v>
      </c>
      <c r="M27">
        <v>102</v>
      </c>
      <c r="N27">
        <v>103</v>
      </c>
      <c r="O27">
        <v>103</v>
      </c>
      <c r="P27">
        <v>103</v>
      </c>
    </row>
    <row r="28" spans="1:24" x14ac:dyDescent="0.3">
      <c r="A28" t="s">
        <v>35</v>
      </c>
      <c r="B28">
        <v>1</v>
      </c>
      <c r="C28">
        <v>101</v>
      </c>
      <c r="D28">
        <v>102</v>
      </c>
      <c r="E28">
        <v>2</v>
      </c>
      <c r="F28">
        <v>103</v>
      </c>
      <c r="G28">
        <v>2</v>
      </c>
      <c r="H28">
        <v>103</v>
      </c>
      <c r="I28">
        <v>101</v>
      </c>
      <c r="J28">
        <v>102</v>
      </c>
      <c r="K28">
        <v>2</v>
      </c>
      <c r="L28">
        <v>103</v>
      </c>
      <c r="M28">
        <v>101</v>
      </c>
      <c r="N28">
        <v>101</v>
      </c>
      <c r="O28">
        <v>102</v>
      </c>
      <c r="P28">
        <v>2</v>
      </c>
    </row>
    <row r="29" spans="1:24" x14ac:dyDescent="0.3">
      <c r="A29" t="s">
        <v>36</v>
      </c>
      <c r="B29">
        <v>1</v>
      </c>
      <c r="C29">
        <v>0</v>
      </c>
      <c r="D29">
        <v>1</v>
      </c>
      <c r="E29">
        <v>1</v>
      </c>
      <c r="F29">
        <v>1</v>
      </c>
      <c r="G29">
        <v>0</v>
      </c>
      <c r="H29">
        <v>1</v>
      </c>
      <c r="I29">
        <v>1</v>
      </c>
      <c r="J29">
        <v>1</v>
      </c>
      <c r="K29">
        <v>1</v>
      </c>
      <c r="L29">
        <v>1</v>
      </c>
      <c r="M29">
        <v>0</v>
      </c>
      <c r="N29">
        <v>1</v>
      </c>
      <c r="O29">
        <v>1</v>
      </c>
      <c r="P29">
        <v>1</v>
      </c>
    </row>
    <row r="30" spans="1:24" x14ac:dyDescent="0.3">
      <c r="A30" t="s">
        <v>37</v>
      </c>
      <c r="B30">
        <v>1</v>
      </c>
      <c r="D30">
        <v>0</v>
      </c>
      <c r="E30">
        <v>0</v>
      </c>
      <c r="H30">
        <v>0</v>
      </c>
      <c r="I30">
        <v>0</v>
      </c>
      <c r="K30">
        <v>0</v>
      </c>
      <c r="L30">
        <v>2</v>
      </c>
      <c r="N30">
        <v>0</v>
      </c>
      <c r="O30">
        <v>0</v>
      </c>
    </row>
    <row r="31" spans="1:24" x14ac:dyDescent="0.3">
      <c r="A31" t="s">
        <v>38</v>
      </c>
      <c r="B31">
        <v>1</v>
      </c>
      <c r="C31">
        <v>12</v>
      </c>
      <c r="D31">
        <v>12</v>
      </c>
      <c r="E31">
        <v>12</v>
      </c>
      <c r="F31">
        <v>12</v>
      </c>
      <c r="G31">
        <v>12</v>
      </c>
      <c r="H31">
        <v>12</v>
      </c>
      <c r="I31">
        <v>12</v>
      </c>
      <c r="J31">
        <v>12</v>
      </c>
      <c r="K31">
        <v>12</v>
      </c>
      <c r="L31">
        <v>12</v>
      </c>
      <c r="M31">
        <v>12</v>
      </c>
      <c r="N31">
        <v>12</v>
      </c>
      <c r="O31">
        <v>12</v>
      </c>
      <c r="P31">
        <v>12</v>
      </c>
    </row>
    <row r="32" spans="1:24" x14ac:dyDescent="0.3">
      <c r="A32" t="s">
        <v>39</v>
      </c>
      <c r="B32">
        <v>1</v>
      </c>
      <c r="D32">
        <v>200</v>
      </c>
      <c r="F32">
        <v>200</v>
      </c>
      <c r="H32">
        <v>500</v>
      </c>
      <c r="J32">
        <v>250</v>
      </c>
      <c r="N32">
        <v>250</v>
      </c>
      <c r="P32">
        <v>500</v>
      </c>
    </row>
    <row r="33" spans="1:24" x14ac:dyDescent="0.3">
      <c r="A33" t="s">
        <v>631</v>
      </c>
      <c r="B33">
        <v>1</v>
      </c>
      <c r="D33">
        <v>25</v>
      </c>
      <c r="F33">
        <v>25</v>
      </c>
      <c r="H33">
        <v>25</v>
      </c>
      <c r="J33">
        <v>25</v>
      </c>
      <c r="N33">
        <v>25</v>
      </c>
      <c r="P33">
        <v>25</v>
      </c>
    </row>
    <row r="34" spans="1:24" x14ac:dyDescent="0.3">
      <c r="A34" t="s">
        <v>40</v>
      </c>
      <c r="B34">
        <v>1</v>
      </c>
      <c r="D34">
        <v>1</v>
      </c>
      <c r="F34">
        <v>1</v>
      </c>
      <c r="H34">
        <v>1</v>
      </c>
      <c r="J34">
        <v>1</v>
      </c>
      <c r="N34">
        <v>1</v>
      </c>
      <c r="P34">
        <v>1</v>
      </c>
    </row>
    <row r="35" spans="1:24" x14ac:dyDescent="0.3">
      <c r="A35" t="s">
        <v>41</v>
      </c>
      <c r="B35">
        <v>1</v>
      </c>
    </row>
    <row r="36" spans="1:24" x14ac:dyDescent="0.3">
      <c r="A36" t="s">
        <v>42</v>
      </c>
      <c r="B36">
        <v>1</v>
      </c>
      <c r="E36">
        <v>45</v>
      </c>
      <c r="I36">
        <v>45</v>
      </c>
      <c r="L36">
        <v>30</v>
      </c>
      <c r="O36">
        <v>30</v>
      </c>
    </row>
    <row r="37" spans="1:24" x14ac:dyDescent="0.3">
      <c r="A37" t="s">
        <v>45</v>
      </c>
      <c r="B37">
        <v>1</v>
      </c>
      <c r="D37">
        <v>5</v>
      </c>
      <c r="E37">
        <v>2</v>
      </c>
      <c r="H37">
        <v>1</v>
      </c>
      <c r="I37">
        <v>6</v>
      </c>
      <c r="K37">
        <v>7</v>
      </c>
      <c r="L37">
        <v>4</v>
      </c>
      <c r="N37">
        <v>3</v>
      </c>
      <c r="O37">
        <v>8</v>
      </c>
    </row>
    <row r="38" spans="1:24" x14ac:dyDescent="0.3">
      <c r="A38" t="s">
        <v>46</v>
      </c>
      <c r="B38">
        <v>1</v>
      </c>
      <c r="D38">
        <v>2</v>
      </c>
      <c r="F38">
        <v>2</v>
      </c>
      <c r="H38">
        <v>6</v>
      </c>
      <c r="J38">
        <v>6</v>
      </c>
      <c r="K38">
        <v>4</v>
      </c>
      <c r="N38">
        <v>8</v>
      </c>
      <c r="P38">
        <v>8</v>
      </c>
    </row>
    <row r="39" spans="1:24" x14ac:dyDescent="0.3">
      <c r="A39" t="s">
        <v>49</v>
      </c>
      <c r="B39">
        <v>1</v>
      </c>
      <c r="C39">
        <v>4</v>
      </c>
      <c r="D39">
        <v>6</v>
      </c>
      <c r="E39">
        <v>7</v>
      </c>
      <c r="F39">
        <v>7</v>
      </c>
      <c r="G39">
        <v>4</v>
      </c>
      <c r="H39">
        <v>6</v>
      </c>
      <c r="I39">
        <v>7</v>
      </c>
      <c r="J39">
        <v>7</v>
      </c>
      <c r="K39">
        <v>6</v>
      </c>
      <c r="L39">
        <v>7</v>
      </c>
      <c r="M39">
        <v>4</v>
      </c>
      <c r="N39">
        <v>6</v>
      </c>
      <c r="O39">
        <v>7</v>
      </c>
      <c r="P39">
        <v>7</v>
      </c>
    </row>
    <row r="40" spans="1:24" x14ac:dyDescent="0.3">
      <c r="A40" t="s">
        <v>632</v>
      </c>
      <c r="B40">
        <v>1</v>
      </c>
      <c r="C40">
        <v>0</v>
      </c>
      <c r="D40">
        <v>0</v>
      </c>
      <c r="E40">
        <v>0</v>
      </c>
      <c r="F40">
        <v>0</v>
      </c>
      <c r="G40">
        <v>0</v>
      </c>
      <c r="H40">
        <v>0</v>
      </c>
      <c r="I40">
        <v>0</v>
      </c>
      <c r="J40">
        <v>0</v>
      </c>
      <c r="K40">
        <v>0</v>
      </c>
      <c r="L40">
        <v>0</v>
      </c>
      <c r="M40">
        <v>0</v>
      </c>
      <c r="N40">
        <v>0</v>
      </c>
      <c r="O40">
        <v>0</v>
      </c>
      <c r="P40">
        <v>0</v>
      </c>
    </row>
    <row r="41" spans="1:24" x14ac:dyDescent="0.3">
      <c r="A41" t="s">
        <v>48</v>
      </c>
      <c r="B41">
        <v>1</v>
      </c>
      <c r="C41">
        <v>1900</v>
      </c>
      <c r="D41">
        <v>1900</v>
      </c>
      <c r="E41">
        <v>1900</v>
      </c>
      <c r="F41">
        <v>1900</v>
      </c>
      <c r="G41">
        <v>1900</v>
      </c>
      <c r="H41">
        <v>1900</v>
      </c>
      <c r="I41">
        <v>1900</v>
      </c>
      <c r="J41">
        <v>1900</v>
      </c>
      <c r="K41">
        <v>1900</v>
      </c>
      <c r="L41">
        <v>1900</v>
      </c>
      <c r="M41">
        <v>1900</v>
      </c>
      <c r="N41">
        <v>1900</v>
      </c>
      <c r="O41">
        <v>1900</v>
      </c>
      <c r="P41">
        <v>1900</v>
      </c>
    </row>
    <row r="42" spans="1:24" x14ac:dyDescent="0.3">
      <c r="A42" t="s">
        <v>633</v>
      </c>
      <c r="B42">
        <v>1</v>
      </c>
      <c r="C42">
        <v>0</v>
      </c>
      <c r="D42">
        <v>1593</v>
      </c>
      <c r="E42">
        <v>1676</v>
      </c>
      <c r="F42">
        <v>1425</v>
      </c>
      <c r="G42">
        <v>0</v>
      </c>
      <c r="H42">
        <v>1593</v>
      </c>
      <c r="I42">
        <v>1676</v>
      </c>
      <c r="J42">
        <v>1425</v>
      </c>
      <c r="K42">
        <v>1593</v>
      </c>
      <c r="L42">
        <v>1569</v>
      </c>
      <c r="M42">
        <v>0</v>
      </c>
      <c r="N42">
        <v>1593</v>
      </c>
      <c r="O42">
        <v>1676</v>
      </c>
      <c r="P42">
        <v>1425</v>
      </c>
    </row>
    <row r="43" spans="1:24" x14ac:dyDescent="0.3">
      <c r="A43" t="s">
        <v>50</v>
      </c>
      <c r="B43">
        <v>1</v>
      </c>
      <c r="C43">
        <v>0</v>
      </c>
      <c r="D43">
        <v>686</v>
      </c>
      <c r="E43">
        <v>1676</v>
      </c>
      <c r="F43">
        <v>1425</v>
      </c>
      <c r="G43">
        <v>0</v>
      </c>
      <c r="H43">
        <v>134</v>
      </c>
      <c r="I43">
        <v>1676</v>
      </c>
      <c r="J43">
        <v>1425</v>
      </c>
      <c r="K43">
        <v>607</v>
      </c>
      <c r="L43">
        <v>1569</v>
      </c>
      <c r="M43">
        <v>0</v>
      </c>
      <c r="N43">
        <v>1068</v>
      </c>
      <c r="O43">
        <v>1676</v>
      </c>
      <c r="P43">
        <v>1425</v>
      </c>
    </row>
    <row r="44" spans="1:24" x14ac:dyDescent="0.3">
      <c r="A44" t="s">
        <v>634</v>
      </c>
      <c r="B44">
        <v>1</v>
      </c>
      <c r="C44">
        <v>1</v>
      </c>
      <c r="D44">
        <v>1</v>
      </c>
      <c r="E44">
        <v>1</v>
      </c>
      <c r="F44">
        <v>1</v>
      </c>
      <c r="G44">
        <v>1</v>
      </c>
      <c r="H44">
        <v>1</v>
      </c>
      <c r="I44">
        <v>1</v>
      </c>
      <c r="J44">
        <v>1</v>
      </c>
      <c r="K44">
        <v>1</v>
      </c>
      <c r="L44">
        <v>1</v>
      </c>
      <c r="M44">
        <v>1</v>
      </c>
      <c r="N44">
        <v>1</v>
      </c>
      <c r="O44">
        <v>1</v>
      </c>
      <c r="P44">
        <v>1</v>
      </c>
    </row>
    <row r="45" spans="1:24" x14ac:dyDescent="0.3">
      <c r="A45" t="s">
        <v>51</v>
      </c>
      <c r="B45">
        <v>1</v>
      </c>
      <c r="C45">
        <v>0</v>
      </c>
      <c r="D45">
        <v>0</v>
      </c>
      <c r="E45">
        <v>0</v>
      </c>
      <c r="F45">
        <v>200</v>
      </c>
      <c r="G45">
        <v>0</v>
      </c>
      <c r="H45">
        <v>0</v>
      </c>
      <c r="I45">
        <v>0</v>
      </c>
      <c r="J45">
        <v>200</v>
      </c>
      <c r="K45">
        <v>0</v>
      </c>
      <c r="L45">
        <v>24</v>
      </c>
      <c r="M45">
        <v>0</v>
      </c>
      <c r="N45">
        <v>0</v>
      </c>
      <c r="O45">
        <v>0</v>
      </c>
      <c r="P45">
        <v>163</v>
      </c>
    </row>
    <row r="46" spans="1:24" s="62" customFormat="1" x14ac:dyDescent="0.3">
      <c r="A46" t="s">
        <v>53</v>
      </c>
      <c r="B46">
        <v>1</v>
      </c>
      <c r="C46">
        <v>0</v>
      </c>
      <c r="D46">
        <v>100</v>
      </c>
      <c r="E46">
        <v>750</v>
      </c>
      <c r="F46">
        <v>130</v>
      </c>
      <c r="G46">
        <v>0</v>
      </c>
      <c r="H46">
        <v>150</v>
      </c>
      <c r="I46">
        <v>350</v>
      </c>
      <c r="J46">
        <v>100</v>
      </c>
      <c r="K46">
        <v>150</v>
      </c>
      <c r="L46">
        <v>100</v>
      </c>
      <c r="M46">
        <v>75</v>
      </c>
      <c r="N46">
        <v>75</v>
      </c>
      <c r="O46">
        <v>200</v>
      </c>
      <c r="P46">
        <v>150</v>
      </c>
      <c r="Q46"/>
      <c r="R46"/>
      <c r="S46"/>
      <c r="T46"/>
      <c r="U46"/>
      <c r="V46"/>
      <c r="W46"/>
      <c r="X46"/>
    </row>
    <row r="47" spans="1:24" x14ac:dyDescent="0.3">
      <c r="A47" t="s">
        <v>54</v>
      </c>
      <c r="B47">
        <v>1</v>
      </c>
      <c r="C47">
        <v>0</v>
      </c>
      <c r="D47">
        <v>0</v>
      </c>
      <c r="E47">
        <v>0</v>
      </c>
      <c r="F47">
        <v>0</v>
      </c>
      <c r="G47">
        <v>0</v>
      </c>
      <c r="H47">
        <v>0</v>
      </c>
      <c r="I47">
        <v>0</v>
      </c>
      <c r="J47">
        <v>0</v>
      </c>
      <c r="K47">
        <v>0</v>
      </c>
      <c r="L47">
        <v>0</v>
      </c>
      <c r="M47">
        <v>0</v>
      </c>
      <c r="N47">
        <v>0</v>
      </c>
      <c r="O47">
        <v>0</v>
      </c>
      <c r="P47">
        <v>0</v>
      </c>
    </row>
    <row r="48" spans="1:24" x14ac:dyDescent="0.3">
      <c r="A48" t="s">
        <v>55</v>
      </c>
      <c r="B48">
        <v>1</v>
      </c>
      <c r="C48">
        <v>0</v>
      </c>
      <c r="D48">
        <v>0</v>
      </c>
      <c r="E48">
        <v>0</v>
      </c>
      <c r="F48">
        <v>0</v>
      </c>
      <c r="G48">
        <v>0</v>
      </c>
      <c r="H48">
        <v>0</v>
      </c>
      <c r="I48">
        <v>0</v>
      </c>
      <c r="J48">
        <v>0</v>
      </c>
      <c r="K48">
        <v>0</v>
      </c>
      <c r="L48">
        <v>0</v>
      </c>
      <c r="M48">
        <v>0</v>
      </c>
      <c r="N48">
        <v>0</v>
      </c>
      <c r="O48">
        <v>0</v>
      </c>
      <c r="P48">
        <v>0</v>
      </c>
    </row>
    <row r="49" spans="1:16" x14ac:dyDescent="0.3">
      <c r="A49" t="s">
        <v>56</v>
      </c>
      <c r="B49">
        <v>1</v>
      </c>
      <c r="C49">
        <v>0.92</v>
      </c>
      <c r="D49">
        <v>0.92</v>
      </c>
      <c r="E49">
        <v>0.92</v>
      </c>
      <c r="F49">
        <v>0.92</v>
      </c>
      <c r="G49">
        <v>0.92</v>
      </c>
      <c r="H49">
        <v>0.92</v>
      </c>
      <c r="I49">
        <v>0.92</v>
      </c>
      <c r="J49">
        <v>0.92</v>
      </c>
      <c r="K49">
        <v>0.92</v>
      </c>
      <c r="L49">
        <v>0.92</v>
      </c>
      <c r="M49">
        <v>0.92</v>
      </c>
      <c r="N49">
        <v>0.92</v>
      </c>
      <c r="O49">
        <v>0.92</v>
      </c>
      <c r="P49">
        <v>0.92</v>
      </c>
    </row>
    <row r="50" spans="1:16" x14ac:dyDescent="0.3">
      <c r="A50" t="s">
        <v>57</v>
      </c>
      <c r="B50">
        <v>1</v>
      </c>
      <c r="C50">
        <v>100</v>
      </c>
      <c r="D50">
        <v>100</v>
      </c>
      <c r="E50">
        <v>100</v>
      </c>
      <c r="F50">
        <v>100</v>
      </c>
      <c r="G50">
        <v>100</v>
      </c>
      <c r="H50">
        <v>100</v>
      </c>
      <c r="I50">
        <v>100</v>
      </c>
      <c r="J50">
        <v>100</v>
      </c>
      <c r="K50">
        <v>100</v>
      </c>
      <c r="L50">
        <v>100</v>
      </c>
      <c r="M50">
        <v>100</v>
      </c>
      <c r="N50">
        <v>100</v>
      </c>
      <c r="O50">
        <v>100</v>
      </c>
      <c r="P50">
        <v>100</v>
      </c>
    </row>
    <row r="51" spans="1:16" x14ac:dyDescent="0.3">
      <c r="A51" t="s">
        <v>58</v>
      </c>
      <c r="B51">
        <v>1</v>
      </c>
      <c r="C51">
        <v>2</v>
      </c>
      <c r="D51">
        <v>2</v>
      </c>
      <c r="E51">
        <v>2</v>
      </c>
      <c r="F51">
        <v>2</v>
      </c>
      <c r="G51">
        <v>2</v>
      </c>
      <c r="H51">
        <v>2</v>
      </c>
      <c r="I51">
        <v>2</v>
      </c>
      <c r="J51">
        <v>2</v>
      </c>
      <c r="K51">
        <v>2</v>
      </c>
      <c r="L51">
        <v>2</v>
      </c>
      <c r="M51">
        <v>2</v>
      </c>
      <c r="N51">
        <v>2</v>
      </c>
      <c r="O51">
        <v>2</v>
      </c>
      <c r="P51">
        <v>2</v>
      </c>
    </row>
    <row r="52" spans="1:16" x14ac:dyDescent="0.3">
      <c r="A52" t="s">
        <v>59</v>
      </c>
      <c r="B52">
        <v>1</v>
      </c>
      <c r="C52">
        <v>0</v>
      </c>
      <c r="D52">
        <v>0</v>
      </c>
      <c r="E52">
        <v>0</v>
      </c>
      <c r="F52">
        <v>0</v>
      </c>
      <c r="G52">
        <v>0</v>
      </c>
      <c r="H52">
        <v>0</v>
      </c>
      <c r="I52">
        <v>0</v>
      </c>
      <c r="J52">
        <v>0</v>
      </c>
      <c r="K52">
        <v>0</v>
      </c>
      <c r="L52">
        <v>0</v>
      </c>
      <c r="M52">
        <v>0</v>
      </c>
      <c r="N52">
        <v>0</v>
      </c>
      <c r="O52">
        <v>0</v>
      </c>
      <c r="P52">
        <v>0</v>
      </c>
    </row>
    <row r="53" spans="1:16" x14ac:dyDescent="0.3">
      <c r="A53" t="s">
        <v>635</v>
      </c>
      <c r="B53">
        <v>1</v>
      </c>
      <c r="E53">
        <v>0</v>
      </c>
      <c r="I53">
        <v>0</v>
      </c>
      <c r="L53">
        <v>0</v>
      </c>
      <c r="O53">
        <v>0</v>
      </c>
    </row>
    <row r="54" spans="1:16" x14ac:dyDescent="0.3">
      <c r="A54" t="s">
        <v>574</v>
      </c>
      <c r="B54">
        <v>1</v>
      </c>
      <c r="E54">
        <v>620</v>
      </c>
      <c r="I54">
        <v>1609</v>
      </c>
      <c r="L54">
        <v>980</v>
      </c>
      <c r="O54">
        <v>1124</v>
      </c>
    </row>
    <row r="55" spans="1:16" x14ac:dyDescent="0.3">
      <c r="A55" t="s">
        <v>78</v>
      </c>
      <c r="B55">
        <v>1</v>
      </c>
      <c r="E55">
        <v>9.4</v>
      </c>
      <c r="I55">
        <v>24.4</v>
      </c>
      <c r="L55">
        <v>22.3</v>
      </c>
      <c r="O55">
        <v>25.5</v>
      </c>
    </row>
    <row r="56" spans="1:16" x14ac:dyDescent="0.3">
      <c r="A56" t="s">
        <v>636</v>
      </c>
      <c r="B56">
        <v>1</v>
      </c>
      <c r="F56">
        <v>1</v>
      </c>
      <c r="J56">
        <v>1</v>
      </c>
      <c r="M56">
        <v>0</v>
      </c>
      <c r="P56">
        <v>1</v>
      </c>
    </row>
    <row r="57" spans="1:16" x14ac:dyDescent="0.3">
      <c r="A57" t="s">
        <v>637</v>
      </c>
      <c r="B57">
        <v>1</v>
      </c>
      <c r="F57">
        <v>50</v>
      </c>
      <c r="J57">
        <v>50</v>
      </c>
      <c r="P57">
        <v>50</v>
      </c>
    </row>
    <row r="58" spans="1:16" x14ac:dyDescent="0.3">
      <c r="A58" t="s">
        <v>638</v>
      </c>
      <c r="B58">
        <v>1</v>
      </c>
      <c r="F58">
        <v>0</v>
      </c>
      <c r="J58">
        <v>0</v>
      </c>
      <c r="P58">
        <v>0</v>
      </c>
    </row>
    <row r="59" spans="1:16" x14ac:dyDescent="0.3">
      <c r="A59" t="s">
        <v>639</v>
      </c>
      <c r="B59">
        <v>1</v>
      </c>
      <c r="C59">
        <v>3</v>
      </c>
      <c r="D59">
        <v>0</v>
      </c>
      <c r="E59">
        <v>0</v>
      </c>
      <c r="F59">
        <v>1</v>
      </c>
      <c r="G59">
        <v>3</v>
      </c>
      <c r="H59">
        <v>0</v>
      </c>
      <c r="I59">
        <v>0</v>
      </c>
      <c r="J59">
        <v>1</v>
      </c>
      <c r="K59">
        <v>0</v>
      </c>
      <c r="L59">
        <v>0</v>
      </c>
      <c r="M59">
        <v>1</v>
      </c>
      <c r="N59">
        <v>0</v>
      </c>
      <c r="O59">
        <v>0</v>
      </c>
      <c r="P59">
        <v>1</v>
      </c>
    </row>
    <row r="60" spans="1:16" x14ac:dyDescent="0.3">
      <c r="A60" t="s">
        <v>640</v>
      </c>
      <c r="B60">
        <v>1</v>
      </c>
      <c r="C60">
        <v>0</v>
      </c>
      <c r="D60">
        <v>0</v>
      </c>
      <c r="E60">
        <v>0</v>
      </c>
      <c r="F60">
        <v>0</v>
      </c>
      <c r="G60">
        <v>0</v>
      </c>
      <c r="H60">
        <v>0</v>
      </c>
      <c r="I60">
        <v>0</v>
      </c>
      <c r="J60">
        <v>0</v>
      </c>
      <c r="K60">
        <v>0</v>
      </c>
      <c r="L60">
        <v>0</v>
      </c>
      <c r="M60">
        <v>0</v>
      </c>
      <c r="N60">
        <v>0</v>
      </c>
      <c r="O60">
        <v>0</v>
      </c>
      <c r="P60">
        <v>0</v>
      </c>
    </row>
    <row r="61" spans="1:16" x14ac:dyDescent="0.3">
      <c r="A61" t="s">
        <v>52</v>
      </c>
      <c r="B61">
        <v>1</v>
      </c>
      <c r="C61">
        <v>1.1399999999999999</v>
      </c>
      <c r="D61">
        <v>1.1399999999999999</v>
      </c>
      <c r="E61">
        <v>1.1399999999999999</v>
      </c>
      <c r="F61">
        <v>1.1399999999999999</v>
      </c>
      <c r="G61">
        <v>1.1399999999999999</v>
      </c>
      <c r="H61">
        <v>1.1399999999999999</v>
      </c>
      <c r="I61">
        <v>1.1399999999999999</v>
      </c>
      <c r="J61">
        <v>1.1399999999999999</v>
      </c>
      <c r="K61">
        <v>1.1399999999999999</v>
      </c>
      <c r="L61">
        <v>1.1399999999999999</v>
      </c>
      <c r="M61">
        <v>1.1399999999999999</v>
      </c>
      <c r="N61">
        <v>1.1399999999999999</v>
      </c>
      <c r="O61">
        <v>1.1399999999999999</v>
      </c>
      <c r="P61">
        <v>1.1399999999999999</v>
      </c>
    </row>
    <row r="62" spans="1:16" x14ac:dyDescent="0.3">
      <c r="A62" t="s">
        <v>641</v>
      </c>
      <c r="B62">
        <v>1</v>
      </c>
      <c r="C62">
        <v>9</v>
      </c>
      <c r="D62">
        <v>15</v>
      </c>
      <c r="E62">
        <v>60</v>
      </c>
      <c r="F62">
        <v>9</v>
      </c>
      <c r="G62">
        <v>9</v>
      </c>
      <c r="H62">
        <v>15</v>
      </c>
      <c r="I62">
        <v>60</v>
      </c>
      <c r="J62">
        <v>9</v>
      </c>
      <c r="K62">
        <v>15</v>
      </c>
      <c r="L62">
        <v>60</v>
      </c>
      <c r="M62">
        <v>9</v>
      </c>
      <c r="N62">
        <v>15</v>
      </c>
      <c r="O62">
        <v>60</v>
      </c>
      <c r="P62">
        <v>9</v>
      </c>
    </row>
    <row r="63" spans="1:16" x14ac:dyDescent="0.3">
      <c r="A63" t="s">
        <v>43</v>
      </c>
      <c r="B63">
        <v>1</v>
      </c>
      <c r="D63">
        <v>40</v>
      </c>
      <c r="E63">
        <v>336</v>
      </c>
      <c r="F63">
        <v>0</v>
      </c>
      <c r="H63">
        <v>40</v>
      </c>
      <c r="I63">
        <v>336</v>
      </c>
      <c r="J63">
        <v>0</v>
      </c>
      <c r="K63">
        <v>40</v>
      </c>
      <c r="L63">
        <v>40</v>
      </c>
      <c r="N63">
        <v>40</v>
      </c>
      <c r="O63">
        <v>40</v>
      </c>
      <c r="P63">
        <v>0</v>
      </c>
    </row>
    <row r="64" spans="1:16" x14ac:dyDescent="0.3">
      <c r="A64" t="s">
        <v>44</v>
      </c>
      <c r="B64">
        <v>1</v>
      </c>
      <c r="D64">
        <v>0</v>
      </c>
      <c r="E64">
        <v>0</v>
      </c>
      <c r="F64">
        <v>0</v>
      </c>
      <c r="H64">
        <v>0</v>
      </c>
      <c r="I64">
        <v>0</v>
      </c>
      <c r="J64">
        <v>0</v>
      </c>
      <c r="K64">
        <v>0</v>
      </c>
      <c r="L64">
        <v>0</v>
      </c>
      <c r="N64">
        <v>0</v>
      </c>
      <c r="O64">
        <v>0</v>
      </c>
      <c r="P64">
        <v>0</v>
      </c>
    </row>
    <row r="65" spans="1:16" x14ac:dyDescent="0.3">
      <c r="A65" t="s">
        <v>47</v>
      </c>
      <c r="B65">
        <v>1</v>
      </c>
      <c r="D65">
        <v>5</v>
      </c>
      <c r="E65">
        <v>2</v>
      </c>
      <c r="F65">
        <v>2</v>
      </c>
      <c r="H65">
        <v>1</v>
      </c>
      <c r="I65">
        <v>6</v>
      </c>
      <c r="J65">
        <v>6</v>
      </c>
      <c r="K65">
        <v>7</v>
      </c>
      <c r="L65">
        <v>4</v>
      </c>
      <c r="N65">
        <v>3</v>
      </c>
      <c r="O65">
        <v>8</v>
      </c>
      <c r="P65">
        <v>8</v>
      </c>
    </row>
    <row r="66" spans="1:16" x14ac:dyDescent="0.3">
      <c r="A66" t="s">
        <v>642</v>
      </c>
      <c r="B66">
        <v>1</v>
      </c>
      <c r="D66">
        <v>0</v>
      </c>
      <c r="E66">
        <v>0</v>
      </c>
      <c r="F66">
        <v>0</v>
      </c>
      <c r="H66">
        <v>0</v>
      </c>
      <c r="I66">
        <v>0</v>
      </c>
      <c r="J66">
        <v>0</v>
      </c>
      <c r="K66">
        <v>0</v>
      </c>
      <c r="L66">
        <v>0</v>
      </c>
      <c r="N66">
        <v>0</v>
      </c>
      <c r="O66">
        <v>0</v>
      </c>
      <c r="P66">
        <v>0</v>
      </c>
    </row>
    <row r="67" spans="1:16" x14ac:dyDescent="0.3">
      <c r="A67" t="s">
        <v>643</v>
      </c>
      <c r="B67">
        <v>1</v>
      </c>
      <c r="D67">
        <v>0</v>
      </c>
      <c r="E67">
        <v>0</v>
      </c>
      <c r="F67">
        <v>0</v>
      </c>
      <c r="H67">
        <v>0</v>
      </c>
      <c r="I67">
        <v>0</v>
      </c>
      <c r="J67">
        <v>0</v>
      </c>
      <c r="K67">
        <v>0</v>
      </c>
      <c r="L67">
        <v>0</v>
      </c>
      <c r="N67">
        <v>0</v>
      </c>
      <c r="O67">
        <v>0</v>
      </c>
      <c r="P67">
        <v>0</v>
      </c>
    </row>
    <row r="68" spans="1:16" x14ac:dyDescent="0.3">
      <c r="A68" t="s">
        <v>644</v>
      </c>
      <c r="B68">
        <v>1</v>
      </c>
      <c r="D68">
        <v>0</v>
      </c>
      <c r="E68">
        <v>0</v>
      </c>
      <c r="F68">
        <v>0</v>
      </c>
      <c r="H68">
        <v>0</v>
      </c>
      <c r="I68">
        <v>0</v>
      </c>
      <c r="J68">
        <v>0</v>
      </c>
      <c r="K68">
        <v>0</v>
      </c>
      <c r="L68">
        <v>0</v>
      </c>
      <c r="N68">
        <v>0</v>
      </c>
      <c r="O68">
        <v>0</v>
      </c>
      <c r="P68">
        <v>0</v>
      </c>
    </row>
    <row r="69" spans="1:16" x14ac:dyDescent="0.3">
      <c r="A69" t="s">
        <v>645</v>
      </c>
      <c r="B69">
        <v>1</v>
      </c>
      <c r="D69">
        <v>0</v>
      </c>
      <c r="E69">
        <v>0</v>
      </c>
      <c r="F69">
        <v>0</v>
      </c>
      <c r="H69">
        <v>0</v>
      </c>
      <c r="I69">
        <v>0</v>
      </c>
      <c r="J69">
        <v>0</v>
      </c>
      <c r="K69">
        <v>0</v>
      </c>
      <c r="L69">
        <v>0</v>
      </c>
      <c r="N69">
        <v>0</v>
      </c>
      <c r="O69">
        <v>0</v>
      </c>
      <c r="P69">
        <v>0</v>
      </c>
    </row>
    <row r="70" spans="1:16" x14ac:dyDescent="0.3">
      <c r="A70" t="s">
        <v>646</v>
      </c>
      <c r="B70">
        <v>1</v>
      </c>
      <c r="D70">
        <v>1</v>
      </c>
      <c r="E70">
        <v>2</v>
      </c>
      <c r="F70">
        <v>1</v>
      </c>
      <c r="H70">
        <v>1</v>
      </c>
      <c r="I70">
        <v>2</v>
      </c>
      <c r="J70">
        <v>1</v>
      </c>
      <c r="K70">
        <v>1</v>
      </c>
      <c r="L70">
        <v>1</v>
      </c>
      <c r="N70">
        <v>1</v>
      </c>
      <c r="O70">
        <v>1</v>
      </c>
      <c r="P70">
        <v>1</v>
      </c>
    </row>
    <row r="71" spans="1:16" x14ac:dyDescent="0.3">
      <c r="A71" t="s">
        <v>647</v>
      </c>
      <c r="B71">
        <v>1</v>
      </c>
      <c r="D71">
        <v>0</v>
      </c>
      <c r="E71">
        <v>330</v>
      </c>
      <c r="F71">
        <v>0</v>
      </c>
      <c r="H71">
        <v>0</v>
      </c>
      <c r="I71">
        <v>330</v>
      </c>
      <c r="J71">
        <v>0</v>
      </c>
      <c r="K71">
        <v>0</v>
      </c>
      <c r="L71">
        <v>0</v>
      </c>
      <c r="N71">
        <v>0</v>
      </c>
      <c r="O71">
        <v>0</v>
      </c>
      <c r="P71">
        <v>0</v>
      </c>
    </row>
    <row r="72" spans="1:16" x14ac:dyDescent="0.3">
      <c r="A72" t="s">
        <v>648</v>
      </c>
      <c r="B72">
        <v>1</v>
      </c>
      <c r="D72">
        <v>40</v>
      </c>
      <c r="E72">
        <v>6</v>
      </c>
      <c r="F72">
        <v>0</v>
      </c>
      <c r="H72">
        <v>40</v>
      </c>
      <c r="I72">
        <v>6</v>
      </c>
      <c r="J72">
        <v>0</v>
      </c>
      <c r="K72">
        <v>40</v>
      </c>
      <c r="L72">
        <v>40</v>
      </c>
      <c r="N72">
        <v>40</v>
      </c>
      <c r="O72">
        <v>40</v>
      </c>
      <c r="P72">
        <v>0</v>
      </c>
    </row>
    <row r="73" spans="1:16" x14ac:dyDescent="0.3">
      <c r="A73" t="s">
        <v>649</v>
      </c>
      <c r="B73">
        <v>1</v>
      </c>
      <c r="D73">
        <v>3</v>
      </c>
      <c r="E73">
        <v>3</v>
      </c>
      <c r="F73">
        <v>3</v>
      </c>
      <c r="H73">
        <v>3</v>
      </c>
      <c r="I73">
        <v>3</v>
      </c>
      <c r="J73">
        <v>3</v>
      </c>
      <c r="K73">
        <v>3</v>
      </c>
      <c r="L73">
        <v>3</v>
      </c>
      <c r="N73">
        <v>3</v>
      </c>
      <c r="O73">
        <v>3</v>
      </c>
      <c r="P73">
        <v>3</v>
      </c>
    </row>
    <row r="74" spans="1:16" x14ac:dyDescent="0.3">
      <c r="A74" t="s">
        <v>650</v>
      </c>
      <c r="B74">
        <v>1</v>
      </c>
      <c r="D74">
        <v>0</v>
      </c>
      <c r="E74">
        <v>0</v>
      </c>
      <c r="F74">
        <v>0</v>
      </c>
      <c r="H74">
        <v>0</v>
      </c>
      <c r="I74">
        <v>0</v>
      </c>
      <c r="J74">
        <v>0</v>
      </c>
      <c r="K74">
        <v>0</v>
      </c>
      <c r="L74">
        <v>0</v>
      </c>
      <c r="N74">
        <v>0</v>
      </c>
      <c r="O74">
        <v>0</v>
      </c>
      <c r="P74">
        <v>0</v>
      </c>
    </row>
    <row r="75" spans="1:16" x14ac:dyDescent="0.3">
      <c r="A75" t="s">
        <v>651</v>
      </c>
      <c r="B75">
        <v>1</v>
      </c>
      <c r="D75">
        <v>0</v>
      </c>
      <c r="E75">
        <v>0</v>
      </c>
      <c r="F75">
        <v>0</v>
      </c>
      <c r="H75">
        <v>0</v>
      </c>
      <c r="I75">
        <v>0</v>
      </c>
      <c r="J75">
        <v>0</v>
      </c>
      <c r="K75">
        <v>0</v>
      </c>
      <c r="L75">
        <v>0</v>
      </c>
      <c r="N75">
        <v>0</v>
      </c>
      <c r="O75">
        <v>0</v>
      </c>
      <c r="P75">
        <v>0</v>
      </c>
    </row>
    <row r="76" spans="1:16" x14ac:dyDescent="0.3">
      <c r="A76" t="s">
        <v>652</v>
      </c>
      <c r="B76">
        <v>1</v>
      </c>
      <c r="D76">
        <v>0</v>
      </c>
      <c r="E76">
        <v>0</v>
      </c>
      <c r="F76">
        <v>0</v>
      </c>
      <c r="H76">
        <v>0</v>
      </c>
      <c r="I76">
        <v>0</v>
      </c>
      <c r="J76">
        <v>0</v>
      </c>
      <c r="K76">
        <v>0</v>
      </c>
      <c r="L76">
        <v>0</v>
      </c>
      <c r="N76">
        <v>0</v>
      </c>
      <c r="O76">
        <v>0</v>
      </c>
      <c r="P76">
        <v>0</v>
      </c>
    </row>
    <row r="77" spans="1:16" x14ac:dyDescent="0.3">
      <c r="A77" t="s">
        <v>653</v>
      </c>
      <c r="B77">
        <v>1</v>
      </c>
      <c r="E77">
        <v>0</v>
      </c>
      <c r="I77">
        <v>0</v>
      </c>
    </row>
    <row r="78" spans="1:16" x14ac:dyDescent="0.3">
      <c r="A78" t="s">
        <v>654</v>
      </c>
      <c r="B78">
        <v>1</v>
      </c>
      <c r="E78">
        <v>0</v>
      </c>
      <c r="I78">
        <v>0</v>
      </c>
    </row>
    <row r="79" spans="1:16" x14ac:dyDescent="0.3">
      <c r="A79" t="s">
        <v>655</v>
      </c>
      <c r="B79">
        <v>1</v>
      </c>
      <c r="E79">
        <v>3</v>
      </c>
      <c r="I79">
        <v>3</v>
      </c>
    </row>
    <row r="80" spans="1:16" x14ac:dyDescent="0.3">
      <c r="A80" t="s">
        <v>656</v>
      </c>
      <c r="B80">
        <v>1</v>
      </c>
      <c r="E80">
        <v>0</v>
      </c>
      <c r="I80">
        <v>0</v>
      </c>
    </row>
    <row r="81" spans="1:16" x14ac:dyDescent="0.3">
      <c r="A81" t="s">
        <v>657</v>
      </c>
      <c r="B81">
        <v>1</v>
      </c>
      <c r="E81">
        <v>0</v>
      </c>
      <c r="I81">
        <v>0</v>
      </c>
      <c r="L81">
        <v>0</v>
      </c>
      <c r="O81">
        <v>0</v>
      </c>
    </row>
    <row r="82" spans="1:16" x14ac:dyDescent="0.3">
      <c r="A82" t="s">
        <v>408</v>
      </c>
      <c r="B82">
        <v>1</v>
      </c>
      <c r="E82">
        <v>1</v>
      </c>
    </row>
    <row r="83" spans="1:16" x14ac:dyDescent="0.3">
      <c r="A83" t="s">
        <v>658</v>
      </c>
      <c r="B83">
        <v>1</v>
      </c>
      <c r="C83">
        <v>0</v>
      </c>
      <c r="D83">
        <v>109</v>
      </c>
      <c r="E83">
        <v>815</v>
      </c>
      <c r="F83">
        <v>141</v>
      </c>
      <c r="G83">
        <v>0</v>
      </c>
      <c r="H83">
        <v>163</v>
      </c>
      <c r="I83">
        <v>380</v>
      </c>
      <c r="J83">
        <v>109</v>
      </c>
      <c r="K83">
        <v>163</v>
      </c>
      <c r="L83">
        <v>191</v>
      </c>
      <c r="M83">
        <v>0</v>
      </c>
      <c r="N83">
        <v>82</v>
      </c>
      <c r="O83">
        <v>217</v>
      </c>
      <c r="P83">
        <v>163</v>
      </c>
    </row>
    <row r="84" spans="1:16" x14ac:dyDescent="0.3">
      <c r="A84" t="s">
        <v>660</v>
      </c>
    </row>
    <row r="85" spans="1:16" x14ac:dyDescent="0.3">
      <c r="A85" t="s">
        <v>661</v>
      </c>
    </row>
    <row r="86" spans="1:16" x14ac:dyDescent="0.3">
      <c r="A86" t="s">
        <v>0</v>
      </c>
      <c r="B86" t="s">
        <v>1</v>
      </c>
      <c r="C86" t="s">
        <v>662</v>
      </c>
    </row>
    <row r="87" spans="1:16" x14ac:dyDescent="0.3">
      <c r="A87" t="s">
        <v>663</v>
      </c>
      <c r="B87">
        <v>1</v>
      </c>
      <c r="C87">
        <v>3</v>
      </c>
    </row>
    <row r="88" spans="1:16" x14ac:dyDescent="0.3">
      <c r="A88" t="s">
        <v>664</v>
      </c>
      <c r="B88">
        <v>1</v>
      </c>
      <c r="C88">
        <v>120</v>
      </c>
    </row>
    <row r="89" spans="1:16" x14ac:dyDescent="0.3">
      <c r="A89" t="s">
        <v>665</v>
      </c>
      <c r="B89">
        <v>1</v>
      </c>
      <c r="C89">
        <v>0</v>
      </c>
    </row>
    <row r="90" spans="1:16" x14ac:dyDescent="0.3">
      <c r="A90" t="s">
        <v>666</v>
      </c>
      <c r="B90">
        <v>1</v>
      </c>
      <c r="C90">
        <v>3</v>
      </c>
    </row>
    <row r="91" spans="1:16" x14ac:dyDescent="0.3">
      <c r="A91" t="s">
        <v>667</v>
      </c>
      <c r="B91">
        <v>1</v>
      </c>
      <c r="C91">
        <v>206</v>
      </c>
    </row>
    <row r="92" spans="1:16" x14ac:dyDescent="0.3">
      <c r="A92" t="s">
        <v>577</v>
      </c>
      <c r="B92">
        <v>1</v>
      </c>
      <c r="C92">
        <v>40</v>
      </c>
    </row>
    <row r="93" spans="1:16" x14ac:dyDescent="0.3">
      <c r="A93" t="s">
        <v>668</v>
      </c>
      <c r="B93">
        <v>1</v>
      </c>
      <c r="C93">
        <v>0</v>
      </c>
    </row>
    <row r="94" spans="1:16" x14ac:dyDescent="0.3">
      <c r="A94" t="s">
        <v>272</v>
      </c>
      <c r="B94">
        <v>1</v>
      </c>
      <c r="C94">
        <v>0</v>
      </c>
    </row>
    <row r="95" spans="1:16" x14ac:dyDescent="0.3">
      <c r="A95" t="s">
        <v>669</v>
      </c>
      <c r="B95">
        <v>1</v>
      </c>
      <c r="C95">
        <v>1</v>
      </c>
    </row>
    <row r="96" spans="1:16" x14ac:dyDescent="0.3">
      <c r="A96" t="s">
        <v>670</v>
      </c>
      <c r="B96">
        <v>1</v>
      </c>
      <c r="C96">
        <v>0</v>
      </c>
    </row>
    <row r="97" spans="1:19" x14ac:dyDescent="0.3">
      <c r="A97" t="s">
        <v>671</v>
      </c>
    </row>
    <row r="98" spans="1:19" x14ac:dyDescent="0.3">
      <c r="A98" t="s">
        <v>672</v>
      </c>
    </row>
    <row r="99" spans="1:19" x14ac:dyDescent="0.3">
      <c r="A99" t="s">
        <v>0</v>
      </c>
      <c r="B99" t="s">
        <v>1</v>
      </c>
      <c r="C99" t="s">
        <v>246</v>
      </c>
      <c r="D99" t="s">
        <v>247</v>
      </c>
      <c r="E99" t="s">
        <v>248</v>
      </c>
      <c r="F99" t="s">
        <v>249</v>
      </c>
      <c r="G99" t="s">
        <v>250</v>
      </c>
      <c r="H99" t="s">
        <v>251</v>
      </c>
      <c r="I99" t="s">
        <v>252</v>
      </c>
      <c r="J99" t="s">
        <v>253</v>
      </c>
      <c r="K99" t="s">
        <v>673</v>
      </c>
      <c r="L99" t="s">
        <v>674</v>
      </c>
      <c r="M99" t="s">
        <v>675</v>
      </c>
      <c r="N99" t="s">
        <v>676</v>
      </c>
      <c r="O99" t="s">
        <v>677</v>
      </c>
      <c r="P99" t="s">
        <v>678</v>
      </c>
      <c r="Q99" t="s">
        <v>679</v>
      </c>
      <c r="R99" t="s">
        <v>680</v>
      </c>
    </row>
    <row r="100" spans="1:19" x14ac:dyDescent="0.3">
      <c r="A100" t="s">
        <v>254</v>
      </c>
      <c r="B100">
        <v>1</v>
      </c>
      <c r="C100">
        <v>111</v>
      </c>
      <c r="D100">
        <v>112</v>
      </c>
      <c r="E100">
        <v>211</v>
      </c>
      <c r="F100">
        <v>212</v>
      </c>
      <c r="G100">
        <v>121</v>
      </c>
      <c r="H100">
        <v>122</v>
      </c>
      <c r="I100">
        <v>221</v>
      </c>
      <c r="J100">
        <v>222</v>
      </c>
      <c r="K100">
        <v>311</v>
      </c>
      <c r="L100">
        <v>312</v>
      </c>
      <c r="M100">
        <v>411</v>
      </c>
      <c r="N100">
        <v>412</v>
      </c>
      <c r="O100">
        <v>321</v>
      </c>
      <c r="P100">
        <v>322</v>
      </c>
      <c r="Q100">
        <v>421</v>
      </c>
      <c r="R100">
        <v>422</v>
      </c>
      <c r="S100" s="496"/>
    </row>
    <row r="101" spans="1:19" x14ac:dyDescent="0.3">
      <c r="A101" t="s">
        <v>255</v>
      </c>
      <c r="B101">
        <v>1</v>
      </c>
      <c r="C101">
        <v>8</v>
      </c>
      <c r="D101">
        <v>15</v>
      </c>
      <c r="E101">
        <v>8</v>
      </c>
      <c r="F101">
        <v>8</v>
      </c>
      <c r="G101">
        <v>8</v>
      </c>
      <c r="H101">
        <v>15</v>
      </c>
      <c r="I101">
        <v>8</v>
      </c>
      <c r="J101">
        <v>8</v>
      </c>
      <c r="S101" s="496"/>
    </row>
    <row r="102" spans="1:19" x14ac:dyDescent="0.3">
      <c r="A102" t="s">
        <v>256</v>
      </c>
      <c r="B102">
        <v>1</v>
      </c>
      <c r="C102">
        <v>9</v>
      </c>
      <c r="D102">
        <v>51</v>
      </c>
      <c r="E102">
        <v>25</v>
      </c>
      <c r="F102">
        <v>9</v>
      </c>
      <c r="G102">
        <v>14</v>
      </c>
      <c r="H102">
        <v>46</v>
      </c>
      <c r="I102">
        <v>14</v>
      </c>
      <c r="J102">
        <v>20</v>
      </c>
      <c r="S102" s="496"/>
    </row>
    <row r="103" spans="1:19" x14ac:dyDescent="0.3">
      <c r="A103" t="s">
        <v>257</v>
      </c>
      <c r="B103">
        <v>1</v>
      </c>
      <c r="C103">
        <v>3</v>
      </c>
      <c r="D103">
        <v>6</v>
      </c>
      <c r="E103">
        <v>3</v>
      </c>
      <c r="F103">
        <v>3</v>
      </c>
      <c r="G103">
        <v>3</v>
      </c>
      <c r="H103">
        <v>6</v>
      </c>
      <c r="I103">
        <v>3</v>
      </c>
      <c r="J103">
        <v>3</v>
      </c>
      <c r="S103" s="496"/>
    </row>
    <row r="104" spans="1:19" x14ac:dyDescent="0.3">
      <c r="A104" t="s">
        <v>258</v>
      </c>
      <c r="B104">
        <v>1</v>
      </c>
      <c r="C104">
        <v>0</v>
      </c>
      <c r="D104">
        <v>0</v>
      </c>
      <c r="E104">
        <v>0</v>
      </c>
      <c r="F104">
        <v>0</v>
      </c>
      <c r="G104">
        <v>0</v>
      </c>
      <c r="H104">
        <v>0</v>
      </c>
      <c r="I104">
        <v>0</v>
      </c>
      <c r="J104">
        <v>0</v>
      </c>
      <c r="S104" s="496"/>
    </row>
    <row r="105" spans="1:19" x14ac:dyDescent="0.3">
      <c r="A105" t="s">
        <v>259</v>
      </c>
      <c r="B105">
        <v>1</v>
      </c>
      <c r="C105">
        <v>0</v>
      </c>
      <c r="D105">
        <v>0</v>
      </c>
      <c r="E105">
        <v>0</v>
      </c>
      <c r="F105">
        <v>0</v>
      </c>
      <c r="G105">
        <v>0</v>
      </c>
      <c r="H105">
        <v>0</v>
      </c>
      <c r="I105">
        <v>0</v>
      </c>
      <c r="J105">
        <v>0</v>
      </c>
      <c r="S105" s="496"/>
    </row>
    <row r="106" spans="1:19" x14ac:dyDescent="0.3">
      <c r="A106" t="s">
        <v>260</v>
      </c>
      <c r="B106">
        <v>1</v>
      </c>
      <c r="C106">
        <v>3</v>
      </c>
      <c r="D106">
        <v>3</v>
      </c>
      <c r="E106">
        <v>3</v>
      </c>
      <c r="F106">
        <v>3</v>
      </c>
      <c r="G106">
        <v>3</v>
      </c>
      <c r="H106">
        <v>3</v>
      </c>
      <c r="I106">
        <v>3</v>
      </c>
      <c r="J106">
        <v>3</v>
      </c>
      <c r="S106" s="496"/>
    </row>
    <row r="107" spans="1:19" x14ac:dyDescent="0.3">
      <c r="A107" t="s">
        <v>261</v>
      </c>
      <c r="B107">
        <v>1</v>
      </c>
      <c r="C107">
        <v>4</v>
      </c>
      <c r="D107">
        <v>5</v>
      </c>
      <c r="E107">
        <v>4</v>
      </c>
      <c r="F107">
        <v>5</v>
      </c>
      <c r="G107">
        <v>4</v>
      </c>
      <c r="H107">
        <v>5</v>
      </c>
      <c r="I107">
        <v>4</v>
      </c>
      <c r="J107">
        <v>5</v>
      </c>
      <c r="S107" s="496"/>
    </row>
    <row r="108" spans="1:19" x14ac:dyDescent="0.3">
      <c r="A108" t="s">
        <v>262</v>
      </c>
      <c r="B108">
        <v>1</v>
      </c>
      <c r="C108">
        <v>2</v>
      </c>
      <c r="D108">
        <v>2</v>
      </c>
      <c r="E108">
        <v>2</v>
      </c>
      <c r="F108">
        <v>2</v>
      </c>
      <c r="G108">
        <v>2</v>
      </c>
      <c r="H108">
        <v>2</v>
      </c>
      <c r="I108">
        <v>2</v>
      </c>
      <c r="J108">
        <v>2</v>
      </c>
      <c r="S108" s="496"/>
    </row>
    <row r="109" spans="1:19" x14ac:dyDescent="0.3">
      <c r="A109" t="s">
        <v>263</v>
      </c>
      <c r="B109">
        <v>1</v>
      </c>
      <c r="C109">
        <v>0</v>
      </c>
      <c r="D109">
        <v>3</v>
      </c>
      <c r="E109">
        <v>0</v>
      </c>
      <c r="F109">
        <v>0</v>
      </c>
      <c r="G109">
        <v>0</v>
      </c>
      <c r="H109">
        <v>3</v>
      </c>
      <c r="I109">
        <v>0</v>
      </c>
      <c r="J109">
        <v>0</v>
      </c>
      <c r="S109" s="496"/>
    </row>
    <row r="110" spans="1:19" x14ac:dyDescent="0.3">
      <c r="A110" t="s">
        <v>264</v>
      </c>
      <c r="B110">
        <v>1</v>
      </c>
      <c r="S110" s="496"/>
    </row>
    <row r="111" spans="1:19" x14ac:dyDescent="0.3">
      <c r="A111" t="s">
        <v>265</v>
      </c>
      <c r="B111">
        <v>1</v>
      </c>
      <c r="S111" s="496"/>
    </row>
    <row r="112" spans="1:19" x14ac:dyDescent="0.3">
      <c r="A112" t="s">
        <v>266</v>
      </c>
      <c r="B112">
        <v>1</v>
      </c>
      <c r="S112" s="496"/>
    </row>
    <row r="113" spans="1:19" x14ac:dyDescent="0.3">
      <c r="A113" t="s">
        <v>267</v>
      </c>
      <c r="B113">
        <v>1</v>
      </c>
      <c r="C113">
        <v>15</v>
      </c>
      <c r="D113">
        <v>22</v>
      </c>
      <c r="E113">
        <v>15</v>
      </c>
      <c r="F113">
        <v>15</v>
      </c>
      <c r="G113">
        <v>15</v>
      </c>
      <c r="H113">
        <v>22</v>
      </c>
      <c r="I113">
        <v>15</v>
      </c>
      <c r="J113">
        <v>15</v>
      </c>
      <c r="S113" s="496"/>
    </row>
    <row r="114" spans="1:19" x14ac:dyDescent="0.3">
      <c r="A114" t="s">
        <v>268</v>
      </c>
      <c r="B114">
        <v>1</v>
      </c>
      <c r="C114">
        <v>0</v>
      </c>
      <c r="D114">
        <v>1</v>
      </c>
      <c r="E114">
        <v>0</v>
      </c>
      <c r="F114">
        <v>1</v>
      </c>
      <c r="G114">
        <v>0</v>
      </c>
      <c r="H114">
        <v>1</v>
      </c>
      <c r="I114">
        <v>0</v>
      </c>
      <c r="J114">
        <v>1</v>
      </c>
      <c r="S114" s="496"/>
    </row>
    <row r="115" spans="1:19" x14ac:dyDescent="0.3">
      <c r="A115" t="s">
        <v>269</v>
      </c>
      <c r="B115">
        <v>1</v>
      </c>
      <c r="C115">
        <v>1</v>
      </c>
      <c r="D115">
        <v>1</v>
      </c>
      <c r="E115">
        <v>1</v>
      </c>
      <c r="F115">
        <v>1</v>
      </c>
      <c r="G115">
        <v>1</v>
      </c>
      <c r="H115">
        <v>1</v>
      </c>
      <c r="I115">
        <v>1</v>
      </c>
      <c r="J115">
        <v>1</v>
      </c>
      <c r="S115" s="496"/>
    </row>
    <row r="116" spans="1:19" x14ac:dyDescent="0.3">
      <c r="A116" t="s">
        <v>270</v>
      </c>
      <c r="B116">
        <v>1</v>
      </c>
      <c r="C116">
        <v>25</v>
      </c>
      <c r="D116">
        <v>40</v>
      </c>
      <c r="E116">
        <v>98</v>
      </c>
      <c r="F116">
        <v>9</v>
      </c>
      <c r="G116">
        <v>25</v>
      </c>
      <c r="H116">
        <v>45</v>
      </c>
      <c r="I116">
        <v>98</v>
      </c>
      <c r="J116">
        <v>118</v>
      </c>
      <c r="S116" s="496"/>
    </row>
    <row r="117" spans="1:19" x14ac:dyDescent="0.3">
      <c r="A117" t="s">
        <v>271</v>
      </c>
      <c r="B117">
        <v>1</v>
      </c>
      <c r="C117">
        <v>40</v>
      </c>
      <c r="D117">
        <v>98</v>
      </c>
      <c r="E117">
        <v>9</v>
      </c>
      <c r="F117">
        <v>25</v>
      </c>
      <c r="G117">
        <v>45</v>
      </c>
      <c r="H117">
        <v>98</v>
      </c>
      <c r="I117">
        <v>118</v>
      </c>
      <c r="J117">
        <v>25</v>
      </c>
      <c r="S117" s="496"/>
    </row>
    <row r="118" spans="1:19" x14ac:dyDescent="0.3">
      <c r="A118" t="s">
        <v>272</v>
      </c>
      <c r="B118">
        <v>1</v>
      </c>
      <c r="C118">
        <v>34</v>
      </c>
      <c r="D118">
        <v>91</v>
      </c>
      <c r="E118">
        <v>3</v>
      </c>
      <c r="F118">
        <v>18</v>
      </c>
      <c r="G118">
        <v>39</v>
      </c>
      <c r="H118">
        <v>91</v>
      </c>
      <c r="I118">
        <v>112</v>
      </c>
      <c r="J118">
        <v>18</v>
      </c>
      <c r="S118" s="496"/>
    </row>
    <row r="119" spans="1:19" x14ac:dyDescent="0.3">
      <c r="A119" t="s">
        <v>273</v>
      </c>
      <c r="B119">
        <v>1</v>
      </c>
      <c r="C119">
        <v>34</v>
      </c>
      <c r="D119">
        <v>91</v>
      </c>
      <c r="E119">
        <v>3</v>
      </c>
      <c r="F119">
        <v>18</v>
      </c>
      <c r="G119">
        <v>39</v>
      </c>
      <c r="H119">
        <v>91</v>
      </c>
      <c r="I119">
        <v>112</v>
      </c>
      <c r="J119">
        <v>18</v>
      </c>
      <c r="S119" s="496"/>
    </row>
    <row r="120" spans="1:19" x14ac:dyDescent="0.3">
      <c r="A120" t="s">
        <v>274</v>
      </c>
      <c r="B120">
        <v>1</v>
      </c>
      <c r="C120">
        <v>105</v>
      </c>
      <c r="D120">
        <v>0</v>
      </c>
      <c r="E120">
        <v>58</v>
      </c>
      <c r="F120">
        <v>89</v>
      </c>
      <c r="G120">
        <v>105</v>
      </c>
      <c r="H120">
        <v>5</v>
      </c>
      <c r="I120">
        <v>58</v>
      </c>
      <c r="J120">
        <v>78</v>
      </c>
      <c r="S120" s="496"/>
    </row>
    <row r="121" spans="1:19" x14ac:dyDescent="0.3">
      <c r="A121" t="s">
        <v>275</v>
      </c>
      <c r="B121">
        <v>1</v>
      </c>
      <c r="C121">
        <v>114</v>
      </c>
      <c r="D121">
        <v>51</v>
      </c>
      <c r="E121">
        <v>83</v>
      </c>
      <c r="F121">
        <v>98</v>
      </c>
      <c r="G121">
        <v>119</v>
      </c>
      <c r="H121">
        <v>51</v>
      </c>
      <c r="I121">
        <v>72</v>
      </c>
      <c r="J121">
        <v>98</v>
      </c>
      <c r="S121" s="496"/>
    </row>
    <row r="122" spans="1:19" x14ac:dyDescent="0.3">
      <c r="A122" t="s">
        <v>276</v>
      </c>
      <c r="B122">
        <v>1</v>
      </c>
      <c r="C122">
        <v>114</v>
      </c>
      <c r="D122">
        <v>51</v>
      </c>
      <c r="E122">
        <v>83</v>
      </c>
      <c r="F122">
        <v>98</v>
      </c>
      <c r="G122">
        <v>119</v>
      </c>
      <c r="H122">
        <v>51</v>
      </c>
      <c r="I122">
        <v>72</v>
      </c>
      <c r="J122">
        <v>98</v>
      </c>
      <c r="S122" s="496"/>
    </row>
    <row r="123" spans="1:19" x14ac:dyDescent="0.3">
      <c r="A123" t="s">
        <v>681</v>
      </c>
      <c r="B123">
        <v>1</v>
      </c>
      <c r="C123">
        <v>9.4</v>
      </c>
      <c r="D123">
        <v>50.5</v>
      </c>
      <c r="E123">
        <v>8.5</v>
      </c>
      <c r="F123">
        <v>25.6</v>
      </c>
      <c r="G123">
        <v>9.6999999999999993</v>
      </c>
      <c r="H123">
        <v>50.2</v>
      </c>
      <c r="I123">
        <v>12.7</v>
      </c>
      <c r="J123">
        <v>21.4</v>
      </c>
      <c r="S123" s="6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K33" sqref="K33"/>
    </sheetView>
  </sheetViews>
  <sheetFormatPr defaultRowHeight="14.4" x14ac:dyDescent="0.3"/>
  <sheetData>
    <row r="1" spans="1:9" x14ac:dyDescent="0.3">
      <c r="A1" s="508" t="s">
        <v>696</v>
      </c>
      <c r="B1" s="508" t="s">
        <v>697</v>
      </c>
      <c r="C1" s="508" t="s">
        <v>698</v>
      </c>
      <c r="D1" s="508" t="s">
        <v>699</v>
      </c>
      <c r="E1" s="508" t="s">
        <v>700</v>
      </c>
      <c r="F1" s="508" t="s">
        <v>713</v>
      </c>
      <c r="G1" s="509" t="s">
        <v>733</v>
      </c>
      <c r="I1" t="str">
        <f>A2&amp;"_"&amp;'Input sheet'!J14</f>
        <v>1_SR 85_Ramah Road</v>
      </c>
    </row>
    <row r="2" spans="1:9" x14ac:dyDescent="0.3">
      <c r="A2" s="510">
        <f>UTDF_input!B4</f>
        <v>1</v>
      </c>
      <c r="B2" s="510">
        <f>'Phase calculation'!C156</f>
        <v>7</v>
      </c>
      <c r="C2" s="510"/>
      <c r="D2" s="510">
        <f>'Phase calculation'!C158</f>
        <v>7</v>
      </c>
      <c r="E2" s="510" t="str">
        <f>'Phase calculation'!C159</f>
        <v>Permissive</v>
      </c>
      <c r="F2" s="511" t="str">
        <f>'Phase calculation'!C160</f>
        <v>EBL</v>
      </c>
    </row>
    <row r="3" spans="1:9" x14ac:dyDescent="0.3">
      <c r="A3" s="510">
        <f>$A$2</f>
        <v>1</v>
      </c>
      <c r="B3" s="510">
        <f>'Phase calculation'!D156</f>
        <v>4</v>
      </c>
      <c r="C3" s="510"/>
      <c r="D3" s="510">
        <f>'Phase calculation'!D158</f>
        <v>4</v>
      </c>
      <c r="E3" s="510" t="str">
        <f>'Phase calculation'!D159</f>
        <v>Protected</v>
      </c>
      <c r="F3" s="511" t="str">
        <f>'Phase calculation'!D160</f>
        <v>EBT</v>
      </c>
    </row>
    <row r="4" spans="1:9" x14ac:dyDescent="0.3">
      <c r="A4" s="510">
        <f t="shared" ref="A4:A13" si="0">$A$2</f>
        <v>1</v>
      </c>
      <c r="B4" s="510" t="str">
        <f>'Phase calculation'!E156</f>
        <v>41</v>
      </c>
      <c r="C4" s="510"/>
      <c r="D4" s="510">
        <f>'Phase calculation'!E158</f>
        <v>4</v>
      </c>
      <c r="E4" s="510" t="str">
        <f>'Phase calculation'!E159</f>
        <v>RTOR</v>
      </c>
      <c r="F4" s="511" t="str">
        <f>'Phase calculation'!E160</f>
        <v>EBR</v>
      </c>
    </row>
    <row r="5" spans="1:9" x14ac:dyDescent="0.3">
      <c r="A5" s="510">
        <f t="shared" si="0"/>
        <v>1</v>
      </c>
      <c r="B5" s="510">
        <f>'Phase calculation'!F156</f>
        <v>3</v>
      </c>
      <c r="C5" s="510"/>
      <c r="D5" s="510">
        <f>'Phase calculation'!F158</f>
        <v>3</v>
      </c>
      <c r="E5" s="510" t="str">
        <f>'Phase calculation'!F159</f>
        <v>Permissive</v>
      </c>
      <c r="F5" s="511" t="str">
        <f>'Phase calculation'!F160</f>
        <v>WBL</v>
      </c>
    </row>
    <row r="6" spans="1:9" x14ac:dyDescent="0.3">
      <c r="A6" s="510">
        <f t="shared" si="0"/>
        <v>1</v>
      </c>
      <c r="B6" s="510">
        <f>'Phase calculation'!G156</f>
        <v>8</v>
      </c>
      <c r="C6" s="510"/>
      <c r="D6" s="510">
        <f>'Phase calculation'!G158</f>
        <v>8</v>
      </c>
      <c r="E6" s="510" t="str">
        <f>'Phase calculation'!G159</f>
        <v>Protected</v>
      </c>
      <c r="F6" s="511" t="str">
        <f>'Phase calculation'!G160</f>
        <v>WBT</v>
      </c>
    </row>
    <row r="7" spans="1:9" x14ac:dyDescent="0.3">
      <c r="A7" s="510">
        <f t="shared" si="0"/>
        <v>1</v>
      </c>
      <c r="B7" s="510" t="str">
        <f>'Phase calculation'!H156</f>
        <v>81</v>
      </c>
      <c r="C7" s="510"/>
      <c r="D7" s="510">
        <f>'Phase calculation'!H158</f>
        <v>8</v>
      </c>
      <c r="E7" s="510" t="str">
        <f>'Phase calculation'!H159</f>
        <v>RTOR</v>
      </c>
      <c r="F7" s="511" t="str">
        <f>'Phase calculation'!H160</f>
        <v>WBR</v>
      </c>
    </row>
    <row r="8" spans="1:9" x14ac:dyDescent="0.3">
      <c r="A8" s="510">
        <f t="shared" si="0"/>
        <v>1</v>
      </c>
      <c r="B8" s="510">
        <f>'Phase calculation'!I156</f>
        <v>5</v>
      </c>
      <c r="C8" s="510"/>
      <c r="D8" s="510">
        <f>'Phase calculation'!I158</f>
        <v>5</v>
      </c>
      <c r="E8" s="510" t="str">
        <f>'Phase calculation'!I159</f>
        <v>Protected/Permissive</v>
      </c>
      <c r="F8" s="511" t="str">
        <f>'Phase calculation'!I160</f>
        <v>NBL</v>
      </c>
    </row>
    <row r="9" spans="1:9" x14ac:dyDescent="0.3">
      <c r="A9" s="510">
        <f t="shared" si="0"/>
        <v>1</v>
      </c>
      <c r="B9" s="510">
        <f>'Phase calculation'!J156</f>
        <v>2</v>
      </c>
      <c r="C9" s="510"/>
      <c r="D9" s="510">
        <f>'Phase calculation'!J158</f>
        <v>2</v>
      </c>
      <c r="E9" s="510" t="str">
        <f>'Phase calculation'!J159</f>
        <v>Protected</v>
      </c>
      <c r="F9" s="511" t="str">
        <f>'Phase calculation'!J160</f>
        <v>NBT</v>
      </c>
    </row>
    <row r="10" spans="1:9" x14ac:dyDescent="0.3">
      <c r="A10" s="510">
        <f t="shared" si="0"/>
        <v>1</v>
      </c>
      <c r="B10" s="510" t="str">
        <f>'Phase calculation'!K156</f>
        <v>21</v>
      </c>
      <c r="C10" s="510"/>
      <c r="D10" s="510">
        <f>'Phase calculation'!K158</f>
        <v>2</v>
      </c>
      <c r="E10" s="510" t="str">
        <f>'Phase calculation'!K159</f>
        <v>RTOR</v>
      </c>
      <c r="F10" s="511" t="str">
        <f>'Phase calculation'!K160</f>
        <v>NBR</v>
      </c>
    </row>
    <row r="11" spans="1:9" x14ac:dyDescent="0.3">
      <c r="A11" s="510">
        <f t="shared" si="0"/>
        <v>1</v>
      </c>
      <c r="B11" s="510">
        <f>'Phase calculation'!L156</f>
        <v>1</v>
      </c>
      <c r="C11" s="510"/>
      <c r="D11" s="510">
        <f>'Phase calculation'!L158</f>
        <v>1</v>
      </c>
      <c r="E11" s="510" t="str">
        <f>'Phase calculation'!L159</f>
        <v>Protected/Permissive</v>
      </c>
      <c r="F11" s="511" t="str">
        <f>'Phase calculation'!L160</f>
        <v>SBL</v>
      </c>
    </row>
    <row r="12" spans="1:9" x14ac:dyDescent="0.3">
      <c r="A12" s="510">
        <f t="shared" si="0"/>
        <v>1</v>
      </c>
      <c r="B12" s="510">
        <f>'Phase calculation'!M156</f>
        <v>6</v>
      </c>
      <c r="C12" s="510"/>
      <c r="D12" s="510">
        <f>'Phase calculation'!M158</f>
        <v>6</v>
      </c>
      <c r="E12" s="510" t="str">
        <f>'Phase calculation'!M159</f>
        <v>Protected</v>
      </c>
      <c r="F12" s="511" t="str">
        <f>'Phase calculation'!M160</f>
        <v>SBT</v>
      </c>
    </row>
    <row r="13" spans="1:9" x14ac:dyDescent="0.3">
      <c r="A13" s="510">
        <f t="shared" si="0"/>
        <v>1</v>
      </c>
      <c r="B13" s="510" t="str">
        <f>'Phase calculation'!N156</f>
        <v>61</v>
      </c>
      <c r="C13" s="510"/>
      <c r="D13" s="510">
        <f>'Phase calculation'!N158</f>
        <v>6</v>
      </c>
      <c r="E13" s="510" t="str">
        <f>'Phase calculation'!N159</f>
        <v>RTOR</v>
      </c>
      <c r="F13" s="511" t="str">
        <f>'Phase calculation'!N160</f>
        <v>SBR</v>
      </c>
    </row>
    <row r="14" spans="1:9" x14ac:dyDescent="0.3">
      <c r="A14" s="510"/>
      <c r="B14" s="510"/>
      <c r="C14" s="510"/>
      <c r="D14" s="510"/>
      <c r="E14" s="510"/>
      <c r="F14" s="510"/>
    </row>
    <row r="15" spans="1:9" x14ac:dyDescent="0.3">
      <c r="A15" t="s">
        <v>696</v>
      </c>
      <c r="B15" t="s">
        <v>734</v>
      </c>
      <c r="C15" t="s">
        <v>735</v>
      </c>
      <c r="D15" t="s">
        <v>736</v>
      </c>
      <c r="G15" s="1" t="s">
        <v>737</v>
      </c>
    </row>
    <row r="16" spans="1:9" x14ac:dyDescent="0.3">
      <c r="A16">
        <f>$A$2</f>
        <v>1</v>
      </c>
      <c r="B16">
        <f>IF(Phasing!D58=0,"",Phasing!D54)</f>
        <v>1</v>
      </c>
      <c r="C16">
        <f>IF(B16="","",IF(B16&lt;=4,1,2))</f>
        <v>1</v>
      </c>
      <c r="D16">
        <f>IF(C16="","",IF(OR(B16=1,B16=2,B16=5,B16=6),1,2))</f>
        <v>1</v>
      </c>
    </row>
    <row r="17" spans="1:13" x14ac:dyDescent="0.3">
      <c r="A17">
        <f t="shared" ref="A17:A23" si="1">$A$2</f>
        <v>1</v>
      </c>
      <c r="B17">
        <f>IF(Phasing!E58=0,"",Phasing!E54)</f>
        <v>2</v>
      </c>
      <c r="C17">
        <f t="shared" ref="C17:C23" si="2">IF(B17="","",IF(B17&lt;=4,1,2))</f>
        <v>1</v>
      </c>
      <c r="D17">
        <f t="shared" ref="D17:D23" si="3">IF(C17="","",IF(OR(B17=1,B17=2,B17=5,B17=6),1,2))</f>
        <v>1</v>
      </c>
    </row>
    <row r="18" spans="1:13" x14ac:dyDescent="0.3">
      <c r="A18">
        <f t="shared" si="1"/>
        <v>1</v>
      </c>
      <c r="B18">
        <f>IF(Phasing!F58=0,"",Phasing!F54)</f>
        <v>3</v>
      </c>
      <c r="C18">
        <f t="shared" si="2"/>
        <v>1</v>
      </c>
      <c r="D18">
        <f t="shared" si="3"/>
        <v>2</v>
      </c>
    </row>
    <row r="19" spans="1:13" x14ac:dyDescent="0.3">
      <c r="A19">
        <f t="shared" si="1"/>
        <v>1</v>
      </c>
      <c r="B19">
        <f>IF(Phasing!G58=0,"",Phasing!G54)</f>
        <v>4</v>
      </c>
      <c r="C19">
        <f t="shared" si="2"/>
        <v>1</v>
      </c>
      <c r="D19">
        <f t="shared" si="3"/>
        <v>2</v>
      </c>
    </row>
    <row r="20" spans="1:13" x14ac:dyDescent="0.3">
      <c r="A20">
        <f t="shared" si="1"/>
        <v>1</v>
      </c>
      <c r="B20">
        <f>IF(Phasing!H58=0,"",Phasing!H54)</f>
        <v>5</v>
      </c>
      <c r="C20">
        <f t="shared" si="2"/>
        <v>2</v>
      </c>
      <c r="D20">
        <f t="shared" si="3"/>
        <v>1</v>
      </c>
    </row>
    <row r="21" spans="1:13" x14ac:dyDescent="0.3">
      <c r="A21">
        <f t="shared" si="1"/>
        <v>1</v>
      </c>
      <c r="B21">
        <f>IF(Phasing!I58=0,"",Phasing!I54)</f>
        <v>6</v>
      </c>
      <c r="C21">
        <f t="shared" si="2"/>
        <v>2</v>
      </c>
      <c r="D21">
        <f t="shared" si="3"/>
        <v>1</v>
      </c>
    </row>
    <row r="22" spans="1:13" x14ac:dyDescent="0.3">
      <c r="A22">
        <f t="shared" si="1"/>
        <v>1</v>
      </c>
      <c r="B22">
        <f>IF(Phasing!J58=0,"",Phasing!J54)</f>
        <v>7</v>
      </c>
      <c r="C22">
        <f t="shared" si="2"/>
        <v>2</v>
      </c>
      <c r="D22">
        <f t="shared" si="3"/>
        <v>2</v>
      </c>
    </row>
    <row r="23" spans="1:13" x14ac:dyDescent="0.3">
      <c r="A23">
        <f t="shared" si="1"/>
        <v>1</v>
      </c>
      <c r="B23">
        <f>IF(Phasing!K58=0,"",Phasing!K54)</f>
        <v>8</v>
      </c>
      <c r="C23">
        <f t="shared" si="2"/>
        <v>2</v>
      </c>
      <c r="D23">
        <f t="shared" si="3"/>
        <v>2</v>
      </c>
    </row>
    <row r="25" spans="1:13" x14ac:dyDescent="0.3">
      <c r="A25" s="510" t="s">
        <v>738</v>
      </c>
      <c r="B25" s="510" t="s">
        <v>696</v>
      </c>
      <c r="C25" s="510" t="s">
        <v>739</v>
      </c>
      <c r="D25" s="510" t="s">
        <v>740</v>
      </c>
      <c r="E25" s="510" t="s">
        <v>741</v>
      </c>
      <c r="F25" s="510" t="s">
        <v>742</v>
      </c>
      <c r="G25" s="510" t="s">
        <v>743</v>
      </c>
      <c r="H25" s="510" t="s">
        <v>744</v>
      </c>
      <c r="I25" s="510" t="s">
        <v>745</v>
      </c>
      <c r="J25" t="s">
        <v>713</v>
      </c>
      <c r="K25" s="62" t="s">
        <v>716</v>
      </c>
      <c r="M25" s="1" t="s">
        <v>753</v>
      </c>
    </row>
    <row r="26" spans="1:13" x14ac:dyDescent="0.3">
      <c r="A26" s="510">
        <f t="shared" ref="A26:A33" si="4">IF(C26="","",1)</f>
        <v>1</v>
      </c>
      <c r="B26" s="510">
        <f>$A$2</f>
        <v>1</v>
      </c>
      <c r="C26" s="510">
        <f t="shared" ref="C26:C33" si="5">B16</f>
        <v>1</v>
      </c>
      <c r="D26" s="510">
        <f>IF(C26="","",Phasing!D31)</f>
        <v>8</v>
      </c>
      <c r="E26" s="510">
        <f>IF(C26="","",Phasing!D32)</f>
        <v>9</v>
      </c>
      <c r="F26" s="510">
        <f>IF(C26="","",Phasing!D33)</f>
        <v>3</v>
      </c>
      <c r="G26" s="510">
        <f>IF(C26="","",INDEX(Phasing!$Y$33:$Y$40,MATCH(C26,Phasing!$W$33:$W$40,0))+INDEX(Phasing!$AA$33:$AA$40,MATCH(C26,Phasing!$W$33:$W$40,0)))</f>
        <v>6</v>
      </c>
      <c r="H26" s="510"/>
      <c r="I26" s="510"/>
      <c r="J26" t="str">
        <f>IFERROR(INDEX($F$2:$F$13,MATCH(C26,$B$2:$B$13,0)),"")</f>
        <v>SBL</v>
      </c>
      <c r="K26">
        <v>0</v>
      </c>
    </row>
    <row r="27" spans="1:13" x14ac:dyDescent="0.3">
      <c r="A27" s="510">
        <f t="shared" si="4"/>
        <v>1</v>
      </c>
      <c r="B27" s="510">
        <f t="shared" ref="B27:B33" si="6">$A$2</f>
        <v>1</v>
      </c>
      <c r="C27" s="510">
        <f t="shared" si="5"/>
        <v>2</v>
      </c>
      <c r="D27" s="510">
        <f>IF(C27="","",Phasing!E31)</f>
        <v>15</v>
      </c>
      <c r="E27" s="510">
        <f>IF(C27="","",Phasing!E32)</f>
        <v>51</v>
      </c>
      <c r="F27" s="510">
        <f>IF(C27="","",Phasing!E33)</f>
        <v>6</v>
      </c>
      <c r="G27" s="510">
        <f>IF(C27="","",INDEX(Phasing!$Y$33:$Y$40,MATCH(C27,Phasing!$W$33:$W$40,0))+INDEX(Phasing!$AA$33:$AA$40,MATCH(C27,Phasing!$W$33:$W$40,0)))</f>
        <v>7</v>
      </c>
      <c r="H27" s="510">
        <f>Phasing!E9</f>
        <v>0</v>
      </c>
      <c r="I27" s="510">
        <f>Phasing!E10</f>
        <v>0</v>
      </c>
      <c r="J27" t="str">
        <f t="shared" ref="J27:J33" si="7">IFERROR(INDEX($F$2:$F$13,MATCH(C27,$B$2:$B$13,0)),"")</f>
        <v>NBT</v>
      </c>
      <c r="K27">
        <v>0</v>
      </c>
    </row>
    <row r="28" spans="1:13" x14ac:dyDescent="0.3">
      <c r="A28" s="510">
        <f t="shared" si="4"/>
        <v>1</v>
      </c>
      <c r="B28" s="510">
        <f t="shared" si="6"/>
        <v>1</v>
      </c>
      <c r="C28" s="510">
        <f t="shared" si="5"/>
        <v>3</v>
      </c>
      <c r="D28" s="510">
        <f>IF(C28="","",Phasing!F31)</f>
        <v>8</v>
      </c>
      <c r="E28" s="510">
        <f>IF(C28="","",Phasing!F32)</f>
        <v>25</v>
      </c>
      <c r="F28" s="510">
        <f>IF(C28="","",Phasing!F33)</f>
        <v>3</v>
      </c>
      <c r="G28" s="510">
        <f>IF(C28="","",INDEX(Phasing!$Y$33:$Y$40,MATCH(C28,Phasing!$W$33:$W$40,0))+INDEX(Phasing!$AA$33:$AA$40,MATCH(C28,Phasing!$W$33:$W$40,0)))</f>
        <v>6</v>
      </c>
      <c r="H28" s="510"/>
      <c r="I28" s="510"/>
      <c r="J28" t="str">
        <f t="shared" si="7"/>
        <v>WBL</v>
      </c>
      <c r="K28">
        <v>0</v>
      </c>
    </row>
    <row r="29" spans="1:13" x14ac:dyDescent="0.3">
      <c r="A29" s="510">
        <f t="shared" si="4"/>
        <v>1</v>
      </c>
      <c r="B29" s="510">
        <f t="shared" si="6"/>
        <v>1</v>
      </c>
      <c r="C29" s="510">
        <f t="shared" si="5"/>
        <v>4</v>
      </c>
      <c r="D29" s="510">
        <f>IF(C29="","",Phasing!G31)</f>
        <v>8</v>
      </c>
      <c r="E29" s="510">
        <f>IF(C29="","",Phasing!G32)</f>
        <v>9</v>
      </c>
      <c r="F29" s="510">
        <f>IF(C29="","",Phasing!G33)</f>
        <v>3</v>
      </c>
      <c r="G29" s="510">
        <f>IF(C29="","",INDEX(Phasing!$Y$33:$Y$40,MATCH(C29,Phasing!$W$33:$W$40,0))+INDEX(Phasing!$AA$33:$AA$40,MATCH(C29,Phasing!$W$33:$W$40,0)))</f>
        <v>7</v>
      </c>
      <c r="H29" s="510">
        <f>Phasing!G9</f>
        <v>0</v>
      </c>
      <c r="I29" s="510">
        <f>Phasing!G10</f>
        <v>0</v>
      </c>
      <c r="J29" t="str">
        <f t="shared" si="7"/>
        <v>EBT</v>
      </c>
      <c r="K29">
        <v>0</v>
      </c>
    </row>
    <row r="30" spans="1:13" x14ac:dyDescent="0.3">
      <c r="A30" s="510">
        <f t="shared" si="4"/>
        <v>1</v>
      </c>
      <c r="B30" s="510">
        <f t="shared" si="6"/>
        <v>1</v>
      </c>
      <c r="C30" s="510">
        <f t="shared" si="5"/>
        <v>5</v>
      </c>
      <c r="D30" s="510">
        <f>IF(C30="","",Phasing!H31)</f>
        <v>8</v>
      </c>
      <c r="E30" s="510">
        <f>IF(C30="","",Phasing!H32)</f>
        <v>14</v>
      </c>
      <c r="F30" s="510">
        <f>IF(C30="","",Phasing!H33)</f>
        <v>3</v>
      </c>
      <c r="G30" s="510">
        <f>IF(C30="","",INDEX(Phasing!$Y$33:$Y$40,MATCH(C30,Phasing!$W$33:$W$40,0))+INDEX(Phasing!$AA$33:$AA$40,MATCH(C30,Phasing!$W$33:$W$40,0)))</f>
        <v>6</v>
      </c>
      <c r="H30" s="510"/>
      <c r="I30" s="510"/>
      <c r="J30" t="str">
        <f t="shared" si="7"/>
        <v>NBL</v>
      </c>
      <c r="K30">
        <v>0</v>
      </c>
    </row>
    <row r="31" spans="1:13" x14ac:dyDescent="0.3">
      <c r="A31" s="510">
        <f t="shared" si="4"/>
        <v>1</v>
      </c>
      <c r="B31" s="510">
        <f t="shared" si="6"/>
        <v>1</v>
      </c>
      <c r="C31" s="510">
        <f t="shared" si="5"/>
        <v>6</v>
      </c>
      <c r="D31" s="510">
        <f>IF(C31="","",Phasing!I31)</f>
        <v>15</v>
      </c>
      <c r="E31" s="510">
        <f>IF(C31="","",Phasing!I32)</f>
        <v>46</v>
      </c>
      <c r="F31" s="510">
        <f>IF(C31="","",Phasing!I33)</f>
        <v>6</v>
      </c>
      <c r="G31" s="510">
        <f>IF(C31="","",INDEX(Phasing!$Y$33:$Y$40,MATCH(C31,Phasing!$W$33:$W$40,0))+INDEX(Phasing!$AA$33:$AA$40,MATCH(C31,Phasing!$W$33:$W$40,0)))</f>
        <v>7</v>
      </c>
      <c r="H31" s="510">
        <f>Phasing!I9</f>
        <v>0</v>
      </c>
      <c r="I31" s="510">
        <f>Phasing!I10</f>
        <v>0</v>
      </c>
      <c r="J31" t="str">
        <f t="shared" si="7"/>
        <v>SBT</v>
      </c>
      <c r="K31">
        <v>0</v>
      </c>
    </row>
    <row r="32" spans="1:13" x14ac:dyDescent="0.3">
      <c r="A32" s="510">
        <f t="shared" si="4"/>
        <v>1</v>
      </c>
      <c r="B32" s="510">
        <f t="shared" si="6"/>
        <v>1</v>
      </c>
      <c r="C32" s="510">
        <f t="shared" si="5"/>
        <v>7</v>
      </c>
      <c r="D32" s="510">
        <f>IF(C32="","",Phasing!J31)</f>
        <v>8</v>
      </c>
      <c r="E32" s="510">
        <f>IF(C32="","",Phasing!J32)</f>
        <v>14</v>
      </c>
      <c r="F32" s="510">
        <f>IF(C32="","",Phasing!J33)</f>
        <v>3</v>
      </c>
      <c r="G32" s="510">
        <f>IF(C32="","",INDEX(Phasing!$Y$33:$Y$40,MATCH(C32,Phasing!$W$33:$W$40,0))+INDEX(Phasing!$AA$33:$AA$40,MATCH(C32,Phasing!$W$33:$W$40,0)))</f>
        <v>6</v>
      </c>
      <c r="H32" s="510"/>
      <c r="I32" s="510"/>
      <c r="J32" t="str">
        <f t="shared" si="7"/>
        <v>EBL</v>
      </c>
      <c r="K32">
        <v>0</v>
      </c>
    </row>
    <row r="33" spans="1:12" x14ac:dyDescent="0.3">
      <c r="A33" s="510">
        <f t="shared" si="4"/>
        <v>1</v>
      </c>
      <c r="B33" s="510">
        <f t="shared" si="6"/>
        <v>1</v>
      </c>
      <c r="C33" s="510">
        <f t="shared" si="5"/>
        <v>8</v>
      </c>
      <c r="D33" s="510">
        <f>IF(C33="","",Phasing!K31)</f>
        <v>8</v>
      </c>
      <c r="E33" s="510">
        <f>IF(C33="","",Phasing!K32)</f>
        <v>20</v>
      </c>
      <c r="F33" s="510">
        <f>IF(C33="","",Phasing!K33)</f>
        <v>3</v>
      </c>
      <c r="G33" s="510">
        <f>IF(C33="","",INDEX(Phasing!$Y$33:$Y$40,MATCH(C33,Phasing!$W$33:$W$40,0))+INDEX(Phasing!$AA$33:$AA$40,MATCH(C33,Phasing!$W$33:$W$40,0)))</f>
        <v>7</v>
      </c>
      <c r="H33" s="510">
        <f>Phasing!K9</f>
        <v>0</v>
      </c>
      <c r="I33" s="510">
        <f>Phasing!K10</f>
        <v>0</v>
      </c>
      <c r="J33" t="str">
        <f t="shared" si="7"/>
        <v>WBT</v>
      </c>
      <c r="K33">
        <v>0</v>
      </c>
    </row>
    <row r="35" spans="1:12" x14ac:dyDescent="0.3">
      <c r="A35" t="s">
        <v>696</v>
      </c>
      <c r="B35" t="s">
        <v>746</v>
      </c>
      <c r="C35" t="s">
        <v>747</v>
      </c>
      <c r="D35" t="s">
        <v>709</v>
      </c>
      <c r="E35" t="s">
        <v>748</v>
      </c>
      <c r="F35" t="s">
        <v>749</v>
      </c>
      <c r="G35" t="s">
        <v>750</v>
      </c>
      <c r="L35" s="1" t="s">
        <v>751</v>
      </c>
    </row>
    <row r="36" spans="1:12" x14ac:dyDescent="0.3">
      <c r="A36">
        <f>$A$2</f>
        <v>1</v>
      </c>
      <c r="B36">
        <v>1</v>
      </c>
      <c r="C36" t="s">
        <v>752</v>
      </c>
      <c r="D36">
        <f>'Phase calculation'!C25</f>
        <v>120</v>
      </c>
      <c r="E36">
        <f>'Phase calculation'!G25</f>
        <v>3</v>
      </c>
      <c r="F36">
        <f>UTDF_input!C91</f>
        <v>206</v>
      </c>
      <c r="G36">
        <f>'Phase calculation'!E25</f>
        <v>40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election activeCell="A2" sqref="A2:A13"/>
    </sheetView>
  </sheetViews>
  <sheetFormatPr defaultRowHeight="14.4" x14ac:dyDescent="0.3"/>
  <cols>
    <col min="2" max="2" width="16.33203125" bestFit="1" customWidth="1"/>
    <col min="20" max="20" width="12.44140625" bestFit="1" customWidth="1"/>
    <col min="21" max="21" width="11.6640625" bestFit="1" customWidth="1"/>
  </cols>
  <sheetData>
    <row r="1" spans="1:21" x14ac:dyDescent="0.3">
      <c r="A1" s="10" t="s">
        <v>702</v>
      </c>
      <c r="B1" t="s">
        <v>703</v>
      </c>
      <c r="C1" s="1" t="s">
        <v>704</v>
      </c>
      <c r="D1" s="1" t="s">
        <v>705</v>
      </c>
      <c r="E1" t="s">
        <v>706</v>
      </c>
      <c r="F1" t="s">
        <v>707</v>
      </c>
      <c r="G1" s="1" t="s">
        <v>708</v>
      </c>
      <c r="H1" t="s">
        <v>709</v>
      </c>
      <c r="I1" t="s">
        <v>710</v>
      </c>
      <c r="J1" t="s">
        <v>711</v>
      </c>
      <c r="K1" t="s">
        <v>712</v>
      </c>
      <c r="L1" t="s">
        <v>713</v>
      </c>
      <c r="M1" t="s">
        <v>714</v>
      </c>
      <c r="N1" t="s">
        <v>715</v>
      </c>
      <c r="O1" s="62" t="s">
        <v>716</v>
      </c>
      <c r="Q1" t="s">
        <v>717</v>
      </c>
      <c r="R1" t="s">
        <v>718</v>
      </c>
      <c r="S1" t="s">
        <v>719</v>
      </c>
      <c r="T1" t="s">
        <v>720</v>
      </c>
      <c r="U1" t="s">
        <v>721</v>
      </c>
    </row>
    <row r="2" spans="1:21" x14ac:dyDescent="0.3">
      <c r="A2">
        <f>GMNS!$A$2</f>
        <v>1</v>
      </c>
      <c r="B2" t="str">
        <f>T2&amp;"_"&amp;U2</f>
        <v>000138_000158</v>
      </c>
      <c r="C2" s="1" t="s">
        <v>722</v>
      </c>
      <c r="D2" s="1" t="s">
        <v>722</v>
      </c>
      <c r="E2" t="str">
        <f>IF('Summary sheet'!U9=0,"",'Summary sheet'!L27)</f>
        <v/>
      </c>
      <c r="F2" s="505" t="str">
        <f>IF('Summary sheet'!U9=0,"",'Summary sheet'!B47)</f>
        <v/>
      </c>
      <c r="G2" s="1">
        <v>0</v>
      </c>
      <c r="H2">
        <f>'Phase calculation'!$C$25</f>
        <v>120</v>
      </c>
      <c r="I2" t="str">
        <f>IF(E2="","",IF('Phase calculation'!C34=0,'Phase calculation'!D34,'Phase calculation'!C34))</f>
        <v/>
      </c>
      <c r="J2" t="str">
        <f>IF(E2="","",H2-I2)</f>
        <v/>
      </c>
      <c r="K2">
        <f>IF(OR(Q2=1,Q2=2,Q2=5,Q2=6),1,2)</f>
        <v>2</v>
      </c>
      <c r="L2" t="s">
        <v>13</v>
      </c>
      <c r="M2" s="506" t="str">
        <f>T2</f>
        <v>000138</v>
      </c>
      <c r="N2" s="506" t="str">
        <f>U2</f>
        <v>000158</v>
      </c>
      <c r="O2" s="1">
        <v>0</v>
      </c>
      <c r="Q2">
        <f>IF('Phase calculation'!C33=0,'Phase calculation'!D33,'Phase calculation'!C33)</f>
        <v>7</v>
      </c>
      <c r="R2">
        <f>IFERROR(INDEX(Phasing!$D$46:$K$46,1,MATCH(Q2,Phasing!$D$54:$K$54,0)),0)</f>
        <v>98</v>
      </c>
      <c r="S2">
        <f>IFERROR(INDEX(Phasing!$D$47:$K$47,1,MATCH(Q2,Phasing!$D$54:$K$54,0)),0)</f>
        <v>118</v>
      </c>
      <c r="T2" s="506" t="str">
        <f t="shared" ref="T2:U13" si="0">IF(R2&lt;10,"00000"&amp;R2,"00"&amp;(IF(R2&lt;60,"00","0"&amp;ROUNDDOWN(R2/60,0))&amp;""&amp;IF(OR(R2=0,R2=60,R2=120,R2=180),"00",IF(R2&lt;60,R2,R2-60*ROUNDDOWN(R2/60,0)))))</f>
        <v>000138</v>
      </c>
      <c r="U2" s="506" t="str">
        <f t="shared" si="0"/>
        <v>000158</v>
      </c>
    </row>
    <row r="3" spans="1:21" x14ac:dyDescent="0.3">
      <c r="A3">
        <f>GMNS!$A$2</f>
        <v>1</v>
      </c>
      <c r="B3" t="str">
        <f t="shared" ref="B3:B13" si="1">T3&amp;"_"&amp;U3</f>
        <v>000009_000025</v>
      </c>
      <c r="C3" s="1" t="s">
        <v>722</v>
      </c>
      <c r="D3" s="1" t="s">
        <v>722</v>
      </c>
      <c r="E3" t="str">
        <f>IF('Summary sheet'!U11=0,"",'Summary sheet'!L29)</f>
        <v/>
      </c>
      <c r="F3" s="505" t="str">
        <f>IF('Summary sheet'!U9=0,"",'Summary sheet'!B49)</f>
        <v/>
      </c>
      <c r="G3" s="1">
        <v>0</v>
      </c>
      <c r="H3">
        <f>'Phase calculation'!$C$25</f>
        <v>120</v>
      </c>
      <c r="I3" t="str">
        <f>IF(E3="","",'Phase calculation'!D34)</f>
        <v/>
      </c>
      <c r="J3" t="str">
        <f t="shared" ref="J3:J13" si="2">IF(E3="","",H3-I3)</f>
        <v/>
      </c>
      <c r="K3">
        <f t="shared" ref="K3:K13" si="3">IF(OR(Q3=1,Q3=2,Q3=5,Q3=6),1,2)</f>
        <v>2</v>
      </c>
      <c r="L3" t="s">
        <v>14</v>
      </c>
      <c r="M3" s="506" t="str">
        <f t="shared" ref="M3:N13" si="4">T3</f>
        <v>000009</v>
      </c>
      <c r="N3" s="506" t="str">
        <f t="shared" si="4"/>
        <v>000025</v>
      </c>
      <c r="O3" s="1">
        <v>0</v>
      </c>
      <c r="Q3">
        <f>'Phase calculation'!D33</f>
        <v>4</v>
      </c>
      <c r="R3">
        <f>IFERROR(INDEX(Phasing!$D$46:$K$46,1,MATCH(Q3,Phasing!$D$54:$K$54,0)),0)</f>
        <v>9</v>
      </c>
      <c r="S3">
        <f>IFERROR(INDEX(Phasing!$D$47:$K$47,1,MATCH(Q3,Phasing!$D$54:$K$54,0)),0)</f>
        <v>25</v>
      </c>
      <c r="T3" s="506" t="str">
        <f t="shared" si="0"/>
        <v>000009</v>
      </c>
      <c r="U3" s="506" t="str">
        <f t="shared" si="0"/>
        <v>000025</v>
      </c>
    </row>
    <row r="4" spans="1:21" x14ac:dyDescent="0.3">
      <c r="A4">
        <f>GMNS!$A$2</f>
        <v>1</v>
      </c>
      <c r="B4" t="str">
        <f t="shared" si="1"/>
        <v>000009_000025</v>
      </c>
      <c r="C4" s="1" t="s">
        <v>722</v>
      </c>
      <c r="D4" s="1" t="s">
        <v>722</v>
      </c>
      <c r="E4">
        <f>IF('Summary sheet'!B13=0,"",'Summary sheet'!L31)</f>
        <v>0</v>
      </c>
      <c r="F4" s="505" t="str">
        <f>IF('Summary sheet'!U9=0,"",'Summary sheet'!B51)</f>
        <v/>
      </c>
      <c r="G4" s="1">
        <v>0</v>
      </c>
      <c r="H4">
        <f>'Phase calculation'!$C$25</f>
        <v>120</v>
      </c>
      <c r="I4">
        <f>IF(E4="","",'Phase calculation'!E34)</f>
        <v>32.6</v>
      </c>
      <c r="J4">
        <f t="shared" si="2"/>
        <v>87.4</v>
      </c>
      <c r="K4">
        <f t="shared" si="3"/>
        <v>2</v>
      </c>
      <c r="L4" t="s">
        <v>15</v>
      </c>
      <c r="M4" s="506" t="str">
        <f t="shared" si="4"/>
        <v>000009</v>
      </c>
      <c r="N4" s="506" t="str">
        <f t="shared" si="4"/>
        <v>000025</v>
      </c>
      <c r="O4" s="1">
        <v>0</v>
      </c>
      <c r="Q4">
        <f>Q3</f>
        <v>4</v>
      </c>
      <c r="R4">
        <f>IFERROR(INDEX(Phasing!$D$46:$K$46,1,MATCH(Q4,Phasing!$D$54:$K$54,0)),0)</f>
        <v>9</v>
      </c>
      <c r="S4">
        <f>IFERROR(INDEX(Phasing!$D$47:$K$47,1,MATCH(Q4,Phasing!$D$54:$K$54,0)),0)</f>
        <v>25</v>
      </c>
      <c r="T4" s="506" t="str">
        <f t="shared" si="0"/>
        <v>000009</v>
      </c>
      <c r="U4" s="506" t="str">
        <f t="shared" si="0"/>
        <v>000025</v>
      </c>
    </row>
    <row r="5" spans="1:21" x14ac:dyDescent="0.3">
      <c r="A5">
        <f>GMNS!$A$2</f>
        <v>1</v>
      </c>
      <c r="B5" t="str">
        <f t="shared" si="1"/>
        <v>000138_000009</v>
      </c>
      <c r="C5" s="1" t="s">
        <v>722</v>
      </c>
      <c r="D5" s="1" t="s">
        <v>722</v>
      </c>
      <c r="E5" t="str">
        <f>IF('Summary sheet'!AA13=0,"",'Summary sheet'!R31)</f>
        <v/>
      </c>
      <c r="F5" s="505" t="str">
        <f>IF('Summary sheet'!U9=0,"",'Summary sheet'!H51)</f>
        <v/>
      </c>
      <c r="G5" s="1">
        <v>0</v>
      </c>
      <c r="H5">
        <f>'Phase calculation'!$C$25</f>
        <v>120</v>
      </c>
      <c r="I5" t="str">
        <f>IF(E5="","",IF('Phase calculation'!F34=0,'Phase calculation'!G34,'Phase calculation'!F34))</f>
        <v/>
      </c>
      <c r="J5" t="str">
        <f t="shared" si="2"/>
        <v/>
      </c>
      <c r="K5">
        <f t="shared" si="3"/>
        <v>2</v>
      </c>
      <c r="L5" t="s">
        <v>18</v>
      </c>
      <c r="M5" s="506" t="str">
        <f t="shared" si="4"/>
        <v>000138</v>
      </c>
      <c r="N5" s="506" t="str">
        <f t="shared" si="4"/>
        <v>000009</v>
      </c>
      <c r="O5" s="1">
        <v>0</v>
      </c>
      <c r="Q5">
        <f>IF('Phase calculation'!F33=0,'Phase calculation'!G33,'Phase calculation'!F33)</f>
        <v>3</v>
      </c>
      <c r="R5">
        <f>IFERROR(INDEX(Phasing!$D$46:$K$46,1,MATCH(Q5,Phasing!$D$54:$K$54,0)),0)</f>
        <v>98</v>
      </c>
      <c r="S5">
        <f>IFERROR(INDEX(Phasing!$D$47:$K$47,1,MATCH(Q5,Phasing!$D$54:$K$54,0)),0)</f>
        <v>9</v>
      </c>
      <c r="T5" s="506" t="str">
        <f t="shared" si="0"/>
        <v>000138</v>
      </c>
      <c r="U5" s="506" t="str">
        <f t="shared" si="0"/>
        <v>000009</v>
      </c>
    </row>
    <row r="6" spans="1:21" x14ac:dyDescent="0.3">
      <c r="A6">
        <f>GMNS!$A$2</f>
        <v>1</v>
      </c>
      <c r="B6" t="str">
        <f t="shared" si="1"/>
        <v>000158_000025</v>
      </c>
      <c r="C6" s="1" t="s">
        <v>722</v>
      </c>
      <c r="D6" s="1" t="s">
        <v>722</v>
      </c>
      <c r="E6" t="str">
        <f>IF('Summary sheet'!AA11=0,"",'Summary sheet'!R29)</f>
        <v/>
      </c>
      <c r="F6" s="505" t="str">
        <f>IF('Summary sheet'!U9=0,"",'Summary sheet'!H49)</f>
        <v/>
      </c>
      <c r="G6" s="1">
        <v>0</v>
      </c>
      <c r="H6">
        <f>'Phase calculation'!$C$25</f>
        <v>120</v>
      </c>
      <c r="I6" t="str">
        <f>IF(E6="","",'Phase calculation'!G34)</f>
        <v/>
      </c>
      <c r="J6" t="str">
        <f t="shared" si="2"/>
        <v/>
      </c>
      <c r="K6">
        <f t="shared" si="3"/>
        <v>2</v>
      </c>
      <c r="L6" t="s">
        <v>19</v>
      </c>
      <c r="M6" s="506" t="str">
        <f t="shared" si="4"/>
        <v>000158</v>
      </c>
      <c r="N6" s="506" t="str">
        <f t="shared" si="4"/>
        <v>000025</v>
      </c>
      <c r="O6" s="1">
        <v>0</v>
      </c>
      <c r="Q6">
        <f>'Phase calculation'!G33</f>
        <v>8</v>
      </c>
      <c r="R6">
        <f>IFERROR(INDEX(Phasing!$D$46:$K$46,1,MATCH(Q6,Phasing!$D$54:$K$54,0)),0)</f>
        <v>118</v>
      </c>
      <c r="S6">
        <f>IFERROR(INDEX(Phasing!$D$47:$K$47,1,MATCH(Q6,Phasing!$D$54:$K$54,0)),0)</f>
        <v>25</v>
      </c>
      <c r="T6" s="506" t="str">
        <f t="shared" si="0"/>
        <v>000158</v>
      </c>
      <c r="U6" s="506" t="str">
        <f t="shared" si="0"/>
        <v>000025</v>
      </c>
    </row>
    <row r="7" spans="1:21" x14ac:dyDescent="0.3">
      <c r="A7">
        <f>GMNS!$A$2</f>
        <v>1</v>
      </c>
      <c r="B7" t="str">
        <f t="shared" si="1"/>
        <v>000158_000025</v>
      </c>
      <c r="C7" s="1" t="s">
        <v>722</v>
      </c>
      <c r="D7" s="1" t="s">
        <v>722</v>
      </c>
      <c r="E7">
        <f>IF('Summary sheet'!H9=0,"",'Summary sheet'!R27)</f>
        <v>254</v>
      </c>
      <c r="F7" s="505" t="str">
        <f>IF('Summary sheet'!U9=0,"",'Summary sheet'!H47)</f>
        <v/>
      </c>
      <c r="G7" s="1">
        <v>0</v>
      </c>
      <c r="H7">
        <f>'Phase calculation'!$C$25</f>
        <v>120</v>
      </c>
      <c r="I7">
        <f>IF(E7="","",'Phase calculation'!H34)</f>
        <v>28.4</v>
      </c>
      <c r="J7">
        <f t="shared" si="2"/>
        <v>91.6</v>
      </c>
      <c r="K7">
        <f t="shared" si="3"/>
        <v>2</v>
      </c>
      <c r="L7" t="s">
        <v>20</v>
      </c>
      <c r="M7" s="506" t="str">
        <f t="shared" si="4"/>
        <v>000158</v>
      </c>
      <c r="N7" s="506" t="str">
        <f t="shared" si="4"/>
        <v>000025</v>
      </c>
      <c r="O7" s="1">
        <v>0</v>
      </c>
      <c r="Q7">
        <f>Q6</f>
        <v>8</v>
      </c>
      <c r="R7">
        <f>IFERROR(INDEX(Phasing!$D$46:$K$46,1,MATCH(Q7,Phasing!$D$54:$K$54,0)),0)</f>
        <v>118</v>
      </c>
      <c r="S7">
        <f>IFERROR(INDEX(Phasing!$D$47:$K$47,1,MATCH(Q7,Phasing!$D$54:$K$54,0)),0)</f>
        <v>25</v>
      </c>
      <c r="T7" s="506" t="str">
        <f t="shared" si="0"/>
        <v>000158</v>
      </c>
      <c r="U7" s="506" t="str">
        <f t="shared" si="0"/>
        <v>000025</v>
      </c>
    </row>
    <row r="8" spans="1:21" x14ac:dyDescent="0.3">
      <c r="A8">
        <f>GMNS!$A$2</f>
        <v>1</v>
      </c>
      <c r="B8" t="str">
        <f t="shared" si="1"/>
        <v>000025_000045</v>
      </c>
      <c r="C8" s="1" t="s">
        <v>722</v>
      </c>
      <c r="D8" s="1" t="s">
        <v>722</v>
      </c>
      <c r="E8">
        <f>IF('Summary sheet'!W17=0,"",'Summary sheet'!N35)</f>
        <v>417.5</v>
      </c>
      <c r="F8" s="505" t="str">
        <f>IF('Summary sheet'!U9=0,"",'Summary sheet'!D55)</f>
        <v/>
      </c>
      <c r="G8" s="1">
        <v>0</v>
      </c>
      <c r="H8">
        <f>'Phase calculation'!$C$25</f>
        <v>120</v>
      </c>
      <c r="I8">
        <f>IF(E8="","",IF('Phase calculation'!I34=0,'Phase calculation'!J34,'Phase calculation'!I34))</f>
        <v>15.7</v>
      </c>
      <c r="J8">
        <f t="shared" si="2"/>
        <v>104.3</v>
      </c>
      <c r="K8">
        <f t="shared" si="3"/>
        <v>1</v>
      </c>
      <c r="L8" t="s">
        <v>3</v>
      </c>
      <c r="M8" s="506" t="str">
        <f t="shared" si="4"/>
        <v>000025</v>
      </c>
      <c r="N8" s="506" t="str">
        <f t="shared" si="4"/>
        <v>000045</v>
      </c>
      <c r="O8" s="1">
        <v>0</v>
      </c>
      <c r="Q8">
        <f>IF('Phase calculation'!I33=0,'Phase calculation'!J33,'Phase calculation'!I33)</f>
        <v>5</v>
      </c>
      <c r="R8">
        <f>IFERROR(INDEX(Phasing!$D$46:$K$46,1,MATCH(Q8,Phasing!$D$54:$K$54,0)),0)</f>
        <v>25</v>
      </c>
      <c r="S8">
        <f>IFERROR(INDEX(Phasing!$D$47:$K$47,1,MATCH(Q8,Phasing!$D$54:$K$54,0)),0)</f>
        <v>45</v>
      </c>
      <c r="T8" s="506" t="str">
        <f t="shared" si="0"/>
        <v>000025</v>
      </c>
      <c r="U8" s="506" t="str">
        <f t="shared" si="0"/>
        <v>000045</v>
      </c>
    </row>
    <row r="9" spans="1:21" x14ac:dyDescent="0.3">
      <c r="A9">
        <f>GMNS!$A$2</f>
        <v>1</v>
      </c>
      <c r="B9" t="str">
        <f t="shared" si="1"/>
        <v>000040_000138</v>
      </c>
      <c r="C9" s="1" t="s">
        <v>722</v>
      </c>
      <c r="D9" s="1" t="s">
        <v>722</v>
      </c>
      <c r="E9">
        <f>IF('Summary sheet'!X17=0,"",'Summary sheet'!O35)</f>
        <v>705.3</v>
      </c>
      <c r="F9" s="505" t="str">
        <f>IF('Summary sheet'!U9=0,"",'Summary sheet'!E55)</f>
        <v/>
      </c>
      <c r="G9" s="1">
        <v>0</v>
      </c>
      <c r="H9">
        <f>'Phase calculation'!$C$25</f>
        <v>120</v>
      </c>
      <c r="I9">
        <f>IF(E9="","",'Phase calculation'!J34)</f>
        <v>57.5</v>
      </c>
      <c r="J9">
        <f t="shared" si="2"/>
        <v>62.5</v>
      </c>
      <c r="K9">
        <f t="shared" si="3"/>
        <v>1</v>
      </c>
      <c r="L9" t="s">
        <v>4</v>
      </c>
      <c r="M9" s="506" t="str">
        <f t="shared" si="4"/>
        <v>000040</v>
      </c>
      <c r="N9" s="506" t="str">
        <f t="shared" si="4"/>
        <v>000138</v>
      </c>
      <c r="O9" s="1">
        <v>0</v>
      </c>
      <c r="Q9">
        <f>'Phase calculation'!J33</f>
        <v>2</v>
      </c>
      <c r="R9">
        <f>IFERROR(INDEX(Phasing!$D$46:$K$46,1,MATCH(Q9,Phasing!$D$54:$K$54,0)),0)</f>
        <v>40</v>
      </c>
      <c r="S9">
        <f>IFERROR(INDEX(Phasing!$D$47:$K$47,1,MATCH(Q9,Phasing!$D$54:$K$54,0)),0)</f>
        <v>98</v>
      </c>
      <c r="T9" s="506" t="str">
        <f t="shared" si="0"/>
        <v>000040</v>
      </c>
      <c r="U9" s="506" t="str">
        <f t="shared" si="0"/>
        <v>000138</v>
      </c>
    </row>
    <row r="10" spans="1:21" x14ac:dyDescent="0.3">
      <c r="A10">
        <f>GMNS!$A$2</f>
        <v>1</v>
      </c>
      <c r="B10" t="str">
        <f t="shared" si="1"/>
        <v>000040_000138</v>
      </c>
      <c r="C10" s="1" t="s">
        <v>722</v>
      </c>
      <c r="D10" s="1" t="s">
        <v>722</v>
      </c>
      <c r="E10">
        <f>IF('Summary sheet'!F17=0,"",'Summary sheet'!P35)</f>
        <v>600</v>
      </c>
      <c r="F10" s="505" t="str">
        <f>IF('Summary sheet'!U9=0,"",'Summary sheet'!F55)</f>
        <v/>
      </c>
      <c r="G10" s="1">
        <v>0</v>
      </c>
      <c r="H10">
        <f>'Phase calculation'!$C$25</f>
        <v>120</v>
      </c>
      <c r="I10">
        <f>IF(E10="","",'Phase calculation'!K34)</f>
        <v>57.5</v>
      </c>
      <c r="J10">
        <f t="shared" si="2"/>
        <v>62.5</v>
      </c>
      <c r="K10">
        <f t="shared" si="3"/>
        <v>1</v>
      </c>
      <c r="L10" t="s">
        <v>5</v>
      </c>
      <c r="M10" s="506" t="str">
        <f t="shared" si="4"/>
        <v>000040</v>
      </c>
      <c r="N10" s="506" t="str">
        <f t="shared" si="4"/>
        <v>000138</v>
      </c>
      <c r="O10" s="1">
        <v>0</v>
      </c>
      <c r="Q10">
        <f>Q9</f>
        <v>2</v>
      </c>
      <c r="R10">
        <f>IFERROR(INDEX(Phasing!$D$46:$K$46,1,MATCH(Q10,Phasing!$D$54:$K$54,0)),0)</f>
        <v>40</v>
      </c>
      <c r="S10">
        <f>IFERROR(INDEX(Phasing!$D$47:$K$47,1,MATCH(Q10,Phasing!$D$54:$K$54,0)),0)</f>
        <v>98</v>
      </c>
      <c r="T10" s="506" t="str">
        <f t="shared" si="0"/>
        <v>000040</v>
      </c>
      <c r="U10" s="506" t="str">
        <f t="shared" si="0"/>
        <v>000138</v>
      </c>
    </row>
    <row r="11" spans="1:21" x14ac:dyDescent="0.3">
      <c r="A11">
        <f>GMNS!$A$2</f>
        <v>1</v>
      </c>
      <c r="B11" t="str">
        <f t="shared" si="1"/>
        <v>000025_000040</v>
      </c>
      <c r="C11" s="1" t="s">
        <v>722</v>
      </c>
      <c r="D11" s="1" t="s">
        <v>722</v>
      </c>
      <c r="E11">
        <f>IF('Summary sheet'!Y4=0,"",'Summary sheet'!P22)</f>
        <v>180.8</v>
      </c>
      <c r="F11" s="505" t="str">
        <f>IF('Summary sheet'!U9=0,"",'Summary sheet'!F42)</f>
        <v/>
      </c>
      <c r="G11" s="1">
        <v>0</v>
      </c>
      <c r="H11">
        <f>'Phase calculation'!$C$25</f>
        <v>120</v>
      </c>
      <c r="I11">
        <f>IF(E11="","",IF('Phase calculation'!L34=0,'Phase calculation'!M34,'Phase calculation'!L34))</f>
        <v>15.4</v>
      </c>
      <c r="J11">
        <f t="shared" si="2"/>
        <v>104.6</v>
      </c>
      <c r="K11">
        <f t="shared" si="3"/>
        <v>1</v>
      </c>
      <c r="L11" t="s">
        <v>8</v>
      </c>
      <c r="M11" s="506" t="str">
        <f t="shared" si="4"/>
        <v>000025</v>
      </c>
      <c r="N11" s="506" t="str">
        <f t="shared" si="4"/>
        <v>000040</v>
      </c>
      <c r="O11" s="1">
        <v>0</v>
      </c>
      <c r="Q11">
        <f>IF('Phase calculation'!L33=0,'Phase calculation'!M33,'Phase calculation'!L33)</f>
        <v>1</v>
      </c>
      <c r="R11">
        <f>IFERROR(INDEX(Phasing!$D$46:$K$46,1,MATCH(Q11,Phasing!$D$54:$K$54,0)),0)</f>
        <v>25</v>
      </c>
      <c r="S11">
        <f>IFERROR(INDEX(Phasing!$D$47:$K$47,1,MATCH(Q11,Phasing!$D$54:$K$54,0)),0)</f>
        <v>40</v>
      </c>
      <c r="T11" s="506" t="str">
        <f t="shared" si="0"/>
        <v>000025</v>
      </c>
      <c r="U11" s="506" t="str">
        <f t="shared" si="0"/>
        <v>000040</v>
      </c>
    </row>
    <row r="12" spans="1:21" x14ac:dyDescent="0.3">
      <c r="A12">
        <f>GMNS!$A$2</f>
        <v>1</v>
      </c>
      <c r="B12" t="str">
        <f t="shared" si="1"/>
        <v>000045_000138</v>
      </c>
      <c r="C12" s="1" t="s">
        <v>722</v>
      </c>
      <c r="D12" s="1" t="s">
        <v>722</v>
      </c>
      <c r="E12">
        <f>IF('Summary sheet'!X4=0,"",'Summary sheet'!O22)</f>
        <v>701.1</v>
      </c>
      <c r="F12" s="505" t="str">
        <f>IF('Summary sheet'!U9=0,"",'Summary sheet'!E42)</f>
        <v/>
      </c>
      <c r="G12" s="1">
        <v>0</v>
      </c>
      <c r="H12">
        <f>'Phase calculation'!$C$25</f>
        <v>120</v>
      </c>
      <c r="I12">
        <f>IF(E12="","",'Phase calculation'!M34)</f>
        <v>57.2</v>
      </c>
      <c r="J12">
        <f t="shared" si="2"/>
        <v>62.8</v>
      </c>
      <c r="K12">
        <f t="shared" si="3"/>
        <v>1</v>
      </c>
      <c r="L12" t="s">
        <v>9</v>
      </c>
      <c r="M12" s="506" t="str">
        <f t="shared" si="4"/>
        <v>000045</v>
      </c>
      <c r="N12" s="506" t="str">
        <f t="shared" si="4"/>
        <v>000138</v>
      </c>
      <c r="O12" s="1">
        <v>0</v>
      </c>
      <c r="Q12">
        <f>'Phase calculation'!M33</f>
        <v>6</v>
      </c>
      <c r="R12">
        <f>IFERROR(INDEX(Phasing!$D$46:$K$46,1,MATCH(Q12,Phasing!$D$54:$K$54,0)),0)</f>
        <v>45</v>
      </c>
      <c r="S12">
        <f>IFERROR(INDEX(Phasing!$D$47:$K$47,1,MATCH(Q12,Phasing!$D$54:$K$54,0)),0)</f>
        <v>98</v>
      </c>
      <c r="T12" s="506" t="str">
        <f t="shared" si="0"/>
        <v>000045</v>
      </c>
      <c r="U12" s="506" t="str">
        <f t="shared" si="0"/>
        <v>000138</v>
      </c>
    </row>
    <row r="13" spans="1:21" x14ac:dyDescent="0.3">
      <c r="A13">
        <f>GMNS!$A$2</f>
        <v>1</v>
      </c>
      <c r="B13" t="str">
        <f t="shared" si="1"/>
        <v>000045_000138</v>
      </c>
      <c r="C13" s="1" t="s">
        <v>722</v>
      </c>
      <c r="D13" s="1" t="s">
        <v>722</v>
      </c>
      <c r="E13">
        <f>IF('Summary sheet'!D4=0,"",'Summary sheet'!N22)</f>
        <v>596</v>
      </c>
      <c r="F13" s="505" t="str">
        <f>IF('Summary sheet'!U9=0,"",'Summary sheet'!D42)</f>
        <v/>
      </c>
      <c r="G13" s="1">
        <v>0</v>
      </c>
      <c r="H13">
        <f>'Phase calculation'!$C$25</f>
        <v>120</v>
      </c>
      <c r="I13">
        <f>IF(E13="","",'Phase calculation'!N34)</f>
        <v>57.2</v>
      </c>
      <c r="J13">
        <f t="shared" si="2"/>
        <v>62.8</v>
      </c>
      <c r="K13">
        <f t="shared" si="3"/>
        <v>1</v>
      </c>
      <c r="L13" t="s">
        <v>10</v>
      </c>
      <c r="M13" s="506" t="str">
        <f t="shared" si="4"/>
        <v>000045</v>
      </c>
      <c r="N13" s="506" t="str">
        <f t="shared" si="4"/>
        <v>000138</v>
      </c>
      <c r="O13" s="1">
        <v>0</v>
      </c>
      <c r="Q13">
        <f>Q12</f>
        <v>6</v>
      </c>
      <c r="R13">
        <f>IFERROR(INDEX(Phasing!$D$46:$K$46,1,MATCH(Q13,Phasing!$D$54:$K$54,0)),0)</f>
        <v>45</v>
      </c>
      <c r="S13">
        <f>IFERROR(INDEX(Phasing!$D$47:$K$47,1,MATCH(Q13,Phasing!$D$54:$K$54,0)),0)</f>
        <v>98</v>
      </c>
      <c r="T13" s="506" t="str">
        <f t="shared" si="0"/>
        <v>000045</v>
      </c>
      <c r="U13" s="506" t="str">
        <f t="shared" si="0"/>
        <v>000138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4.4" x14ac:dyDescent="0.3"/>
  <cols>
    <col min="1" max="1" width="21.5546875" bestFit="1" customWidth="1"/>
  </cols>
  <sheetData>
    <row r="2" spans="1:8" x14ac:dyDescent="0.3">
      <c r="C2" s="516" t="s">
        <v>281</v>
      </c>
      <c r="D2" s="516"/>
      <c r="E2" s="516"/>
      <c r="F2" s="516"/>
      <c r="G2" s="516"/>
    </row>
    <row r="3" spans="1:8" x14ac:dyDescent="0.3">
      <c r="A3" t="s">
        <v>280</v>
      </c>
      <c r="B3" s="1" t="s">
        <v>261</v>
      </c>
      <c r="C3" s="76">
        <v>30</v>
      </c>
      <c r="D3" s="76">
        <v>50</v>
      </c>
      <c r="E3" s="76">
        <v>70</v>
      </c>
      <c r="F3" s="76">
        <v>90</v>
      </c>
      <c r="G3" s="76">
        <v>110</v>
      </c>
      <c r="H3" s="481">
        <v>200</v>
      </c>
    </row>
    <row r="4" spans="1:8" x14ac:dyDescent="0.3">
      <c r="A4">
        <v>25</v>
      </c>
      <c r="B4">
        <v>3</v>
      </c>
      <c r="C4">
        <v>1.4</v>
      </c>
      <c r="D4">
        <v>1.9</v>
      </c>
      <c r="E4">
        <v>2.5</v>
      </c>
      <c r="F4">
        <v>3</v>
      </c>
      <c r="G4">
        <v>3.5</v>
      </c>
      <c r="H4">
        <v>3.5</v>
      </c>
    </row>
    <row r="5" spans="1:8" x14ac:dyDescent="0.3">
      <c r="A5">
        <v>30</v>
      </c>
      <c r="B5">
        <v>3.2</v>
      </c>
      <c r="C5">
        <v>1.1000000000000001</v>
      </c>
      <c r="D5">
        <v>1.6</v>
      </c>
      <c r="E5">
        <v>2</v>
      </c>
      <c r="F5">
        <v>2.5</v>
      </c>
      <c r="G5">
        <v>3</v>
      </c>
      <c r="H5">
        <v>3</v>
      </c>
    </row>
    <row r="6" spans="1:8" x14ac:dyDescent="0.3">
      <c r="A6">
        <v>35</v>
      </c>
      <c r="B6">
        <v>3.6</v>
      </c>
      <c r="C6">
        <v>1</v>
      </c>
      <c r="D6">
        <v>1.4</v>
      </c>
      <c r="E6">
        <v>1.8</v>
      </c>
      <c r="F6">
        <v>2.1</v>
      </c>
      <c r="G6">
        <v>2.5</v>
      </c>
      <c r="H6">
        <v>2.5</v>
      </c>
    </row>
    <row r="7" spans="1:8" x14ac:dyDescent="0.3">
      <c r="A7">
        <v>40</v>
      </c>
      <c r="B7">
        <v>3.9</v>
      </c>
      <c r="C7">
        <v>0.9</v>
      </c>
      <c r="D7">
        <v>1.2</v>
      </c>
      <c r="E7">
        <v>1.5</v>
      </c>
      <c r="F7">
        <v>1.9</v>
      </c>
      <c r="G7">
        <v>2.2000000000000002</v>
      </c>
      <c r="H7">
        <v>2.2000000000000002</v>
      </c>
    </row>
    <row r="8" spans="1:8" x14ac:dyDescent="0.3">
      <c r="A8">
        <v>45</v>
      </c>
      <c r="B8">
        <v>4.3</v>
      </c>
      <c r="C8">
        <v>0.8</v>
      </c>
      <c r="D8">
        <v>1.1000000000000001</v>
      </c>
      <c r="E8">
        <v>1.4</v>
      </c>
      <c r="F8">
        <v>1.7</v>
      </c>
      <c r="G8">
        <v>2</v>
      </c>
      <c r="H8">
        <v>2</v>
      </c>
    </row>
    <row r="9" spans="1:8" x14ac:dyDescent="0.3">
      <c r="A9">
        <v>50</v>
      </c>
      <c r="B9">
        <v>4.7</v>
      </c>
      <c r="C9">
        <v>0.7</v>
      </c>
      <c r="D9">
        <v>1</v>
      </c>
      <c r="E9">
        <v>1.2</v>
      </c>
      <c r="F9">
        <v>1.5</v>
      </c>
      <c r="G9">
        <v>1.8</v>
      </c>
      <c r="H9">
        <v>1.8</v>
      </c>
    </row>
    <row r="10" spans="1:8" x14ac:dyDescent="0.3">
      <c r="A10">
        <v>55</v>
      </c>
      <c r="B10">
        <v>5</v>
      </c>
      <c r="C10">
        <v>0.6</v>
      </c>
      <c r="D10">
        <v>0.9</v>
      </c>
      <c r="E10">
        <v>1.1000000000000001</v>
      </c>
      <c r="F10">
        <v>1.4</v>
      </c>
      <c r="G10">
        <v>1.6</v>
      </c>
      <c r="H10">
        <v>1.6</v>
      </c>
    </row>
    <row r="11" spans="1:8" x14ac:dyDescent="0.3">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4.4" x14ac:dyDescent="0.3"/>
  <cols>
    <col min="1" max="1" width="9.109375" customWidth="1"/>
    <col min="2" max="2" width="15.109375" bestFit="1" customWidth="1"/>
    <col min="7" max="7" width="11.5546875" bestFit="1" customWidth="1"/>
    <col min="8" max="8" width="19.33203125" bestFit="1" customWidth="1"/>
    <col min="9" max="9" width="9.88671875" bestFit="1" customWidth="1"/>
  </cols>
  <sheetData>
    <row r="1" spans="2:9" x14ac:dyDescent="0.3">
      <c r="B1" s="572" t="s">
        <v>308</v>
      </c>
      <c r="C1" s="572"/>
      <c r="D1" s="572"/>
    </row>
    <row r="2" spans="2:9" x14ac:dyDescent="0.3">
      <c r="B2" s="210"/>
      <c r="C2" s="572" t="s">
        <v>296</v>
      </c>
      <c r="D2" s="572"/>
    </row>
    <row r="3" spans="2:9" x14ac:dyDescent="0.3">
      <c r="B3" s="208" t="s">
        <v>295</v>
      </c>
      <c r="C3" s="171">
        <v>3</v>
      </c>
      <c r="D3" s="208">
        <v>4</v>
      </c>
      <c r="G3" s="219" t="s">
        <v>295</v>
      </c>
      <c r="H3" s="222" t="s">
        <v>309</v>
      </c>
      <c r="I3" s="43" t="s">
        <v>310</v>
      </c>
    </row>
    <row r="4" spans="2:9" x14ac:dyDescent="0.3">
      <c r="B4" s="209">
        <v>20</v>
      </c>
      <c r="C4" s="210">
        <v>90</v>
      </c>
      <c r="D4" s="209">
        <v>115</v>
      </c>
      <c r="G4" s="220">
        <v>25</v>
      </c>
      <c r="H4" s="65">
        <v>60</v>
      </c>
      <c r="I4" s="221">
        <v>0.8</v>
      </c>
    </row>
    <row r="5" spans="2:9" x14ac:dyDescent="0.3">
      <c r="B5" s="209">
        <v>25</v>
      </c>
      <c r="C5" s="210">
        <v>110</v>
      </c>
      <c r="D5" s="209">
        <v>145</v>
      </c>
      <c r="G5" s="220">
        <v>30</v>
      </c>
      <c r="H5" s="65">
        <v>60</v>
      </c>
      <c r="I5" s="221">
        <v>2.1</v>
      </c>
    </row>
    <row r="6" spans="2:9" x14ac:dyDescent="0.3">
      <c r="B6" s="209">
        <v>30</v>
      </c>
      <c r="C6" s="210">
        <v>130</v>
      </c>
      <c r="D6" s="209">
        <v>175</v>
      </c>
      <c r="G6" s="220">
        <v>35</v>
      </c>
      <c r="H6" s="65">
        <v>55</v>
      </c>
      <c r="I6" s="221">
        <v>1</v>
      </c>
    </row>
    <row r="7" spans="2:9" x14ac:dyDescent="0.3">
      <c r="B7" s="209">
        <v>35</v>
      </c>
      <c r="C7" s="210">
        <v>155</v>
      </c>
      <c r="D7" s="209">
        <v>205</v>
      </c>
      <c r="G7" s="220">
        <v>40</v>
      </c>
      <c r="H7" s="65">
        <v>70</v>
      </c>
      <c r="I7" s="221">
        <v>1.6</v>
      </c>
    </row>
    <row r="8" spans="2:9" x14ac:dyDescent="0.3">
      <c r="B8" s="209">
        <v>40</v>
      </c>
      <c r="C8" s="210">
        <v>180</v>
      </c>
      <c r="D8" s="209">
        <v>235</v>
      </c>
      <c r="G8" s="220">
        <v>45</v>
      </c>
      <c r="H8" s="65">
        <v>75</v>
      </c>
      <c r="I8" s="221">
        <v>1</v>
      </c>
    </row>
    <row r="9" spans="2:9" x14ac:dyDescent="0.3">
      <c r="B9" s="209">
        <v>45</v>
      </c>
      <c r="C9" s="210">
        <v>200</v>
      </c>
      <c r="D9" s="209">
        <v>265</v>
      </c>
      <c r="G9" s="220">
        <v>50</v>
      </c>
      <c r="H9" s="65">
        <v>75</v>
      </c>
      <c r="I9" s="221">
        <v>1</v>
      </c>
    </row>
    <row r="10" spans="2:9" x14ac:dyDescent="0.3">
      <c r="B10" s="209">
        <v>50</v>
      </c>
      <c r="D10" s="209">
        <v>265</v>
      </c>
      <c r="G10" s="220">
        <v>55</v>
      </c>
      <c r="H10" s="65">
        <v>75</v>
      </c>
      <c r="I10" s="221">
        <v>1</v>
      </c>
    </row>
    <row r="11" spans="2:9" x14ac:dyDescent="0.3">
      <c r="B11" s="209">
        <v>55</v>
      </c>
      <c r="D11" s="209">
        <v>265</v>
      </c>
    </row>
    <row r="16" spans="2:9" x14ac:dyDescent="0.3">
      <c r="B16" s="221" t="s">
        <v>312</v>
      </c>
      <c r="C16" s="522" t="s">
        <v>313</v>
      </c>
      <c r="D16" s="522"/>
      <c r="E16" s="522"/>
      <c r="F16" s="522"/>
      <c r="G16" s="522"/>
      <c r="H16" s="522"/>
      <c r="I16" s="522"/>
    </row>
    <row r="17" spans="2:9" x14ac:dyDescent="0.3">
      <c r="B17" t="s">
        <v>311</v>
      </c>
      <c r="C17" s="220">
        <v>25</v>
      </c>
      <c r="D17" s="220">
        <v>30</v>
      </c>
      <c r="E17" s="220">
        <v>35</v>
      </c>
      <c r="F17" s="220">
        <v>40</v>
      </c>
      <c r="G17" s="220">
        <v>45</v>
      </c>
      <c r="H17" s="220">
        <v>50</v>
      </c>
      <c r="I17" s="220">
        <v>55</v>
      </c>
    </row>
    <row r="18" spans="2:9" x14ac:dyDescent="0.3">
      <c r="B18" s="65">
        <v>55</v>
      </c>
      <c r="C18" s="221">
        <v>1.7</v>
      </c>
      <c r="D18" s="221">
        <v>2.1</v>
      </c>
      <c r="E18" s="221">
        <v>2.2999999999999998</v>
      </c>
      <c r="F18" s="221">
        <v>2.6</v>
      </c>
      <c r="G18" s="221">
        <v>2.7</v>
      </c>
      <c r="H18" s="221">
        <v>2.7</v>
      </c>
      <c r="I18" s="221">
        <v>2.7</v>
      </c>
    </row>
    <row r="19" spans="2:9" x14ac:dyDescent="0.3">
      <c r="B19" s="65">
        <v>60</v>
      </c>
      <c r="C19" s="221">
        <v>1.5</v>
      </c>
      <c r="D19" s="221">
        <v>2</v>
      </c>
      <c r="E19" s="221">
        <v>2.2000000000000002</v>
      </c>
      <c r="F19" s="221">
        <v>2.5</v>
      </c>
      <c r="G19" s="221">
        <v>2.6</v>
      </c>
      <c r="H19" s="221">
        <v>2.6</v>
      </c>
      <c r="I19" s="221">
        <v>2.6</v>
      </c>
    </row>
    <row r="20" spans="2:9" x14ac:dyDescent="0.3">
      <c r="B20" s="65">
        <v>65</v>
      </c>
      <c r="C20" s="221">
        <v>1.4</v>
      </c>
      <c r="D20" s="221">
        <v>1.8</v>
      </c>
      <c r="E20" s="221">
        <v>2.1</v>
      </c>
      <c r="F20" s="221">
        <v>2.4</v>
      </c>
      <c r="G20" s="221">
        <v>2.5</v>
      </c>
      <c r="H20" s="221">
        <v>2.5</v>
      </c>
      <c r="I20" s="221">
        <v>2.5</v>
      </c>
    </row>
    <row r="21" spans="2:9" x14ac:dyDescent="0.3">
      <c r="B21" s="65">
        <v>70</v>
      </c>
      <c r="C21" s="221">
        <v>1.2</v>
      </c>
      <c r="D21" s="221">
        <v>1.7</v>
      </c>
      <c r="E21" s="221">
        <v>2</v>
      </c>
      <c r="F21" s="221">
        <v>2.2999999999999998</v>
      </c>
      <c r="G21" s="221">
        <v>2.4</v>
      </c>
      <c r="H21" s="221">
        <v>2.4</v>
      </c>
      <c r="I21" s="221">
        <v>2.4</v>
      </c>
    </row>
    <row r="22" spans="2:9" x14ac:dyDescent="0.3">
      <c r="B22" s="65">
        <v>75</v>
      </c>
      <c r="C22" s="221">
        <v>1.1000000000000001</v>
      </c>
      <c r="D22" s="221">
        <v>1.6</v>
      </c>
      <c r="E22" s="221">
        <v>1.9</v>
      </c>
      <c r="F22" s="221">
        <v>2.2000000000000002</v>
      </c>
      <c r="G22" s="221">
        <v>2.4</v>
      </c>
      <c r="H22" s="221">
        <v>2.4</v>
      </c>
      <c r="I22" s="221">
        <v>2.4</v>
      </c>
    </row>
    <row r="25" spans="2:9" x14ac:dyDescent="0.3">
      <c r="B25" s="221" t="s">
        <v>316</v>
      </c>
      <c r="C25" s="522" t="s">
        <v>317</v>
      </c>
      <c r="D25" s="522"/>
      <c r="E25" s="522"/>
      <c r="F25" s="522"/>
      <c r="G25" s="522"/>
      <c r="H25" s="522"/>
      <c r="I25" s="522"/>
    </row>
    <row r="26" spans="2:9" x14ac:dyDescent="0.3">
      <c r="B26" t="s">
        <v>311</v>
      </c>
      <c r="C26" s="220">
        <v>25</v>
      </c>
      <c r="D26" s="220">
        <v>30</v>
      </c>
      <c r="E26" s="220">
        <v>35</v>
      </c>
      <c r="F26" s="220">
        <v>40</v>
      </c>
      <c r="G26" s="220">
        <v>45</v>
      </c>
      <c r="H26" s="220">
        <v>50</v>
      </c>
      <c r="I26" s="220">
        <v>55</v>
      </c>
    </row>
    <row r="27" spans="2:9" x14ac:dyDescent="0.3">
      <c r="B27" s="65">
        <v>55</v>
      </c>
      <c r="C27" s="221">
        <v>0</v>
      </c>
      <c r="D27" s="221">
        <v>0.1</v>
      </c>
      <c r="E27" s="221">
        <v>0.3</v>
      </c>
      <c r="F27" s="221">
        <v>0.6</v>
      </c>
      <c r="G27" s="221">
        <v>0.7</v>
      </c>
      <c r="H27" s="221">
        <v>0.7</v>
      </c>
      <c r="I27" s="221">
        <v>0.7</v>
      </c>
    </row>
    <row r="28" spans="2:9" x14ac:dyDescent="0.3">
      <c r="B28" s="65">
        <v>60</v>
      </c>
      <c r="C28" s="221">
        <v>0</v>
      </c>
      <c r="D28" s="221">
        <v>0</v>
      </c>
      <c r="E28" s="221">
        <v>0.2</v>
      </c>
      <c r="F28" s="221">
        <v>0.5</v>
      </c>
      <c r="G28" s="221">
        <v>0.6</v>
      </c>
      <c r="H28" s="221">
        <v>0.6</v>
      </c>
      <c r="I28" s="221">
        <v>0.6</v>
      </c>
    </row>
    <row r="29" spans="2:9" x14ac:dyDescent="0.3">
      <c r="B29" s="65">
        <v>65</v>
      </c>
      <c r="C29" s="221">
        <v>0</v>
      </c>
      <c r="D29" s="221">
        <v>0</v>
      </c>
      <c r="E29" s="221">
        <v>0.1</v>
      </c>
      <c r="F29" s="221">
        <v>0.4</v>
      </c>
      <c r="G29" s="221">
        <v>0.5</v>
      </c>
      <c r="H29" s="221">
        <v>0.5</v>
      </c>
      <c r="I29" s="221">
        <v>0.5</v>
      </c>
    </row>
    <row r="30" spans="2:9" x14ac:dyDescent="0.3">
      <c r="B30" s="65">
        <v>70</v>
      </c>
      <c r="C30" s="221">
        <v>0</v>
      </c>
      <c r="D30" s="221">
        <v>0</v>
      </c>
      <c r="E30" s="221">
        <v>0</v>
      </c>
      <c r="F30" s="221">
        <v>0.3</v>
      </c>
      <c r="G30" s="221">
        <v>0.3</v>
      </c>
      <c r="H30" s="221">
        <v>0.3</v>
      </c>
      <c r="I30" s="221">
        <v>0.3</v>
      </c>
    </row>
    <row r="31" spans="2:9" x14ac:dyDescent="0.3">
      <c r="B31" s="65">
        <v>75</v>
      </c>
      <c r="C31" s="221">
        <v>0</v>
      </c>
      <c r="D31" s="221">
        <v>0</v>
      </c>
      <c r="E31" s="221">
        <v>0</v>
      </c>
      <c r="F31" s="221">
        <v>0.2</v>
      </c>
      <c r="G31" s="221">
        <v>0.4</v>
      </c>
      <c r="H31" s="221">
        <v>0.4</v>
      </c>
      <c r="I31" s="221">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2021-06-01T20:34:29Z</dcterms:modified>
</cp:coreProperties>
</file>