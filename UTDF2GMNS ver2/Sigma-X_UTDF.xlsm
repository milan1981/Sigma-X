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2\"/>
    </mc:Choice>
  </mc:AlternateContent>
  <bookViews>
    <workbookView xWindow="480" yWindow="612" windowWidth="14916" windowHeight="11256" tabRatio="851" firstSheet="4" activeTab="11"/>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Timeplans!$B$1:$B$204</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4" i="15"/>
  <c r="K5" i="15"/>
  <c r="K6" i="15"/>
  <c r="K7" i="15"/>
  <c r="K8" i="15"/>
  <c r="K9" i="15"/>
  <c r="K10" i="15"/>
  <c r="K11" i="15"/>
  <c r="K12" i="15"/>
  <c r="K13" i="15"/>
  <c r="K14" i="15"/>
  <c r="K15" i="15"/>
  <c r="K16" i="15"/>
  <c r="K17" i="15"/>
  <c r="K18" i="15"/>
  <c r="K19" i="15"/>
  <c r="K20" i="15"/>
  <c r="K21" i="15"/>
  <c r="K22" i="15"/>
  <c r="K23" i="15"/>
  <c r="K4" i="15"/>
  <c r="J5" i="15"/>
  <c r="J6" i="15"/>
  <c r="J7" i="15"/>
  <c r="J8" i="15"/>
  <c r="J9" i="15"/>
  <c r="J10" i="15"/>
  <c r="J11" i="15"/>
  <c r="J12" i="15"/>
  <c r="J13" i="15"/>
  <c r="J14" i="15"/>
  <c r="J15" i="15"/>
  <c r="J16" i="15"/>
  <c r="J17" i="15"/>
  <c r="J18" i="15"/>
  <c r="J19" i="15"/>
  <c r="J20" i="15"/>
  <c r="J21" i="15"/>
  <c r="J22" i="15"/>
  <c r="J23" i="15"/>
  <c r="J4" i="15"/>
  <c r="I5" i="15"/>
  <c r="I6" i="15"/>
  <c r="I7" i="15"/>
  <c r="I8" i="15"/>
  <c r="I9" i="15"/>
  <c r="I10" i="15"/>
  <c r="I11" i="15"/>
  <c r="I12" i="15"/>
  <c r="I13" i="15"/>
  <c r="I14" i="15"/>
  <c r="I15" i="15"/>
  <c r="I16" i="15"/>
  <c r="I17" i="15"/>
  <c r="I18" i="15"/>
  <c r="I19" i="15"/>
  <c r="I20" i="15"/>
  <c r="I21" i="15"/>
  <c r="I22" i="15"/>
  <c r="I23" i="15"/>
  <c r="I4" i="15"/>
  <c r="H5" i="15"/>
  <c r="H6" i="15"/>
  <c r="H7" i="15"/>
  <c r="H8" i="15"/>
  <c r="H9" i="15"/>
  <c r="H10" i="15"/>
  <c r="H11" i="15"/>
  <c r="H12" i="15"/>
  <c r="H13" i="15"/>
  <c r="H14" i="15"/>
  <c r="H15" i="15"/>
  <c r="H16" i="15"/>
  <c r="H17" i="15"/>
  <c r="H18" i="15"/>
  <c r="H19" i="15"/>
  <c r="H20" i="15"/>
  <c r="H21" i="15"/>
  <c r="H22" i="15"/>
  <c r="H23" i="15"/>
  <c r="H4" i="15"/>
  <c r="G5" i="15"/>
  <c r="G6" i="15"/>
  <c r="G7" i="15"/>
  <c r="G8" i="15"/>
  <c r="G9" i="15"/>
  <c r="G10" i="15"/>
  <c r="G11" i="15"/>
  <c r="G12" i="15"/>
  <c r="G13" i="15"/>
  <c r="G14" i="15"/>
  <c r="G15" i="15"/>
  <c r="G16" i="15"/>
  <c r="G17" i="15"/>
  <c r="G18" i="15"/>
  <c r="G19" i="15"/>
  <c r="G20" i="15"/>
  <c r="G21" i="15"/>
  <c r="G22" i="15"/>
  <c r="G23" i="15"/>
  <c r="G4" i="15"/>
  <c r="F5" i="15"/>
  <c r="F6" i="15"/>
  <c r="F7" i="15"/>
  <c r="F8" i="15"/>
  <c r="F9" i="15"/>
  <c r="F10" i="15"/>
  <c r="F11" i="15"/>
  <c r="F12" i="15"/>
  <c r="F13" i="15"/>
  <c r="F14" i="15"/>
  <c r="F15" i="15"/>
  <c r="F16" i="15"/>
  <c r="F17" i="15"/>
  <c r="F18" i="15"/>
  <c r="F19" i="15"/>
  <c r="F20" i="15"/>
  <c r="F21" i="15"/>
  <c r="F22" i="15"/>
  <c r="F23" i="15"/>
  <c r="F4" i="15"/>
  <c r="E5" i="15"/>
  <c r="E6" i="15"/>
  <c r="E7" i="15"/>
  <c r="E8" i="15"/>
  <c r="E9" i="15"/>
  <c r="E10" i="15"/>
  <c r="E11" i="15"/>
  <c r="E12" i="15"/>
  <c r="E13" i="15"/>
  <c r="E14" i="15"/>
  <c r="E15" i="15"/>
  <c r="E16" i="15"/>
  <c r="E17" i="15"/>
  <c r="E18" i="15"/>
  <c r="E19" i="15"/>
  <c r="E20" i="15"/>
  <c r="E21" i="15"/>
  <c r="E22" i="15"/>
  <c r="E23" i="15"/>
  <c r="E4" i="15"/>
  <c r="N14" i="4" l="1"/>
  <c r="M14" i="4"/>
  <c r="L14" i="4"/>
  <c r="K14" i="4"/>
  <c r="J14" i="4"/>
  <c r="I14" i="4"/>
  <c r="H14" i="4"/>
  <c r="G14" i="4"/>
  <c r="F14" i="4"/>
  <c r="E14" i="4"/>
  <c r="D14" i="4"/>
  <c r="C14" i="4"/>
  <c r="N11" i="4"/>
  <c r="M11" i="4"/>
  <c r="L11" i="4"/>
  <c r="K11" i="4"/>
  <c r="J11" i="4"/>
  <c r="I11" i="4"/>
  <c r="H11" i="4"/>
  <c r="G11" i="4"/>
  <c r="F11" i="4"/>
  <c r="E11" i="4"/>
  <c r="D11" i="4"/>
  <c r="C11" i="4"/>
  <c r="K13" i="9"/>
  <c r="J13" i="9"/>
  <c r="I13" i="9"/>
  <c r="H13" i="9"/>
  <c r="G13" i="9"/>
  <c r="F13" i="9"/>
  <c r="E13" i="9"/>
  <c r="D13" i="9"/>
  <c r="N37" i="2"/>
  <c r="M37" i="2"/>
  <c r="L37" i="2"/>
  <c r="K37" i="2"/>
  <c r="N36" i="2"/>
  <c r="M36" i="2"/>
  <c r="L36" i="2"/>
  <c r="K36" i="2"/>
  <c r="Q68" i="2"/>
  <c r="P68" i="2"/>
  <c r="O68" i="2"/>
  <c r="N68" i="2"/>
  <c r="M68" i="2"/>
  <c r="L68" i="2"/>
  <c r="K68" i="2"/>
  <c r="J68" i="2"/>
  <c r="Q67" i="2"/>
  <c r="P67" i="2"/>
  <c r="O67" i="2"/>
  <c r="N67" i="2"/>
  <c r="M67" i="2"/>
  <c r="L67" i="2"/>
  <c r="K67" i="2"/>
  <c r="J67" i="2"/>
  <c r="N20" i="4"/>
  <c r="M20" i="4"/>
  <c r="L20" i="4"/>
  <c r="K20" i="4"/>
  <c r="J20" i="4"/>
  <c r="I20" i="4"/>
  <c r="H20" i="4"/>
  <c r="G20" i="4"/>
  <c r="F20" i="4"/>
  <c r="E20" i="4"/>
  <c r="D20" i="4"/>
  <c r="C20" i="4"/>
  <c r="N19" i="4"/>
  <c r="M19" i="4"/>
  <c r="L19" i="4"/>
  <c r="H28" i="2" s="1"/>
  <c r="K19" i="4"/>
  <c r="J19" i="4"/>
  <c r="I19" i="4"/>
  <c r="F28" i="2" s="1"/>
  <c r="H19" i="4"/>
  <c r="G19" i="4"/>
  <c r="F19" i="4"/>
  <c r="D28" i="2" s="1"/>
  <c r="E19" i="4"/>
  <c r="D19" i="4"/>
  <c r="C19" i="4"/>
  <c r="B28" i="2" s="1"/>
  <c r="N18" i="4"/>
  <c r="M18" i="4"/>
  <c r="M33" i="4" s="1"/>
  <c r="L18" i="4"/>
  <c r="K18" i="4"/>
  <c r="J18" i="4"/>
  <c r="T5" i="9" s="1"/>
  <c r="I18" i="4"/>
  <c r="H18" i="4"/>
  <c r="G18" i="4"/>
  <c r="E27" i="2" s="1"/>
  <c r="F18" i="4"/>
  <c r="F21" i="4" s="1"/>
  <c r="D23" i="2" s="1"/>
  <c r="E18" i="4"/>
  <c r="D18" i="4"/>
  <c r="D33" i="4" s="1"/>
  <c r="C18" i="4"/>
  <c r="F27" i="2"/>
  <c r="N4" i="4"/>
  <c r="M4" i="4"/>
  <c r="L4" i="4"/>
  <c r="K4" i="4"/>
  <c r="J4" i="4"/>
  <c r="I4" i="4"/>
  <c r="H4" i="4"/>
  <c r="G4" i="4"/>
  <c r="F4" i="4"/>
  <c r="E4" i="4"/>
  <c r="D4" i="4"/>
  <c r="C4" i="4"/>
  <c r="E1" i="9"/>
  <c r="F1" i="9"/>
  <c r="G1" i="9"/>
  <c r="H1" i="9"/>
  <c r="I1" i="9"/>
  <c r="J1" i="9"/>
  <c r="K1" i="9"/>
  <c r="D1" i="9"/>
  <c r="B4" i="8"/>
  <c r="V4" i="8"/>
  <c r="V3" i="8"/>
  <c r="P21" i="8"/>
  <c r="O21" i="8"/>
  <c r="Q18" i="8"/>
  <c r="E18" i="8"/>
  <c r="Q17" i="8"/>
  <c r="E17" i="8"/>
  <c r="N6" i="8"/>
  <c r="M6" i="8"/>
  <c r="K21" i="8"/>
  <c r="J21" i="8"/>
  <c r="I21" i="8"/>
  <c r="M16" i="8"/>
  <c r="G16" i="8"/>
  <c r="M14" i="8"/>
  <c r="G14" i="8"/>
  <c r="M12" i="8"/>
  <c r="G12" i="8"/>
  <c r="K7" i="8"/>
  <c r="J7" i="8"/>
  <c r="I7" i="8"/>
  <c r="K22" i="8"/>
  <c r="L22" i="8" s="1"/>
  <c r="J22" i="8"/>
  <c r="I22" i="8"/>
  <c r="N16" i="8"/>
  <c r="N14" i="8"/>
  <c r="N12" i="8"/>
  <c r="N11" i="8" s="1"/>
  <c r="K6" i="8"/>
  <c r="J6" i="8"/>
  <c r="I6" i="8"/>
  <c r="H7" i="8" s="1"/>
  <c r="F16" i="8"/>
  <c r="G17" i="8" s="1"/>
  <c r="F14" i="8"/>
  <c r="F12" i="8"/>
  <c r="P13" i="8"/>
  <c r="J24" i="8"/>
  <c r="D13" i="8"/>
  <c r="J4" i="8"/>
  <c r="L21" i="4" l="1"/>
  <c r="H23" i="2" s="1"/>
  <c r="I27" i="2"/>
  <c r="I21" i="4"/>
  <c r="F23" i="2" s="1"/>
  <c r="C21" i="4"/>
  <c r="B23" i="2" s="1"/>
  <c r="C27" i="2"/>
  <c r="H27" i="2"/>
  <c r="B27" i="2"/>
  <c r="U5" i="9"/>
  <c r="U13" i="9" s="1"/>
  <c r="V5" i="9"/>
  <c r="V22" i="9" s="1"/>
  <c r="T22" i="9"/>
  <c r="T14" i="9"/>
  <c r="T13" i="9"/>
  <c r="T12" i="9"/>
  <c r="T11" i="9"/>
  <c r="T8" i="9"/>
  <c r="T19" i="9"/>
  <c r="T29" i="9"/>
  <c r="T28" i="9"/>
  <c r="T27" i="9"/>
  <c r="N33" i="4"/>
  <c r="E33" i="4"/>
  <c r="O5" i="9"/>
  <c r="I33" i="4"/>
  <c r="P5" i="9"/>
  <c r="J33" i="4"/>
  <c r="Q5" i="9"/>
  <c r="D27" i="2"/>
  <c r="R5" i="9"/>
  <c r="C33" i="4"/>
  <c r="L33" i="4"/>
  <c r="S5" i="9"/>
  <c r="G27" i="2"/>
  <c r="F33" i="4"/>
  <c r="G33" i="4"/>
  <c r="V29" i="9" l="1"/>
  <c r="V11" i="9"/>
  <c r="V28" i="9"/>
  <c r="V8" i="9"/>
  <c r="V12" i="9"/>
  <c r="V19" i="9"/>
  <c r="V14" i="9"/>
  <c r="V27" i="9"/>
  <c r="V13" i="9"/>
  <c r="M42" i="2"/>
  <c r="T30" i="9"/>
  <c r="U29" i="9"/>
  <c r="U11" i="9"/>
  <c r="U14" i="9"/>
  <c r="U8" i="9"/>
  <c r="U12" i="9"/>
  <c r="N41" i="2"/>
  <c r="N42" i="2"/>
  <c r="T21" i="9"/>
  <c r="H33" i="4"/>
  <c r="Q11" i="9"/>
  <c r="Q8" i="9"/>
  <c r="Q29" i="9"/>
  <c r="Q14" i="9"/>
  <c r="Q13" i="9"/>
  <c r="Q12" i="9"/>
  <c r="S14" i="9"/>
  <c r="S13" i="9"/>
  <c r="S12" i="9"/>
  <c r="S29" i="9"/>
  <c r="S11" i="9"/>
  <c r="S8" i="9"/>
  <c r="L41" i="2"/>
  <c r="K42" i="2"/>
  <c r="M41" i="2"/>
  <c r="O11" i="9"/>
  <c r="G36" i="4" s="1"/>
  <c r="O8" i="9"/>
  <c r="G35" i="4" s="1"/>
  <c r="O29" i="9"/>
  <c r="O14" i="9"/>
  <c r="O13" i="9"/>
  <c r="O12" i="9"/>
  <c r="L42" i="2"/>
  <c r="R29" i="9"/>
  <c r="R28" i="9"/>
  <c r="R27" i="9"/>
  <c r="R22" i="9"/>
  <c r="R11" i="9"/>
  <c r="R8" i="9"/>
  <c r="R14" i="9"/>
  <c r="R13" i="9"/>
  <c r="R12" i="9"/>
  <c r="R19" i="9"/>
  <c r="J35" i="4"/>
  <c r="K33" i="4"/>
  <c r="K41" i="2"/>
  <c r="P11" i="9"/>
  <c r="P8" i="9"/>
  <c r="P29" i="9"/>
  <c r="P28" i="9"/>
  <c r="P27" i="9"/>
  <c r="P22" i="9"/>
  <c r="P14" i="9"/>
  <c r="P13" i="9"/>
  <c r="P12" i="9"/>
  <c r="P19" i="9"/>
  <c r="R13" i="8"/>
  <c r="A13" i="8"/>
  <c r="I26" i="8"/>
  <c r="I2" i="8"/>
  <c r="V21" i="9" l="1"/>
  <c r="V30" i="9"/>
  <c r="M34" i="4" s="1"/>
  <c r="U30" i="9"/>
  <c r="J34" i="4"/>
  <c r="I34" i="4"/>
  <c r="Q30" i="9"/>
  <c r="F36" i="4"/>
  <c r="L36" i="4"/>
  <c r="N36" i="4"/>
  <c r="C36" i="4"/>
  <c r="I35" i="4"/>
  <c r="J36" i="4"/>
  <c r="L35" i="4"/>
  <c r="H35" i="4"/>
  <c r="H36" i="4"/>
  <c r="P21" i="9"/>
  <c r="R21" i="9"/>
  <c r="N35" i="4"/>
  <c r="D35" i="4"/>
  <c r="M35" i="4"/>
  <c r="O30" i="9"/>
  <c r="H34" i="4" s="1"/>
  <c r="D36" i="4"/>
  <c r="E35" i="4"/>
  <c r="P30" i="9"/>
  <c r="R30" i="9"/>
  <c r="E36" i="4"/>
  <c r="K36" i="4"/>
  <c r="K35" i="4"/>
  <c r="F35" i="4"/>
  <c r="S30" i="9"/>
  <c r="I36" i="4"/>
  <c r="C35" i="4"/>
  <c r="M36" i="4"/>
  <c r="F36" i="21"/>
  <c r="F13" i="21"/>
  <c r="F12" i="21"/>
  <c r="F11" i="21"/>
  <c r="F10" i="21"/>
  <c r="F9" i="21"/>
  <c r="F8" i="21"/>
  <c r="F7" i="21"/>
  <c r="F6" i="21"/>
  <c r="F5" i="21"/>
  <c r="F4" i="21"/>
  <c r="F3" i="21"/>
  <c r="F2" i="21"/>
  <c r="A2" i="21"/>
  <c r="A8" i="22" s="1"/>
  <c r="L34" i="4" l="1"/>
  <c r="K34" i="4"/>
  <c r="D34" i="4"/>
  <c r="C34" i="4"/>
  <c r="G34" i="4"/>
  <c r="F34" i="4"/>
  <c r="N34" i="4"/>
  <c r="E34" i="4"/>
  <c r="A9" i="22"/>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30" i="9" l="1"/>
  <c r="E30" i="9"/>
  <c r="F30" i="9"/>
  <c r="G30" i="9"/>
  <c r="H30" i="9"/>
  <c r="I30" i="9"/>
  <c r="J30" i="9"/>
  <c r="K30" i="9"/>
  <c r="D31" i="9"/>
  <c r="D11" i="9" s="1"/>
  <c r="E31" i="9"/>
  <c r="E11" i="9" s="1"/>
  <c r="F31" i="9"/>
  <c r="F11" i="9" s="1"/>
  <c r="G31" i="9"/>
  <c r="G11" i="9" s="1"/>
  <c r="H31" i="9"/>
  <c r="H11" i="9" s="1"/>
  <c r="I31" i="9"/>
  <c r="I11" i="9" s="1"/>
  <c r="J31" i="9"/>
  <c r="J11" i="9" s="1"/>
  <c r="K31" i="9"/>
  <c r="K11" i="9" s="1"/>
  <c r="D32" i="9"/>
  <c r="D12" i="9" s="1"/>
  <c r="E32" i="9"/>
  <c r="E12" i="9" s="1"/>
  <c r="F32" i="9"/>
  <c r="F12" i="9" s="1"/>
  <c r="G32" i="9"/>
  <c r="G12" i="9" s="1"/>
  <c r="H32" i="9"/>
  <c r="H12" i="9" s="1"/>
  <c r="I32" i="9"/>
  <c r="I12" i="9" s="1"/>
  <c r="J32" i="9"/>
  <c r="J12" i="9" s="1"/>
  <c r="K32" i="9"/>
  <c r="K12" i="9" s="1"/>
  <c r="D33" i="9"/>
  <c r="D17" i="9" s="1"/>
  <c r="E33" i="9"/>
  <c r="E17" i="9" s="1"/>
  <c r="F33" i="9"/>
  <c r="F17" i="9" s="1"/>
  <c r="G33" i="9"/>
  <c r="G17" i="9" s="1"/>
  <c r="H33" i="9"/>
  <c r="H17" i="9" s="1"/>
  <c r="I33" i="9"/>
  <c r="I17" i="9" s="1"/>
  <c r="J33" i="9"/>
  <c r="J17" i="9" s="1"/>
  <c r="K33" i="9"/>
  <c r="K17" i="9" s="1"/>
  <c r="D34" i="9"/>
  <c r="D14" i="9" s="1"/>
  <c r="E34" i="9"/>
  <c r="E14" i="9" s="1"/>
  <c r="F34" i="9"/>
  <c r="F14" i="9" s="1"/>
  <c r="G34" i="9"/>
  <c r="G14" i="9" s="1"/>
  <c r="H34" i="9"/>
  <c r="H14" i="9" s="1"/>
  <c r="I34" i="9"/>
  <c r="I14" i="9" s="1"/>
  <c r="J34" i="9"/>
  <c r="J14" i="9" s="1"/>
  <c r="K34" i="9"/>
  <c r="K14" i="9" s="1"/>
  <c r="D35" i="9"/>
  <c r="D15" i="9" s="1"/>
  <c r="E35" i="9"/>
  <c r="E15" i="9" s="1"/>
  <c r="F35" i="9"/>
  <c r="F15" i="9" s="1"/>
  <c r="G35" i="9"/>
  <c r="G15" i="9" s="1"/>
  <c r="H35" i="9"/>
  <c r="H15" i="9" s="1"/>
  <c r="I35" i="9"/>
  <c r="I15" i="9" s="1"/>
  <c r="J35" i="9"/>
  <c r="J15" i="9" s="1"/>
  <c r="K35" i="9"/>
  <c r="K15" i="9" s="1"/>
  <c r="D36" i="9"/>
  <c r="D16" i="9" s="1"/>
  <c r="E36" i="9"/>
  <c r="E16" i="9" s="1"/>
  <c r="F36" i="9"/>
  <c r="F16" i="9" s="1"/>
  <c r="G36" i="9"/>
  <c r="G16" i="9" s="1"/>
  <c r="H36" i="9"/>
  <c r="H16" i="9" s="1"/>
  <c r="I36" i="9"/>
  <c r="I16" i="9" s="1"/>
  <c r="J36" i="9"/>
  <c r="J16" i="9" s="1"/>
  <c r="K36" i="9"/>
  <c r="K16" i="9" s="1"/>
  <c r="D37" i="9"/>
  <c r="D7" i="9" s="1"/>
  <c r="D56" i="9" s="1"/>
  <c r="E37" i="9"/>
  <c r="E7" i="9" s="1"/>
  <c r="F37" i="9"/>
  <c r="F7" i="9" s="1"/>
  <c r="G37" i="9"/>
  <c r="G7" i="9" s="1"/>
  <c r="H37" i="9"/>
  <c r="H7" i="9" s="1"/>
  <c r="I37" i="9"/>
  <c r="I7" i="9" s="1"/>
  <c r="J37" i="9"/>
  <c r="J7" i="9" s="1"/>
  <c r="K37" i="9"/>
  <c r="K7" i="9" s="1"/>
  <c r="D38" i="9"/>
  <c r="D8" i="9" s="1"/>
  <c r="E38" i="9"/>
  <c r="E8" i="9" s="1"/>
  <c r="F38" i="9"/>
  <c r="F8" i="9" s="1"/>
  <c r="G38" i="9"/>
  <c r="G8" i="9" s="1"/>
  <c r="H38" i="9"/>
  <c r="H8" i="9" s="1"/>
  <c r="I38" i="9"/>
  <c r="I8" i="9" s="1"/>
  <c r="J38" i="9"/>
  <c r="J8" i="9" s="1"/>
  <c r="K38" i="9"/>
  <c r="K8" i="9" s="1"/>
  <c r="D39" i="9"/>
  <c r="E39" i="9"/>
  <c r="F39" i="9"/>
  <c r="G39" i="9"/>
  <c r="H39" i="9"/>
  <c r="I39" i="9"/>
  <c r="J39" i="9"/>
  <c r="K39" i="9"/>
  <c r="D40" i="9"/>
  <c r="D9" i="9" s="1"/>
  <c r="E40" i="9"/>
  <c r="E9" i="9" s="1"/>
  <c r="H27" i="21" s="1"/>
  <c r="F40" i="9"/>
  <c r="F9" i="9" s="1"/>
  <c r="G40" i="9"/>
  <c r="G9" i="9" s="1"/>
  <c r="H29" i="21" s="1"/>
  <c r="H40" i="9"/>
  <c r="H9" i="9" s="1"/>
  <c r="I40" i="9"/>
  <c r="I9" i="9" s="1"/>
  <c r="H31" i="21" s="1"/>
  <c r="J40" i="9"/>
  <c r="J9" i="9" s="1"/>
  <c r="K40" i="9"/>
  <c r="K9" i="9" s="1"/>
  <c r="H33" i="21" s="1"/>
  <c r="D41" i="9"/>
  <c r="D10" i="9" s="1"/>
  <c r="E41" i="9"/>
  <c r="E10" i="9" s="1"/>
  <c r="F41" i="9"/>
  <c r="F10" i="9" s="1"/>
  <c r="G41" i="9"/>
  <c r="G10" i="9" s="1"/>
  <c r="H41" i="9"/>
  <c r="H10" i="9" s="1"/>
  <c r="I41" i="9"/>
  <c r="I10" i="9" s="1"/>
  <c r="J41" i="9"/>
  <c r="J10" i="9" s="1"/>
  <c r="K41" i="9"/>
  <c r="K10" i="9" s="1"/>
  <c r="D42" i="9"/>
  <c r="E42" i="9"/>
  <c r="F42" i="9"/>
  <c r="G42" i="9"/>
  <c r="H42" i="9"/>
  <c r="I42" i="9"/>
  <c r="J42" i="9"/>
  <c r="K42" i="9"/>
  <c r="D43" i="9"/>
  <c r="D18" i="9" s="1"/>
  <c r="E43" i="9"/>
  <c r="E18" i="9" s="1"/>
  <c r="F43" i="9"/>
  <c r="F18" i="9" s="1"/>
  <c r="G43" i="9"/>
  <c r="G18" i="9" s="1"/>
  <c r="H43" i="9"/>
  <c r="H18" i="9" s="1"/>
  <c r="I43" i="9"/>
  <c r="I18" i="9" s="1"/>
  <c r="J43" i="9"/>
  <c r="J18" i="9" s="1"/>
  <c r="K43" i="9"/>
  <c r="K18" i="9" s="1"/>
  <c r="D44" i="9"/>
  <c r="E44" i="9"/>
  <c r="F44" i="9"/>
  <c r="G44" i="9"/>
  <c r="H44" i="9"/>
  <c r="I44" i="9"/>
  <c r="J44" i="9"/>
  <c r="K44" i="9"/>
  <c r="D45" i="9"/>
  <c r="E45" i="9"/>
  <c r="F45" i="9"/>
  <c r="G45" i="9"/>
  <c r="H45" i="9"/>
  <c r="I45" i="9"/>
  <c r="J45" i="9"/>
  <c r="K45" i="9"/>
  <c r="D46" i="9"/>
  <c r="D19" i="9" s="1"/>
  <c r="E46" i="9"/>
  <c r="E19" i="9" s="1"/>
  <c r="F46" i="9"/>
  <c r="F19" i="9" s="1"/>
  <c r="G46" i="9"/>
  <c r="G19" i="9" s="1"/>
  <c r="H46" i="9"/>
  <c r="H19" i="9" s="1"/>
  <c r="I46" i="9"/>
  <c r="I19" i="9" s="1"/>
  <c r="J46" i="9"/>
  <c r="J19" i="9" s="1"/>
  <c r="K46" i="9"/>
  <c r="K19" i="9" s="1"/>
  <c r="D47" i="9"/>
  <c r="D20" i="9" s="1"/>
  <c r="E47" i="9"/>
  <c r="E20" i="9" s="1"/>
  <c r="F47" i="9"/>
  <c r="F20" i="9" s="1"/>
  <c r="G47" i="9"/>
  <c r="G20" i="9" s="1"/>
  <c r="H47" i="9"/>
  <c r="H20" i="9" s="1"/>
  <c r="I47" i="9"/>
  <c r="I20" i="9" s="1"/>
  <c r="J47" i="9"/>
  <c r="J20" i="9" s="1"/>
  <c r="K47" i="9"/>
  <c r="K20" i="9" s="1"/>
  <c r="D48" i="9"/>
  <c r="D21" i="9" s="1"/>
  <c r="E48" i="9"/>
  <c r="E21" i="9" s="1"/>
  <c r="F48" i="9"/>
  <c r="F21" i="9" s="1"/>
  <c r="G48" i="9"/>
  <c r="G21" i="9" s="1"/>
  <c r="H48" i="9"/>
  <c r="H21" i="9" s="1"/>
  <c r="I48" i="9"/>
  <c r="I21" i="9" s="1"/>
  <c r="J48" i="9"/>
  <c r="J21" i="9" s="1"/>
  <c r="K48" i="9"/>
  <c r="K21" i="9" s="1"/>
  <c r="D49" i="9"/>
  <c r="D22" i="9" s="1"/>
  <c r="E49" i="9"/>
  <c r="E22" i="9" s="1"/>
  <c r="F49" i="9"/>
  <c r="F22" i="9" s="1"/>
  <c r="G49" i="9"/>
  <c r="G22" i="9" s="1"/>
  <c r="H49" i="9"/>
  <c r="H22" i="9" s="1"/>
  <c r="I49" i="9"/>
  <c r="I22" i="9" s="1"/>
  <c r="J49" i="9"/>
  <c r="J22" i="9" s="1"/>
  <c r="K49" i="9"/>
  <c r="K22" i="9" s="1"/>
  <c r="D50" i="9"/>
  <c r="D23" i="9" s="1"/>
  <c r="E50" i="9"/>
  <c r="E23" i="9" s="1"/>
  <c r="F50" i="9"/>
  <c r="F23" i="9" s="1"/>
  <c r="G50" i="9"/>
  <c r="G23" i="9" s="1"/>
  <c r="H50" i="9"/>
  <c r="H23" i="9" s="1"/>
  <c r="I50" i="9"/>
  <c r="I23" i="9" s="1"/>
  <c r="J50" i="9"/>
  <c r="J23" i="9" s="1"/>
  <c r="K50" i="9"/>
  <c r="K23" i="9" s="1"/>
  <c r="D51" i="9"/>
  <c r="D24" i="9" s="1"/>
  <c r="E51" i="9"/>
  <c r="E24" i="9" s="1"/>
  <c r="F51" i="9"/>
  <c r="F24" i="9" s="1"/>
  <c r="G51" i="9"/>
  <c r="G24" i="9" s="1"/>
  <c r="H51" i="9"/>
  <c r="H24" i="9" s="1"/>
  <c r="I51" i="9"/>
  <c r="I24" i="9" s="1"/>
  <c r="J51" i="9"/>
  <c r="J24" i="9" s="1"/>
  <c r="K51" i="9"/>
  <c r="K24" i="9" s="1"/>
  <c r="D52" i="9"/>
  <c r="D25" i="9" s="1"/>
  <c r="E52" i="9"/>
  <c r="E25" i="9" s="1"/>
  <c r="F52" i="9"/>
  <c r="F25" i="9" s="1"/>
  <c r="G52" i="9"/>
  <c r="G25" i="9" s="1"/>
  <c r="H52" i="9"/>
  <c r="H25" i="9" s="1"/>
  <c r="I52" i="9"/>
  <c r="I25" i="9" s="1"/>
  <c r="J52" i="9"/>
  <c r="J25" i="9" s="1"/>
  <c r="K52" i="9"/>
  <c r="K25" i="9" s="1"/>
  <c r="D53" i="9"/>
  <c r="E53" i="9"/>
  <c r="F53" i="9"/>
  <c r="G53" i="9"/>
  <c r="H53" i="9"/>
  <c r="I53" i="9"/>
  <c r="J53" i="9"/>
  <c r="K53" i="9"/>
  <c r="C31" i="9"/>
  <c r="C32" i="9"/>
  <c r="C33" i="9"/>
  <c r="C34" i="9"/>
  <c r="C35" i="9"/>
  <c r="C36" i="9"/>
  <c r="C37" i="9"/>
  <c r="C38" i="9"/>
  <c r="C39" i="9"/>
  <c r="C40" i="9"/>
  <c r="C41" i="9"/>
  <c r="C42" i="9"/>
  <c r="C43" i="9"/>
  <c r="C44" i="9"/>
  <c r="C45" i="9"/>
  <c r="C46" i="9"/>
  <c r="C47" i="9"/>
  <c r="C48" i="9"/>
  <c r="C49" i="9"/>
  <c r="C50" i="9"/>
  <c r="C51" i="9"/>
  <c r="C52" i="9"/>
  <c r="C53" i="9"/>
  <c r="C30" i="9"/>
  <c r="G25" i="4"/>
  <c r="E36" i="21" s="1"/>
  <c r="E25" i="4"/>
  <c r="G36" i="21" s="1"/>
  <c r="C25" i="4"/>
  <c r="V7" i="8"/>
  <c r="B8" i="15"/>
  <c r="V6" i="8" l="1"/>
  <c r="J14" i="8"/>
  <c r="I1" i="21" s="1"/>
  <c r="H13" i="22"/>
  <c r="H9" i="22"/>
  <c r="H5" i="22"/>
  <c r="H2" i="22"/>
  <c r="H10" i="22"/>
  <c r="D36" i="21"/>
  <c r="H12" i="22"/>
  <c r="H8" i="22"/>
  <c r="H11" i="22"/>
  <c r="H7" i="22"/>
  <c r="H4" i="22"/>
  <c r="H3" i="22"/>
  <c r="H6" i="22"/>
  <c r="B6" i="15"/>
  <c r="C50" i="2" l="1"/>
  <c r="C49" i="2"/>
  <c r="D50" i="2"/>
  <c r="D49" i="2"/>
  <c r="E50" i="2"/>
  <c r="F49" i="2"/>
  <c r="F50" i="2"/>
  <c r="E49" i="2"/>
  <c r="B2" i="15"/>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L29" i="7" s="1"/>
  <c r="P5" i="1"/>
  <c r="T13" i="7" s="1"/>
  <c r="S5" i="1"/>
  <c r="T5" i="1"/>
  <c r="Z11" i="7" s="1"/>
  <c r="R29"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O35" i="7" s="1"/>
  <c r="AL26" i="6"/>
  <c r="AN26" i="6" s="1"/>
  <c r="M14" i="2"/>
  <c r="U26" i="6"/>
  <c r="V26" i="6" s="1"/>
  <c r="E11" i="7"/>
  <c r="C5" i="6"/>
  <c r="D5" i="6" s="1"/>
  <c r="M13" i="2"/>
  <c r="C26" i="6"/>
  <c r="D26" i="6" s="1"/>
  <c r="B43" i="1"/>
  <c r="BC57" i="6"/>
  <c r="BC6" i="6"/>
  <c r="BC7" i="6" s="1"/>
  <c r="BC8" i="6" s="1"/>
  <c r="C11" i="6"/>
  <c r="W4" i="7"/>
  <c r="O22" i="7" s="1"/>
  <c r="AB14" i="4"/>
  <c r="F3" i="2"/>
  <c r="F14" i="2" s="1"/>
  <c r="AL57" i="6"/>
  <c r="AL56" i="6"/>
  <c r="X17" i="7"/>
  <c r="AC14" i="4"/>
  <c r="B6" i="2"/>
  <c r="B11" i="2" s="1"/>
  <c r="T6" i="1"/>
  <c r="V36" i="6" s="1"/>
  <c r="V37" i="6" s="1"/>
  <c r="V38" i="6" s="1"/>
  <c r="E8" i="2"/>
  <c r="B13" i="2" s="1"/>
  <c r="U13" i="6"/>
  <c r="V56" i="6" s="1"/>
  <c r="G3" i="2"/>
  <c r="J3" i="4" s="1"/>
  <c r="J5" i="4" s="1"/>
  <c r="O6" i="1"/>
  <c r="J46" i="6" s="1"/>
  <c r="U12" i="6"/>
  <c r="F12" i="4" s="1"/>
  <c r="T9" i="7"/>
  <c r="D3" i="2"/>
  <c r="D14" i="2" s="1"/>
  <c r="C56" i="6"/>
  <c r="BD49" i="6"/>
  <c r="A29" i="7"/>
  <c r="D6" i="2"/>
  <c r="D11" i="2" s="1"/>
  <c r="Z13" i="7"/>
  <c r="H3" i="2"/>
  <c r="X4" i="7"/>
  <c r="P22" i="7" s="1"/>
  <c r="BC11" i="6"/>
  <c r="E3" i="2"/>
  <c r="G3" i="4" s="1"/>
  <c r="G5" i="4" s="1"/>
  <c r="BC13" i="6"/>
  <c r="BC20" i="6" s="1"/>
  <c r="U5" i="6"/>
  <c r="V5" i="6" s="1"/>
  <c r="E6" i="1"/>
  <c r="AS45" i="6" s="1"/>
  <c r="AV45" i="6" s="1"/>
  <c r="H6" i="2"/>
  <c r="H11" i="2" s="1"/>
  <c r="C6" i="2"/>
  <c r="S7" i="2" s="1"/>
  <c r="BC56" i="6"/>
  <c r="V17" i="7"/>
  <c r="C6" i="6"/>
  <c r="C7" i="6" s="1"/>
  <c r="BC26" i="6"/>
  <c r="BD26" i="6" s="1"/>
  <c r="AA14" i="4"/>
  <c r="BC12" i="6"/>
  <c r="AL12" i="6"/>
  <c r="I12" i="4" s="1"/>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M57"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L12" i="4"/>
  <c r="T15" i="7"/>
  <c r="B11" i="7" s="1"/>
  <c r="L27" i="7"/>
  <c r="Z15" i="7"/>
  <c r="H9" i="7" s="1"/>
  <c r="R31" i="7"/>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H11" i="7"/>
  <c r="H13" i="7"/>
  <c r="C14" i="6"/>
  <c r="D17" i="6" s="1"/>
  <c r="E24" i="6"/>
  <c r="E27" i="6" s="1"/>
  <c r="B13" i="7"/>
  <c r="P3" i="9" l="1"/>
  <c r="B9" i="7"/>
  <c r="M7" i="4"/>
  <c r="M5" i="4"/>
  <c r="F3" i="4"/>
  <c r="G60" i="4" s="1"/>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D113" i="4"/>
  <c r="C132" i="4"/>
  <c r="E16" i="4"/>
  <c r="C3" i="4"/>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F13" i="4" l="1"/>
  <c r="F5" i="4"/>
  <c r="C7" i="4"/>
  <c r="C26" i="4" s="1"/>
  <c r="C5" i="4"/>
  <c r="C9" i="4" s="1"/>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F9" i="4"/>
  <c r="F7" i="4"/>
  <c r="C15" i="4" l="1"/>
  <c r="D138" i="4"/>
  <c r="AM48" i="6"/>
  <c r="AM49" i="6"/>
  <c r="X12" i="2"/>
  <c r="B15" i="2" s="1"/>
  <c r="F139" i="4"/>
  <c r="C35" i="6"/>
  <c r="Z31" i="4"/>
  <c r="Y31" i="4"/>
  <c r="BC35" i="6"/>
  <c r="BD48" i="6" s="1"/>
  <c r="Z12" i="2"/>
  <c r="F15" i="2" s="1"/>
  <c r="G138" i="4"/>
  <c r="G139" i="4"/>
  <c r="M22" i="2"/>
  <c r="B47" i="1"/>
  <c r="K22" i="2"/>
  <c r="K23" i="2" s="1"/>
  <c r="N22" i="2"/>
  <c r="AA12" i="2"/>
  <c r="H15" i="2" s="1"/>
  <c r="I9" i="2"/>
  <c r="H3" i="4"/>
  <c r="H5" i="4" s="1"/>
  <c r="H6" i="4"/>
  <c r="N6" i="4"/>
  <c r="L3" i="4" s="1"/>
  <c r="N3" i="4"/>
  <c r="N5" i="4" s="1"/>
  <c r="E3" i="4"/>
  <c r="E5" i="4" s="1"/>
  <c r="L22" i="2"/>
  <c r="L23" i="2" s="1"/>
  <c r="K3" i="4"/>
  <c r="K5" i="4" s="1"/>
  <c r="K6" i="4"/>
  <c r="I3" i="4" s="1"/>
  <c r="E6" i="4"/>
  <c r="F26" i="4"/>
  <c r="F15" i="4"/>
  <c r="D15" i="4"/>
  <c r="G15" i="4"/>
  <c r="L13" i="4" l="1"/>
  <c r="L5" i="4"/>
  <c r="I13" i="4"/>
  <c r="I5"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E8" i="4"/>
  <c r="C102" i="4"/>
  <c r="D22" i="2"/>
  <c r="L100" i="4"/>
  <c r="I102" i="4"/>
  <c r="J60" i="4"/>
  <c r="I100" i="4"/>
  <c r="L102" i="4"/>
  <c r="M60" i="4"/>
  <c r="O3" i="4"/>
  <c r="Z13" i="4" l="1"/>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D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E6" i="22" l="1"/>
  <c r="F6" i="22"/>
  <c r="E12" i="22"/>
  <c r="F12" i="22"/>
  <c r="E9" i="22"/>
  <c r="F9" i="22"/>
  <c r="R9" i="7"/>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E10" i="22" l="1"/>
  <c r="F10" i="22"/>
  <c r="E13" i="22"/>
  <c r="F13" i="22"/>
  <c r="E3" i="22"/>
  <c r="F3" i="22"/>
  <c r="E7" i="22"/>
  <c r="F7" i="22"/>
  <c r="S65" i="4"/>
  <c r="S35" i="4"/>
  <c r="AC18" i="4"/>
  <c r="AB19" i="4" s="1"/>
  <c r="AB20" i="4" s="1"/>
  <c r="AB21" i="4" s="1"/>
  <c r="AI30"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Z20" i="4" s="1"/>
  <c r="Z21" i="4" s="1"/>
  <c r="AI14" i="4" s="1"/>
  <c r="AL15" i="4" s="1"/>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E8" i="22" l="1"/>
  <c r="F8" i="22"/>
  <c r="E2" i="22"/>
  <c r="F2" i="22"/>
  <c r="E4" i="22"/>
  <c r="F4" i="22"/>
  <c r="E5" i="22"/>
  <c r="F5" i="22"/>
  <c r="E11" i="22"/>
  <c r="F11" i="22"/>
  <c r="Q28" i="9"/>
  <c r="Q27" i="9"/>
  <c r="S27" i="9"/>
  <c r="O28" i="9"/>
  <c r="O27" i="9"/>
  <c r="C75" i="4" s="1"/>
  <c r="U28" i="9"/>
  <c r="U27" i="9"/>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I75" i="4"/>
  <c r="G29" i="4"/>
  <c r="I29" i="4"/>
  <c r="L75" i="4"/>
  <c r="J29" i="4"/>
  <c r="L29" i="4"/>
  <c r="F75" i="4"/>
  <c r="D29" i="4"/>
  <c r="B53" i="1"/>
  <c r="I6" i="9"/>
  <c r="H46" i="1" s="1"/>
  <c r="S31" i="4"/>
  <c r="R63" i="4"/>
  <c r="S41" i="4"/>
  <c r="W63" i="4"/>
  <c r="T32" i="4"/>
  <c r="T42" i="4"/>
  <c r="K6" i="9"/>
  <c r="J49" i="1" s="1"/>
  <c r="S32" i="4"/>
  <c r="V63" i="4"/>
  <c r="S42" i="4"/>
  <c r="T41" i="4"/>
  <c r="S63" i="4"/>
  <c r="T31" i="4"/>
  <c r="J6" i="9"/>
  <c r="I46" i="1" s="1"/>
  <c r="E6" i="9"/>
  <c r="D49" i="1" s="1"/>
  <c r="G6" i="9"/>
  <c r="F49" i="1" s="1"/>
  <c r="R31" i="4"/>
  <c r="Q63" i="4"/>
  <c r="R41" i="4"/>
  <c r="G63" i="1"/>
  <c r="H6" i="9"/>
  <c r="G49" i="1" s="1"/>
  <c r="U42" i="4"/>
  <c r="X63" i="4"/>
  <c r="U32" i="4"/>
  <c r="F6" i="9"/>
  <c r="E46" i="1" s="1"/>
  <c r="U31" i="4"/>
  <c r="U41" i="4"/>
  <c r="T63" i="4"/>
  <c r="C63" i="1"/>
  <c r="D6" i="9"/>
  <c r="C46" i="1" s="1"/>
  <c r="R42" i="4"/>
  <c r="R32" i="4"/>
  <c r="U63" i="4"/>
  <c r="K93" i="7" l="1"/>
  <c r="G93" i="7"/>
  <c r="M92" i="7"/>
  <c r="I67" i="1" s="1"/>
  <c r="H92" i="7"/>
  <c r="D67" i="1" s="1"/>
  <c r="D69" i="1" s="1"/>
  <c r="L93" i="7"/>
  <c r="Q93" i="7" s="1"/>
  <c r="J92" i="7"/>
  <c r="F67" i="1" s="1"/>
  <c r="F69" i="1" s="1"/>
  <c r="N93" i="7"/>
  <c r="Q90" i="7" s="1"/>
  <c r="I92" i="7"/>
  <c r="E67" i="1" s="1"/>
  <c r="E69" i="1" s="1"/>
  <c r="D16" i="8"/>
  <c r="O29" i="1" s="1"/>
  <c r="T2" i="8" s="1"/>
  <c r="C23" i="4"/>
  <c r="O17" i="4"/>
  <c r="D84" i="4"/>
  <c r="B5" i="22"/>
  <c r="M5" i="22"/>
  <c r="B4" i="22"/>
  <c r="M4" i="22"/>
  <c r="B11" i="22"/>
  <c r="M11" i="22"/>
  <c r="B2" i="22"/>
  <c r="M2" i="22"/>
  <c r="B8" i="22"/>
  <c r="M8" i="22"/>
  <c r="Q92" i="7"/>
  <c r="Q95" i="7"/>
  <c r="Q94" i="7"/>
  <c r="Q98"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G69" i="1" l="1"/>
  <c r="G70" i="1" s="1"/>
  <c r="I69" i="1"/>
  <c r="I70" i="1" s="1"/>
  <c r="V23" i="4"/>
  <c r="AB24" i="4" s="1"/>
  <c r="AC24" i="4" s="1"/>
  <c r="C24" i="4"/>
  <c r="F84" i="4"/>
  <c r="C84" i="4"/>
  <c r="E83" i="4"/>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I76" i="1" l="1"/>
  <c r="I77" i="1" s="1"/>
  <c r="I71" i="1" s="1"/>
  <c r="G76" i="1"/>
  <c r="G77" i="1" s="1"/>
  <c r="G71" i="1" s="1"/>
  <c r="E84" i="4"/>
  <c r="H54" i="1"/>
  <c r="D54" i="1"/>
  <c r="J54" i="1"/>
  <c r="F54" i="1"/>
  <c r="B56" i="1"/>
  <c r="AB44" i="4"/>
  <c r="D53" i="1"/>
  <c r="D55" i="1"/>
  <c r="E68" i="1"/>
  <c r="F55" i="1"/>
  <c r="F53" i="1"/>
  <c r="H55" i="1"/>
  <c r="H53" i="1"/>
  <c r="J53" i="1"/>
  <c r="J55" i="1"/>
  <c r="C68" i="1"/>
  <c r="I68" i="1"/>
  <c r="G68" i="1"/>
  <c r="F83" i="4" l="1"/>
  <c r="AB125" i="4"/>
  <c r="B57" i="1"/>
  <c r="J56" i="1"/>
  <c r="AB45" i="4"/>
  <c r="AG45" i="4" s="1"/>
  <c r="K27" i="9"/>
  <c r="F56" i="1"/>
  <c r="Z45" i="4"/>
  <c r="H56" i="1"/>
  <c r="AG44" i="4"/>
  <c r="D56" i="1"/>
  <c r="Z44" i="4"/>
  <c r="G27" i="9"/>
  <c r="AG125" i="4" l="1"/>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BM10" i="4" l="1"/>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T41" i="4" s="1"/>
  <c r="AI45" i="4"/>
  <c r="AK34" i="4"/>
  <c r="AR36" i="4" s="1"/>
  <c r="BB45" i="4" s="1"/>
  <c r="AI44" i="4"/>
  <c r="C51" i="4"/>
  <c r="C52" i="4" s="1"/>
  <c r="D49" i="7" s="1"/>
  <c r="I91" i="4"/>
  <c r="B61" i="1"/>
  <c r="AR42" i="4" l="1"/>
  <c r="AU40" i="4"/>
  <c r="AY44" i="4"/>
  <c r="AY125" i="4" s="1"/>
  <c r="AW46" i="4"/>
  <c r="AW48" i="4" s="1"/>
  <c r="I30" i="4" s="1"/>
  <c r="U40" i="4" s="1"/>
  <c r="U36" i="4" s="1"/>
  <c r="AY46" i="4"/>
  <c r="AX46" i="4"/>
  <c r="BA45" i="4"/>
  <c r="AT43" i="4"/>
  <c r="AT48" i="4" s="1"/>
  <c r="F30" i="4" s="1"/>
  <c r="S40" i="4" s="1"/>
  <c r="S36" i="4" s="1"/>
  <c r="AZ47" i="4"/>
  <c r="AU41" i="4"/>
  <c r="AQ42" i="4"/>
  <c r="AQ48" i="4" s="1"/>
  <c r="C30" i="4" s="1"/>
  <c r="Q40" i="4" s="1"/>
  <c r="Q36" i="4" s="1"/>
  <c r="AS42" i="4"/>
  <c r="AL45" i="4"/>
  <c r="AZ45" i="4"/>
  <c r="AV41" i="4"/>
  <c r="AL44" i="4"/>
  <c r="AL125" i="4" s="1"/>
  <c r="AI125" i="4"/>
  <c r="AR40" i="4"/>
  <c r="AX44" i="4"/>
  <c r="BB44" i="4"/>
  <c r="BB125" i="4" s="1"/>
  <c r="AS40" i="4"/>
  <c r="BA44" i="4"/>
  <c r="BA125" i="4" s="1"/>
  <c r="AV40" i="4"/>
  <c r="B62" i="1"/>
  <c r="AR48" i="4" l="1"/>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B63" i="1"/>
  <c r="R45" i="4"/>
  <c r="R44" i="4" l="1"/>
  <c r="R125" i="4" s="1"/>
  <c r="S44" i="4"/>
  <c r="S125" i="4" s="1"/>
  <c r="S45" i="4"/>
  <c r="T45" i="4"/>
  <c r="U44" i="4"/>
  <c r="U125" i="4" s="1"/>
  <c r="U45" i="4"/>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R61" i="4" s="1"/>
  <c r="AA61" i="4" s="1"/>
  <c r="AG55" i="4" l="1"/>
  <c r="R60" i="4" s="1"/>
  <c r="AA60" i="4" s="1"/>
  <c r="AC56" i="4"/>
  <c r="AC58" i="4" s="1"/>
  <c r="AD56" i="4"/>
  <c r="AD58" i="4" s="1"/>
  <c r="AC55" i="4"/>
  <c r="AC57" i="4" s="1"/>
  <c r="AH56" i="4"/>
  <c r="S61" i="4" s="1"/>
  <c r="AB61" i="4" s="1"/>
  <c r="AH55" i="4"/>
  <c r="S60" i="4" s="1"/>
  <c r="AB60" i="4" s="1"/>
  <c r="W61" i="4" l="1"/>
  <c r="W60" i="4"/>
  <c r="AI55" i="4"/>
  <c r="T60" i="4" s="1"/>
  <c r="AJ55" i="4"/>
  <c r="U60" i="4" s="1"/>
  <c r="AD60" i="4" s="1"/>
  <c r="AI56" i="4"/>
  <c r="T61" i="4" s="1"/>
  <c r="AC61" i="4" s="1"/>
  <c r="AJ56" i="4"/>
  <c r="U61" i="4" s="1"/>
  <c r="AD61" i="4" s="1"/>
  <c r="V60" i="4" l="1"/>
  <c r="X60" i="4"/>
  <c r="AC60" i="4"/>
  <c r="AE61" i="4" s="1"/>
  <c r="V61" i="4"/>
  <c r="X61" i="4"/>
  <c r="F3" i="9" l="1"/>
  <c r="E58" i="1" s="1"/>
  <c r="V64" i="4"/>
  <c r="H3" i="9"/>
  <c r="G58" i="1" s="1"/>
  <c r="W64" i="4"/>
  <c r="K3" i="9"/>
  <c r="J57" i="1" s="1"/>
  <c r="G86" i="4"/>
  <c r="G41" i="1" l="1"/>
  <c r="H41" i="1"/>
  <c r="J3" i="9"/>
  <c r="J55" i="9" s="1"/>
  <c r="E43" i="1"/>
  <c r="F87" i="4"/>
  <c r="S64" i="4"/>
  <c r="D41" i="1"/>
  <c r="F86" i="4"/>
  <c r="J58" i="1"/>
  <c r="E47" i="1"/>
  <c r="F55" i="9"/>
  <c r="H55" i="9"/>
  <c r="I83" i="4"/>
  <c r="I84" i="4"/>
  <c r="J43" i="1"/>
  <c r="G87" i="4"/>
  <c r="F41" i="1"/>
  <c r="G84" i="4"/>
  <c r="J47" i="1"/>
  <c r="I41" i="1"/>
  <c r="H84" i="4"/>
  <c r="I3" i="9"/>
  <c r="H57" i="1" s="1"/>
  <c r="K55" i="9"/>
  <c r="K58" i="9" s="1"/>
  <c r="U64" i="4"/>
  <c r="G3" i="9"/>
  <c r="F57" i="1" s="1"/>
  <c r="G47" i="1"/>
  <c r="T64" i="4"/>
  <c r="E41" i="1"/>
  <c r="C87" i="4"/>
  <c r="G43" i="1"/>
  <c r="D87" i="4"/>
  <c r="X64" i="4"/>
  <c r="X33" i="9" l="1"/>
  <c r="AD33" i="9" s="1"/>
  <c r="B23" i="21"/>
  <c r="L39" i="4"/>
  <c r="D43" i="1"/>
  <c r="D47" i="1"/>
  <c r="D58" i="1"/>
  <c r="I58" i="1"/>
  <c r="I43" i="1"/>
  <c r="I47" i="1"/>
  <c r="C58" i="1"/>
  <c r="G60" i="1"/>
  <c r="C47" i="1"/>
  <c r="F47" i="1"/>
  <c r="F43" i="1"/>
  <c r="F58" i="1"/>
  <c r="G55" i="9"/>
  <c r="G59" i="9" s="1"/>
  <c r="Z37" i="9" s="1"/>
  <c r="H58" i="1"/>
  <c r="H47" i="1"/>
  <c r="K59" i="9"/>
  <c r="Z33" i="9" s="1"/>
  <c r="I55" i="9"/>
  <c r="I58" i="9" s="1"/>
  <c r="H43" i="1"/>
  <c r="J45" i="1"/>
  <c r="J44" i="1" s="1"/>
  <c r="E22" i="7"/>
  <c r="I24" i="1"/>
  <c r="N39" i="4"/>
  <c r="E25" i="1"/>
  <c r="M39" i="4"/>
  <c r="E35" i="7"/>
  <c r="J39" i="4"/>
  <c r="J25" i="1"/>
  <c r="H63" i="1"/>
  <c r="H45" i="1" l="1"/>
  <c r="H44" i="1" s="1"/>
  <c r="B21" i="21"/>
  <c r="C23" i="21"/>
  <c r="D23" i="21" s="1"/>
  <c r="C33" i="21"/>
  <c r="I39" i="4"/>
  <c r="C60" i="1"/>
  <c r="K55" i="2"/>
  <c r="K61" i="2" s="1"/>
  <c r="F48" i="1"/>
  <c r="O25" i="1"/>
  <c r="D39" i="4"/>
  <c r="T24" i="1"/>
  <c r="H29" i="7"/>
  <c r="B29" i="7"/>
  <c r="G39" i="4"/>
  <c r="D48" i="1"/>
  <c r="E39" i="4"/>
  <c r="G58" i="9"/>
  <c r="P25" i="1"/>
  <c r="F39" i="4"/>
  <c r="X35" i="9"/>
  <c r="AD35" i="9" s="1"/>
  <c r="C39" i="4"/>
  <c r="N24" i="1"/>
  <c r="D63" i="1"/>
  <c r="I59" i="9"/>
  <c r="Z35" i="9" s="1"/>
  <c r="F67" i="4"/>
  <c r="E24" i="1"/>
  <c r="L67" i="4"/>
  <c r="J24" i="1"/>
  <c r="K39" i="4"/>
  <c r="K29" i="4"/>
  <c r="N29" i="4"/>
  <c r="J48" i="1"/>
  <c r="L50" i="2"/>
  <c r="L61" i="2" s="1"/>
  <c r="L65" i="2" s="1"/>
  <c r="H59" i="1"/>
  <c r="D35" i="1" s="1"/>
  <c r="F45" i="1" l="1"/>
  <c r="F44" i="1" s="1"/>
  <c r="B19" i="21"/>
  <c r="C21" i="21"/>
  <c r="D21" i="21" s="1"/>
  <c r="C31" i="21"/>
  <c r="F33" i="21"/>
  <c r="E33" i="21"/>
  <c r="A33" i="21"/>
  <c r="J33" i="21"/>
  <c r="D33" i="21"/>
  <c r="G33" i="21"/>
  <c r="H39" i="4"/>
  <c r="K94" i="7"/>
  <c r="N94" i="7"/>
  <c r="F57" i="9"/>
  <c r="I51" i="1"/>
  <c r="M94" i="7"/>
  <c r="U25" i="1"/>
  <c r="C51" i="1"/>
  <c r="K54" i="2"/>
  <c r="K60" i="2" s="1"/>
  <c r="I67" i="4"/>
  <c r="D24" i="1"/>
  <c r="H29" i="4"/>
  <c r="X37" i="9"/>
  <c r="AD37" i="9" s="1"/>
  <c r="O24" i="1"/>
  <c r="E41" i="4"/>
  <c r="T25" i="1"/>
  <c r="P24" i="1"/>
  <c r="E29" i="4"/>
  <c r="M49" i="2"/>
  <c r="N60" i="2" s="1"/>
  <c r="M64" i="2" s="1"/>
  <c r="L49" i="2"/>
  <c r="L60" i="2" s="1"/>
  <c r="L64" i="2" s="1"/>
  <c r="C67" i="4"/>
  <c r="S24" i="1"/>
  <c r="N41" i="4"/>
  <c r="K24" i="1"/>
  <c r="K25" i="1"/>
  <c r="J55" i="4"/>
  <c r="E66" i="1" s="1"/>
  <c r="H48" i="1"/>
  <c r="F25" i="1"/>
  <c r="K41" i="4"/>
  <c r="F24" i="1"/>
  <c r="K55" i="4"/>
  <c r="F66" i="1" s="1"/>
  <c r="M55" i="4"/>
  <c r="J66" i="1" s="1"/>
  <c r="M50" i="2"/>
  <c r="N61" i="2" s="1"/>
  <c r="M65" i="2" s="1"/>
  <c r="I59" i="1"/>
  <c r="I73" i="1" s="1"/>
  <c r="H60" i="1"/>
  <c r="L55" i="2"/>
  <c r="M61" i="2" s="1"/>
  <c r="O35" i="1"/>
  <c r="P35" i="1" s="1"/>
  <c r="H73" i="1"/>
  <c r="I63" i="1"/>
  <c r="H61" i="1"/>
  <c r="H62" i="1"/>
  <c r="N22" i="7" l="1"/>
  <c r="L31" i="7"/>
  <c r="I13" i="22"/>
  <c r="J13" i="22" s="1"/>
  <c r="I4" i="22"/>
  <c r="J4" i="22" s="1"/>
  <c r="C29" i="21"/>
  <c r="C19" i="21"/>
  <c r="D19" i="21" s="1"/>
  <c r="G31" i="21"/>
  <c r="F31" i="21"/>
  <c r="E31" i="21"/>
  <c r="D31" i="21"/>
  <c r="J31" i="21"/>
  <c r="A31" i="21"/>
  <c r="E51" i="1"/>
  <c r="I61" i="1"/>
  <c r="J57" i="9"/>
  <c r="J59" i="9" s="1"/>
  <c r="Z34" i="9" s="1"/>
  <c r="I50" i="1"/>
  <c r="J56" i="9"/>
  <c r="Y34" i="9" s="1"/>
  <c r="AE34" i="9" s="1"/>
  <c r="F56" i="9"/>
  <c r="E50" i="1"/>
  <c r="AA38" i="9"/>
  <c r="F59" i="9"/>
  <c r="Z38" i="9" s="1"/>
  <c r="I48" i="1"/>
  <c r="U24" i="1"/>
  <c r="D57" i="9"/>
  <c r="AA40" i="9" s="1"/>
  <c r="C50" i="1"/>
  <c r="G51" i="1"/>
  <c r="H57" i="9"/>
  <c r="H56" i="9"/>
  <c r="G50" i="1"/>
  <c r="G55" i="4"/>
  <c r="T66" i="1" s="1"/>
  <c r="E40" i="4"/>
  <c r="E43" i="4" s="1"/>
  <c r="P18" i="1"/>
  <c r="D55" i="4"/>
  <c r="O66" i="1" s="1"/>
  <c r="H55" i="4"/>
  <c r="U66" i="1" s="1"/>
  <c r="H41" i="4"/>
  <c r="E59" i="1"/>
  <c r="E73" i="1" s="1"/>
  <c r="D60" i="1"/>
  <c r="E36" i="1" s="1"/>
  <c r="F36" i="1" s="1"/>
  <c r="D59" i="1"/>
  <c r="N35" i="1" s="1"/>
  <c r="E63" i="1"/>
  <c r="D64" i="1"/>
  <c r="H54" i="4"/>
  <c r="U39" i="1" s="1"/>
  <c r="E42" i="7"/>
  <c r="M54" i="4"/>
  <c r="N40" i="4"/>
  <c r="N42" i="4" s="1"/>
  <c r="K18" i="1"/>
  <c r="K40" i="4"/>
  <c r="P35" i="7"/>
  <c r="F18" i="1"/>
  <c r="J54" i="4"/>
  <c r="N36" i="1"/>
  <c r="O36" i="1"/>
  <c r="P36" i="1" s="1"/>
  <c r="D36" i="1"/>
  <c r="H65" i="1"/>
  <c r="H64" i="1"/>
  <c r="I10" i="22" l="1"/>
  <c r="J10" i="22" s="1"/>
  <c r="J29" i="21"/>
  <c r="F29" i="21"/>
  <c r="E29" i="21"/>
  <c r="G29" i="21"/>
  <c r="D29" i="21"/>
  <c r="A29" i="21"/>
  <c r="I62" i="1"/>
  <c r="J58" i="9"/>
  <c r="F72" i="1"/>
  <c r="AA34" i="9"/>
  <c r="G48" i="1"/>
  <c r="Y38" i="9"/>
  <c r="AE38" i="9" s="1"/>
  <c r="F58" i="9"/>
  <c r="B18" i="21" s="1"/>
  <c r="E48" i="1"/>
  <c r="C61" i="1"/>
  <c r="C62" i="1"/>
  <c r="Y40" i="9"/>
  <c r="AE40" i="9" s="1"/>
  <c r="AA36" i="9"/>
  <c r="H59" i="9"/>
  <c r="Z36" i="9" s="1"/>
  <c r="G61" i="1"/>
  <c r="G62" i="1"/>
  <c r="Y36" i="9"/>
  <c r="AE36" i="9" s="1"/>
  <c r="H58" i="9"/>
  <c r="B20" i="21" s="1"/>
  <c r="E61" i="1"/>
  <c r="M54" i="2"/>
  <c r="O60" i="2" s="1"/>
  <c r="P19" i="1"/>
  <c r="E42" i="4"/>
  <c r="E44" i="4" s="1"/>
  <c r="E124" i="4" s="1"/>
  <c r="G54" i="4"/>
  <c r="T39" i="1" s="1"/>
  <c r="D73" i="1"/>
  <c r="J72" i="1"/>
  <c r="D54" i="4"/>
  <c r="B51" i="7"/>
  <c r="D61" i="1"/>
  <c r="H40" i="4"/>
  <c r="H43" i="4" s="1"/>
  <c r="U18" i="1"/>
  <c r="R27" i="7"/>
  <c r="L54" i="2"/>
  <c r="M60" i="2" s="1"/>
  <c r="D62" i="1"/>
  <c r="E35" i="1"/>
  <c r="F35" i="1" s="1"/>
  <c r="D65" i="1"/>
  <c r="E39" i="1"/>
  <c r="K54" i="4"/>
  <c r="F39" i="1" s="1"/>
  <c r="J39" i="1"/>
  <c r="N54" i="4"/>
  <c r="K39" i="1" s="1"/>
  <c r="H72" i="1"/>
  <c r="H74" i="1" s="1"/>
  <c r="P42" i="7"/>
  <c r="D42" i="7"/>
  <c r="N43" i="4"/>
  <c r="N44" i="4" s="1"/>
  <c r="K19" i="1"/>
  <c r="K43" i="4"/>
  <c r="F55" i="7"/>
  <c r="F19" i="1"/>
  <c r="K42" i="4"/>
  <c r="F63" i="1"/>
  <c r="J63" i="1"/>
  <c r="I64" i="1"/>
  <c r="I65" i="1"/>
  <c r="M55" i="2"/>
  <c r="O61" i="2" s="1"/>
  <c r="I60" i="1"/>
  <c r="F59" i="1"/>
  <c r="N49" i="2"/>
  <c r="P60" i="2" s="1"/>
  <c r="N64" i="2" s="1"/>
  <c r="I7" i="22" l="1"/>
  <c r="J7" i="22" s="1"/>
  <c r="X34" i="9"/>
  <c r="AD34" i="9" s="1"/>
  <c r="B22" i="21"/>
  <c r="C28" i="21"/>
  <c r="C18" i="21"/>
  <c r="D18" i="21" s="1"/>
  <c r="C30" i="21"/>
  <c r="C20" i="21"/>
  <c r="D20" i="21" s="1"/>
  <c r="I45" i="1"/>
  <c r="I44" i="1" s="1"/>
  <c r="O39" i="1"/>
  <c r="E54" i="4"/>
  <c r="P39" i="1" s="1"/>
  <c r="X38" i="9"/>
  <c r="AD38" i="9" s="1"/>
  <c r="E45" i="1"/>
  <c r="E44" i="1" s="1"/>
  <c r="L55" i="4"/>
  <c r="I66" i="1" s="1"/>
  <c r="C64" i="1"/>
  <c r="C65" i="1"/>
  <c r="H63" i="9"/>
  <c r="H64" i="9" s="1"/>
  <c r="H65" i="9" s="1"/>
  <c r="I62" i="9" s="1"/>
  <c r="X36" i="9"/>
  <c r="AD36" i="9" s="1"/>
  <c r="AF36" i="9" s="1"/>
  <c r="G45" i="1"/>
  <c r="G44" i="1" s="1"/>
  <c r="G65" i="1"/>
  <c r="G64" i="1"/>
  <c r="E60" i="1"/>
  <c r="E62" i="1"/>
  <c r="E65" i="1"/>
  <c r="B49" i="7"/>
  <c r="M51" i="7"/>
  <c r="E45" i="4"/>
  <c r="G70" i="7" s="1"/>
  <c r="E125" i="4"/>
  <c r="P20" i="1"/>
  <c r="H49" i="7"/>
  <c r="H42" i="4"/>
  <c r="H44" i="4" s="1"/>
  <c r="H47" i="7"/>
  <c r="U19" i="1"/>
  <c r="O42" i="7"/>
  <c r="N124" i="4"/>
  <c r="N125" i="4"/>
  <c r="K20" i="1"/>
  <c r="N45" i="4"/>
  <c r="K21" i="1" s="1"/>
  <c r="K44" i="4"/>
  <c r="J44" i="4"/>
  <c r="J145" i="4" s="1"/>
  <c r="F62" i="1"/>
  <c r="J60" i="1"/>
  <c r="T36" i="1" s="1"/>
  <c r="U36" i="1" s="1"/>
  <c r="N55" i="2"/>
  <c r="Q61" i="2" s="1"/>
  <c r="O65" i="2" s="1"/>
  <c r="J62" i="1"/>
  <c r="J61" i="1"/>
  <c r="J59" i="1"/>
  <c r="I35" i="1" s="1"/>
  <c r="N50" i="2"/>
  <c r="P61" i="2" s="1"/>
  <c r="N65" i="2" s="1"/>
  <c r="N54" i="2"/>
  <c r="Q60" i="2" s="1"/>
  <c r="O64" i="2" s="1"/>
  <c r="F60" i="1"/>
  <c r="S35" i="1"/>
  <c r="F73" i="1"/>
  <c r="F74" i="1" s="1"/>
  <c r="J35" i="1"/>
  <c r="K35" i="1" s="1"/>
  <c r="D30" i="21" l="1"/>
  <c r="G30" i="21"/>
  <c r="F30" i="21"/>
  <c r="E30" i="21"/>
  <c r="A30" i="21"/>
  <c r="J30" i="21"/>
  <c r="G28" i="21"/>
  <c r="J28" i="21"/>
  <c r="A28" i="21"/>
  <c r="F28" i="21"/>
  <c r="D28" i="21"/>
  <c r="E28" i="21"/>
  <c r="C32" i="21"/>
  <c r="C22" i="21"/>
  <c r="D22" i="21" s="1"/>
  <c r="E64" i="1"/>
  <c r="F55" i="4"/>
  <c r="S66" i="1" s="1"/>
  <c r="AC35" i="9"/>
  <c r="AF35" i="9" s="1"/>
  <c r="I63" i="9"/>
  <c r="I64" i="9" s="1"/>
  <c r="I65" i="9" s="1"/>
  <c r="J62" i="9" s="1"/>
  <c r="D44" i="4"/>
  <c r="D145" i="4" s="1"/>
  <c r="P21" i="1"/>
  <c r="H124" i="4"/>
  <c r="U20" i="1"/>
  <c r="H45" i="4"/>
  <c r="H125" i="4"/>
  <c r="F20" i="1"/>
  <c r="K124" i="4"/>
  <c r="K125" i="4"/>
  <c r="J125" i="4"/>
  <c r="J124" i="4"/>
  <c r="I61" i="7"/>
  <c r="Q55" i="7"/>
  <c r="K45" i="4"/>
  <c r="K74" i="7" s="1"/>
  <c r="P55" i="7"/>
  <c r="E20" i="1"/>
  <c r="J45" i="4"/>
  <c r="L87" i="7"/>
  <c r="F65" i="1"/>
  <c r="F61" i="1"/>
  <c r="I36" i="1"/>
  <c r="J96" i="7"/>
  <c r="J73" i="1"/>
  <c r="J74" i="1" s="1"/>
  <c r="T35" i="1"/>
  <c r="U35" i="1" s="1"/>
  <c r="J65" i="1"/>
  <c r="J64" i="1"/>
  <c r="S36" i="1"/>
  <c r="J36" i="1"/>
  <c r="K36" i="1" s="1"/>
  <c r="G32" i="21" l="1"/>
  <c r="D32" i="21"/>
  <c r="E32" i="21"/>
  <c r="A32" i="21"/>
  <c r="J32" i="21"/>
  <c r="F32" i="21"/>
  <c r="E72" i="1"/>
  <c r="E74" i="1" s="1"/>
  <c r="AC34" i="9"/>
  <c r="AF34" i="9" s="1"/>
  <c r="J63" i="9"/>
  <c r="J64" i="9" s="1"/>
  <c r="J65" i="9" s="1"/>
  <c r="K62" i="9" s="1"/>
  <c r="D45" i="4"/>
  <c r="G68" i="7" s="1"/>
  <c r="D125" i="4"/>
  <c r="M49" i="7"/>
  <c r="D124" i="4"/>
  <c r="O20" i="1"/>
  <c r="H87" i="7"/>
  <c r="U21" i="1"/>
  <c r="M66" i="7"/>
  <c r="F21" i="1"/>
  <c r="L88" i="7"/>
  <c r="J74" i="7"/>
  <c r="E21" i="1"/>
  <c r="F64" i="1"/>
  <c r="L95" i="7"/>
  <c r="N95" i="7"/>
  <c r="K63" i="9" l="1"/>
  <c r="K64" i="9" s="1"/>
  <c r="K65" i="9" s="1"/>
  <c r="AC33" i="9"/>
  <c r="AF33" i="9" s="1"/>
  <c r="H88" i="7"/>
  <c r="O21" i="1"/>
  <c r="L96" i="7"/>
  <c r="N96" i="7"/>
  <c r="J95" i="7" l="1"/>
  <c r="D55" i="7"/>
  <c r="I44" i="4" l="1"/>
  <c r="L97" i="7"/>
  <c r="J97" i="7"/>
  <c r="N97" i="7"/>
  <c r="I95" i="7" l="1"/>
  <c r="F42" i="7"/>
  <c r="I45" i="4"/>
  <c r="D20" i="1"/>
  <c r="I124" i="4"/>
  <c r="I125" i="4"/>
  <c r="O55" i="7"/>
  <c r="K87" i="7"/>
  <c r="H97" i="7" s="1"/>
  <c r="I46" i="4"/>
  <c r="H51" i="7"/>
  <c r="L98" i="7"/>
  <c r="N98" i="7"/>
  <c r="I96" i="7" l="1"/>
  <c r="L44" i="4"/>
  <c r="L46" i="4" s="1"/>
  <c r="L47" i="4" s="1"/>
  <c r="J60" i="7" s="1"/>
  <c r="I74" i="7"/>
  <c r="D21" i="1"/>
  <c r="K88" i="7"/>
  <c r="H98" i="7" s="1"/>
  <c r="I47" i="4"/>
  <c r="J75" i="7" s="1"/>
  <c r="O56" i="7"/>
  <c r="I97" i="7" l="1"/>
  <c r="L45" i="4"/>
  <c r="I21" i="1" s="1"/>
  <c r="L124" i="4"/>
  <c r="L125" i="4"/>
  <c r="Q42" i="7"/>
  <c r="M87" i="7"/>
  <c r="O41" i="7"/>
  <c r="I20" i="1"/>
  <c r="J98" i="7"/>
  <c r="I98" i="7" l="1"/>
  <c r="K61" i="7"/>
  <c r="M88" i="7"/>
  <c r="C48" i="1" l="1"/>
  <c r="G72" i="1" l="1"/>
  <c r="G74" i="1" s="1"/>
  <c r="C55" i="4"/>
  <c r="N66" i="1" s="1"/>
  <c r="K95" i="7" l="1"/>
  <c r="M95" i="7"/>
  <c r="B47" i="7"/>
  <c r="K96" i="7" l="1"/>
  <c r="M96" i="7"/>
  <c r="C49" i="4"/>
  <c r="C50" i="4" s="1"/>
  <c r="M47" i="7"/>
  <c r="C46" i="4"/>
  <c r="L49" i="7" s="1"/>
  <c r="T84" i="4"/>
  <c r="O48" i="7" s="1"/>
  <c r="K98" i="7" l="1"/>
  <c r="M98" i="7"/>
  <c r="K97" i="7"/>
  <c r="M97" i="7"/>
  <c r="C47" i="4"/>
  <c r="F68" i="7" s="1"/>
  <c r="U84" i="4"/>
  <c r="I67" i="7" s="1"/>
  <c r="C44" i="4" l="1"/>
  <c r="G87" i="7" s="1"/>
  <c r="G97" i="7" s="1"/>
  <c r="F44" i="4"/>
  <c r="F125" i="4" s="1"/>
  <c r="G44" i="4"/>
  <c r="G124" i="4" s="1"/>
  <c r="I72" i="1"/>
  <c r="I74" i="1" s="1"/>
  <c r="C101" i="4"/>
  <c r="F46" i="4"/>
  <c r="S49" i="7" s="1"/>
  <c r="F101" i="4"/>
  <c r="N35" i="7"/>
  <c r="L101" i="4"/>
  <c r="I101" i="4"/>
  <c r="I55" i="4"/>
  <c r="D66" i="1" s="1"/>
  <c r="E55" i="7"/>
  <c r="J94" i="7"/>
  <c r="E55" i="4"/>
  <c r="P66" i="1" s="1"/>
  <c r="C43" i="1"/>
  <c r="D57" i="1"/>
  <c r="L94" i="7"/>
  <c r="I94" i="7"/>
  <c r="C124" i="4" l="1"/>
  <c r="F47" i="4"/>
  <c r="N68" i="7" s="1"/>
  <c r="F124" i="4"/>
  <c r="I87" i="7"/>
  <c r="S20" i="1"/>
  <c r="F45" i="4"/>
  <c r="M70" i="7" s="1"/>
  <c r="J87" i="7"/>
  <c r="C45" i="4"/>
  <c r="G45" i="4"/>
  <c r="G125" i="4"/>
  <c r="G145" i="4"/>
  <c r="N20" i="1"/>
  <c r="C125" i="4"/>
  <c r="T20" i="1"/>
  <c r="I88" i="7" l="1"/>
  <c r="D83" i="4"/>
  <c r="K84" i="7"/>
  <c r="H94" i="7" s="1"/>
  <c r="S21" i="1"/>
  <c r="G66" i="7"/>
  <c r="N21" i="1"/>
  <c r="G88" i="7"/>
  <c r="G98" i="7" s="1"/>
  <c r="M68" i="7"/>
  <c r="J88" i="7"/>
  <c r="T21" i="1"/>
  <c r="L84" i="7" l="1"/>
  <c r="F35" i="7"/>
  <c r="D35" i="7"/>
  <c r="E3" i="9"/>
  <c r="E55" i="9" s="1"/>
  <c r="C41" i="1"/>
  <c r="R64" i="4"/>
  <c r="D86" i="4"/>
  <c r="N55" i="4"/>
  <c r="K66" i="1" s="1"/>
  <c r="E59" i="9" l="1"/>
  <c r="Z39" i="9" s="1"/>
  <c r="E58" i="9"/>
  <c r="M44" i="4"/>
  <c r="M145" i="4" s="1"/>
  <c r="D146" i="4" s="1"/>
  <c r="D72" i="1"/>
  <c r="D74" i="1" s="1"/>
  <c r="H95" i="7"/>
  <c r="H96" i="7"/>
  <c r="C83" i="4"/>
  <c r="D3" i="9" s="1"/>
  <c r="D55" i="9" s="1"/>
  <c r="N87" i="7" l="1"/>
  <c r="J20" i="1"/>
  <c r="M45" i="4"/>
  <c r="N88" i="7" s="1"/>
  <c r="M125" i="4"/>
  <c r="BF125" i="4" s="1"/>
  <c r="M124" i="4"/>
  <c r="BF124" i="4" s="1"/>
  <c r="C37" i="4"/>
  <c r="C38" i="4" s="1"/>
  <c r="F73" i="4"/>
  <c r="D59" i="9"/>
  <c r="Z40" i="9" s="1"/>
  <c r="D58" i="9"/>
  <c r="G84" i="7"/>
  <c r="G94" i="7" s="1"/>
  <c r="C86" i="4"/>
  <c r="G83" i="4"/>
  <c r="H83" i="4"/>
  <c r="Q64" i="4"/>
  <c r="B41" i="1"/>
  <c r="J41" i="1" s="1"/>
  <c r="B17" i="21"/>
  <c r="D45" i="1"/>
  <c r="D44" i="1" s="1"/>
  <c r="X39" i="9"/>
  <c r="AD39" i="9" s="1"/>
  <c r="J21" i="1" l="1"/>
  <c r="J61" i="7"/>
  <c r="F63" i="4"/>
  <c r="F96" i="4" s="1"/>
  <c r="F58" i="4" s="1"/>
  <c r="C63" i="4"/>
  <c r="C96" i="4" s="1"/>
  <c r="C58" i="4" s="1"/>
  <c r="C73" i="4"/>
  <c r="F37" i="4"/>
  <c r="F38" i="4" s="1"/>
  <c r="F90" i="4" s="1"/>
  <c r="I84" i="7"/>
  <c r="M84" i="7"/>
  <c r="J84" i="7"/>
  <c r="G37" i="4"/>
  <c r="C71" i="4" s="1"/>
  <c r="C76" i="4" s="1"/>
  <c r="H31" i="7"/>
  <c r="H84" i="7"/>
  <c r="D37" i="4"/>
  <c r="F71" i="4" s="1"/>
  <c r="F76" i="4" s="1"/>
  <c r="B27" i="7"/>
  <c r="N84" i="7"/>
  <c r="F22" i="7"/>
  <c r="C17" i="21"/>
  <c r="D17" i="21" s="1"/>
  <c r="C27" i="21"/>
  <c r="B16" i="21"/>
  <c r="X40" i="9"/>
  <c r="AD40" i="9" s="1"/>
  <c r="AF40" i="9" s="1"/>
  <c r="D63" i="9"/>
  <c r="D64" i="9" s="1"/>
  <c r="D65" i="9" s="1"/>
  <c r="E62" i="9" s="1"/>
  <c r="C45" i="1"/>
  <c r="C44" i="1" s="1"/>
  <c r="F72" i="4"/>
  <c r="F77" i="4" s="1"/>
  <c r="C90" i="4"/>
  <c r="N17" i="1"/>
  <c r="C72" i="1" s="1"/>
  <c r="C74" i="1" s="1"/>
  <c r="C72" i="4"/>
  <c r="S17" i="1" l="1"/>
  <c r="C77" i="4"/>
  <c r="C93" i="4"/>
  <c r="C94" i="4" s="1"/>
  <c r="C92" i="4"/>
  <c r="F92" i="4"/>
  <c r="F93" i="4"/>
  <c r="F94" i="4" s="1"/>
  <c r="F97" i="4" s="1"/>
  <c r="F57" i="4" s="1"/>
  <c r="D22" i="7"/>
  <c r="H27" i="7"/>
  <c r="E28" i="7" s="1"/>
  <c r="H37" i="4"/>
  <c r="H38" i="4" s="1"/>
  <c r="G27" i="21"/>
  <c r="J27" i="21"/>
  <c r="A27" i="21"/>
  <c r="E27" i="21"/>
  <c r="F27" i="21"/>
  <c r="D27" i="21"/>
  <c r="G107" i="4"/>
  <c r="G108" i="4" s="1"/>
  <c r="G109" i="4" s="1"/>
  <c r="G111" i="4" s="1"/>
  <c r="G126" i="4" s="1"/>
  <c r="G38" i="4"/>
  <c r="F62" i="4"/>
  <c r="F64" i="4" s="1"/>
  <c r="F68" i="4" s="1"/>
  <c r="F54" i="4" s="1"/>
  <c r="S39" i="1" s="1"/>
  <c r="C16" i="21"/>
  <c r="D16" i="21" s="1"/>
  <c r="C26" i="21"/>
  <c r="F103" i="4"/>
  <c r="F60" i="4" s="1"/>
  <c r="AC39" i="9"/>
  <c r="AF39" i="9" s="1"/>
  <c r="E63" i="9"/>
  <c r="E64" i="9" s="1"/>
  <c r="E65" i="9" s="1"/>
  <c r="F62" i="9" s="1"/>
  <c r="B31" i="7"/>
  <c r="E37" i="4"/>
  <c r="E38" i="4" s="1"/>
  <c r="C103" i="4"/>
  <c r="C60" i="4" s="1"/>
  <c r="D107" i="4"/>
  <c r="D108" i="4" s="1"/>
  <c r="D109" i="4" s="1"/>
  <c r="D111" i="4" s="1"/>
  <c r="C62" i="4"/>
  <c r="C64" i="4" s="1"/>
  <c r="C68" i="4" s="1"/>
  <c r="C54" i="4" s="1"/>
  <c r="N39" i="1" s="1"/>
  <c r="D38" i="4"/>
  <c r="C99" i="4" l="1"/>
  <c r="F104" i="4"/>
  <c r="F59" i="4" s="1"/>
  <c r="C104" i="4"/>
  <c r="C59" i="4" s="1"/>
  <c r="C97" i="4"/>
  <c r="C57" i="4" s="1"/>
  <c r="F99" i="4"/>
  <c r="D126" i="4"/>
  <c r="BF126" i="4" s="1"/>
  <c r="C128" i="4" s="1"/>
  <c r="U17" i="1"/>
  <c r="H90" i="4"/>
  <c r="G26" i="21"/>
  <c r="J26" i="21"/>
  <c r="A26" i="21"/>
  <c r="D26" i="21"/>
  <c r="F26" i="21"/>
  <c r="E26" i="21"/>
  <c r="AC38" i="9"/>
  <c r="AF38" i="9" s="1"/>
  <c r="F63" i="9"/>
  <c r="F64" i="9" s="1"/>
  <c r="F65" i="9" s="1"/>
  <c r="G62" i="9" s="1"/>
  <c r="G117" i="4"/>
  <c r="G41" i="4"/>
  <c r="G90" i="4"/>
  <c r="T17" i="1"/>
  <c r="G144" i="4"/>
  <c r="G119" i="4"/>
  <c r="F41" i="4"/>
  <c r="D90" i="4"/>
  <c r="O17" i="1"/>
  <c r="D117" i="4"/>
  <c r="D144" i="4"/>
  <c r="D41" i="4"/>
  <c r="D119" i="4"/>
  <c r="C41" i="4"/>
  <c r="P17" i="1"/>
  <c r="E90" i="4"/>
  <c r="I5" i="22" l="1"/>
  <c r="J5" i="22" s="1"/>
  <c r="I2" i="22"/>
  <c r="J2" i="22" s="1"/>
  <c r="I3" i="22"/>
  <c r="J3" i="22"/>
  <c r="I6" i="22"/>
  <c r="J6" i="22"/>
  <c r="G120" i="4"/>
  <c r="G127" i="4" s="1"/>
  <c r="F43" i="4"/>
  <c r="F40" i="4"/>
  <c r="S18" i="1"/>
  <c r="I85" i="7"/>
  <c r="G63" i="9"/>
  <c r="G64" i="9" s="1"/>
  <c r="G65" i="9" s="1"/>
  <c r="AC37" i="9"/>
  <c r="AF37" i="9" s="1"/>
  <c r="D120" i="4"/>
  <c r="C40" i="4"/>
  <c r="C43" i="4"/>
  <c r="G85" i="7"/>
  <c r="G95" i="7" s="1"/>
  <c r="N18" i="1"/>
  <c r="O18" i="1"/>
  <c r="D43" i="4"/>
  <c r="D40" i="4"/>
  <c r="H85" i="7"/>
  <c r="T18" i="1"/>
  <c r="G43" i="4"/>
  <c r="G40" i="4"/>
  <c r="J85" i="7"/>
  <c r="N19" i="1" l="1"/>
  <c r="G86" i="7"/>
  <c r="G96" i="7" s="1"/>
  <c r="C42" i="4"/>
  <c r="T19" i="1"/>
  <c r="J86" i="7"/>
  <c r="G42" i="4"/>
  <c r="D42" i="4"/>
  <c r="H86" i="7"/>
  <c r="O19" i="1"/>
  <c r="D127" i="4"/>
  <c r="BF127" i="4" s="1"/>
  <c r="F42" i="4"/>
  <c r="S19" i="1"/>
  <c r="I86" i="7"/>
  <c r="I72" i="4" l="1"/>
  <c r="K37" i="4"/>
  <c r="K38" i="4" s="1"/>
  <c r="F17" i="1" s="1"/>
  <c r="L72" i="4"/>
  <c r="L37" i="4"/>
  <c r="L38" i="4" s="1"/>
  <c r="L63" i="4"/>
  <c r="L73" i="4"/>
  <c r="L77" i="4" s="1"/>
  <c r="I37" i="4"/>
  <c r="I38" i="4" s="1"/>
  <c r="I73" i="4"/>
  <c r="I63" i="4"/>
  <c r="J37" i="4"/>
  <c r="N37" i="4"/>
  <c r="N38" i="4" s="1"/>
  <c r="L71" i="4"/>
  <c r="L76" i="4" s="1"/>
  <c r="M37" i="4"/>
  <c r="I77" i="4" l="1"/>
  <c r="I103" i="4" s="1"/>
  <c r="I60" i="4" s="1"/>
  <c r="K90" i="4"/>
  <c r="L103" i="4"/>
  <c r="L60" i="4" s="1"/>
  <c r="I96" i="4"/>
  <c r="I58" i="4" s="1"/>
  <c r="L62" i="4"/>
  <c r="L64" i="4" s="1"/>
  <c r="L68" i="4" s="1"/>
  <c r="L54" i="4" s="1"/>
  <c r="I39" i="1" s="1"/>
  <c r="I71" i="4"/>
  <c r="I76" i="4" s="1"/>
  <c r="M38" i="4"/>
  <c r="M107" i="4"/>
  <c r="M108" i="4" s="1"/>
  <c r="M109" i="4" s="1"/>
  <c r="M111" i="4" s="1"/>
  <c r="M126" i="4" s="1"/>
  <c r="I90" i="4"/>
  <c r="D17" i="1"/>
  <c r="K17" i="1"/>
  <c r="N90" i="4"/>
  <c r="L96" i="4"/>
  <c r="L58" i="4" s="1"/>
  <c r="I62" i="4"/>
  <c r="I64" i="4" s="1"/>
  <c r="I68" i="4" s="1"/>
  <c r="I54" i="4" s="1"/>
  <c r="D39" i="1" s="1"/>
  <c r="J107" i="4"/>
  <c r="J108" i="4" s="1"/>
  <c r="J109" i="4" s="1"/>
  <c r="J111" i="4" s="1"/>
  <c r="J38" i="4"/>
  <c r="I41" i="4" s="1"/>
  <c r="I8" i="22" s="1"/>
  <c r="J8" i="22" s="1"/>
  <c r="I17" i="1"/>
  <c r="L90" i="4"/>
  <c r="D18" i="1" l="1"/>
  <c r="I43" i="4"/>
  <c r="I40" i="4"/>
  <c r="K85" i="7"/>
  <c r="J126" i="4"/>
  <c r="D112" i="4"/>
  <c r="M144" i="4"/>
  <c r="M90" i="4"/>
  <c r="J17" i="1"/>
  <c r="M41" i="4"/>
  <c r="I12" i="22" s="1"/>
  <c r="J12" i="22" s="1"/>
  <c r="M119" i="4"/>
  <c r="M117" i="4"/>
  <c r="J119" i="4"/>
  <c r="J117" i="4"/>
  <c r="J41" i="4"/>
  <c r="I9" i="22" s="1"/>
  <c r="J9" i="22" s="1"/>
  <c r="J144" i="4"/>
  <c r="J90" i="4"/>
  <c r="E17" i="1"/>
  <c r="I92" i="4"/>
  <c r="I93" i="4"/>
  <c r="I94" i="4" s="1"/>
  <c r="L92" i="4"/>
  <c r="L93" i="4"/>
  <c r="L94" i="4" s="1"/>
  <c r="L41" i="4"/>
  <c r="I11" i="22" s="1"/>
  <c r="J11" i="22" s="1"/>
  <c r="M120" i="4" l="1"/>
  <c r="M127" i="4" s="1"/>
  <c r="J120" i="4"/>
  <c r="J127" i="4" s="1"/>
  <c r="J40" i="4"/>
  <c r="L85" i="7"/>
  <c r="E18" i="1"/>
  <c r="J43" i="4"/>
  <c r="L99" i="4"/>
  <c r="L97" i="4"/>
  <c r="L57" i="4" s="1"/>
  <c r="L104" i="4"/>
  <c r="L59" i="4" s="1"/>
  <c r="L43" i="4"/>
  <c r="L40" i="4"/>
  <c r="I18" i="1"/>
  <c r="M85" i="7"/>
  <c r="I104" i="4"/>
  <c r="I59" i="4" s="1"/>
  <c r="I97" i="4"/>
  <c r="I57" i="4" s="1"/>
  <c r="I99" i="4"/>
  <c r="M43" i="4"/>
  <c r="M40" i="4"/>
  <c r="N85" i="7"/>
  <c r="J18" i="1"/>
  <c r="I42" i="4"/>
  <c r="D19" i="1"/>
  <c r="K86" i="7"/>
  <c r="D121" i="4" l="1"/>
  <c r="J42" i="4"/>
  <c r="L86" i="7"/>
  <c r="E19" i="1"/>
  <c r="I19" i="1"/>
  <c r="M86" i="7"/>
  <c r="L42" i="4"/>
  <c r="N86" i="7"/>
  <c r="J19" i="1"/>
  <c r="M42" i="4"/>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<sst xmlns="http://schemas.openxmlformats.org/spreadsheetml/2006/main" count="9020" uniqueCount="773">
  <si>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</si>
  <si>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</si>
  <si>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</si>
  <si>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</si>
  <si>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</si>
  <si>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</si>
  <si>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</si>
  <si>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</si>
  <si>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</si>
  <si>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</si>
  <si>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</si>
  <si>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</si>
  <si>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</si>
  <si>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</si>
  <si>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</si>
  <si>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</si>
  <si>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</si>
  <si>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</si>
  <si>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</si>
  <si>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</si>
  <si>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</si>
  <si>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</si>
  <si>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</si>
  <si>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</si>
  <si>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</si>
  <si>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</si>
  <si>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</si>
  <si>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</si>
  <si>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</si>
  <si>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</si>
  <si>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</si>
  <si>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</si>
  <si>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</si>
  <si>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</si>
  <si>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</si>
  <si>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</si>
  <si>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</si>
  <si>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</si>
  <si>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</si>
  <si>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</si>
  <si>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</si>
  <si>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</si>
  <si>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</si>
  <si>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</si>
  <si>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</si>
  <si>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</si>
  <si>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</si>
  <si>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</si>
  <si>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</si>
  <si>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</si>
  <si>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</si>
  <si>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</si>
  <si>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</si>
  <si>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</si>
  <si>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</si>
  <si>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</si>
  <si>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</si>
  <si>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</si>
  <si>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</si>
  <si>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</si>
  <si>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</si>
  <si>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</si>
  <si>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</si>
  <si>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</si>
  <si>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</si>
  <si>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</si>
  <si>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</si>
  <si>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</si>
  <si>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</si>
  <si>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</si>
  <si>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</si>
  <si>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</si>
  <si>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</si>
  <si>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</si>
  <si>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</si>
  <si>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</si>
  <si>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</si>
  <si>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</si>
  <si>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</si>
  <si>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</si>
  <si>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</si>
  <si>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</si>
  <si>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</si>
  <si>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</si>
  <si>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</si>
  <si>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</si>
  <si>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</si>
  <si>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</si>
  <si>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</si>
  <si>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</si>
  <si>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</si>
  <si>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</si>
  <si>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</si>
  <si>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</si>
  <si>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</si>
  <si>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</si>
  <si>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</si>
  <si>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</si>
  <si>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</si>
  <si>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</si>
  <si>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</si>
  <si>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</si>
  <si>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</si>
  <si>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</si>
  <si>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</si>
  <si>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</si>
  <si>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</si>
  <si>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</si>
  <si>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</si>
  <si>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</si>
  <si>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</si>
  <si>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</si>
  <si>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</si>
  <si>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</si>
  <si>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</si>
  <si>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</si>
  <si>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</si>
  <si>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</si>
  <si>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</si>
  <si>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</si>
  <si>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</si>
  <si>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</si>
  <si>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</si>
  <si>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</si>
  <si>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</si>
  <si>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</si>
  <si>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</si>
  <si>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</si>
  <si>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</si>
  <si>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</si>
  <si>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</si>
  <si>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</si>
  <si>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</si>
  <si>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</si>
  <si>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</si>
  <si>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</si>
  <si>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</si>
  <si>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</si>
  <si>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</si>
  <si>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</si>
  <si>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</si>
  <si>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</si>
  <si>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</si>
  <si>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</si>
  <si>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</si>
  <si>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</si>
  <si>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</si>
  <si>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</si>
  <si>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</si>
  <si>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</si>
  <si>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</si>
  <si>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</si>
  <si>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</si>
  <si>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</si>
  <si>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</si>
  <si>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</si>
  <si>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</si>
  <si>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</si>
  <si>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</si>
  <si>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</si>
  <si>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</si>
  <si>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</si>
  <si>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</si>
  <si>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</si>
  <si>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</si>
  <si>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</si>
  <si>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</si>
  <si>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</si>
  <si>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</si>
  <si>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</si>
  <si>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</si>
  <si>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</si>
  <si>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</si>
  <si>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</si>
  <si>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</si>
  <si>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</si>
  <si>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</si>
  <si>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</si>
  <si>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</si>
  <si>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</si>
  <si>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</si>
  <si>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</si>
  <si>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</si>
  <si>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</si>
  <si>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</si>
  <si>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</si>
  <si>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</si>
  <si>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</si>
  <si>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</si>
  <si>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</si>
  <si>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</si>
  <si>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</si>
  <si>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</si>
  <si>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</si>
  <si>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</si>
  <si>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</si>
  <si>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</si>
  <si>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</si>
  <si>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</si>
  <si>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</si>
  <si>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</si>
  <si>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</si>
  <si>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</si>
  <si>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</si>
  <si>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</si>
  <si>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</si>
  <si>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</si>
  <si>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</si>
  <si>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</si>
  <si>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</si>
  <si>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</si>
  <si>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</si>
  <si>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</si>
  <si>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</si>
  <si>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</si>
  <si>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</si>
  <si>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</si>
  <si>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</si>
  <si>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</si>
  <si>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</si>
  <si>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</si>
  <si>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</si>
  <si>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</si>
  <si>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</si>
  <si>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</si>
  <si>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</si>
  <si>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</si>
  <si>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</si>
  <si>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</si>
  <si>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</si>
  <si>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</si>
  <si>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</si>
  <si>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</si>
  <si>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</si>
  <si>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</si>
  <si>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</si>
  <si>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</si>
  <si>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</si>
  <si>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</si>
  <si>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</si>
  <si>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</si>
  <si>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</si>
  <si>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</si>
  <si>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</si>
  <si>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</si>
  <si>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</si>
  <si>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</si>
  <si>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</si>
  <si>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</si>
  <si>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</si>
  <si>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</si>
  <si>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</si>
  <si>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</si>
  <si>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</si>
  <si>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</si>
  <si>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</si>
  <si>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</si>
  <si>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</si>
  <si>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</si>
  <si>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</si>
  <si>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</si>
  <si>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</si>
  <si>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</si>
  <si>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</si>
  <si>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</si>
  <si>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</si>
  <si>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</si>
  <si>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</si>
  <si>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</si>
  <si>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</si>
  <si>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</si>
  <si>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</si>
  <si>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</si>
  <si>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</si>
  <si>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</si>
  <si>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</si>
  <si>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</si>
  <si>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</si>
  <si>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</si>
  <si>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</si>
  <si>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</si>
  <si>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</si>
  <si>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</si>
  <si>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</si>
  <si>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</si>
  <si>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</si>
  <si>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</si>
  <si>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</si>
  <si>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</si>
  <si>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</si>
  <si>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</si>
  <si>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</si>
  <si>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</si>
  <si>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</si>
  <si>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</si>
  <si>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</si>
  <si>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</si>
  <si>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</si>
  <si>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</si>
  <si>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</si>
  <si>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</si>
  <si>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</si>
  <si>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</si>
  <si>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</si>
  <si>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</si>
  <si>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</si>
  <si>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</si>
  <si>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</si>
  <si>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</si>
  <si>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</si>
  <si>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</si>
  <si>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</si>
  <si>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</si>
  <si>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</si>
  <si>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</si>
  <si>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</si>
  <si>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</si>
  <si>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</si>
  <si>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</si>
  <si>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</si>
  <si>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</si>
  <si>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</si>
  <si>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</si>
  <si>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</si>
  <si>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</si>
  <si>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</si>
  <si>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</si>
  <si>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</si>
  <si>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</si>
  <si>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</si>
  <si>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</si>
  <si>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</si>
  <si>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</si>
  <si>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</si>
  <si>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</si>
  <si>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</si>
  <si>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</si>
  <si>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</si>
  <si>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</si>
  <si>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</si>
  <si>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</si>
  <si>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</si>
  <si>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</si>
  <si>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</si>
  <si>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</si>
  <si>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</si>
  <si>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</si>
  <si>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</si>
  <si>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</si>
  <si>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</si>
  <si>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</si>
  <si>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</si>
  <si>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</si>
  <si>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</si>
  <si>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</si>
  <si>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</si>
  <si>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</si>
  <si>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</si>
  <si>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</si>
  <si>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</si>
  <si>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</si>
  <si>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</si>
  <si>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</si>
  <si>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</si>
  <si>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</si>
  <si>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</si>
  <si>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</si>
  <si>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</si>
  <si>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</si>
  <si>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</si>
  <si>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</si>
  <si>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</si>
  <si>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</si>
  <si>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</si>
  <si>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</si>
  <si>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</si>
  <si>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</si>
  <si>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</si>
  <si>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</si>
  <si>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</si>
  <si>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</si>
  <si>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</si>
  <si>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</si>
  <si>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</si>
  <si>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</si>
  <si>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</si>
  <si>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</si>
  <si>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</si>
  <si>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</si>
  <si>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</si>
  <si>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</si>
  <si>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</si>
  <si>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</si>
  <si>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</si>
  <si>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</si>
  <si>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</si>
  <si>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</si>
  <si>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</si>
  <si>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</si>
  <si>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</si>
  <si>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</si>
  <si>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</si>
  <si>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</si>
  <si>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</si>
  <si>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</si>
  <si>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</si>
  <si>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</si>
  <si>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</si>
  <si>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</si>
  <si>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</si>
  <si>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</si>
  <si>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</si>
  <si>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</si>
  <si>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</si>
  <si>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</si>
  <si>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</si>
  <si>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</si>
  <si>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</si>
  <si>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</si>
  <si>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</si>
  <si>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</si>
  <si>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</si>
  <si>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</si>
  <si>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</si>
  <si>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</si>
  <si>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</si>
  <si>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</si>
  <si>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</si>
  <si>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</si>
  <si>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</si>
  <si>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</si>
  <si>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</si>
  <si>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</si>
  <si>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</si>
  <si>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</si>
  <si>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</si>
  <si>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</si>
  <si>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</si>
  <si>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</si>
  <si>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</si>
  <si>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</si>
  <si>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</si>
  <si>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</si>
  <si>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</si>
  <si>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</si>
  <si>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</si>
  <si>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</si>
  <si>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</si>
  <si>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</si>
  <si>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</si>
  <si>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</si>
  <si>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</si>
  <si>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</si>
  <si>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</si>
  <si>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</si>
  <si>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</si>
  <si>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</si>
  <si>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</si>
  <si>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</si>
  <si>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</si>
  <si>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</si>
  <si>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</si>
  <si>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</si>
  <si>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</si>
  <si>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</si>
  <si>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</si>
  <si>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</si>
  <si>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</si>
  <si>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</si>
  <si>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</si>
  <si>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</si>
  <si>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</si>
  <si>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</si>
  <si>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</si>
  <si>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</si>
  <si>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</si>
  <si>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</si>
  <si>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</si>
  <si>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</si>
  <si>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</si>
  <si>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</si>
  <si>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</si>
  <si>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</si>
  <si>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</si>
  <si>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</si>
  <si>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</si>
  <si>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</si>
  <si>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</si>
  <si>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</si>
  <si>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</si>
  <si>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</si>
  <si>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</si>
  <si>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</si>
  <si>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</si>
  <si>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</si>
  <si>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</si>
  <si>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</si>
  <si>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</si>
  <si>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</si>
  <si>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</si>
  <si>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</si>
  <si>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</si>
  <si>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</si>
  <si>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</si>
  <si>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</si>
  <si>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</si>
  <si>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</si>
  <si>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</si>
  <si>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</si>
  <si>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</si>
  <si>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</si>
  <si>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</si>
  <si>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</si>
  <si>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</si>
  <si>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</si>
  <si>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</si>
  <si>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</si>
  <si>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</si>
  <si>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</si>
  <si>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</si>
  <si>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</si>
  <si>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</si>
  <si>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</si>
  <si>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</si>
  <si>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</si>
  <si>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</si>
  <si>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</si>
  <si>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</si>
  <si>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</si>
  <si>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</si>
  <si>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</si>
  <si>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</si>
  <si>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</si>
  <si>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</si>
  <si>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</si>
  <si>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</si>
  <si>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</si>
  <si>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</si>
  <si>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</si>
  <si>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</si>
  <si>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</si>
  <si>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</si>
  <si>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</si>
  <si>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</si>
  <si>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</si>
  <si>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</si>
  <si>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</si>
  <si>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</si>
  <si>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</si>
  <si>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</si>
  <si>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</si>
  <si>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</si>
  <si>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</si>
  <si>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</si>
  <si>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</si>
  <si>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</si>
  <si>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</si>
  <si>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</si>
  <si>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</si>
  <si>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</si>
  <si>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</si>
  <si>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</si>
  <si>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</si>
  <si>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</si>
  <si>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</si>
  <si>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</si>
  <si>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</si>
  <si>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</si>
  <si>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</si>
  <si>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</si>
  <si>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</si>
  <si>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</si>
  <si>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</si>
  <si>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</si>
  <si>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</si>
  <si>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</si>
  <si>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</si>
  <si>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</si>
  <si>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</si>
  <si>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</si>
  <si>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</si>
  <si>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</si>
  <si>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</si>
  <si>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</si>
  <si>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</si>
  <si>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</si>
  <si>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</si>
  <si>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</si>
  <si>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</si>
  <si>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</si>
  <si>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</si>
  <si>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</si>
  <si>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</si>
  <si>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</si>
  <si>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</si>
  <si>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</si>
  <si>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</si>
  <si>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</si>
  <si>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</si>
  <si>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</si>
  <si>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</si>
  <si>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</si>
  <si>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</si>
  <si>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</si>
  <si>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</si>
  <si>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</si>
  <si>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</si>
  <si>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</si>
  <si>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</si>
  <si>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</si>
  <si>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</si>
  <si>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</si>
  <si>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</si>
  <si>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</si>
  <si>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</si>
  <si>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</si>
  <si>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</si>
  <si>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</si>
  <si>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</si>
  <si>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</si>
  <si>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</si>
  <si>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</si>
  <si>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</si>
  <si>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</si>
  <si>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</si>
  <si>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</si>
  <si>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</si>
  <si>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</si>
  <si>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</si>
  <si>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</si>
  <si>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</si>
  <si>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</si>
  <si>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</si>
  <si>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</si>
  <si>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</si>
  <si>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</si>
  <si>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</si>
  <si>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COPYRIGHT © 2012-2021 MILAN ZLATKOVIC</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</si>
  <si>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</si>
  <si>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</si>
  <si>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</si>
  <si>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</si>
  <si>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</si>
  <si>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</si>
  <si>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</si>
  <si>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</si>
  <si>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</si>
  <si>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</si>
  <si>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</si>
  <si>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</si>
  <si>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</si>
  <si>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</si>
  <si>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</si>
  <si>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</si>
  <si>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</si>
  <si>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</si>
  <si>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</si>
  <si>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</si>
  <si>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</si>
  <si>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</si>
  <si>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</si>
  <si>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</si>
  <si>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</si>
  <si>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</si>
  <si>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</si>
  <si>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</si>
  <si>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</si>
  <si>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</si>
  <si>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</si>
  <si>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</si>
  <si>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</si>
  <si>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</si>
  <si>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</si>
  <si>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</si>
  <si>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</si>
  <si>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</si>
  <si>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</si>
  <si>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</si>
  <si>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</si>
  <si>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</si>
  <si>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</si>
  <si>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</si>
  <si>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</si>
  <si>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</si>
  <si>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</si>
  <si>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</si>
  <si>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</si>
  <si>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</si>
  <si>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</si>
  <si>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</si>
  <si>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</si>
  <si>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</si>
  <si>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</si>
  <si>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N 17th Ave</t>
  </si>
  <si>
    <t>W Bell Rd</t>
  </si>
  <si>
    <t>E Bell Rd</t>
  </si>
  <si>
    <t>N 15th Ave</t>
  </si>
  <si>
    <t>*12</t>
  </si>
  <si>
    <t>*1</t>
  </si>
  <si>
    <t>*0</t>
  </si>
  <si>
    <t>N 7th Ave</t>
  </si>
  <si>
    <t>Central Avenue</t>
  </si>
  <si>
    <t>N 3rd St</t>
  </si>
  <si>
    <t>N 7th St</t>
  </si>
  <si>
    <t>N 9th St</t>
  </si>
  <si>
    <t>N 12th St</t>
  </si>
  <si>
    <t>N 16th St</t>
  </si>
  <si>
    <t>N 20th St</t>
  </si>
  <si>
    <t>N Cave Creek Rd</t>
  </si>
  <si>
    <t>Cave Creek Rd</t>
  </si>
  <si>
    <t>N 28th St</t>
  </si>
  <si>
    <t>N 29th St</t>
  </si>
  <si>
    <t>N 32nd St</t>
  </si>
  <si>
    <t>N 34th Way</t>
  </si>
  <si>
    <t>*2</t>
  </si>
  <si>
    <t>Piestewa Fwy</t>
  </si>
  <si>
    <t>*36</t>
  </si>
  <si>
    <t>N 38th St</t>
  </si>
  <si>
    <t>N 40th St</t>
  </si>
  <si>
    <t>N 44th St</t>
  </si>
  <si>
    <t>14 St</t>
  </si>
  <si>
    <t>*3</t>
  </si>
  <si>
    <t>Lane Group Data</t>
  </si>
  <si>
    <t>WBU</t>
  </si>
  <si>
    <t>NEL2</t>
  </si>
  <si>
    <t>NER2</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</si>
  <si>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</si>
  <si>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</si>
  <si>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</si>
  <si>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</si>
  <si>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</si>
  <si>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</si>
  <si>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</si>
  <si>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</si>
  <si>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</si>
  <si>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</si>
  <si>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</si>
  <si>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</si>
  <si>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</si>
  <si>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</si>
  <si>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</si>
  <si>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</si>
  <si>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</si>
  <si>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</si>
  <si>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</si>
  <si>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</si>
  <si>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</si>
  <si>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</si>
  <si>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</si>
  <si>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</si>
  <si>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</si>
  <si>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</si>
  <si>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</si>
  <si>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</si>
  <si>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SignControl</t>
  </si>
  <si>
    <t>Timing Plan Settings</t>
  </si>
  <si>
    <t>Control Type</t>
  </si>
  <si>
    <t>Cycle Length</t>
  </si>
  <si>
    <t>Lock Timings</t>
  </si>
  <si>
    <t>Referenced To</t>
  </si>
  <si>
    <t>Reference Phase</t>
  </si>
  <si>
    <t>Master</t>
  </si>
  <si>
    <t>Node 0</t>
  </si>
  <si>
    <t>Node 1</t>
  </si>
  <si>
    <t>Phasing Data</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</si>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</sst>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77">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9"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0" borderId="0" xfId="0" applyFont="1" applyBorder="1" applyAlignment="1">
      <alignment vertical="center" wrapText="1"/>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multiLvlStrRef>
              <c:f>'Summary sheet'!$Q$90:$Q$98</c:f>
            </c:multiLvlStrRef>
          </c:cat>
          <c:val>
            <c:numRef>
              <c:f>Phasing!$AC$33:$AC$40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'Summary sheet'!$Q$90:$Q$98</c:f>
            </c:multiLvlStrRef>
          </c:cat>
          <c:val>
            <c:numRef>
              <c:f>Phasing!$AD$33:$AD$40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'Summary sheet'!$Q$90:$Q$98</c:f>
            </c:multiLvl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multiLvlStrRef>
              <c:f>'Summary sheet'!$Q$90:$Q$98</c:f>
            </c:multiLvlStrRef>
          </c:cat>
          <c:val>
            <c:numRef>
              <c:f>Phasing!$AF$33:$AF$40</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multiLvlStrRef>
              <c:f>'Summary sheet'!$Q$90:$Q$98</c:f>
            </c:multiLvlStrRef>
          </c:cat>
          <c:val>
            <c:numRef>
              <c:f>Phasing!$AC$33:$AC$40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'Summary sheet'!$Q$90:$Q$98</c:f>
            </c:multiLvlStrRef>
          </c:cat>
          <c:val>
            <c:numRef>
              <c:f>Phasing!$AD$33:$AD$40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'Summary sheet'!$Q$90:$Q$98</c:f>
            </c:multiLvl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multiLvlStrRef>
              <c:f>'Summary sheet'!$Q$90:$Q$98</c:f>
            </c:multiLvlStrRef>
          </c:cat>
          <c:val>
            <c:numRef>
              <c:f>Phasing!$AF$33:$AF$40</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320540" y="1367790"/>
          <a:ext cx="3185160" cy="190690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209800" y="5562600"/>
          <a:ext cx="2257425" cy="177165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137160</xdr:rowOff>
        </xdr:from>
        <xdr:to>
          <xdr:col>65</xdr:col>
          <xdr:colOff>594360</xdr:colOff>
          <xdr:row>22</xdr:row>
          <xdr:rowOff>137160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0 &amp; 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3">
      <c r="A4" s="59" t="s">
        <v>72</v>
      </c>
      <c r="B4" s="59">
        <v>4431</v>
      </c>
      <c r="C4" s="59">
        <v>0</v>
      </c>
      <c r="D4" s="59">
        <f>'Input sheet'!I21</f>
        <v>0</v>
      </c>
      <c r="E4" s="59">
        <f>'Input sheet'!J21</f>
        <v>0</v>
      </c>
      <c r="F4" s="59">
        <f>'Input sheet'!K21</f>
        <v>0</v>
      </c>
      <c r="G4" s="59">
        <v>0</v>
      </c>
      <c r="H4" s="59">
        <v>0</v>
      </c>
      <c r="I4" s="59">
        <f>'Input sheet'!K7</f>
        <v>0</v>
      </c>
      <c r="J4" s="59">
        <f>'Input sheet'!J7</f>
        <v>0</v>
      </c>
      <c r="K4" s="59">
        <f>'Input sheet'!I7</f>
        <v>0</v>
      </c>
      <c r="L4" s="59">
        <v>0</v>
      </c>
      <c r="M4" s="59">
        <v>0</v>
      </c>
      <c r="N4" s="59">
        <f>'Input sheet'!G12</f>
        <v>0</v>
      </c>
      <c r="O4" s="59">
        <f>'Input sheet'!G14</f>
        <v>0</v>
      </c>
      <c r="P4" s="59">
        <f>'Input sheet'!G16</f>
        <v>0</v>
      </c>
      <c r="Q4" s="59">
        <v>0</v>
      </c>
      <c r="R4" s="59">
        <v>0</v>
      </c>
      <c r="S4" s="59">
        <f>'Input sheet'!M16</f>
        <v>0</v>
      </c>
      <c r="T4" s="59">
        <f>'Input sheet'!M14</f>
        <v>0</v>
      </c>
      <c r="U4" s="59">
        <f>'Input sheet'!M12</f>
        <v>0</v>
      </c>
      <c r="V4" s="59">
        <v>0</v>
      </c>
      <c r="W4" s="59">
        <v>0</v>
      </c>
      <c r="X4" s="59">
        <v>0</v>
      </c>
      <c r="Y4" s="59">
        <v>0</v>
      </c>
      <c r="Z4" s="59">
        <v>0</v>
      </c>
      <c r="AA4" s="59">
        <v>0</v>
      </c>
      <c r="AB4" s="59">
        <v>0</v>
      </c>
      <c r="AC4" s="59">
        <v>0</v>
      </c>
      <c r="AD4" s="59">
        <v>0</v>
      </c>
      <c r="AE4" s="59">
        <v>0</v>
      </c>
      <c r="AF4" s="59">
        <v>0</v>
      </c>
      <c r="AG4" s="59">
        <v>0</v>
      </c>
      <c r="AH4" s="59">
        <v>0</v>
      </c>
    </row>
    <row r="5" spans="1:34" x14ac:dyDescent="0.3">
      <c r="A5" t="s">
        <v>36</v>
      </c>
      <c r="B5">
        <v>4431</v>
      </c>
      <c r="C5">
        <v>0</v>
      </c>
      <c r="D5">
        <f>'Input sheet'!I22</f>
        <v>0</v>
      </c>
      <c r="E5">
        <f>'Input sheet'!J22</f>
        <v>0</v>
      </c>
      <c r="F5">
        <f>'Input sheet'!K22</f>
        <v>0</v>
      </c>
      <c r="G5">
        <v>0</v>
      </c>
      <c r="H5">
        <v>0</v>
      </c>
      <c r="I5">
        <f>'Input sheet'!K6</f>
        <v>0</v>
      </c>
      <c r="J5">
        <f>'Input sheet'!J6</f>
        <v>0</v>
      </c>
      <c r="K5">
        <f>'Input sheet'!I6</f>
        <v>0</v>
      </c>
      <c r="L5">
        <v>0</v>
      </c>
      <c r="M5">
        <v>0</v>
      </c>
      <c r="N5">
        <f>'Input sheet'!F12</f>
        <v>0</v>
      </c>
      <c r="O5">
        <f>'Input sheet'!F14</f>
        <v>0</v>
      </c>
      <c r="P5">
        <f>'Input sheet'!F16</f>
        <v>0</v>
      </c>
      <c r="Q5">
        <v>0</v>
      </c>
      <c r="R5">
        <v>0</v>
      </c>
      <c r="S5">
        <f>'Input sheet'!N16</f>
        <v>0</v>
      </c>
      <c r="T5">
        <f>'Input sheet'!N14</f>
        <v>0</v>
      </c>
      <c r="U5">
        <f>'Input sheet'!N12</f>
        <v>0</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20</v>
      </c>
      <c r="F11">
        <v>0</v>
      </c>
      <c r="G11">
        <v>0</v>
      </c>
      <c r="H11">
        <v>0</v>
      </c>
      <c r="I11">
        <v>0</v>
      </c>
      <c r="J11">
        <f>'Input sheet'!J4</f>
        <v>20</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0</v>
      </c>
      <c r="E14" s="1">
        <f>'Phase designation'!G27</f>
        <v>0</v>
      </c>
      <c r="F14" s="1">
        <v>0</v>
      </c>
      <c r="I14" s="1">
        <f>'Phase designation'!H27</f>
        <v>0</v>
      </c>
      <c r="J14" s="1">
        <f>'Phase designation'!I27</f>
        <v>0</v>
      </c>
      <c r="K14" s="1">
        <v>0</v>
      </c>
      <c r="N14" s="1">
        <f>'Phase designation'!B27</f>
        <v>0</v>
      </c>
      <c r="O14" s="1">
        <f>'Phase designation'!C27</f>
        <v>0</v>
      </c>
      <c r="P14" s="1">
        <v>0</v>
      </c>
      <c r="S14" s="1">
        <f>'Phase designation'!D27</f>
        <v>0</v>
      </c>
      <c r="T14" s="1">
        <f>'Phase designation'!E27</f>
        <v>0</v>
      </c>
      <c r="U14" s="1">
        <v>0</v>
      </c>
    </row>
    <row r="15" spans="1:34" s="1" customFormat="1" x14ac:dyDescent="0.3">
      <c r="A15" s="1" t="s">
        <v>46</v>
      </c>
      <c r="B15" s="1">
        <v>1</v>
      </c>
      <c r="D15" s="1">
        <f>'Phase designation'!F28</f>
        <v>0</v>
      </c>
      <c r="E15" s="1">
        <f>'Phase designation'!G28</f>
        <v>0</v>
      </c>
      <c r="F15" s="1">
        <f>E14</f>
        <v>0</v>
      </c>
      <c r="I15" s="1">
        <f>'Phase designation'!H28</f>
        <v>0</v>
      </c>
      <c r="J15" s="1">
        <f>'Phase designation'!I28</f>
        <v>0</v>
      </c>
      <c r="K15" s="1">
        <f>J14</f>
        <v>0</v>
      </c>
      <c r="N15" s="1">
        <f>'Phase designation'!B28</f>
        <v>0</v>
      </c>
      <c r="O15" s="1">
        <f>'Phase designation'!C28</f>
        <v>0</v>
      </c>
      <c r="P15" s="1">
        <f>O14</f>
        <v>0</v>
      </c>
      <c r="S15" s="1">
        <f>'Phase designation'!D28</f>
        <v>0</v>
      </c>
      <c r="T15" s="1">
        <f>'Phase designation'!E28</f>
        <v>0</v>
      </c>
      <c r="U15" s="1">
        <f>T14</f>
        <v>0</v>
      </c>
    </row>
    <row r="16" spans="1:34" s="1" customFormat="1" x14ac:dyDescent="0.3">
      <c r="A16" s="1" t="s">
        <v>47</v>
      </c>
      <c r="B16" s="1">
        <v>1</v>
      </c>
      <c r="D16" s="1">
        <f>IF(D14&gt;0,D14,D15)</f>
        <v>0</v>
      </c>
      <c r="E16" s="1">
        <f>E14</f>
        <v>0</v>
      </c>
      <c r="F16" s="1">
        <f>E16</f>
        <v>0</v>
      </c>
      <c r="I16" s="1">
        <f>IF(I14&gt;0,I14,I15)</f>
        <v>0</v>
      </c>
      <c r="J16" s="1">
        <f>J14</f>
        <v>0</v>
      </c>
      <c r="K16" s="1">
        <f>J16</f>
        <v>0</v>
      </c>
      <c r="N16" s="1">
        <f>IF(N14&gt;0,N14,N15)</f>
        <v>0</v>
      </c>
      <c r="O16" s="1">
        <f>O14</f>
        <v>0</v>
      </c>
      <c r="P16" s="1">
        <f>O16</f>
        <v>0</v>
      </c>
      <c r="S16" s="1">
        <f>IF(S14&gt;0,S14,S15)</f>
        <v>0</v>
      </c>
      <c r="T16" s="1">
        <f>T14</f>
        <v>0</v>
      </c>
      <c r="U16" s="1">
        <f>T16</f>
        <v>0</v>
      </c>
    </row>
    <row r="17" spans="1:21" s="156" customFormat="1" x14ac:dyDescent="0.3">
      <c r="A17" s="156" t="s">
        <v>148</v>
      </c>
      <c r="B17" s="156">
        <v>1</v>
      </c>
      <c r="D17" s="156">
        <f>'Phase calculation'!I38</f>
        <v>0</v>
      </c>
      <c r="E17" s="156">
        <f>'Phase calculation'!J38</f>
        <v>0</v>
      </c>
      <c r="F17" s="156">
        <f>'Phase calculation'!K38</f>
        <v>0</v>
      </c>
      <c r="I17" s="156">
        <f>'Phase calculation'!L38</f>
        <v>0</v>
      </c>
      <c r="J17" s="156">
        <f>'Phase calculation'!M38</f>
        <v>0</v>
      </c>
      <c r="K17" s="156">
        <f>'Phase calculation'!N38</f>
        <v>0</v>
      </c>
      <c r="N17" s="156">
        <f>'Phase calculation'!C38</f>
        <v>0</v>
      </c>
      <c r="O17" s="156">
        <f>'Phase calculation'!D38</f>
        <v>0</v>
      </c>
      <c r="P17" s="156">
        <f>'Phase calculation'!E38</f>
        <v>0</v>
      </c>
      <c r="S17" s="156">
        <f>'Phase calculation'!F38</f>
        <v>0</v>
      </c>
      <c r="T17" s="156">
        <f>'Phase calculation'!G38</f>
        <v>0</v>
      </c>
      <c r="U17" s="156">
        <f>'Phase calculation'!H38</f>
        <v>0</v>
      </c>
    </row>
    <row r="18" spans="1:21" s="1" customFormat="1" x14ac:dyDescent="0.3">
      <c r="A18" s="1" t="s">
        <v>149</v>
      </c>
      <c r="B18" s="1">
        <v>1</v>
      </c>
      <c r="D18" s="1">
        <f>'Phase calculation'!I41</f>
        <v>0</v>
      </c>
      <c r="E18" s="1">
        <f>'Phase calculation'!J41</f>
        <v>0</v>
      </c>
      <c r="F18" s="1">
        <f>'Phase calculation'!K41</f>
        <v>0</v>
      </c>
      <c r="I18" s="1">
        <f>'Phase calculation'!L41</f>
        <v>0</v>
      </c>
      <c r="J18" s="1">
        <f>'Phase calculation'!M41</f>
        <v>0</v>
      </c>
      <c r="K18" s="1">
        <f>'Phase calculation'!N41</f>
        <v>0</v>
      </c>
      <c r="N18" s="1">
        <f>'Phase calculation'!C41</f>
        <v>0</v>
      </c>
      <c r="O18" s="1">
        <f>'Phase calculation'!D41</f>
        <v>0</v>
      </c>
      <c r="P18" s="1">
        <f>'Phase calculation'!E41</f>
        <v>0</v>
      </c>
      <c r="S18" s="1">
        <f>'Phase calculation'!F41</f>
        <v>0</v>
      </c>
      <c r="T18" s="1">
        <f>'Phase calculation'!G41</f>
        <v>0</v>
      </c>
      <c r="U18" s="1">
        <f>'Phase calculation'!H41</f>
        <v>0</v>
      </c>
    </row>
    <row r="19" spans="1:21" s="241" customFormat="1" x14ac:dyDescent="0.3">
      <c r="A19" s="241" t="s">
        <v>135</v>
      </c>
      <c r="B19" s="241">
        <v>1</v>
      </c>
      <c r="D19" s="241">
        <f>'Phase calculation'!I40</f>
        <v>0</v>
      </c>
      <c r="E19" s="241">
        <f>'Phase calculation'!J40</f>
        <v>0</v>
      </c>
      <c r="F19" s="241">
        <f>'Phase calculation'!K40</f>
        <v>0</v>
      </c>
      <c r="I19" s="241">
        <f>'Phase calculation'!L40</f>
        <v>0</v>
      </c>
      <c r="J19" s="241">
        <f>'Phase calculation'!M40</f>
        <v>0</v>
      </c>
      <c r="K19" s="241">
        <f>'Phase calculation'!N40</f>
        <v>0</v>
      </c>
      <c r="N19" s="241">
        <f>'Phase calculation'!C40</f>
        <v>0</v>
      </c>
      <c r="O19" s="241">
        <f>'Phase calculation'!D40</f>
        <v>0</v>
      </c>
      <c r="P19" s="241">
        <f>'Phase calculation'!E40</f>
        <v>0</v>
      </c>
      <c r="S19" s="241">
        <f>'Phase calculation'!F40</f>
        <v>0</v>
      </c>
      <c r="T19" s="241">
        <f>'Phase calculation'!G40</f>
        <v>0</v>
      </c>
      <c r="U19" s="241">
        <f>'Phase calculation'!H40</f>
        <v>0</v>
      </c>
    </row>
    <row r="20" spans="1:21" s="242" customFormat="1" x14ac:dyDescent="0.3">
      <c r="A20" s="242" t="s">
        <v>150</v>
      </c>
      <c r="B20" s="242">
        <v>1</v>
      </c>
      <c r="D20" s="242">
        <f>'Phase calculation'!I44</f>
        <v>0</v>
      </c>
      <c r="E20" s="242">
        <f>'Phase calculation'!J44</f>
        <v>0</v>
      </c>
      <c r="F20" s="242">
        <f>'Phase calculation'!K44</f>
        <v>0</v>
      </c>
      <c r="I20" s="242">
        <f>'Phase calculation'!L44</f>
        <v>0</v>
      </c>
      <c r="J20" s="242">
        <f>'Phase calculation'!M44</f>
        <v>0</v>
      </c>
      <c r="K20" s="242">
        <f>'Phase calculation'!N44</f>
        <v>0</v>
      </c>
      <c r="N20" s="242">
        <f>'Phase calculation'!C44</f>
        <v>0</v>
      </c>
      <c r="O20" s="242">
        <f>'Phase calculation'!D44</f>
        <v>0</v>
      </c>
      <c r="P20" s="242">
        <f>'Phase calculation'!E44</f>
        <v>0</v>
      </c>
      <c r="S20" s="242">
        <f>'Phase calculation'!F44</f>
        <v>0</v>
      </c>
      <c r="T20" s="242">
        <f>'Phase calculation'!G44</f>
        <v>0</v>
      </c>
      <c r="U20" s="242">
        <f>'Phase calculation'!H44</f>
        <v>0</v>
      </c>
    </row>
    <row r="21" spans="1:21" s="1" customFormat="1" x14ac:dyDescent="0.3">
      <c r="A21" s="1" t="s">
        <v>139</v>
      </c>
      <c r="B21" s="1">
        <v>1</v>
      </c>
      <c r="D21" s="73" t="str">
        <f>'Phase calculation'!I45</f>
        <v>N/A</v>
      </c>
      <c r="E21" s="237" t="str">
        <f>'Phase calculation'!J45</f>
        <v>N/A</v>
      </c>
      <c r="F21" s="237" t="str">
        <f>'Phase calculation'!K45</f>
        <v>N/A</v>
      </c>
      <c r="G21" s="73"/>
      <c r="H21" s="73"/>
      <c r="I21" s="73" t="str">
        <f>'Phase calculation'!L45</f>
        <v>N/A</v>
      </c>
      <c r="J21" s="237" t="str">
        <f>'Phase calculation'!M45</f>
        <v>N/A</v>
      </c>
      <c r="K21" s="237" t="str">
        <f>'Phase calculation'!N45</f>
        <v>N/A</v>
      </c>
      <c r="L21" s="73"/>
      <c r="M21" s="73"/>
      <c r="N21" s="73" t="str">
        <f>'Phase calculation'!C45</f>
        <v>N/A</v>
      </c>
      <c r="O21" s="237" t="str">
        <f>'Phase calculation'!D45</f>
        <v>N/A</v>
      </c>
      <c r="P21" s="237" t="str">
        <f>'Phase calculation'!E45</f>
        <v>N/A</v>
      </c>
      <c r="Q21" s="73"/>
      <c r="R21" s="73"/>
      <c r="S21" s="73" t="str">
        <f>'Phase calculation'!F45</f>
        <v>N/A</v>
      </c>
      <c r="T21" s="237" t="str">
        <f>'Phase calculation'!G45</f>
        <v>N/A</v>
      </c>
      <c r="U21" s="237" t="str">
        <f>'Phase calculation'!H45</f>
        <v>N/A</v>
      </c>
    </row>
    <row r="22" spans="1:21" x14ac:dyDescent="0.3">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460</v>
      </c>
      <c r="B24" s="1">
        <v>1</v>
      </c>
      <c r="D24" s="1">
        <f>'Phase calculation'!I11</f>
        <v>0</v>
      </c>
      <c r="E24" s="1">
        <f>'Phase calculation'!J11</f>
        <v>0</v>
      </c>
      <c r="F24" s="1">
        <f>'Phase calculation'!K11</f>
        <v>0</v>
      </c>
      <c r="I24" s="1">
        <f>'Phase calculation'!L11</f>
        <v>0</v>
      </c>
      <c r="J24" s="1">
        <f>'Phase calculation'!M11</f>
        <v>0</v>
      </c>
      <c r="K24" s="1">
        <f>'Phase calculation'!N11</f>
        <v>0</v>
      </c>
      <c r="N24" s="1">
        <f>'Phase calculation'!C11</f>
        <v>0</v>
      </c>
      <c r="O24" s="1">
        <f>'Phase calculation'!D11</f>
        <v>0</v>
      </c>
      <c r="P24" s="1">
        <f>'Phase calculation'!E11</f>
        <v>0</v>
      </c>
      <c r="S24" s="1">
        <f>'Phase calculation'!F11</f>
        <v>0</v>
      </c>
      <c r="T24" s="1">
        <f>'Phase calculation'!G11</f>
        <v>0</v>
      </c>
      <c r="U24" s="1">
        <f>'Phase calculation'!H11</f>
        <v>0</v>
      </c>
    </row>
    <row r="25" spans="1:21" s="1" customFormat="1" x14ac:dyDescent="0.3">
      <c r="A25" s="1" t="s">
        <v>50</v>
      </c>
      <c r="B25" s="1">
        <v>1</v>
      </c>
      <c r="D25" s="1">
        <f>'Phase calculation'!I14</f>
        <v>0</v>
      </c>
      <c r="E25" s="1">
        <f>'Phase calculation'!J14</f>
        <v>0</v>
      </c>
      <c r="F25" s="1">
        <f>'Phase calculation'!K14</f>
        <v>0</v>
      </c>
      <c r="I25" s="1">
        <f>'Phase calculation'!L14</f>
        <v>0</v>
      </c>
      <c r="J25" s="1">
        <f>'Phase calculation'!M14</f>
        <v>0</v>
      </c>
      <c r="K25" s="1">
        <f>'Phase calculation'!N14</f>
        <v>0</v>
      </c>
      <c r="N25" s="1">
        <f>'Phase calculation'!C14</f>
        <v>0</v>
      </c>
      <c r="O25" s="1">
        <f>'Phase calculation'!D14</f>
        <v>0</v>
      </c>
      <c r="P25" s="1">
        <f>'Phase calculation'!E14</f>
        <v>0</v>
      </c>
      <c r="S25" s="1">
        <f>'Phase calculation'!F14</f>
        <v>0</v>
      </c>
      <c r="T25" s="1">
        <f>'Phase calculation'!G14</f>
        <v>0</v>
      </c>
      <c r="U25" s="1">
        <f>'Phase calculation'!H14</f>
        <v>0</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s="62" customFormat="1" x14ac:dyDescent="0.3">
      <c r="A29" s="62" t="s">
        <v>54</v>
      </c>
      <c r="B29" s="62">
        <v>1</v>
      </c>
      <c r="E29" s="62">
        <f>IF('Input sheet'!M22="Yes",10,0)</f>
        <v>10</v>
      </c>
      <c r="J29" s="62">
        <f>IF('Input sheet'!L5="Yes",10,0)</f>
        <v>10</v>
      </c>
      <c r="O29" s="62">
        <f>IF('Input sheet'!D16="Yes",10,0)</f>
        <v>10</v>
      </c>
      <c r="T29" s="62">
        <f>IF('Input sheet'!P16="Yes",10,0)</f>
        <v>10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0.92</v>
      </c>
      <c r="E31">
        <f>'Input sheet'!$V$4</f>
        <v>0.92</v>
      </c>
      <c r="F31">
        <f>'Input sheet'!$V$4</f>
        <v>0.92</v>
      </c>
      <c r="I31">
        <f>'Input sheet'!$V$4</f>
        <v>0.92</v>
      </c>
      <c r="J31">
        <f>'Input sheet'!$V$4</f>
        <v>0.92</v>
      </c>
      <c r="K31">
        <f>'Input sheet'!$V$4</f>
        <v>0.92</v>
      </c>
      <c r="N31">
        <f>'Input sheet'!$V$4</f>
        <v>0.92</v>
      </c>
      <c r="O31">
        <f>'Input sheet'!$V$4</f>
        <v>0.92</v>
      </c>
      <c r="P31">
        <f>'Input sheet'!$V$4</f>
        <v>0.92</v>
      </c>
      <c r="S31">
        <f>'Input sheet'!$V$4</f>
        <v>0.92</v>
      </c>
      <c r="T31">
        <f>'Input sheet'!$V$4</f>
        <v>0.92</v>
      </c>
      <c r="U31">
        <f>'Input sheet'!$V$4</f>
        <v>0.92</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7</v>
      </c>
      <c r="E33">
        <f>'Input sheet'!$V$5</f>
        <v>7</v>
      </c>
      <c r="F33">
        <f>'Input sheet'!$V$5</f>
        <v>7</v>
      </c>
      <c r="I33">
        <f>'Input sheet'!$V$5</f>
        <v>7</v>
      </c>
      <c r="J33">
        <f>'Input sheet'!$V$5</f>
        <v>7</v>
      </c>
      <c r="K33">
        <f>'Input sheet'!$V$5</f>
        <v>7</v>
      </c>
      <c r="N33">
        <f>'Input sheet'!$V$5</f>
        <v>7</v>
      </c>
      <c r="O33">
        <f>'Input sheet'!$V$5</f>
        <v>7</v>
      </c>
      <c r="P33">
        <f>'Input sheet'!$V$5</f>
        <v>7</v>
      </c>
      <c r="S33">
        <f>'Input sheet'!$V$5</f>
        <v>7</v>
      </c>
      <c r="T33">
        <f>'Input sheet'!$V$5</f>
        <v>7</v>
      </c>
      <c r="U33">
        <f>'Input sheet'!$V$5</f>
        <v>7</v>
      </c>
    </row>
    <row r="34" spans="1:31" x14ac:dyDescent="0.3">
      <c r="A34" t="s">
        <v>59</v>
      </c>
      <c r="B34">
        <v>1</v>
      </c>
      <c r="D34">
        <v>0</v>
      </c>
      <c r="E34">
        <v>0</v>
      </c>
      <c r="F34">
        <v>0</v>
      </c>
      <c r="I34">
        <v>0</v>
      </c>
      <c r="J34">
        <v>0</v>
      </c>
      <c r="K34">
        <v>0</v>
      </c>
      <c r="N34">
        <v>0</v>
      </c>
      <c r="O34">
        <v>0</v>
      </c>
      <c r="P34">
        <v>0</v>
      </c>
      <c r="S34">
        <v>0</v>
      </c>
      <c r="T34">
        <v>0</v>
      </c>
      <c r="U34">
        <v>0</v>
      </c>
    </row>
    <row r="35" spans="1:31" x14ac:dyDescent="0.3">
      <c r="A35" s="67" t="s">
        <v>457</v>
      </c>
      <c r="B35" s="67">
        <v>1</v>
      </c>
      <c r="C35" s="67"/>
      <c r="D35" s="67">
        <f>IF(C70=0,0,INDEX($C$59:$J$59,C70))</f>
        <v>0</v>
      </c>
      <c r="E35" s="67">
        <f>IF(D70=0,0,INDEX($C$59:$J$59,D70))</f>
        <v>0</v>
      </c>
      <c r="F35" s="67">
        <f>E35</f>
        <v>0</v>
      </c>
      <c r="G35" s="67"/>
      <c r="H35" s="67"/>
      <c r="I35" s="67">
        <f>IF(E70=0,0,INDEX($C$59:$J$59,E70))</f>
        <v>0</v>
      </c>
      <c r="J35" s="67">
        <f>IF(F70=0,0,INDEX($C$59:$J$59,F70))</f>
        <v>0</v>
      </c>
      <c r="K35" s="67">
        <f>J35</f>
        <v>0</v>
      </c>
      <c r="L35" s="67"/>
      <c r="M35" s="67"/>
      <c r="N35" s="67">
        <f>IF(G70=0,0,INDEX($C$59:$J$59,G70))</f>
        <v>0</v>
      </c>
      <c r="O35" s="67">
        <f>IF(H70=0,0,INDEX($C$59:$J$59,H70))</f>
        <v>0</v>
      </c>
      <c r="P35" s="67">
        <f>O35</f>
        <v>0</v>
      </c>
      <c r="Q35" s="67"/>
      <c r="R35" s="67"/>
      <c r="S35" s="67">
        <f>IF(I70=0,0,INDEX($C$59:$J$59,I70))</f>
        <v>0</v>
      </c>
      <c r="T35" s="67">
        <f>IF(J70=0,0,INDEX($C$59:$J$59,J70))</f>
        <v>0</v>
      </c>
      <c r="U35" s="67">
        <f>T35</f>
        <v>0</v>
      </c>
      <c r="V35" s="67"/>
    </row>
    <row r="36" spans="1:31" x14ac:dyDescent="0.3">
      <c r="A36" s="59" t="s">
        <v>458</v>
      </c>
      <c r="B36" s="59">
        <v>1</v>
      </c>
      <c r="C36" s="59"/>
      <c r="D36" s="59">
        <f>IF(C70=0,0,INDEX($C$60:$J$60,C70))</f>
        <v>0</v>
      </c>
      <c r="E36" s="59">
        <f>IF(D70=0,0,INDEX($C$60:$J$60,D70))</f>
        <v>0</v>
      </c>
      <c r="F36" s="59">
        <f>E36</f>
        <v>0</v>
      </c>
      <c r="G36" s="59"/>
      <c r="H36" s="59"/>
      <c r="I36" s="59">
        <f>IF(E70=0,0,INDEX($C$60:$J$60,E70))</f>
        <v>0</v>
      </c>
      <c r="J36" s="59">
        <f>IF(F70=0,0,INDEX($C$60:$J$60,F70))</f>
        <v>0</v>
      </c>
      <c r="K36" s="59">
        <f>J36</f>
        <v>0</v>
      </c>
      <c r="L36" s="59"/>
      <c r="M36" s="59"/>
      <c r="N36" s="59">
        <f>IF(G70=0,0,INDEX($C$60:$J$60,G70))</f>
        <v>0</v>
      </c>
      <c r="O36" s="59">
        <f>IF(H70=0,0,INDEX($C$60:$J$60,H70))</f>
        <v>0</v>
      </c>
      <c r="P36" s="59">
        <f>O36</f>
        <v>0</v>
      </c>
      <c r="Q36" s="59"/>
      <c r="R36" s="59"/>
      <c r="S36" s="59">
        <f>IF(I70=0,0,INDEX($C$60:$J$60,I70))</f>
        <v>0</v>
      </c>
      <c r="T36" s="59">
        <f>IF(J70=0,0,INDEX($C$60:$J$60,J70))</f>
        <v>0</v>
      </c>
      <c r="U36" s="59">
        <f>T36</f>
        <v>0</v>
      </c>
      <c r="V36" s="59"/>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155">
        <f>'Input sheet'!I26</f>
        <v>0</v>
      </c>
      <c r="J38" s="155">
        <f>'Input sheet'!I2</f>
        <v>0</v>
      </c>
      <c r="O38" s="155">
        <f>'Input sheet'!A13</f>
        <v>0</v>
      </c>
      <c r="T38" s="155">
        <f>'Input sheet'!R13</f>
        <v>0</v>
      </c>
    </row>
    <row r="39" spans="1:31" s="156" customFormat="1" x14ac:dyDescent="0.3">
      <c r="A39" s="156" t="s">
        <v>354</v>
      </c>
      <c r="D39" s="156">
        <f>'Phase calculation'!I54</f>
        <v>0</v>
      </c>
      <c r="E39" s="156">
        <f>'Phase calculation'!J54</f>
        <v>0</v>
      </c>
      <c r="F39" s="156">
        <f>'Phase calculation'!K54</f>
        <v>0</v>
      </c>
      <c r="I39" s="156">
        <f>'Phase calculation'!L54</f>
        <v>0</v>
      </c>
      <c r="J39" s="156">
        <f>'Phase calculation'!M54</f>
        <v>0</v>
      </c>
      <c r="K39" s="156">
        <f>'Phase calculation'!N54</f>
        <v>0</v>
      </c>
      <c r="N39" s="156">
        <f>'Phase calculation'!C54</f>
        <v>0</v>
      </c>
      <c r="O39" s="156">
        <f>'Phase calculation'!D54</f>
        <v>0</v>
      </c>
      <c r="P39" s="156">
        <f>'Phase calculation'!E54</f>
        <v>0</v>
      </c>
      <c r="S39" s="156">
        <f>'Phase calculation'!F54</f>
        <v>0</v>
      </c>
      <c r="T39" s="156">
        <f>'Phase calculation'!G54</f>
        <v>0</v>
      </c>
      <c r="U39" s="156">
        <f>'Phase calculation'!H54</f>
        <v>0</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67">
        <f>'Phase calculation'!C83</f>
        <v>0</v>
      </c>
      <c r="C41" s="67">
        <f>'Phase calculation'!D83</f>
        <v>0</v>
      </c>
      <c r="D41" s="67">
        <f>'Phase calculation'!E83</f>
        <v>0</v>
      </c>
      <c r="E41" s="67">
        <f>'Phase calculation'!F83</f>
        <v>0</v>
      </c>
      <c r="F41" s="67">
        <f>'Phase calculation'!C84</f>
        <v>0</v>
      </c>
      <c r="G41" s="67">
        <f>'Phase calculation'!D84</f>
        <v>0</v>
      </c>
      <c r="H41" s="67">
        <f>'Phase calculation'!E84</f>
        <v>0</v>
      </c>
      <c r="I41" s="67">
        <f>'Phase calculation'!F84</f>
        <v>0</v>
      </c>
      <c r="J41" s="67">
        <f>IF(SUM(B41:I41)=0,0,'Phase calculation'!C25)</f>
        <v>0</v>
      </c>
      <c r="K41" s="62">
        <v>0</v>
      </c>
      <c r="L41" s="62">
        <v>1357</v>
      </c>
      <c r="M41" s="62">
        <v>0</v>
      </c>
    </row>
    <row r="42" spans="1:31" s="62" customFormat="1" x14ac:dyDescent="0.3">
      <c r="A42" s="200" t="s">
        <v>0</v>
      </c>
      <c r="B42" s="62" t="str">
        <f>Phasing!C29</f>
        <v>INTID</v>
      </c>
      <c r="C42" s="373" t="str">
        <f>Phasing!D29</f>
        <v>D1</v>
      </c>
      <c r="D42" s="373" t="str">
        <f>Phasing!E29</f>
        <v>D2</v>
      </c>
      <c r="E42" s="373" t="str">
        <f>Phasing!F29</f>
        <v>D3</v>
      </c>
      <c r="F42" s="373" t="str">
        <f>Phasing!G29</f>
        <v>D4</v>
      </c>
      <c r="G42" s="373" t="str">
        <f>Phasing!H29</f>
        <v>D5</v>
      </c>
      <c r="H42" s="373" t="str">
        <f>Phasing!I29</f>
        <v>D6</v>
      </c>
      <c r="I42" s="373" t="str">
        <f>Phasing!J29</f>
        <v>D7</v>
      </c>
      <c r="J42" s="373" t="str">
        <f>Phasing!K29</f>
        <v>D8</v>
      </c>
    </row>
    <row r="43" spans="1:31" x14ac:dyDescent="0.3">
      <c r="A43" s="200" t="s">
        <v>254</v>
      </c>
      <c r="B43" s="62">
        <f>Phasing!C30</f>
        <v>0</v>
      </c>
      <c r="C43" s="373">
        <f>Phasing!D30</f>
        <v>0</v>
      </c>
      <c r="D43" s="373">
        <f>Phasing!E30</f>
        <v>0</v>
      </c>
      <c r="E43" s="373">
        <f>Phasing!F30</f>
        <v>0</v>
      </c>
      <c r="F43" s="373">
        <f>Phasing!G30</f>
        <v>0</v>
      </c>
      <c r="G43" s="373">
        <f>Phasing!H30</f>
        <v>0</v>
      </c>
      <c r="H43" s="373">
        <f>Phasing!I30</f>
        <v>0</v>
      </c>
      <c r="I43" s="373">
        <f>Phasing!J30</f>
        <v>0</v>
      </c>
      <c r="J43" s="373">
        <f>Phasing!K30</f>
        <v>0</v>
      </c>
      <c r="O43" s="519" t="s">
        <v>203</v>
      </c>
      <c r="P43" s="519"/>
      <c r="Q43" s="519"/>
      <c r="R43" s="519"/>
      <c r="S43" s="519"/>
      <c r="T43" s="519"/>
      <c r="U43" s="519"/>
      <c r="V43" s="519"/>
    </row>
    <row r="44" spans="1:31" x14ac:dyDescent="0.3">
      <c r="A44" s="200" t="s">
        <v>255</v>
      </c>
      <c r="B44" s="62">
        <f>Phasing!C31</f>
        <v>0</v>
      </c>
      <c r="C44" s="373">
        <f>C45</f>
        <v>0</v>
      </c>
      <c r="D44" s="373">
        <f t="shared" ref="D44:J44" si="0">D45</f>
        <v>0</v>
      </c>
      <c r="E44" s="373">
        <f t="shared" si="0"/>
        <v>0</v>
      </c>
      <c r="F44" s="373">
        <f t="shared" si="0"/>
        <v>0</v>
      </c>
      <c r="G44" s="373">
        <f t="shared" si="0"/>
        <v>0</v>
      </c>
      <c r="H44" s="373">
        <f t="shared" si="0"/>
        <v>0</v>
      </c>
      <c r="I44" s="373">
        <f t="shared" si="0"/>
        <v>0</v>
      </c>
      <c r="J44" s="373">
        <f t="shared" si="0"/>
        <v>0</v>
      </c>
      <c r="O44" s="525" t="s">
        <v>201</v>
      </c>
      <c r="P44" s="525"/>
      <c r="Q44" s="525"/>
      <c r="R44" s="525"/>
      <c r="S44" s="525"/>
      <c r="T44" s="525"/>
      <c r="U44" s="525"/>
      <c r="V44" s="525"/>
      <c r="X44" s="526" t="s">
        <v>239</v>
      </c>
      <c r="Y44" s="526"/>
      <c r="Z44" s="526"/>
      <c r="AA44" s="526"/>
      <c r="AB44" s="526"/>
      <c r="AC44" s="526"/>
      <c r="AD44" s="526"/>
      <c r="AE44" s="526"/>
    </row>
    <row r="45" spans="1:31" ht="15" customHeight="1" x14ac:dyDescent="0.3">
      <c r="A45" s="200" t="s">
        <v>256</v>
      </c>
      <c r="B45" s="62">
        <f>Phasing!C32</f>
        <v>0</v>
      </c>
      <c r="C45" s="373">
        <f>Phasing!D58</f>
        <v>0</v>
      </c>
      <c r="D45" s="373">
        <f>Phasing!E58</f>
        <v>0</v>
      </c>
      <c r="E45" s="373">
        <f>Phasing!F58</f>
        <v>0</v>
      </c>
      <c r="F45" s="373">
        <f>Phasing!G58</f>
        <v>0</v>
      </c>
      <c r="G45" s="373">
        <f>Phasing!H58</f>
        <v>0</v>
      </c>
      <c r="H45" s="373">
        <f>Phasing!I58</f>
        <v>0</v>
      </c>
      <c r="I45" s="373">
        <f>Phasing!J58</f>
        <v>0</v>
      </c>
      <c r="J45" s="373">
        <f>Phasing!K58</f>
        <v>0</v>
      </c>
      <c r="O45" s="98" t="s">
        <v>202</v>
      </c>
      <c r="P45" s="98"/>
      <c r="Q45" s="98"/>
      <c r="R45" s="98"/>
      <c r="S45" s="98"/>
      <c r="T45" s="98"/>
      <c r="U45" s="98"/>
      <c r="V45" s="99"/>
      <c r="X45" s="526"/>
      <c r="Y45" s="526"/>
      <c r="Z45" s="526"/>
      <c r="AA45" s="526"/>
      <c r="AB45" s="526"/>
      <c r="AC45" s="526"/>
      <c r="AD45" s="526"/>
      <c r="AE45" s="526"/>
    </row>
    <row r="46" spans="1:31" x14ac:dyDescent="0.3">
      <c r="A46" s="200" t="s">
        <v>257</v>
      </c>
      <c r="B46" s="62">
        <f>Phasing!C33</f>
        <v>0</v>
      </c>
      <c r="C46" s="373">
        <f>Phasing!D33</f>
        <v>0</v>
      </c>
      <c r="D46" s="373">
        <f>Phasing!E33</f>
        <v>0</v>
      </c>
      <c r="E46" s="373">
        <f>Phasing!F33</f>
        <v>0</v>
      </c>
      <c r="F46" s="373">
        <f>Phasing!G33</f>
        <v>0</v>
      </c>
      <c r="G46" s="373">
        <f>Phasing!H33</f>
        <v>0</v>
      </c>
      <c r="H46" s="373">
        <f>Phasing!I33</f>
        <v>0</v>
      </c>
      <c r="I46" s="373">
        <f>Phasing!J33</f>
        <v>0</v>
      </c>
      <c r="J46" s="373">
        <f>Phasing!K33</f>
        <v>0</v>
      </c>
      <c r="P46" s="97"/>
      <c r="Q46" s="97"/>
      <c r="R46" s="97"/>
      <c r="S46" s="97"/>
      <c r="T46" s="97"/>
      <c r="U46" s="97"/>
      <c r="X46" s="526"/>
      <c r="Y46" s="526"/>
      <c r="Z46" s="526"/>
      <c r="AA46" s="526"/>
      <c r="AB46" s="526"/>
      <c r="AC46" s="526"/>
      <c r="AD46" s="526"/>
      <c r="AE46" s="526"/>
    </row>
    <row r="47" spans="1:31" ht="15" customHeight="1" x14ac:dyDescent="0.3">
      <c r="A47" s="200" t="s">
        <v>258</v>
      </c>
      <c r="B47" s="62">
        <f>Phasing!C34</f>
        <v>0</v>
      </c>
      <c r="C47" s="373">
        <f>Phasing!D34</f>
        <v>0</v>
      </c>
      <c r="D47" s="373">
        <f>Phasing!E34</f>
        <v>0</v>
      </c>
      <c r="E47" s="373">
        <f>Phasing!F34</f>
        <v>0</v>
      </c>
      <c r="F47" s="373">
        <f>Phasing!G34</f>
        <v>0</v>
      </c>
      <c r="G47" s="373">
        <f>Phasing!H34</f>
        <v>0</v>
      </c>
      <c r="H47" s="373">
        <f>Phasing!I34</f>
        <v>0</v>
      </c>
      <c r="I47" s="373">
        <f>Phasing!J34</f>
        <v>0</v>
      </c>
      <c r="J47" s="373">
        <f>Phasing!K34</f>
        <v>0</v>
      </c>
      <c r="O47" s="527" t="s">
        <v>222</v>
      </c>
      <c r="P47" s="527"/>
      <c r="Q47" s="527"/>
      <c r="R47" s="527"/>
      <c r="S47" s="527"/>
      <c r="T47" s="527"/>
      <c r="U47" s="527"/>
      <c r="V47" s="527"/>
      <c r="X47" s="526"/>
      <c r="Y47" s="526"/>
      <c r="Z47" s="526"/>
      <c r="AA47" s="526"/>
      <c r="AB47" s="526"/>
      <c r="AC47" s="526"/>
      <c r="AD47" s="526"/>
      <c r="AE47" s="526"/>
    </row>
    <row r="48" spans="1:31" x14ac:dyDescent="0.3">
      <c r="A48" s="200" t="s">
        <v>259</v>
      </c>
      <c r="B48" s="62">
        <f>Phasing!C35</f>
        <v>0</v>
      </c>
      <c r="C48" s="373">
        <f>Phasing!D35</f>
        <v>0</v>
      </c>
      <c r="D48" s="373">
        <f>Phasing!E35</f>
        <v>0</v>
      </c>
      <c r="E48" s="373">
        <f>Phasing!F35</f>
        <v>0</v>
      </c>
      <c r="F48" s="373">
        <f>Phasing!G35</f>
        <v>0</v>
      </c>
      <c r="G48" s="373">
        <f>Phasing!H35</f>
        <v>0</v>
      </c>
      <c r="H48" s="373">
        <f>Phasing!I35</f>
        <v>0</v>
      </c>
      <c r="I48" s="373">
        <f>Phasing!J35</f>
        <v>0</v>
      </c>
      <c r="J48" s="373">
        <f>Phasing!K35</f>
        <v>0</v>
      </c>
      <c r="O48" s="527"/>
      <c r="P48" s="527"/>
      <c r="Q48" s="527"/>
      <c r="R48" s="527"/>
      <c r="S48" s="527"/>
      <c r="T48" s="527"/>
      <c r="U48" s="527"/>
      <c r="V48" s="527"/>
      <c r="X48" s="526"/>
      <c r="Y48" s="526"/>
      <c r="Z48" s="526"/>
      <c r="AA48" s="526"/>
      <c r="AB48" s="526"/>
      <c r="AC48" s="526"/>
      <c r="AD48" s="526"/>
      <c r="AE48" s="526"/>
    </row>
    <row r="49" spans="1:22" x14ac:dyDescent="0.3">
      <c r="A49" s="200" t="s">
        <v>260</v>
      </c>
      <c r="B49" s="62">
        <f>Phasing!C36</f>
        <v>0</v>
      </c>
      <c r="C49" s="373">
        <f>Phasing!D36</f>
        <v>0</v>
      </c>
      <c r="D49" s="373">
        <f>Phasing!E36</f>
        <v>0</v>
      </c>
      <c r="E49" s="373">
        <f>Phasing!F36</f>
        <v>0</v>
      </c>
      <c r="F49" s="373">
        <f>Phasing!G36</f>
        <v>0</v>
      </c>
      <c r="G49" s="373">
        <f>Phasing!H36</f>
        <v>0</v>
      </c>
      <c r="H49" s="373">
        <f>Phasing!I36</f>
        <v>0</v>
      </c>
      <c r="I49" s="373">
        <f>Phasing!J36</f>
        <v>0</v>
      </c>
      <c r="J49" s="373">
        <f>Phasing!K36</f>
        <v>0</v>
      </c>
      <c r="O49" s="527"/>
      <c r="P49" s="527"/>
      <c r="Q49" s="527"/>
      <c r="R49" s="527"/>
      <c r="S49" s="527"/>
      <c r="T49" s="527"/>
      <c r="U49" s="527"/>
      <c r="V49" s="527"/>
    </row>
    <row r="50" spans="1:22" x14ac:dyDescent="0.3">
      <c r="A50" s="200" t="s">
        <v>261</v>
      </c>
      <c r="B50" s="62">
        <f>Phasing!C37</f>
        <v>0</v>
      </c>
      <c r="C50" s="373">
        <f>Phasing!D37</f>
        <v>0</v>
      </c>
      <c r="D50" s="373">
        <f>Phasing!E37</f>
        <v>0</v>
      </c>
      <c r="E50" s="373">
        <f>Phasing!F37</f>
        <v>0</v>
      </c>
      <c r="F50" s="373">
        <f>Phasing!G37</f>
        <v>0</v>
      </c>
      <c r="G50" s="373">
        <f>Phasing!H37</f>
        <v>0</v>
      </c>
      <c r="H50" s="373">
        <f>Phasing!I37</f>
        <v>0</v>
      </c>
      <c r="I50" s="373">
        <f>Phasing!J37</f>
        <v>0</v>
      </c>
      <c r="J50" s="373">
        <f>Phasing!K37</f>
        <v>0</v>
      </c>
      <c r="O50" s="527"/>
      <c r="P50" s="527"/>
      <c r="Q50" s="527"/>
      <c r="R50" s="527"/>
      <c r="S50" s="527"/>
      <c r="T50" s="527"/>
      <c r="U50" s="527"/>
      <c r="V50" s="527"/>
    </row>
    <row r="51" spans="1:22" x14ac:dyDescent="0.3">
      <c r="A51" s="200" t="s">
        <v>262</v>
      </c>
      <c r="B51" s="62">
        <f>Phasing!C38</f>
        <v>0</v>
      </c>
      <c r="C51" s="373">
        <f>Phasing!D38</f>
        <v>0</v>
      </c>
      <c r="D51" s="373">
        <f>Phasing!E38</f>
        <v>0</v>
      </c>
      <c r="E51" s="373">
        <f>Phasing!F38</f>
        <v>0</v>
      </c>
      <c r="F51" s="373">
        <f>Phasing!G38</f>
        <v>0</v>
      </c>
      <c r="G51" s="373">
        <f>Phasing!H38</f>
        <v>0</v>
      </c>
      <c r="H51" s="373">
        <f>Phasing!I38</f>
        <v>0</v>
      </c>
      <c r="I51" s="373">
        <f>Phasing!J38</f>
        <v>0</v>
      </c>
      <c r="J51" s="373">
        <f>Phasing!K38</f>
        <v>0</v>
      </c>
      <c r="O51" s="527"/>
      <c r="P51" s="527"/>
      <c r="Q51" s="527"/>
      <c r="R51" s="527"/>
      <c r="S51" s="527"/>
      <c r="T51" s="527"/>
      <c r="U51" s="527"/>
      <c r="V51" s="527"/>
    </row>
    <row r="52" spans="1:22" x14ac:dyDescent="0.3">
      <c r="A52" s="200" t="s">
        <v>263</v>
      </c>
      <c r="B52" s="62">
        <f>Phasing!C39</f>
        <v>0</v>
      </c>
      <c r="C52" s="373">
        <f>Phasing!D39</f>
        <v>0</v>
      </c>
      <c r="D52" s="373">
        <f>Phasing!E39</f>
        <v>0</v>
      </c>
      <c r="E52" s="373">
        <f>Phasing!F39</f>
        <v>0</v>
      </c>
      <c r="F52" s="373">
        <f>Phasing!G39</f>
        <v>0</v>
      </c>
      <c r="G52" s="373">
        <f>Phasing!H39</f>
        <v>0</v>
      </c>
      <c r="H52" s="373">
        <f>Phasing!I39</f>
        <v>0</v>
      </c>
      <c r="I52" s="373">
        <f>Phasing!J39</f>
        <v>0</v>
      </c>
      <c r="J52" s="373">
        <f>Phasing!K39</f>
        <v>0</v>
      </c>
      <c r="O52" s="527"/>
      <c r="P52" s="527"/>
      <c r="Q52" s="527"/>
      <c r="R52" s="527"/>
      <c r="S52" s="527"/>
      <c r="T52" s="527"/>
      <c r="U52" s="527"/>
      <c r="V52" s="527"/>
    </row>
    <row r="53" spans="1:22" x14ac:dyDescent="0.3">
      <c r="A53" s="200" t="s">
        <v>264</v>
      </c>
      <c r="B53" s="62">
        <f>Phasing!C40</f>
        <v>0</v>
      </c>
      <c r="C53" s="373">
        <f>Phasing!D40</f>
        <v>0</v>
      </c>
      <c r="D53" s="373">
        <f>Phasing!E40</f>
        <v>0</v>
      </c>
      <c r="E53" s="373">
        <f>Phasing!F40</f>
        <v>0</v>
      </c>
      <c r="F53" s="373">
        <f>Phasing!G40</f>
        <v>0</v>
      </c>
      <c r="G53" s="373">
        <f>Phasing!H40</f>
        <v>0</v>
      </c>
      <c r="H53" s="373">
        <f>Phasing!I40</f>
        <v>0</v>
      </c>
      <c r="I53" s="373">
        <f>Phasing!J40</f>
        <v>0</v>
      </c>
      <c r="J53" s="373">
        <f>Phasing!K40</f>
        <v>0</v>
      </c>
      <c r="O53" s="527"/>
      <c r="P53" s="527"/>
      <c r="Q53" s="527"/>
      <c r="R53" s="527"/>
      <c r="S53" s="527"/>
      <c r="T53" s="527"/>
      <c r="U53" s="527"/>
      <c r="V53" s="527"/>
    </row>
    <row r="54" spans="1:22" x14ac:dyDescent="0.3">
      <c r="A54" s="200" t="s">
        <v>265</v>
      </c>
      <c r="B54" s="62">
        <f>Phasing!C41</f>
        <v>0</v>
      </c>
      <c r="C54" s="373">
        <f>Phasing!D41</f>
        <v>0</v>
      </c>
      <c r="D54" s="373">
        <f>Phasing!E41</f>
        <v>0</v>
      </c>
      <c r="E54" s="373">
        <f>Phasing!F41</f>
        <v>0</v>
      </c>
      <c r="F54" s="373">
        <f>Phasing!G41</f>
        <v>0</v>
      </c>
      <c r="G54" s="373">
        <f>Phasing!H41</f>
        <v>0</v>
      </c>
      <c r="H54" s="373">
        <f>Phasing!I41</f>
        <v>0</v>
      </c>
      <c r="I54" s="373">
        <f>Phasing!J41</f>
        <v>0</v>
      </c>
      <c r="J54" s="373">
        <f>Phasing!K41</f>
        <v>0</v>
      </c>
      <c r="O54" s="527"/>
      <c r="P54" s="527"/>
      <c r="Q54" s="527"/>
      <c r="R54" s="527"/>
      <c r="S54" s="527"/>
      <c r="T54" s="527"/>
      <c r="U54" s="527"/>
      <c r="V54" s="527"/>
    </row>
    <row r="55" spans="1:22" x14ac:dyDescent="0.3">
      <c r="A55" s="200" t="s">
        <v>266</v>
      </c>
      <c r="B55" s="62">
        <f>Phasing!C42</f>
        <v>0</v>
      </c>
      <c r="C55" s="373">
        <f>Phasing!D42</f>
        <v>0</v>
      </c>
      <c r="D55" s="373">
        <f>Phasing!E42</f>
        <v>0</v>
      </c>
      <c r="E55" s="373">
        <f>Phasing!F42</f>
        <v>0</v>
      </c>
      <c r="F55" s="373">
        <f>Phasing!G42</f>
        <v>0</v>
      </c>
      <c r="G55" s="373">
        <f>Phasing!H42</f>
        <v>0</v>
      </c>
      <c r="H55" s="373">
        <f>Phasing!I42</f>
        <v>0</v>
      </c>
      <c r="I55" s="373">
        <f>Phasing!J42</f>
        <v>0</v>
      </c>
      <c r="J55" s="373">
        <f>Phasing!K42</f>
        <v>0</v>
      </c>
      <c r="O55" s="527"/>
      <c r="P55" s="527"/>
      <c r="Q55" s="527"/>
      <c r="R55" s="527"/>
      <c r="S55" s="527"/>
      <c r="T55" s="527"/>
      <c r="U55" s="527"/>
      <c r="V55" s="527"/>
    </row>
    <row r="56" spans="1:22" x14ac:dyDescent="0.3">
      <c r="A56" s="200" t="s">
        <v>267</v>
      </c>
      <c r="B56" s="62">
        <f>Phasing!C43</f>
        <v>0</v>
      </c>
      <c r="C56" s="373">
        <f>Phasing!D43</f>
        <v>0</v>
      </c>
      <c r="D56" s="373">
        <f>Phasing!E43</f>
        <v>0</v>
      </c>
      <c r="E56" s="373">
        <f>Phasing!F43</f>
        <v>0</v>
      </c>
      <c r="F56" s="373">
        <f>Phasing!G43</f>
        <v>0</v>
      </c>
      <c r="G56" s="373">
        <f>Phasing!H43</f>
        <v>0</v>
      </c>
      <c r="H56" s="373">
        <f>Phasing!I43</f>
        <v>0</v>
      </c>
      <c r="I56" s="373">
        <f>Phasing!J43</f>
        <v>0</v>
      </c>
      <c r="J56" s="373">
        <f>Phasing!K43</f>
        <v>0</v>
      </c>
    </row>
    <row r="57" spans="1:22" x14ac:dyDescent="0.3">
      <c r="A57" s="200" t="s">
        <v>268</v>
      </c>
      <c r="B57" s="62">
        <f>Phasing!C44</f>
        <v>0</v>
      </c>
      <c r="C57" s="373">
        <f>Phasing!D44</f>
        <v>0</v>
      </c>
      <c r="D57" s="373">
        <f>Phasing!E44</f>
        <v>0</v>
      </c>
      <c r="E57" s="373">
        <f>Phasing!F44</f>
        <v>0</v>
      </c>
      <c r="F57" s="373">
        <f>Phasing!G44</f>
        <v>0</v>
      </c>
      <c r="G57" s="373">
        <f>Phasing!H44</f>
        <v>0</v>
      </c>
      <c r="H57" s="373">
        <f>Phasing!I44</f>
        <v>0</v>
      </c>
      <c r="I57" s="373">
        <f>Phasing!J44</f>
        <v>0</v>
      </c>
      <c r="J57" s="373">
        <f>Phasing!K44</f>
        <v>0</v>
      </c>
    </row>
    <row r="58" spans="1:22" x14ac:dyDescent="0.3">
      <c r="A58" s="200" t="s">
        <v>269</v>
      </c>
      <c r="B58" s="62">
        <f>Phasing!C45</f>
        <v>0</v>
      </c>
      <c r="C58" s="373">
        <f>Phasing!D45</f>
        <v>0</v>
      </c>
      <c r="D58" s="373">
        <f>Phasing!E45</f>
        <v>0</v>
      </c>
      <c r="E58" s="373">
        <f>Phasing!F45</f>
        <v>0</v>
      </c>
      <c r="F58" s="373">
        <f>Phasing!G45</f>
        <v>0</v>
      </c>
      <c r="G58" s="373">
        <f>Phasing!H45</f>
        <v>0</v>
      </c>
      <c r="H58" s="373">
        <f>Phasing!I45</f>
        <v>0</v>
      </c>
      <c r="I58" s="373">
        <f>Phasing!J45</f>
        <v>0</v>
      </c>
      <c r="J58" s="373">
        <f>Phasing!K45</f>
        <v>0</v>
      </c>
    </row>
    <row r="59" spans="1:22" x14ac:dyDescent="0.3">
      <c r="A59" s="200" t="s">
        <v>270</v>
      </c>
      <c r="B59" s="62">
        <f>Phasing!C46</f>
        <v>0</v>
      </c>
      <c r="C59" s="373">
        <f>Phasing!D46</f>
        <v>0</v>
      </c>
      <c r="D59" s="373">
        <f>Phasing!E46</f>
        <v>0</v>
      </c>
      <c r="E59" s="373">
        <f>Phasing!F46</f>
        <v>0</v>
      </c>
      <c r="F59" s="373">
        <f>Phasing!G46</f>
        <v>0</v>
      </c>
      <c r="G59" s="373">
        <f>Phasing!H46</f>
        <v>0</v>
      </c>
      <c r="H59" s="373">
        <f>Phasing!I46</f>
        <v>0</v>
      </c>
      <c r="I59" s="373">
        <f>Phasing!J46</f>
        <v>0</v>
      </c>
      <c r="J59" s="373">
        <f>Phasing!K46</f>
        <v>0</v>
      </c>
    </row>
    <row r="60" spans="1:22" x14ac:dyDescent="0.3">
      <c r="A60" s="200" t="s">
        <v>271</v>
      </c>
      <c r="B60" s="62">
        <f>Phasing!C47</f>
        <v>0</v>
      </c>
      <c r="C60" s="373">
        <f>Phasing!D47</f>
        <v>0</v>
      </c>
      <c r="D60" s="373">
        <f>Phasing!E47</f>
        <v>0</v>
      </c>
      <c r="E60" s="373">
        <f>Phasing!F47</f>
        <v>0</v>
      </c>
      <c r="F60" s="373">
        <f>Phasing!G47</f>
        <v>0</v>
      </c>
      <c r="G60" s="373">
        <f>Phasing!H47</f>
        <v>0</v>
      </c>
      <c r="H60" s="373">
        <f>Phasing!I47</f>
        <v>0</v>
      </c>
      <c r="I60" s="373">
        <f>Phasing!J47</f>
        <v>0</v>
      </c>
      <c r="J60" s="373">
        <f>Phasing!K47</f>
        <v>0</v>
      </c>
    </row>
    <row r="61" spans="1:22" x14ac:dyDescent="0.3">
      <c r="A61" s="200" t="s">
        <v>272</v>
      </c>
      <c r="B61" s="62">
        <f>Phasing!C48</f>
        <v>0</v>
      </c>
      <c r="C61" s="373">
        <f>Phasing!D48</f>
        <v>0</v>
      </c>
      <c r="D61" s="373">
        <f>Phasing!E48</f>
        <v>0</v>
      </c>
      <c r="E61" s="373">
        <f>Phasing!F48</f>
        <v>0</v>
      </c>
      <c r="F61" s="373">
        <f>Phasing!G48</f>
        <v>0</v>
      </c>
      <c r="G61" s="373">
        <f>Phasing!H48</f>
        <v>0</v>
      </c>
      <c r="H61" s="373">
        <f>Phasing!I48</f>
        <v>0</v>
      </c>
      <c r="I61" s="373">
        <f>Phasing!J48</f>
        <v>0</v>
      </c>
      <c r="J61" s="373">
        <f>Phasing!K48</f>
        <v>0</v>
      </c>
    </row>
    <row r="62" spans="1:22" x14ac:dyDescent="0.3">
      <c r="A62" s="200" t="s">
        <v>273</v>
      </c>
      <c r="B62" s="62">
        <f>Phasing!C49</f>
        <v>0</v>
      </c>
      <c r="C62" s="373">
        <f>Phasing!D49</f>
        <v>0</v>
      </c>
      <c r="D62" s="373">
        <f>Phasing!E49</f>
        <v>0</v>
      </c>
      <c r="E62" s="373">
        <f>Phasing!F49</f>
        <v>0</v>
      </c>
      <c r="F62" s="373">
        <f>Phasing!G49</f>
        <v>0</v>
      </c>
      <c r="G62" s="373">
        <f>Phasing!H49</f>
        <v>0</v>
      </c>
      <c r="H62" s="373">
        <f>Phasing!I49</f>
        <v>0</v>
      </c>
      <c r="I62" s="373">
        <f>Phasing!J49</f>
        <v>0</v>
      </c>
      <c r="J62" s="373">
        <f>Phasing!K49</f>
        <v>0</v>
      </c>
    </row>
    <row r="63" spans="1:22" x14ac:dyDescent="0.3">
      <c r="A63" s="200" t="s">
        <v>274</v>
      </c>
      <c r="B63" s="62">
        <f>Phasing!C50</f>
        <v>0</v>
      </c>
      <c r="C63" s="373">
        <f>Phasing!D50</f>
        <v>0</v>
      </c>
      <c r="D63" s="373">
        <f>Phasing!E50</f>
        <v>0</v>
      </c>
      <c r="E63" s="373">
        <f>Phasing!F50</f>
        <v>0</v>
      </c>
      <c r="F63" s="373">
        <f>Phasing!G50</f>
        <v>0</v>
      </c>
      <c r="G63" s="373">
        <f>Phasing!H50</f>
        <v>0</v>
      </c>
      <c r="H63" s="373">
        <f>Phasing!I50</f>
        <v>0</v>
      </c>
      <c r="I63" s="373">
        <f>Phasing!J50</f>
        <v>0</v>
      </c>
      <c r="J63" s="373">
        <f>Phasing!K50</f>
        <v>0</v>
      </c>
    </row>
    <row r="64" spans="1:22" x14ac:dyDescent="0.3">
      <c r="A64" s="200" t="s">
        <v>275</v>
      </c>
      <c r="B64" s="62">
        <f>Phasing!C51</f>
        <v>0</v>
      </c>
      <c r="C64" s="373">
        <f>Phasing!D51</f>
        <v>0</v>
      </c>
      <c r="D64" s="373">
        <f>Phasing!E51</f>
        <v>0</v>
      </c>
      <c r="E64" s="373">
        <f>Phasing!F51</f>
        <v>0</v>
      </c>
      <c r="F64" s="373">
        <f>Phasing!G51</f>
        <v>0</v>
      </c>
      <c r="G64" s="373">
        <f>Phasing!H51</f>
        <v>0</v>
      </c>
      <c r="H64" s="373">
        <f>Phasing!I51</f>
        <v>0</v>
      </c>
      <c r="I64" s="373">
        <f>Phasing!J51</f>
        <v>0</v>
      </c>
      <c r="J64" s="373">
        <f>Phasing!K51</f>
        <v>0</v>
      </c>
    </row>
    <row r="65" spans="1:21" x14ac:dyDescent="0.3">
      <c r="A65" s="200" t="s">
        <v>276</v>
      </c>
      <c r="B65" s="62">
        <f>Phasing!C52</f>
        <v>0</v>
      </c>
      <c r="C65" s="373">
        <f>Phasing!D52</f>
        <v>0</v>
      </c>
      <c r="D65" s="373">
        <f>Phasing!E52</f>
        <v>0</v>
      </c>
      <c r="E65" s="373">
        <f>Phasing!F52</f>
        <v>0</v>
      </c>
      <c r="F65" s="373">
        <f>Phasing!G52</f>
        <v>0</v>
      </c>
      <c r="G65" s="373">
        <f>Phasing!H52</f>
        <v>0</v>
      </c>
      <c r="H65" s="373">
        <f>Phasing!I52</f>
        <v>0</v>
      </c>
      <c r="I65" s="373">
        <f>Phasing!J52</f>
        <v>0</v>
      </c>
      <c r="J65" s="373">
        <f>Phasing!K52</f>
        <v>0</v>
      </c>
    </row>
    <row r="66" spans="1:21" s="156" customFormat="1" x14ac:dyDescent="0.3">
      <c r="A66" s="292" t="s">
        <v>355</v>
      </c>
      <c r="D66" s="156">
        <f>'Phase calculation'!I55</f>
        <v>0</v>
      </c>
      <c r="E66" s="156">
        <f>'Phase calculation'!J55</f>
        <v>0</v>
      </c>
      <c r="F66" s="156">
        <f>'Phase calculation'!K55</f>
        <v>0</v>
      </c>
      <c r="I66" s="156">
        <f>'Phase calculation'!L55</f>
        <v>0</v>
      </c>
      <c r="J66" s="156">
        <f>'Phase calculation'!M55</f>
        <v>0</v>
      </c>
      <c r="K66" s="156">
        <f>'Phase calculation'!N55</f>
        <v>0</v>
      </c>
      <c r="N66" s="156">
        <f>'Phase calculation'!C55</f>
        <v>0</v>
      </c>
      <c r="O66" s="156">
        <f>'Phase calculation'!D55</f>
        <v>0</v>
      </c>
      <c r="P66" s="156">
        <f>'Phase calculation'!E55</f>
        <v>0</v>
      </c>
      <c r="S66" s="156">
        <f>'Phase calculation'!F55</f>
        <v>0</v>
      </c>
      <c r="T66" s="156">
        <f>'Phase calculation'!G55</f>
        <v>0</v>
      </c>
      <c r="U66" s="156">
        <f>'Phase calculation'!H55</f>
        <v>0</v>
      </c>
    </row>
    <row r="67" spans="1:21" x14ac:dyDescent="0.3">
      <c r="A67" s="520" t="s">
        <v>73</v>
      </c>
      <c r="B67" s="520"/>
      <c r="C67" s="372" t="str">
        <f>'Summary sheet'!G92</f>
        <v>Not used</v>
      </c>
      <c r="D67" s="372" t="str">
        <f>'Summary sheet'!H92</f>
        <v>Not used</v>
      </c>
      <c r="E67" s="372" t="str">
        <f>'Summary sheet'!I92</f>
        <v>Not used</v>
      </c>
      <c r="F67" s="372" t="str">
        <f>'Summary sheet'!J92</f>
        <v>Not used</v>
      </c>
      <c r="G67" s="372" t="str">
        <f>'Summary sheet'!K92</f>
        <v>Not used</v>
      </c>
      <c r="H67" s="372" t="str">
        <f>'Summary sheet'!L92</f>
        <v>Not used</v>
      </c>
      <c r="I67" s="372" t="str">
        <f>'Summary sheet'!M92</f>
        <v>Not used</v>
      </c>
      <c r="J67" s="372" t="str">
        <f>'Summary sheet'!N92</f>
        <v>Not used</v>
      </c>
    </row>
    <row r="68" spans="1:21" x14ac:dyDescent="0.3">
      <c r="A68" s="520" t="s">
        <v>461</v>
      </c>
      <c r="B68" s="520"/>
      <c r="C68" s="372" t="str">
        <f>IF(AND(C70&gt;0,C70=H70),"X","")</f>
        <v>X</v>
      </c>
      <c r="D68" s="372"/>
      <c r="E68" s="372" t="str">
        <f>IF(AND(E70&gt;0,E70=J70),"X","")</f>
        <v>X</v>
      </c>
      <c r="F68" s="372"/>
      <c r="G68" s="372" t="str">
        <f>IF(AND(G70&gt;0,G70=D70),"X","")</f>
        <v>X</v>
      </c>
      <c r="H68" s="372"/>
      <c r="I68" s="372" t="str">
        <f>IF(AND(I70&gt;0,I70=F70),"X","")</f>
        <v>X</v>
      </c>
      <c r="J68" s="372"/>
    </row>
    <row r="69" spans="1:21" x14ac:dyDescent="0.3">
      <c r="A69" s="520" t="s">
        <v>459</v>
      </c>
      <c r="B69" s="520"/>
      <c r="C69" s="372" t="str">
        <f>IF(C67="Not used",H67,C67)</f>
        <v>Not used</v>
      </c>
      <c r="D69" s="372" t="str">
        <f>D67</f>
        <v>Not used</v>
      </c>
      <c r="E69" s="372" t="str">
        <f>IF(E67="Not used",J67,E67)</f>
        <v>Not used</v>
      </c>
      <c r="F69" s="372" t="str">
        <f>F67</f>
        <v>Not used</v>
      </c>
      <c r="G69" s="372" t="str">
        <f>IF(G67="Not used",D67,G67)</f>
        <v>Not used</v>
      </c>
      <c r="H69" s="372" t="str">
        <f>H67</f>
        <v>Not used</v>
      </c>
      <c r="I69" s="372" t="str">
        <f>IF(I67="Not used",F67,I67)</f>
        <v>Not used</v>
      </c>
      <c r="J69" s="372" t="str">
        <f>J67</f>
        <v>Not used</v>
      </c>
      <c r="O69" t="s">
        <v>4</v>
      </c>
      <c r="P69" t="s">
        <v>3</v>
      </c>
    </row>
    <row r="70" spans="1:21" x14ac:dyDescent="0.3">
      <c r="C70" s="372">
        <f t="shared" ref="C70:J70" si="1">IFERROR(MATCH(C69,$C$67:$J$67,0),0)</f>
        <v>1</v>
      </c>
      <c r="D70" s="372">
        <f t="shared" si="1"/>
        <v>1</v>
      </c>
      <c r="E70" s="372">
        <f t="shared" si="1"/>
        <v>1</v>
      </c>
      <c r="F70" s="372">
        <f t="shared" si="1"/>
        <v>1</v>
      </c>
      <c r="G70" s="372">
        <f t="shared" si="1"/>
        <v>1</v>
      </c>
      <c r="H70" s="372">
        <f t="shared" si="1"/>
        <v>1</v>
      </c>
      <c r="I70" s="372">
        <f t="shared" si="1"/>
        <v>1</v>
      </c>
      <c r="J70" s="372">
        <f t="shared" si="1"/>
        <v>1</v>
      </c>
      <c r="O70" t="s">
        <v>9</v>
      </c>
      <c r="P70" t="s">
        <v>8</v>
      </c>
    </row>
    <row r="71" spans="1:21" x14ac:dyDescent="0.3">
      <c r="A71" t="s">
        <v>462</v>
      </c>
      <c r="C71" s="372">
        <f t="shared" ref="C71:J71" si="2">IF(C67="Not used",0,MATCH(C77,$D$1:$U$1,0))</f>
        <v>0</v>
      </c>
      <c r="D71" s="372">
        <f t="shared" si="2"/>
        <v>0</v>
      </c>
      <c r="E71" s="372">
        <f t="shared" si="2"/>
        <v>0</v>
      </c>
      <c r="F71" s="372">
        <f t="shared" si="2"/>
        <v>0</v>
      </c>
      <c r="G71" s="372">
        <f t="shared" si="2"/>
        <v>0</v>
      </c>
      <c r="H71" s="372">
        <f t="shared" si="2"/>
        <v>0</v>
      </c>
      <c r="I71" s="372">
        <f t="shared" si="2"/>
        <v>0</v>
      </c>
      <c r="J71" s="372">
        <f t="shared" si="2"/>
        <v>0</v>
      </c>
      <c r="O71" t="s">
        <v>14</v>
      </c>
      <c r="P71" t="s">
        <v>13</v>
      </c>
    </row>
    <row r="72" spans="1:21" x14ac:dyDescent="0.3">
      <c r="A72" s="521" t="s">
        <v>463</v>
      </c>
      <c r="B72" s="521"/>
      <c r="C72" s="292">
        <f>IF(C71=0,0,INDEX($D$17:$U$17,1,C71))</f>
        <v>0</v>
      </c>
      <c r="D72" s="375">
        <f t="shared" ref="D72:J72" si="3">IF(D71=0,0,INDEX($D$17:$U$17,1,D71))</f>
        <v>0</v>
      </c>
      <c r="E72" s="375">
        <f t="shared" si="3"/>
        <v>0</v>
      </c>
      <c r="F72" s="375">
        <f t="shared" si="3"/>
        <v>0</v>
      </c>
      <c r="G72" s="375">
        <f t="shared" si="3"/>
        <v>0</v>
      </c>
      <c r="H72" s="375">
        <f t="shared" si="3"/>
        <v>0</v>
      </c>
      <c r="I72" s="375">
        <f t="shared" si="3"/>
        <v>0</v>
      </c>
      <c r="J72" s="375">
        <f t="shared" si="3"/>
        <v>0</v>
      </c>
      <c r="O72" t="s">
        <v>19</v>
      </c>
      <c r="P72" t="s">
        <v>18</v>
      </c>
    </row>
    <row r="73" spans="1:21" x14ac:dyDescent="0.3">
      <c r="A73" s="522" t="s">
        <v>464</v>
      </c>
      <c r="B73" s="522"/>
      <c r="C73" s="294">
        <f>C59</f>
        <v>0</v>
      </c>
      <c r="D73" s="294">
        <f t="shared" ref="D73:J73" si="4">D59</f>
        <v>0</v>
      </c>
      <c r="E73" s="294">
        <f t="shared" si="4"/>
        <v>0</v>
      </c>
      <c r="F73" s="294">
        <f t="shared" si="4"/>
        <v>0</v>
      </c>
      <c r="G73" s="294">
        <f t="shared" si="4"/>
        <v>0</v>
      </c>
      <c r="H73" s="294">
        <f t="shared" si="4"/>
        <v>0</v>
      </c>
      <c r="I73" s="294">
        <f t="shared" si="4"/>
        <v>0</v>
      </c>
      <c r="J73" s="294">
        <f t="shared" si="4"/>
        <v>0</v>
      </c>
      <c r="O73" t="s">
        <v>467</v>
      </c>
      <c r="P73">
        <v>0</v>
      </c>
    </row>
    <row r="74" spans="1:21" x14ac:dyDescent="0.3">
      <c r="A74" s="523" t="s">
        <v>465</v>
      </c>
      <c r="B74" s="523"/>
      <c r="C74" s="374">
        <f>C73+C72</f>
        <v>0</v>
      </c>
      <c r="D74" s="374">
        <f t="shared" ref="D74:J74" si="5">D73+D72</f>
        <v>0</v>
      </c>
      <c r="E74" s="374">
        <f t="shared" si="5"/>
        <v>0</v>
      </c>
      <c r="F74" s="374">
        <f t="shared" si="5"/>
        <v>0</v>
      </c>
      <c r="G74" s="374">
        <f t="shared" si="5"/>
        <v>0</v>
      </c>
      <c r="H74" s="374">
        <f t="shared" si="5"/>
        <v>0</v>
      </c>
      <c r="I74" s="374">
        <f t="shared" si="5"/>
        <v>0</v>
      </c>
      <c r="J74" s="374">
        <f t="shared" si="5"/>
        <v>0</v>
      </c>
      <c r="O74" t="s">
        <v>3</v>
      </c>
      <c r="P74" t="s">
        <v>3</v>
      </c>
    </row>
    <row r="75" spans="1:21" x14ac:dyDescent="0.3">
      <c r="C75" s="372">
        <v>1</v>
      </c>
      <c r="D75" s="372">
        <v>2</v>
      </c>
      <c r="E75" s="372">
        <v>3</v>
      </c>
      <c r="F75" s="372">
        <v>4</v>
      </c>
      <c r="G75" s="372">
        <v>5</v>
      </c>
      <c r="H75" s="372">
        <v>6</v>
      </c>
      <c r="I75" s="372">
        <v>7</v>
      </c>
      <c r="J75" s="372">
        <v>8</v>
      </c>
      <c r="O75" t="s">
        <v>8</v>
      </c>
      <c r="P75" t="s">
        <v>8</v>
      </c>
    </row>
    <row r="76" spans="1:21" x14ac:dyDescent="0.3">
      <c r="A76" s="524" t="s">
        <v>466</v>
      </c>
      <c r="B76" s="524"/>
      <c r="C76" s="372">
        <f>IF(C69=H69,MATCH(C69,$O$69:$O$77,0),0)</f>
        <v>5</v>
      </c>
      <c r="D76" s="372"/>
      <c r="E76" s="372">
        <f>IF(E69=J69,MATCH(E69,$O$69:$O$77,0),0)</f>
        <v>5</v>
      </c>
      <c r="F76" s="372"/>
      <c r="G76" s="372">
        <f>IF(G69=D69,MATCH(G69,$O$69:$O$77,0),0)</f>
        <v>5</v>
      </c>
      <c r="H76" s="372"/>
      <c r="I76" s="372">
        <f>IF(I69=F69,MATCH(I69,$O$69:$O$77,0),0)</f>
        <v>5</v>
      </c>
      <c r="J76" s="372"/>
      <c r="K76" s="372"/>
      <c r="L76" s="372"/>
      <c r="M76" s="372"/>
      <c r="N76" s="372"/>
      <c r="O76" t="s">
        <v>13</v>
      </c>
      <c r="P76" t="s">
        <v>13</v>
      </c>
    </row>
    <row r="77" spans="1:21" x14ac:dyDescent="0.3">
      <c r="A77" s="524"/>
      <c r="B77" s="524"/>
      <c r="C77" s="372">
        <f>IF(C69=H69,INDEX(P69:P77,C76),C69)</f>
        <v>0</v>
      </c>
      <c r="D77" s="372" t="str">
        <f>D69</f>
        <v>Not used</v>
      </c>
      <c r="E77" s="372">
        <f>IF(E69=J69,INDEX(P69:P77,E76),E69)</f>
        <v>0</v>
      </c>
      <c r="F77" s="372" t="str">
        <f>F69</f>
        <v>Not used</v>
      </c>
      <c r="G77" s="372">
        <f>IF(G69=D69,INDEX(P69:P77,G76),G69)</f>
        <v>0</v>
      </c>
      <c r="H77" s="372" t="str">
        <f>H69</f>
        <v>Not used</v>
      </c>
      <c r="I77" s="372">
        <f>IF(I69=F69,INDEX(P69:P77,I76),I69)</f>
        <v>0</v>
      </c>
      <c r="J77" s="372" t="str">
        <f>J69</f>
        <v>Not used</v>
      </c>
      <c r="K77" s="372"/>
      <c r="L77" s="372"/>
      <c r="M77" s="372"/>
      <c r="N77" s="37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43"/>
  <sheetViews>
    <sheetView showGridLines="0" zoomScaleNormal="100" workbookViewId="0">
      <selection activeCell="A31" sqref="A31:H31"/>
    </sheetView>
  </sheetViews>
  <sheetFormatPr defaultColWidth="9.109375" defaultRowHeight="13.2" x14ac:dyDescent="0.25"/>
  <cols>
    <col min="1" max="1" width="9.109375" style="383"/>
    <col min="2" max="2" width="9.109375" style="383" customWidth="1"/>
    <col min="3" max="3" width="4.6640625" style="383" customWidth="1"/>
    <col min="4" max="4" width="10.5546875" style="383" customWidth="1"/>
    <col min="5" max="5" width="9.109375" style="398"/>
    <col min="6" max="7" width="9.109375" style="383"/>
    <col min="8" max="8" width="11.5546875" style="383" bestFit="1" customWidth="1"/>
    <col min="9" max="9" width="10.5546875" style="383" bestFit="1" customWidth="1"/>
    <col min="10" max="12" width="9.109375" style="383"/>
    <col min="13" max="13" width="11.109375" style="383" customWidth="1"/>
    <col min="14" max="14" width="10.33203125" style="383" customWidth="1"/>
    <col min="15" max="15" width="11.5546875" style="383" customWidth="1"/>
    <col min="16" max="16" width="9.88671875" style="383" bestFit="1" customWidth="1"/>
    <col min="17" max="17" width="4.6640625" style="383" customWidth="1"/>
    <col min="18" max="18" width="9.109375" style="383"/>
    <col min="19" max="20" width="9.109375" style="383" customWidth="1"/>
    <col min="21" max="21" width="13.5546875" style="383" customWidth="1"/>
    <col min="22" max="23" width="9.109375" style="383" customWidth="1"/>
    <col min="24" max="26" width="9.109375" style="464" hidden="1" customWidth="1"/>
    <col min="27" max="16384" width="9.109375" style="383"/>
  </cols>
  <sheetData>
    <row r="1" spans="1:26" ht="15" customHeight="1" thickBot="1" x14ac:dyDescent="0.3">
      <c r="A1" s="442" t="s">
        <v>488</v>
      </c>
      <c r="B1" s="443"/>
      <c r="C1" s="438"/>
      <c r="D1" s="438"/>
      <c r="F1" s="398"/>
      <c r="G1" s="398"/>
      <c r="H1" s="398"/>
      <c r="I1" s="398"/>
      <c r="J1" s="398"/>
      <c r="K1" s="398"/>
      <c r="L1" s="398"/>
      <c r="M1" s="398"/>
      <c r="N1" s="398"/>
      <c r="O1" s="398"/>
      <c r="P1" s="398"/>
      <c r="Q1" s="398"/>
      <c r="R1" s="398"/>
      <c r="S1" s="398"/>
      <c r="T1" s="416"/>
      <c r="U1" s="416"/>
      <c r="V1" s="416"/>
      <c r="W1" s="416"/>
    </row>
    <row r="2" spans="1:26" ht="15" customHeight="1" thickBot="1" x14ac:dyDescent="0.3">
      <c r="A2" s="444" t="s">
        <v>489</v>
      </c>
      <c r="B2" s="445">
        <v>12.5</v>
      </c>
      <c r="C2" s="438"/>
      <c r="D2" s="438"/>
      <c r="E2" s="439"/>
      <c r="F2" s="384"/>
      <c r="G2" s="398"/>
      <c r="H2" s="398" t="s">
        <v>245</v>
      </c>
      <c r="I2" s="410">
        <f>IF(UTDF_input!D6="",UTDF_input!C6,UTDF_input!D6)</f>
        <v>0</v>
      </c>
      <c r="J2" s="411"/>
      <c r="K2" s="412"/>
      <c r="L2" s="398" t="s">
        <v>518</v>
      </c>
      <c r="M2" s="424">
        <v>0</v>
      </c>
      <c r="N2" s="398" t="s">
        <v>519</v>
      </c>
      <c r="O2" s="398"/>
      <c r="P2" s="398"/>
      <c r="Q2" s="398"/>
      <c r="R2" s="398"/>
      <c r="S2" s="398"/>
      <c r="T2" s="416">
        <f>IF(OR(Sheet1!O29&gt;0,D16="Yes"),1,0)</f>
        <v>1</v>
      </c>
      <c r="U2" s="416">
        <f>IF(OR(Sheet1!E29&gt;0,M22="Yes"),1,0)</f>
        <v>1</v>
      </c>
      <c r="V2" s="416">
        <f>IF(OR(Sheet1!T29&gt;0,P16="Yes"),1,0)</f>
        <v>1</v>
      </c>
      <c r="W2" s="416">
        <f>IF(OR(Sheet1!J29&gt;0,L5="Yes"),1,0)</f>
        <v>1</v>
      </c>
    </row>
    <row r="3" spans="1:26" ht="13.8" thickBot="1" x14ac:dyDescent="0.3">
      <c r="A3" s="444" t="s">
        <v>490</v>
      </c>
      <c r="B3" s="445">
        <v>31.5</v>
      </c>
      <c r="C3" s="438"/>
      <c r="D3" s="438"/>
      <c r="E3" s="439"/>
      <c r="F3" s="384"/>
      <c r="G3" s="398"/>
      <c r="H3" s="398"/>
      <c r="I3" s="398"/>
      <c r="J3" s="398"/>
      <c r="K3" s="398"/>
      <c r="L3" s="398"/>
      <c r="M3" s="398"/>
      <c r="N3" s="398"/>
      <c r="O3" s="398"/>
      <c r="P3" s="398"/>
      <c r="Q3" s="398"/>
      <c r="R3" s="398"/>
      <c r="S3" s="398"/>
      <c r="U3" s="385" t="s">
        <v>236</v>
      </c>
      <c r="V3" s="386">
        <f>IFERROR(AVERAGE(UTDF_input!D41:F41,UTDF_input!H41:P41),1900)</f>
        <v>1900</v>
      </c>
    </row>
    <row r="4" spans="1:26" ht="13.8" thickBot="1" x14ac:dyDescent="0.3">
      <c r="A4" s="446" t="s">
        <v>491</v>
      </c>
      <c r="B4" s="447">
        <f>IFERROR(AVERAGE(UTDF_input!D51:F51,UTDF_input!H51:J51,UTDF_input!K51:M51,UTDF_input!N51:P51),7)</f>
        <v>7</v>
      </c>
      <c r="C4" s="438"/>
      <c r="D4" s="438"/>
      <c r="E4" s="439"/>
      <c r="F4" s="384"/>
      <c r="G4" s="398"/>
      <c r="H4" s="398"/>
      <c r="I4" s="398" t="s">
        <v>231</v>
      </c>
      <c r="J4" s="389">
        <f>IFERROR(INDEX(UTDF_input!A36:AC36,1,MATCH("SBT",UTDF_input!A26:AC26,0)),20)</f>
        <v>20</v>
      </c>
      <c r="K4" s="398"/>
      <c r="L4" s="398" t="s">
        <v>513</v>
      </c>
      <c r="M4" s="398"/>
      <c r="N4" s="398"/>
      <c r="O4" s="398"/>
      <c r="P4" s="398"/>
      <c r="Q4" s="398"/>
      <c r="R4" s="398"/>
      <c r="S4" s="398"/>
      <c r="U4" s="387" t="s">
        <v>234</v>
      </c>
      <c r="V4" s="388">
        <f>IFERROR(AVERAGE(UTDF_input!D49:F49,UTDF_input!H49:P49),0.92)</f>
        <v>0.92</v>
      </c>
    </row>
    <row r="5" spans="1:26" ht="14.4" thickBot="1" x14ac:dyDescent="0.35">
      <c r="A5" s="438"/>
      <c r="B5" s="438"/>
      <c r="C5" s="438"/>
      <c r="D5" s="438"/>
      <c r="E5" s="439"/>
      <c r="F5" s="384"/>
      <c r="G5" s="398"/>
      <c r="H5" s="398"/>
      <c r="I5" s="398"/>
      <c r="J5" s="398"/>
      <c r="K5" s="398"/>
      <c r="L5" s="390" t="str">
        <f>IF(Phasing!V22=0,"No","Yes")</f>
        <v>Yes</v>
      </c>
      <c r="M5" s="423" t="s">
        <v>474</v>
      </c>
      <c r="N5" s="423" t="s">
        <v>475</v>
      </c>
      <c r="O5" s="398"/>
      <c r="P5" s="398"/>
      <c r="Q5" s="398"/>
      <c r="R5" s="388"/>
      <c r="S5" s="398"/>
      <c r="U5" s="385" t="s">
        <v>235</v>
      </c>
      <c r="V5" s="386">
        <f>B4</f>
        <v>7</v>
      </c>
      <c r="X5" s="465"/>
      <c r="Y5" s="465"/>
    </row>
    <row r="6" spans="1:26" ht="15" customHeight="1" x14ac:dyDescent="0.25">
      <c r="A6" s="438"/>
      <c r="B6" s="438"/>
      <c r="C6" s="438"/>
      <c r="D6" s="438"/>
      <c r="E6" s="439"/>
      <c r="F6" s="384"/>
      <c r="G6" s="398" t="s">
        <v>228</v>
      </c>
      <c r="H6" s="393" t="s">
        <v>357</v>
      </c>
      <c r="I6" s="394">
        <f>IFERROR(INDEX(UTDF_input!A29:AC29,1,MATCH("SBR",UTDF_input!A26:AC26,0)),0)</f>
        <v>0</v>
      </c>
      <c r="J6" s="394">
        <f>IFERROR(INDEX(UTDF_input!A29:AC29,1,MATCH("SBT",UTDF_input!A26:AC26,0)),0)</f>
        <v>0</v>
      </c>
      <c r="K6" s="394">
        <f>IFERROR(INDEX(UTDF_input!A29:AC29,1,MATCH("SBL",UTDF_input!A26:AC26,0)),0)</f>
        <v>0</v>
      </c>
      <c r="L6" s="398"/>
      <c r="M6" s="424">
        <f>IFERROR(INDEX(UTDF_input!A47:AC47,1,MATCH("SBT",UTDF_input!A26:AC26,0)),0)</f>
        <v>0</v>
      </c>
      <c r="N6" s="424">
        <f>IFERROR(INDEX(UTDF_input!A48:AC48,1,MATCH("SBT",UTDF_input!A26:AC26,0)),0)</f>
        <v>0</v>
      </c>
      <c r="O6" s="398"/>
      <c r="P6" s="398"/>
      <c r="Q6" s="398"/>
      <c r="R6" s="398"/>
      <c r="S6" s="398"/>
      <c r="U6" s="387" t="s">
        <v>404</v>
      </c>
      <c r="V6" s="391">
        <f>ROUND(AVERAGE('Phase calculation'!C20:N20),1)</f>
        <v>0</v>
      </c>
      <c r="W6" s="392"/>
    </row>
    <row r="7" spans="1:26" ht="13.5" customHeight="1" thickBot="1" x14ac:dyDescent="0.3">
      <c r="A7" s="438"/>
      <c r="B7" s="438"/>
      <c r="C7" s="438"/>
      <c r="D7" s="438"/>
      <c r="E7" s="439"/>
      <c r="F7" s="384"/>
      <c r="G7" s="398" t="s">
        <v>53</v>
      </c>
      <c r="H7" s="393">
        <f>IF(I6=0,10,50)</f>
        <v>10</v>
      </c>
      <c r="I7" s="397">
        <f>IFERROR(INDEX(UTDF_input!A46:AC46,1,MATCH("SBR",UTDF_input!A26:AC26,0)),0)</f>
        <v>0</v>
      </c>
      <c r="J7" s="397">
        <f>IFERROR(INDEX(UTDF_input!A46:AC46,1,MATCH("SBT",UTDF_input!A26:AC26,0)),0)</f>
        <v>0</v>
      </c>
      <c r="K7" s="397">
        <f>IFERROR(INDEX(UTDF_input!A46:AC46,1,MATCH("SBL",UTDF_input!A26:AC26,0)),0)</f>
        <v>0</v>
      </c>
      <c r="L7" s="531" t="str">
        <f>IF($B$21="Yes","SB LT Treatment","")</f>
        <v/>
      </c>
      <c r="M7" s="531"/>
      <c r="N7" s="398"/>
      <c r="O7" s="398"/>
      <c r="P7" s="398"/>
      <c r="Q7" s="398"/>
      <c r="R7" s="398"/>
      <c r="S7" s="398"/>
      <c r="U7" s="395" t="s">
        <v>468</v>
      </c>
      <c r="V7" s="396" t="str">
        <f>IF(UTDF_input!E82=1,"CBD","Other")</f>
        <v>Other</v>
      </c>
      <c r="W7" s="417">
        <f>IF(V7="CBD",0.9,1)</f>
        <v>1</v>
      </c>
      <c r="X7" s="466"/>
      <c r="Y7" s="466"/>
    </row>
    <row r="8" spans="1:26" ht="13.8" thickBot="1" x14ac:dyDescent="0.3">
      <c r="A8" s="438"/>
      <c r="B8" s="438"/>
      <c r="C8" s="438"/>
      <c r="D8" s="438"/>
      <c r="F8" s="531" t="str">
        <f>IF($B$21="Yes","EB LT Treatment","")</f>
        <v/>
      </c>
      <c r="G8" s="531"/>
      <c r="H8" s="398"/>
      <c r="I8" s="398"/>
      <c r="J8" s="398"/>
      <c r="K8" s="398"/>
      <c r="L8" s="532"/>
      <c r="M8" s="533"/>
      <c r="N8" s="398"/>
      <c r="O8" s="398"/>
      <c r="P8" s="398"/>
      <c r="Q8" s="398"/>
      <c r="R8" s="398"/>
      <c r="S8" s="398"/>
      <c r="U8" s="387" t="s">
        <v>407</v>
      </c>
      <c r="V8" s="399">
        <v>40</v>
      </c>
    </row>
    <row r="9" spans="1:26" ht="13.8" thickBot="1" x14ac:dyDescent="0.3">
      <c r="A9" s="438"/>
      <c r="B9" s="438"/>
      <c r="C9" s="438"/>
      <c r="D9" s="438"/>
      <c r="F9" s="532"/>
      <c r="G9" s="533"/>
      <c r="H9" s="398"/>
      <c r="I9" s="398"/>
      <c r="J9" s="398"/>
      <c r="K9" s="398"/>
      <c r="L9" s="416">
        <f>IF(L8="",0,VLOOKUP(L8,$Y$12:$Z$14,2,FALSE))</f>
        <v>0</v>
      </c>
      <c r="M9" s="402"/>
      <c r="N9" s="398"/>
      <c r="O9" s="403"/>
      <c r="P9" s="404"/>
      <c r="Q9" s="398"/>
      <c r="R9" s="398"/>
      <c r="S9" s="398"/>
      <c r="U9" s="400" t="s">
        <v>408</v>
      </c>
      <c r="V9" s="401">
        <v>150</v>
      </c>
    </row>
    <row r="10" spans="1:26" x14ac:dyDescent="0.25">
      <c r="A10" s="398"/>
      <c r="B10" s="398"/>
      <c r="C10" s="398"/>
      <c r="D10" s="398"/>
      <c r="F10" s="416">
        <f>IF(F9="",0,VLOOKUP(F9,$Y$12:$Z$14,2,FALSE))</f>
        <v>0</v>
      </c>
      <c r="G10" s="398"/>
      <c r="H10" s="398"/>
      <c r="I10" s="398"/>
      <c r="J10" s="398"/>
      <c r="K10" s="398"/>
      <c r="L10" s="398"/>
      <c r="M10" s="398" t="s">
        <v>53</v>
      </c>
      <c r="N10" s="398" t="s">
        <v>228</v>
      </c>
      <c r="O10" s="398"/>
      <c r="P10" s="398"/>
      <c r="Q10" s="398"/>
      <c r="R10" s="398"/>
      <c r="S10" s="398"/>
      <c r="U10" s="463" t="s">
        <v>525</v>
      </c>
      <c r="V10" s="383">
        <v>3.5</v>
      </c>
      <c r="X10" s="464" t="s">
        <v>473</v>
      </c>
      <c r="Y10" s="464" t="s">
        <v>295</v>
      </c>
    </row>
    <row r="11" spans="1:26" x14ac:dyDescent="0.25">
      <c r="A11" s="398"/>
      <c r="B11" s="398"/>
      <c r="C11" s="398"/>
      <c r="D11" s="398"/>
      <c r="F11" s="398" t="s">
        <v>228</v>
      </c>
      <c r="G11" s="398" t="s">
        <v>53</v>
      </c>
      <c r="H11" s="398"/>
      <c r="I11" s="398"/>
      <c r="J11" s="398"/>
      <c r="K11" s="398"/>
      <c r="L11" s="398"/>
      <c r="M11" s="393" t="s">
        <v>357</v>
      </c>
      <c r="N11" s="393">
        <f>IF(N12=0,10,50)</f>
        <v>10</v>
      </c>
      <c r="O11" s="398"/>
      <c r="P11" s="398"/>
      <c r="Q11" s="398"/>
      <c r="R11" s="398"/>
      <c r="S11" s="398"/>
    </row>
    <row r="12" spans="1:26" ht="13.8" thickBot="1" x14ac:dyDescent="0.3">
      <c r="A12" s="413" t="s">
        <v>245</v>
      </c>
      <c r="B12" s="413"/>
      <c r="C12" s="398"/>
      <c r="D12" s="398" t="s">
        <v>229</v>
      </c>
      <c r="F12" s="394">
        <f>IFERROR(INDEX(UTDF_input!A29:AC29,1,MATCH("EBL",UTDF_input!A26:AC26,0)),0)</f>
        <v>0</v>
      </c>
      <c r="G12" s="397">
        <f>IFERROR(INDEX(UTDF_input!A46:AC46,1,MATCH("EBL",UTDF_input!A26:AC26,0)),0)</f>
        <v>0</v>
      </c>
      <c r="H12" s="398"/>
      <c r="I12" s="398"/>
      <c r="J12" s="398"/>
      <c r="K12" s="398"/>
      <c r="L12" s="398"/>
      <c r="M12" s="397">
        <f>IFERROR(INDEX(UTDF_input!A46:AC46,1,MATCH("WBR",UTDF_input!A26:AC26,0)),0)</f>
        <v>0</v>
      </c>
      <c r="N12" s="394">
        <f>IFERROR(INDEX(UTDF_input!A29:AC29,1,MATCH("WBR",UTDF_input!A26:AC26,0)),0)</f>
        <v>0</v>
      </c>
      <c r="O12" s="398"/>
      <c r="P12" s="398" t="s">
        <v>230</v>
      </c>
      <c r="Q12" s="398"/>
      <c r="R12" s="413" t="s">
        <v>245</v>
      </c>
      <c r="S12" s="413"/>
      <c r="V12" s="320"/>
      <c r="Y12" s="467" t="s">
        <v>82</v>
      </c>
      <c r="Z12" s="464">
        <v>1</v>
      </c>
    </row>
    <row r="13" spans="1:26" ht="13.8" thickBot="1" x14ac:dyDescent="0.3">
      <c r="A13" s="410">
        <f>IF(UTDF_input!E6="",UTDF_input!F6,UTDF_input!E6)</f>
        <v>0</v>
      </c>
      <c r="B13" s="412"/>
      <c r="C13" s="398"/>
      <c r="D13" s="389">
        <f>IFERROR(INDEX(UTDF_input!A36:AC36,1,MATCH("EBT",UTDF_input!A26:AC26,0)),20)</f>
        <v>20</v>
      </c>
      <c r="F13" s="402"/>
      <c r="G13" s="402"/>
      <c r="H13" s="398"/>
      <c r="I13" s="398"/>
      <c r="J13" s="398"/>
      <c r="K13" s="398"/>
      <c r="L13" s="398"/>
      <c r="M13" s="402"/>
      <c r="N13" s="402"/>
      <c r="O13" s="398"/>
      <c r="P13" s="389">
        <f>IFERROR(INDEX(UTDF_input!A36:AC36,1,MATCH("WBT",UTDF_input!A26:AC26,0)),20)</f>
        <v>20</v>
      </c>
      <c r="Q13" s="398"/>
      <c r="R13" s="410">
        <f>IF(UTDF_input!F6="",UTDF_input!E6,UTDF_input!F6)</f>
        <v>0</v>
      </c>
      <c r="S13" s="412"/>
      <c r="Y13" s="320" t="s">
        <v>83</v>
      </c>
      <c r="Z13" s="464">
        <v>2</v>
      </c>
    </row>
    <row r="14" spans="1:26" x14ac:dyDescent="0.25">
      <c r="A14" s="398" t="s">
        <v>518</v>
      </c>
      <c r="B14" s="398"/>
      <c r="C14" s="398"/>
      <c r="D14" s="398"/>
      <c r="F14" s="394">
        <f>IFERROR(INDEX(UTDF_input!A29:AC29,1,MATCH("EBT",UTDF_input!A26:AC26,0)),0)</f>
        <v>0</v>
      </c>
      <c r="G14" s="397">
        <f>IFERROR(INDEX(UTDF_input!A46:AC46,1,MATCH("EBT",UTDF_input!A26:AC26,0)),0)</f>
        <v>0</v>
      </c>
      <c r="H14" s="398"/>
      <c r="I14" s="398"/>
      <c r="J14" s="398" t="str">
        <f>I2&amp;"_"&amp;A13</f>
        <v>0_0</v>
      </c>
      <c r="K14" s="398"/>
      <c r="L14" s="398"/>
      <c r="M14" s="397">
        <f>IFERROR(INDEX(UTDF_input!A46:AC46,1,MATCH("WBT",UTDF_input!A26:AC26,0)),0)</f>
        <v>0</v>
      </c>
      <c r="N14" s="394">
        <f>IFERROR(INDEX(UTDF_input!A29:AC29,1,MATCH("WBT",UTDF_input!A26:AC26,0)),0)</f>
        <v>0</v>
      </c>
      <c r="O14" s="398"/>
      <c r="P14" s="398"/>
      <c r="Q14" s="398"/>
      <c r="R14" s="398" t="s">
        <v>518</v>
      </c>
      <c r="S14" s="398"/>
      <c r="V14" s="320"/>
      <c r="Y14" s="320" t="s">
        <v>526</v>
      </c>
      <c r="Z14" s="464">
        <v>3</v>
      </c>
    </row>
    <row r="15" spans="1:26" ht="13.8" thickBot="1" x14ac:dyDescent="0.3">
      <c r="A15" s="424">
        <v>0</v>
      </c>
      <c r="B15" s="398" t="s">
        <v>519</v>
      </c>
      <c r="C15" s="398"/>
      <c r="D15" s="398" t="s">
        <v>514</v>
      </c>
      <c r="F15" s="402"/>
      <c r="G15" s="402"/>
      <c r="H15" s="398"/>
      <c r="I15" s="398"/>
      <c r="J15" s="398"/>
      <c r="K15" s="398"/>
      <c r="L15" s="398"/>
      <c r="M15" s="402"/>
      <c r="N15" s="402"/>
      <c r="O15" s="398"/>
      <c r="P15" s="398" t="s">
        <v>515</v>
      </c>
      <c r="Q15" s="398"/>
      <c r="R15" s="424">
        <v>0</v>
      </c>
      <c r="S15" s="398"/>
    </row>
    <row r="16" spans="1:26" ht="13.8" thickBot="1" x14ac:dyDescent="0.3">
      <c r="A16" s="398"/>
      <c r="B16" s="398"/>
      <c r="C16" s="398"/>
      <c r="D16" s="390" t="str">
        <f>IF(Phasing!P22=0,"No","Yes")</f>
        <v>Yes</v>
      </c>
      <c r="F16" s="394">
        <f>IFERROR(INDEX(UTDF_input!A29:AC29,1,MATCH("EBR",UTDF_input!A26:AC26,0)),0)</f>
        <v>0</v>
      </c>
      <c r="G16" s="397">
        <f>IFERROR(INDEX(UTDF_input!A46:AC46,1,MATCH("EBR",UTDF_input!A26:AC26,0)),0)</f>
        <v>0</v>
      </c>
      <c r="H16" s="398"/>
      <c r="I16" s="398"/>
      <c r="J16" s="398"/>
      <c r="K16" s="398"/>
      <c r="L16" s="398"/>
      <c r="M16" s="397">
        <f>IFERROR(INDEX(UTDF_input!A46:AC46,1,MATCH("WBL",UTDF_input!A26:AC26,0)),0)</f>
        <v>0</v>
      </c>
      <c r="N16" s="394">
        <f>IFERROR(INDEX(UTDF_input!A29:AC29,1,MATCH("WBL",UTDF_input!A26:AC26,0)),0)</f>
        <v>0</v>
      </c>
      <c r="O16" s="398"/>
      <c r="P16" s="390" t="str">
        <f>IF(Phasing!R22=0,"No","Yes")</f>
        <v>Yes</v>
      </c>
      <c r="Q16" s="398"/>
      <c r="R16" s="398" t="s">
        <v>519</v>
      </c>
      <c r="S16" s="398"/>
    </row>
    <row r="17" spans="1:24" x14ac:dyDescent="0.25">
      <c r="A17" s="398"/>
      <c r="B17" s="398"/>
      <c r="C17" s="398"/>
      <c r="D17" s="423" t="s">
        <v>474</v>
      </c>
      <c r="E17" s="424">
        <f>IFERROR(INDEX(UTDF_input!A47:AC47,1,MATCH("EBT",UTDF_input!A26:AC26,0)),0)</f>
        <v>0</v>
      </c>
      <c r="F17" s="393" t="s">
        <v>357</v>
      </c>
      <c r="G17" s="393">
        <f>IF(F16=0,10,50)</f>
        <v>10</v>
      </c>
      <c r="H17" s="398"/>
      <c r="I17" s="398"/>
      <c r="J17" s="398"/>
      <c r="K17" s="398"/>
      <c r="L17" s="398"/>
      <c r="M17" s="398"/>
      <c r="N17" s="398"/>
      <c r="O17" s="398"/>
      <c r="P17" s="423" t="s">
        <v>474</v>
      </c>
      <c r="Q17" s="424">
        <f>IFERROR(INDEX(UTDF_input!A47:AC47,1,MATCH("WBT",UTDF_input!A26:AC26,0)),0)</f>
        <v>0</v>
      </c>
      <c r="R17" s="398"/>
      <c r="S17" s="398"/>
      <c r="U17" s="416" t="s">
        <v>405</v>
      </c>
      <c r="X17" s="464" t="s">
        <v>405</v>
      </c>
    </row>
    <row r="18" spans="1:24" ht="13.8" thickBot="1" x14ac:dyDescent="0.3">
      <c r="A18" s="398"/>
      <c r="B18" s="398"/>
      <c r="C18" s="398"/>
      <c r="D18" s="423" t="s">
        <v>475</v>
      </c>
      <c r="E18" s="424">
        <f>IFERROR(INDEX(UTDF_input!A48:AC48,1,MATCH("EBT",UTDF_input!A26:AC26,0)),0)</f>
        <v>0</v>
      </c>
      <c r="F18" s="398"/>
      <c r="G18" s="398"/>
      <c r="H18" s="398"/>
      <c r="I18" s="398"/>
      <c r="J18" s="398"/>
      <c r="K18" s="398"/>
      <c r="L18" s="398"/>
      <c r="M18" s="531" t="str">
        <f>IF($B$21="Yes","WB LT Treatment","")</f>
        <v/>
      </c>
      <c r="N18" s="531"/>
      <c r="O18" s="398"/>
      <c r="P18" s="423" t="s">
        <v>475</v>
      </c>
      <c r="Q18" s="424">
        <f>IFERROR(INDEX(UTDF_input!A48:AC48,1,MATCH("WBT",UTDF_input!A26:AC26,0)),0)</f>
        <v>0</v>
      </c>
      <c r="R18" s="398"/>
      <c r="S18" s="398"/>
      <c r="U18" s="416" t="s">
        <v>406</v>
      </c>
      <c r="X18" s="464" t="s">
        <v>406</v>
      </c>
    </row>
    <row r="19" spans="1:24" ht="13.8" thickBot="1" x14ac:dyDescent="0.3">
      <c r="A19" s="398"/>
      <c r="B19" s="398"/>
      <c r="C19" s="398"/>
      <c r="D19" s="398"/>
      <c r="F19" s="398"/>
      <c r="G19" s="398"/>
      <c r="H19" s="398"/>
      <c r="I19" s="398"/>
      <c r="J19" s="398"/>
      <c r="K19" s="398"/>
      <c r="L19" s="398"/>
      <c r="M19" s="532"/>
      <c r="N19" s="533"/>
      <c r="O19" s="398"/>
      <c r="P19" s="398"/>
      <c r="Q19" s="398"/>
      <c r="R19" s="398"/>
      <c r="S19" s="398"/>
    </row>
    <row r="20" spans="1:24" ht="13.8" thickBot="1" x14ac:dyDescent="0.3">
      <c r="A20" s="398"/>
      <c r="B20" s="414" t="s">
        <v>516</v>
      </c>
      <c r="C20" s="415"/>
      <c r="D20" s="415"/>
      <c r="E20" s="440"/>
      <c r="F20" s="398"/>
      <c r="G20" s="398"/>
      <c r="H20" s="398"/>
      <c r="I20" s="398"/>
      <c r="J20" s="398"/>
      <c r="K20" s="398"/>
      <c r="L20" s="398"/>
      <c r="M20" s="416">
        <f>IF(M19="",0,VLOOKUP(M19,$Y$12:$Z$14,2,FALSE))</f>
        <v>0</v>
      </c>
      <c r="N20" s="398"/>
      <c r="O20" s="405"/>
      <c r="P20" s="405"/>
      <c r="Q20" s="398"/>
      <c r="R20" s="398"/>
      <c r="S20" s="398"/>
    </row>
    <row r="21" spans="1:24" ht="13.8" thickBot="1" x14ac:dyDescent="0.3">
      <c r="A21" s="398"/>
      <c r="B21" s="470" t="s">
        <v>295</v>
      </c>
      <c r="C21" s="468"/>
      <c r="D21" s="468"/>
      <c r="E21" s="469"/>
      <c r="F21" s="398"/>
      <c r="G21" s="398"/>
      <c r="H21" s="398" t="s">
        <v>53</v>
      </c>
      <c r="I21" s="397">
        <f>IFERROR(INDEX(UTDF_input!A46:AC46,1,MATCH("NBL",UTDF_input!A26:AC26,0)),0)</f>
        <v>0</v>
      </c>
      <c r="J21" s="397">
        <f>IFERROR(INDEX(UTDF_input!A46:AC46,1,MATCH("NBT",UTDF_input!A26:AC26,0)),0)</f>
        <v>0</v>
      </c>
      <c r="K21" s="397">
        <f>IFERROR(INDEX(UTDF_input!A46:AC46,1,MATCH("NBR",UTDF_input!A26:AC26,0)),0)</f>
        <v>0</v>
      </c>
      <c r="L21" s="393" t="s">
        <v>357</v>
      </c>
      <c r="M21" s="398" t="s">
        <v>517</v>
      </c>
      <c r="O21" s="424">
        <f>IFERROR(INDEX(UTDF_input!A47:AC47,1,MATCH("NBT",UTDF_input!A26:AC26,0)),0)</f>
        <v>0</v>
      </c>
      <c r="P21" s="425">
        <f>IFERROR(INDEX(UTDF_input!A48:AC48,1,MATCH("NBT",UTDF_input!A26:AC26,0)),0)</f>
        <v>0</v>
      </c>
      <c r="Q21" s="398"/>
      <c r="R21" s="398"/>
      <c r="S21" s="398"/>
    </row>
    <row r="22" spans="1:24" ht="13.8" thickBot="1" x14ac:dyDescent="0.3">
      <c r="A22" s="398"/>
      <c r="B22" s="398"/>
      <c r="C22" s="398"/>
      <c r="D22" s="398"/>
      <c r="F22" s="398"/>
      <c r="G22" s="398"/>
      <c r="H22" s="398" t="s">
        <v>228</v>
      </c>
      <c r="I22" s="394">
        <f>IFERROR(INDEX(UTDF_input!A29:AC29,1,MATCH("NBL",UTDF_input!A26:AC26,0)),0)</f>
        <v>0</v>
      </c>
      <c r="J22" s="394">
        <f>IFERROR(INDEX(UTDF_input!A29:AC29,1,MATCH("NBT",UTDF_input!A26:AC26,0)),0)</f>
        <v>0</v>
      </c>
      <c r="K22" s="394">
        <f>IFERROR(INDEX(UTDF_input!A29:AC29,1,MATCH("NBR",UTDF_input!A26:AC26,0)),0)</f>
        <v>0</v>
      </c>
      <c r="L22" s="393">
        <f>IF(K22=0,10,50)</f>
        <v>10</v>
      </c>
      <c r="M22" s="390" t="str">
        <f>IF(Phasing!T22=0,"No","Yes")</f>
        <v>Yes</v>
      </c>
      <c r="O22" s="423" t="s">
        <v>474</v>
      </c>
      <c r="P22" s="423" t="s">
        <v>475</v>
      </c>
      <c r="Q22" s="398"/>
      <c r="R22" s="398"/>
      <c r="S22" s="398"/>
    </row>
    <row r="23" spans="1:24" ht="13.8" thickBot="1" x14ac:dyDescent="0.3">
      <c r="A23" s="398"/>
      <c r="B23" s="414" t="s">
        <v>554</v>
      </c>
      <c r="C23" s="476"/>
      <c r="D23" s="477"/>
      <c r="F23" s="531" t="str">
        <f>IF($B$21="Yes","NB LT Treatment","")</f>
        <v/>
      </c>
      <c r="G23" s="531"/>
      <c r="H23" s="398"/>
      <c r="I23" s="398"/>
      <c r="J23" s="398"/>
      <c r="K23" s="398"/>
      <c r="L23" s="398"/>
      <c r="M23" s="398"/>
      <c r="N23" s="398"/>
      <c r="O23" s="406"/>
      <c r="P23" s="406"/>
      <c r="Q23" s="398"/>
      <c r="R23" s="398"/>
      <c r="S23" s="398"/>
    </row>
    <row r="24" spans="1:24" ht="13.8" thickBot="1" x14ac:dyDescent="0.3">
      <c r="A24" s="398"/>
      <c r="B24" s="470" t="s">
        <v>295</v>
      </c>
      <c r="C24" s="398"/>
      <c r="D24" s="398"/>
      <c r="F24" s="532"/>
      <c r="G24" s="533"/>
      <c r="H24" s="398"/>
      <c r="I24" s="398" t="s">
        <v>232</v>
      </c>
      <c r="J24" s="389">
        <f>IFERROR(INDEX(UTDF_input!A36:AC36,1,MATCH("NBT",UTDF_input!A26:AC26,0)),20)</f>
        <v>20</v>
      </c>
      <c r="K24" s="398"/>
      <c r="L24" s="398"/>
      <c r="M24" s="398"/>
      <c r="N24" s="398"/>
      <c r="O24" s="406"/>
      <c r="P24" s="406"/>
      <c r="Q24" s="398"/>
      <c r="R24" s="398"/>
      <c r="S24" s="398"/>
    </row>
    <row r="25" spans="1:24" ht="13.8" thickBot="1" x14ac:dyDescent="0.3">
      <c r="A25" s="398"/>
      <c r="B25" s="398"/>
      <c r="C25" s="398"/>
      <c r="D25" s="398"/>
      <c r="F25" s="416">
        <f>IF(F24="",0,VLOOKUP(F24,$Y$12:$Z$14,2,FALSE))</f>
        <v>0</v>
      </c>
      <c r="G25" s="398"/>
      <c r="H25" s="398"/>
      <c r="I25" s="398"/>
      <c r="J25" s="398"/>
      <c r="K25" s="398"/>
      <c r="L25" s="398"/>
      <c r="M25" s="398"/>
      <c r="N25" s="398"/>
      <c r="O25" s="406"/>
      <c r="P25" s="406"/>
      <c r="Q25" s="398"/>
      <c r="R25" s="398"/>
      <c r="S25" s="398"/>
    </row>
    <row r="26" spans="1:24" ht="13.8" thickBot="1" x14ac:dyDescent="0.3">
      <c r="A26" s="398"/>
      <c r="B26" s="534" t="str">
        <f>IF($B$24="Yes","Cycle (s) =","")</f>
        <v/>
      </c>
      <c r="C26" s="534"/>
      <c r="D26" s="478">
        <v>0</v>
      </c>
      <c r="F26" s="398"/>
      <c r="G26" s="398"/>
      <c r="H26" s="398" t="s">
        <v>245</v>
      </c>
      <c r="I26" s="410">
        <f>IF(UTDF_input!C6="",UTDF_input!D6,UTDF_input!C6)</f>
        <v>0</v>
      </c>
      <c r="J26" s="411"/>
      <c r="K26" s="412"/>
      <c r="L26" s="398" t="s">
        <v>518</v>
      </c>
      <c r="M26" s="424">
        <v>0</v>
      </c>
      <c r="N26" s="398" t="s">
        <v>519</v>
      </c>
      <c r="O26" s="406"/>
      <c r="P26" s="406"/>
      <c r="Q26" s="398"/>
      <c r="R26" s="398"/>
      <c r="S26" s="398"/>
    </row>
    <row r="27" spans="1:24" x14ac:dyDescent="0.25">
      <c r="O27" s="405"/>
      <c r="P27" s="405"/>
    </row>
    <row r="28" spans="1:24" x14ac:dyDescent="0.25">
      <c r="J28" s="383" t="str">
        <f>IF(AND(I2="",A13=""),"",I2&amp;" &amp; "&amp;A13)</f>
        <v>0 &amp; 0</v>
      </c>
    </row>
    <row r="30" spans="1:24" ht="14.4" x14ac:dyDescent="0.3">
      <c r="A30" s="529" t="s">
        <v>203</v>
      </c>
      <c r="B30" s="529"/>
      <c r="C30" s="529"/>
      <c r="D30" s="529"/>
      <c r="E30" s="529"/>
      <c r="F30" s="529"/>
      <c r="G30" s="529"/>
      <c r="H30" s="529"/>
    </row>
    <row r="31" spans="1:24" ht="14.4" x14ac:dyDescent="0.3">
      <c r="A31" s="530" t="s">
        <v>527</v>
      </c>
      <c r="B31" s="530"/>
      <c r="C31" s="530"/>
      <c r="D31" s="530"/>
      <c r="E31" s="530"/>
      <c r="F31" s="530"/>
      <c r="G31" s="530"/>
      <c r="H31" s="530"/>
    </row>
    <row r="32" spans="1:24" ht="14.4" x14ac:dyDescent="0.3">
      <c r="A32" s="407" t="s">
        <v>637</v>
      </c>
      <c r="B32" s="407"/>
      <c r="C32" s="407"/>
      <c r="D32" s="407"/>
      <c r="E32" s="441"/>
      <c r="F32" s="407"/>
      <c r="G32" s="407"/>
      <c r="H32" s="408"/>
    </row>
    <row r="33" spans="1:8" ht="14.4" x14ac:dyDescent="0.3">
      <c r="A33" s="11"/>
      <c r="B33" s="409"/>
      <c r="C33" s="409"/>
      <c r="D33" s="409"/>
      <c r="E33" s="409"/>
      <c r="F33" s="409"/>
      <c r="G33" s="409"/>
      <c r="H33" s="11"/>
    </row>
    <row r="34" spans="1:8" ht="12.75" customHeight="1" x14ac:dyDescent="0.25">
      <c r="A34" s="528" t="s">
        <v>553</v>
      </c>
      <c r="B34" s="528"/>
      <c r="C34" s="528"/>
      <c r="D34" s="528"/>
      <c r="E34" s="528"/>
      <c r="F34" s="528"/>
      <c r="G34" s="528"/>
      <c r="H34" s="528"/>
    </row>
    <row r="35" spans="1:8" ht="12.75" customHeight="1" x14ac:dyDescent="0.25">
      <c r="A35" s="528"/>
      <c r="B35" s="528"/>
      <c r="C35" s="528"/>
      <c r="D35" s="528"/>
      <c r="E35" s="528"/>
      <c r="F35" s="528"/>
      <c r="G35" s="528"/>
      <c r="H35" s="528"/>
    </row>
    <row r="36" spans="1:8" ht="12.75" customHeight="1" x14ac:dyDescent="0.25">
      <c r="A36" s="528"/>
      <c r="B36" s="528"/>
      <c r="C36" s="528"/>
      <c r="D36" s="528"/>
      <c r="E36" s="528"/>
      <c r="F36" s="528"/>
      <c r="G36" s="528"/>
      <c r="H36" s="528"/>
    </row>
    <row r="37" spans="1:8" ht="12.75" customHeight="1" x14ac:dyDescent="0.25">
      <c r="A37" s="528"/>
      <c r="B37" s="528"/>
      <c r="C37" s="528"/>
      <c r="D37" s="528"/>
      <c r="E37" s="528"/>
      <c r="F37" s="528"/>
      <c r="G37" s="528"/>
      <c r="H37" s="528"/>
    </row>
    <row r="38" spans="1:8" ht="12.75" customHeight="1" x14ac:dyDescent="0.25">
      <c r="A38" s="528"/>
      <c r="B38" s="528"/>
      <c r="C38" s="528"/>
      <c r="D38" s="528"/>
      <c r="E38" s="528"/>
      <c r="F38" s="528"/>
      <c r="G38" s="528"/>
      <c r="H38" s="528"/>
    </row>
    <row r="39" spans="1:8" ht="12.75" customHeight="1" x14ac:dyDescent="0.25">
      <c r="A39" s="528"/>
      <c r="B39" s="528"/>
      <c r="C39" s="528"/>
      <c r="D39" s="528"/>
      <c r="E39" s="528"/>
      <c r="F39" s="528"/>
      <c r="G39" s="528"/>
      <c r="H39" s="528"/>
    </row>
    <row r="40" spans="1:8" ht="12.75" customHeight="1" x14ac:dyDescent="0.25">
      <c r="A40" s="528"/>
      <c r="B40" s="528"/>
      <c r="C40" s="528"/>
      <c r="D40" s="528"/>
      <c r="E40" s="528"/>
      <c r="F40" s="528"/>
      <c r="G40" s="528"/>
      <c r="H40" s="528"/>
    </row>
    <row r="41" spans="1:8" ht="12.75" customHeight="1" x14ac:dyDescent="0.25">
      <c r="A41" s="528"/>
      <c r="B41" s="528"/>
      <c r="C41" s="528"/>
      <c r="D41" s="528"/>
      <c r="E41" s="528"/>
      <c r="F41" s="528"/>
      <c r="G41" s="528"/>
      <c r="H41" s="528"/>
    </row>
    <row r="42" spans="1:8" ht="12.75" customHeight="1" x14ac:dyDescent="0.25">
      <c r="A42" s="528"/>
      <c r="B42" s="528"/>
      <c r="C42" s="528"/>
      <c r="D42" s="528"/>
      <c r="E42" s="528"/>
      <c r="F42" s="528"/>
      <c r="G42" s="528"/>
      <c r="H42" s="528"/>
    </row>
    <row r="43" spans="1:8" x14ac:dyDescent="0.25">
      <c r="A43" s="528"/>
      <c r="B43" s="528"/>
      <c r="C43" s="528"/>
      <c r="D43" s="528"/>
      <c r="E43" s="528"/>
      <c r="F43" s="528"/>
      <c r="G43" s="528"/>
      <c r="H43" s="528"/>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disablePrompts="1"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H23"/>
    </sheetView>
  </sheetViews>
  <sheetFormatPr defaultColWidth="9.109375" defaultRowHeight="14.4" x14ac:dyDescent="0.3"/>
  <cols>
    <col min="1" max="1" width="21" style="5" bestFit="1" customWidth="1"/>
    <col min="2" max="9" width="9.109375" style="5"/>
    <col min="10" max="11" width="9.6640625" style="5" customWidth="1"/>
    <col min="12" max="34" width="9.109375" style="5" customWidth="1"/>
    <col min="35" max="16384" width="9.109375" style="5"/>
  </cols>
  <sheetData>
    <row r="1" spans="1:27" x14ac:dyDescent="0.3">
      <c r="A1" s="541" t="s">
        <v>204</v>
      </c>
      <c r="B1" s="541"/>
      <c r="C1" s="541"/>
      <c r="L1" s="544" t="s">
        <v>75</v>
      </c>
      <c r="M1" s="544"/>
      <c r="N1" s="520" t="s">
        <v>115</v>
      </c>
      <c r="O1" s="544"/>
      <c r="Q1" t="s">
        <v>91</v>
      </c>
      <c r="R1" t="s">
        <v>92</v>
      </c>
      <c r="W1" t="s">
        <v>91</v>
      </c>
      <c r="X1" t="s">
        <v>92</v>
      </c>
    </row>
    <row r="2" spans="1:27" x14ac:dyDescent="0.3">
      <c r="A2" s="272" t="s">
        <v>73</v>
      </c>
      <c r="B2" s="247" t="s">
        <v>13</v>
      </c>
      <c r="C2" s="247" t="s">
        <v>14</v>
      </c>
      <c r="D2" s="247" t="s">
        <v>18</v>
      </c>
      <c r="E2" s="247" t="s">
        <v>19</v>
      </c>
      <c r="F2" s="247" t="s">
        <v>3</v>
      </c>
      <c r="G2" s="247" t="s">
        <v>4</v>
      </c>
      <c r="H2" s="247" t="s">
        <v>8</v>
      </c>
      <c r="I2" s="247" t="s">
        <v>9</v>
      </c>
      <c r="J2" s="7" t="str">
        <f>IF(M17+M18&gt;=M15+M16,L1,N1)</f>
        <v>N-S Major</v>
      </c>
      <c r="K2" s="7"/>
      <c r="L2" s="5" t="s">
        <v>13</v>
      </c>
      <c r="M2" s="5">
        <v>7</v>
      </c>
      <c r="N2" s="5" t="s">
        <v>13</v>
      </c>
      <c r="O2" s="5">
        <v>5</v>
      </c>
      <c r="Q2" s="5">
        <v>1</v>
      </c>
      <c r="R2" s="5">
        <v>50000</v>
      </c>
      <c r="W2" s="5">
        <v>1</v>
      </c>
      <c r="X2" s="5">
        <v>150000</v>
      </c>
    </row>
    <row r="3" spans="1:27" x14ac:dyDescent="0.3">
      <c r="A3" s="5" t="s">
        <v>74</v>
      </c>
      <c r="B3" s="6">
        <f>Sheet1!N4</f>
        <v>0</v>
      </c>
      <c r="C3" s="6">
        <f>IF(Sheet1!P5=0,Sheet1!O4+Sheet1!P4,Sheet1!O4)</f>
        <v>0</v>
      </c>
      <c r="D3" s="6">
        <f>IF(Sheet1!N4=Sheet1!S4, Sheet1!S4+1,Sheet1!S4)</f>
        <v>1</v>
      </c>
      <c r="E3" s="6">
        <f>IF(Sheet1!U5=0,Sheet1!T4+Sheet1!U4,Sheet1!T4)</f>
        <v>0</v>
      </c>
      <c r="F3" s="6">
        <f>Sheet1!D4+Sheet1!W4+Sheet1!Z4</f>
        <v>0</v>
      </c>
      <c r="G3" s="6">
        <f>IF(Sheet1!F5=0,Sheet1!E4+Sheet1!F4+Sheet1!X4+Sheet1!AA4,Sheet1!E4+Sheet1!X4+Sheet1!AA4)</f>
        <v>0</v>
      </c>
      <c r="H3" s="6">
        <f>IF(Sheet1!D4+Sheet1!W4+Sheet1!Z4=Sheet1!I4+Sheet1!AC4+Sheet1!AF4,Sheet1!I4+Sheet1!AC4+Sheet1!AF4+1,Sheet1!I4+Sheet1!AC4+Sheet1!AF4)</f>
        <v>1</v>
      </c>
      <c r="I3" s="6">
        <f>IF(Sheet1!K5=0,Sheet1!J4+Sheet1!K4+Sheet1!AD4+Sheet1!AG4,Sheet1!J4+Sheet1!AD4+Sheet1!AG4)</f>
        <v>0</v>
      </c>
      <c r="L3" s="5" t="s">
        <v>14</v>
      </c>
      <c r="M3" s="5">
        <v>4</v>
      </c>
      <c r="N3" s="5" t="s">
        <v>14</v>
      </c>
      <c r="O3" s="5">
        <v>2</v>
      </c>
      <c r="Q3" s="5">
        <v>2</v>
      </c>
      <c r="R3" s="5">
        <v>90000</v>
      </c>
      <c r="W3" s="5">
        <v>2</v>
      </c>
      <c r="X3" s="5">
        <v>300000</v>
      </c>
    </row>
    <row r="4" spans="1:27" x14ac:dyDescent="0.3">
      <c r="A4" s="272" t="s">
        <v>80</v>
      </c>
      <c r="B4" s="247">
        <f>IF($J$2="N-S Major",M2,O2)</f>
        <v>7</v>
      </c>
      <c r="C4" s="247">
        <f>IF($J$2="N-S Major",M3,O3)</f>
        <v>4</v>
      </c>
      <c r="D4" s="247">
        <f>IF($J$2="N-S Major",M4,O4)</f>
        <v>3</v>
      </c>
      <c r="E4" s="247">
        <f>IF($J$2="N-S Major",M5,O5)</f>
        <v>8</v>
      </c>
      <c r="F4" s="247">
        <f>IF($J$2="N-S Major",M6,O6)</f>
        <v>5</v>
      </c>
      <c r="G4" s="247">
        <f>IF($J$2="N-S Major",M7,O7)</f>
        <v>2</v>
      </c>
      <c r="H4" s="247">
        <f>IF($J$2="N-S Major",M8,O8)</f>
        <v>1</v>
      </c>
      <c r="I4" s="247">
        <f>IF($J$2="N-S Major",M9,O9)</f>
        <v>6</v>
      </c>
      <c r="L4" s="5" t="s">
        <v>18</v>
      </c>
      <c r="M4" s="5">
        <v>3</v>
      </c>
      <c r="N4" s="5" t="s">
        <v>18</v>
      </c>
      <c r="O4" s="5">
        <v>1</v>
      </c>
      <c r="Q4" s="5">
        <v>3</v>
      </c>
      <c r="R4" s="5">
        <v>110000</v>
      </c>
      <c r="W4" s="5">
        <v>3</v>
      </c>
      <c r="X4" s="5">
        <v>300000</v>
      </c>
    </row>
    <row r="5" spans="1:27" x14ac:dyDescent="0.3">
      <c r="A5" s="5" t="s">
        <v>97</v>
      </c>
      <c r="B5" s="87">
        <f>IF(B6=0,0,B4)</f>
        <v>0</v>
      </c>
      <c r="C5" s="87">
        <f>IF(AND(B6=0,C6=0),0,C4)</f>
        <v>0</v>
      </c>
      <c r="D5" s="87">
        <f>IF(D6=0,0,D4)</f>
        <v>0</v>
      </c>
      <c r="E5" s="87">
        <f>IF(AND(D6=0,E6=0),0,E4)</f>
        <v>0</v>
      </c>
      <c r="F5" s="87">
        <f>IF(F6=0,0,F4)</f>
        <v>0</v>
      </c>
      <c r="G5" s="87">
        <f>IF(AND(F6=0,G6=0),0,G4)</f>
        <v>0</v>
      </c>
      <c r="H5" s="87">
        <f>IF(H6=0,0,H4)</f>
        <v>0</v>
      </c>
      <c r="I5" s="87">
        <f>IF(AND(H6=0,I6=0),0,I4)</f>
        <v>0</v>
      </c>
      <c r="L5" s="5" t="s">
        <v>19</v>
      </c>
      <c r="M5" s="5">
        <v>8</v>
      </c>
      <c r="N5" s="5" t="s">
        <v>19</v>
      </c>
      <c r="O5" s="5">
        <v>6</v>
      </c>
    </row>
    <row r="6" spans="1:27" x14ac:dyDescent="0.3">
      <c r="A6" s="272" t="s">
        <v>79</v>
      </c>
      <c r="B6" s="247">
        <f>Sheet1!N5</f>
        <v>0</v>
      </c>
      <c r="C6" s="247">
        <f>Sheet1!O5</f>
        <v>0</v>
      </c>
      <c r="D6" s="247">
        <f>Sheet1!S5</f>
        <v>0</v>
      </c>
      <c r="E6" s="247">
        <f>Sheet1!T5</f>
        <v>0</v>
      </c>
      <c r="F6" s="247">
        <f>Sheet1!D5+Sheet1!W5+Sheet1!Z5</f>
        <v>0</v>
      </c>
      <c r="G6" s="247">
        <f>Sheet1!E5+Sheet1!X5+Sheet1!AA5</f>
        <v>0</v>
      </c>
      <c r="H6" s="247">
        <f>Sheet1!I5+Sheet1!AC5+Sheet1!AF5</f>
        <v>0</v>
      </c>
      <c r="I6" s="247">
        <f>Sheet1!J5+Sheet1!AD5+Sheet1!AG5</f>
        <v>0</v>
      </c>
      <c r="L6" s="5" t="s">
        <v>3</v>
      </c>
      <c r="M6" s="5">
        <v>5</v>
      </c>
      <c r="N6" s="5" t="s">
        <v>3</v>
      </c>
      <c r="O6" s="5">
        <v>3</v>
      </c>
      <c r="R6" s="6" t="s">
        <v>13</v>
      </c>
      <c r="S6" s="6" t="s">
        <v>18</v>
      </c>
      <c r="T6" s="6" t="s">
        <v>3</v>
      </c>
      <c r="U6" s="6" t="s">
        <v>8</v>
      </c>
      <c r="X6" s="6" t="s">
        <v>13</v>
      </c>
      <c r="Y6" s="6" t="s">
        <v>18</v>
      </c>
      <c r="Z6" s="6" t="s">
        <v>3</v>
      </c>
      <c r="AA6" s="6" t="s">
        <v>8</v>
      </c>
    </row>
    <row r="7" spans="1:27" x14ac:dyDescent="0.3">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8</v>
      </c>
      <c r="Q7" s="5" t="s">
        <v>88</v>
      </c>
      <c r="R7" s="6">
        <f>E6</f>
        <v>0</v>
      </c>
      <c r="S7" s="6">
        <f>C6</f>
        <v>0</v>
      </c>
      <c r="T7" s="6">
        <f>I6</f>
        <v>0</v>
      </c>
      <c r="U7" s="6">
        <f>G6</f>
        <v>0</v>
      </c>
      <c r="W7" s="5" t="s">
        <v>88</v>
      </c>
      <c r="X7" s="6">
        <f t="shared" ref="X7:AA8" si="0">R7</f>
        <v>0</v>
      </c>
      <c r="Y7" s="6">
        <f t="shared" si="0"/>
        <v>0</v>
      </c>
      <c r="Z7" s="6">
        <f t="shared" si="0"/>
        <v>0</v>
      </c>
      <c r="AA7" s="6">
        <f t="shared" si="0"/>
        <v>0</v>
      </c>
    </row>
    <row r="8" spans="1:27" x14ac:dyDescent="0.3">
      <c r="A8" s="273" t="s">
        <v>291</v>
      </c>
      <c r="B8" s="272"/>
      <c r="C8" s="247">
        <f>Phasing!P6</f>
        <v>25</v>
      </c>
      <c r="D8" s="247"/>
      <c r="E8" s="247">
        <f>Phasing!R6</f>
        <v>25</v>
      </c>
      <c r="F8" s="247"/>
      <c r="G8" s="247">
        <f>Phasing!T6</f>
        <v>25</v>
      </c>
      <c r="H8" s="247"/>
      <c r="I8" s="247">
        <f>Phasing!V6</f>
        <v>25</v>
      </c>
      <c r="L8" s="5" t="s">
        <v>8</v>
      </c>
      <c r="M8" s="5">
        <v>1</v>
      </c>
      <c r="N8" s="5" t="s">
        <v>8</v>
      </c>
      <c r="O8" s="5">
        <v>7</v>
      </c>
      <c r="Q8" s="5" t="s">
        <v>92</v>
      </c>
      <c r="R8" s="6">
        <f>B3*E3</f>
        <v>0</v>
      </c>
      <c r="S8" s="6">
        <f>D3*C3</f>
        <v>0</v>
      </c>
      <c r="T8" s="6">
        <f>F3*I3</f>
        <v>0</v>
      </c>
      <c r="U8" s="6">
        <f>H3*G3</f>
        <v>0</v>
      </c>
      <c r="W8" s="5" t="s">
        <v>92</v>
      </c>
      <c r="X8" s="6">
        <f t="shared" si="0"/>
        <v>0</v>
      </c>
      <c r="Y8" s="6">
        <f t="shared" si="0"/>
        <v>0</v>
      </c>
      <c r="Z8" s="6">
        <f t="shared" si="0"/>
        <v>0</v>
      </c>
      <c r="AA8" s="6">
        <f t="shared" si="0"/>
        <v>0</v>
      </c>
    </row>
    <row r="9" spans="1:27" x14ac:dyDescent="0.3">
      <c r="B9" s="81"/>
      <c r="C9" s="81"/>
      <c r="D9" s="81"/>
      <c r="E9" s="81"/>
      <c r="G9" s="540" t="s">
        <v>435</v>
      </c>
      <c r="H9" s="540"/>
      <c r="I9" s="81">
        <f>IF(OR(SUM(B5:E5)=0,SUM(D5:G5)=0,SUM(F5:I5)=0,SUM(B5:C5,F5:G5)=0,SUM(B5:C5,H5:I5)=0,SUM(D5:E5,H5:I5)=0),1,0)</f>
        <v>1</v>
      </c>
      <c r="L9" s="5" t="s">
        <v>9</v>
      </c>
      <c r="M9" s="5">
        <v>6</v>
      </c>
      <c r="N9" s="5" t="s">
        <v>9</v>
      </c>
      <c r="O9" s="5">
        <v>4</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x14ac:dyDescent="0.3">
      <c r="A10" s="272" t="s">
        <v>86</v>
      </c>
      <c r="B10" s="247" t="s">
        <v>13</v>
      </c>
      <c r="C10" s="247"/>
      <c r="D10" s="247" t="s">
        <v>18</v>
      </c>
      <c r="E10" s="247"/>
      <c r="F10" s="247" t="s">
        <v>3</v>
      </c>
      <c r="G10" s="247"/>
      <c r="H10" s="247" t="s">
        <v>8</v>
      </c>
      <c r="I10" s="87"/>
      <c r="Q10" s="6">
        <v>2</v>
      </c>
      <c r="R10" s="6">
        <f>IF(AND(R7=2,R8&gt;=90000),1,0)</f>
        <v>0</v>
      </c>
      <c r="S10" s="6">
        <f>IF(AND(S7=2,S8&gt;=90000),1,0)</f>
        <v>0</v>
      </c>
      <c r="T10" s="6">
        <f>IF(AND(T7=2,T8&gt;=90000),1,0)</f>
        <v>0</v>
      </c>
      <c r="U10" s="6">
        <f>IF(AND(U7=2,U8&gt;=90000),1,0)</f>
        <v>0</v>
      </c>
      <c r="W10" s="6">
        <v>2</v>
      </c>
      <c r="X10" s="6">
        <f>IF(AND(X7=2,X8&gt;=300000),1,0)</f>
        <v>0</v>
      </c>
      <c r="Y10" s="6">
        <f>IF(AND(Y7=2,Y8&gt;=300000),1,0)</f>
        <v>0</v>
      </c>
      <c r="Z10" s="6">
        <f>IF(AND(Z7=2,Z8&gt;=300000),1,0)</f>
        <v>0</v>
      </c>
      <c r="AA10" s="6">
        <f>IF(AND(AA7=2,AA8&gt;=300000),1,0)</f>
        <v>0</v>
      </c>
    </row>
    <row r="11" spans="1:27" ht="15" customHeight="1" x14ac:dyDescent="0.3">
      <c r="A11" s="5" t="s">
        <v>87</v>
      </c>
      <c r="B11" s="87">
        <f>IF(B6&gt;=2,1,0)</f>
        <v>0</v>
      </c>
      <c r="C11" s="87"/>
      <c r="D11" s="87">
        <f>IF(D6&gt;=2,1,0)</f>
        <v>0</v>
      </c>
      <c r="E11" s="87"/>
      <c r="F11" s="87">
        <f>IF(F6&gt;=2,1,0)</f>
        <v>0</v>
      </c>
      <c r="G11" s="87"/>
      <c r="H11" s="87">
        <f>IF(H6&gt;=2,1,0)</f>
        <v>0</v>
      </c>
      <c r="I11" s="536" t="s">
        <v>90</v>
      </c>
      <c r="L11" s="5" t="s">
        <v>15</v>
      </c>
      <c r="M11" s="5">
        <f>Sheet1!P4</f>
        <v>0</v>
      </c>
      <c r="N11" s="5">
        <v>1</v>
      </c>
      <c r="O11" t="s">
        <v>82</v>
      </c>
      <c r="Q11" s="6">
        <v>3</v>
      </c>
      <c r="R11" s="6">
        <f>IF(AND(R7=3,R8&gt;=110000),1,0)</f>
        <v>0</v>
      </c>
      <c r="S11" s="6">
        <f>IF(AND(S7=3,S8&gt;=110000),1,0)</f>
        <v>0</v>
      </c>
      <c r="T11" s="6">
        <f>IF(AND(T7=3,T8&gt;=110000),1,0)</f>
        <v>0</v>
      </c>
      <c r="U11" s="6">
        <f>IF(AND(U7=3,U8&gt;=110000),1,0)</f>
        <v>0</v>
      </c>
      <c r="W11" s="6">
        <v>3</v>
      </c>
      <c r="X11" s="6">
        <f>IF(AND(X7=3,X8&gt;=300000),1,0)</f>
        <v>0</v>
      </c>
      <c r="Y11" s="6">
        <f>IF(AND(Y7=3,Y8&gt;=300000),1,0)</f>
        <v>0</v>
      </c>
      <c r="Z11" s="6">
        <f>IF(AND(Z7=3,Z8&gt;=300000),1,0)</f>
        <v>0</v>
      </c>
      <c r="AA11" s="6">
        <f>IF(AND(AA7=3,AA8&gt;=300000),1,0)</f>
        <v>0</v>
      </c>
    </row>
    <row r="12" spans="1:27" x14ac:dyDescent="0.3">
      <c r="A12" s="272" t="s">
        <v>88</v>
      </c>
      <c r="B12" s="247">
        <f>IF(E6&gt;=4,1,0)</f>
        <v>0</v>
      </c>
      <c r="C12" s="247"/>
      <c r="D12" s="247">
        <f>IF(C6&gt;=4,1,0)</f>
        <v>0</v>
      </c>
      <c r="E12" s="247"/>
      <c r="F12" s="247">
        <f>IF(I6&gt;=4,1,0)</f>
        <v>0</v>
      </c>
      <c r="G12" s="247"/>
      <c r="H12" s="247">
        <f>IF(G6&gt;=4,1,0)</f>
        <v>0</v>
      </c>
      <c r="I12" s="536"/>
      <c r="J12" s="10"/>
      <c r="K12" s="10"/>
      <c r="L12" s="11" t="s">
        <v>20</v>
      </c>
      <c r="M12" s="11">
        <f>Sheet1!U4</f>
        <v>0</v>
      </c>
      <c r="N12" s="11">
        <v>2</v>
      </c>
      <c r="O12" s="11" t="s">
        <v>83</v>
      </c>
      <c r="Q12" s="4" t="s">
        <v>93</v>
      </c>
      <c r="R12" s="8">
        <f>MAX(R9:S11)</f>
        <v>0</v>
      </c>
      <c r="S12" s="8">
        <f>MAX(R9:S11)</f>
        <v>0</v>
      </c>
      <c r="T12" s="8">
        <f>MAX(T9:U11)</f>
        <v>0</v>
      </c>
      <c r="U12" s="8">
        <f>MAX(T9:U11)</f>
        <v>0</v>
      </c>
      <c r="W12" s="4" t="s">
        <v>93</v>
      </c>
      <c r="X12" s="8">
        <f>MAX(X9:X11)</f>
        <v>0</v>
      </c>
      <c r="Y12" s="8">
        <f>MAX(Y9:Y11)</f>
        <v>0</v>
      </c>
      <c r="Z12" s="8">
        <f>MAX(Z9:Z11)</f>
        <v>0</v>
      </c>
      <c r="AA12" s="8">
        <f>MAX(AA9:AA11)</f>
        <v>0</v>
      </c>
    </row>
    <row r="13" spans="1:27" x14ac:dyDescent="0.3">
      <c r="A13" s="5" t="s">
        <v>81</v>
      </c>
      <c r="B13" s="87">
        <f>IF(E8&gt;45,1,0)</f>
        <v>0</v>
      </c>
      <c r="C13" s="87"/>
      <c r="D13" s="87">
        <f>IF(C8&gt;45,1,0)</f>
        <v>0</v>
      </c>
      <c r="E13" s="87"/>
      <c r="F13" s="87">
        <f>IF(I8&gt;45,1,0)</f>
        <v>0</v>
      </c>
      <c r="G13" s="87"/>
      <c r="H13" s="87">
        <f>IF(G8&gt;45,1,0)</f>
        <v>0</v>
      </c>
      <c r="I13" s="536"/>
      <c r="J13" s="12"/>
      <c r="K13" s="12"/>
      <c r="L13" s="11" t="s">
        <v>5</v>
      </c>
      <c r="M13" s="11">
        <f>Sheet1!F4+Sheet1!Y4+Sheet1!AB4</f>
        <v>0</v>
      </c>
      <c r="N13" s="11">
        <v>3</v>
      </c>
      <c r="O13" s="11" t="s">
        <v>84</v>
      </c>
      <c r="Q13" s="520" t="s">
        <v>94</v>
      </c>
      <c r="R13" s="520"/>
      <c r="S13" s="520"/>
      <c r="T13" s="520"/>
      <c r="U13" s="520"/>
    </row>
    <row r="14" spans="1:27" x14ac:dyDescent="0.3">
      <c r="A14" s="272" t="s">
        <v>98</v>
      </c>
      <c r="B14" s="247">
        <f>IF(B3&gt;=240,1,0)</f>
        <v>0</v>
      </c>
      <c r="C14" s="247"/>
      <c r="D14" s="247">
        <f>IF(D3&gt;=240,1,0)</f>
        <v>0</v>
      </c>
      <c r="E14" s="247"/>
      <c r="F14" s="247">
        <f>IF(F3&gt;=240,1,0)</f>
        <v>0</v>
      </c>
      <c r="G14" s="247"/>
      <c r="H14" s="247">
        <f>IF(H3&gt;=240,1,0)</f>
        <v>0</v>
      </c>
      <c r="I14" s="536"/>
      <c r="J14" s="93"/>
      <c r="K14" s="93"/>
      <c r="L14" s="11" t="s">
        <v>10</v>
      </c>
      <c r="M14" s="11">
        <f>Sheet1!K4+Sheet1!AE4+Sheet1!AH4</f>
        <v>0</v>
      </c>
      <c r="N14" s="56">
        <v>2</v>
      </c>
      <c r="O14" s="86" t="s">
        <v>85</v>
      </c>
      <c r="Q14" s="2"/>
      <c r="R14" s="2"/>
      <c r="S14" s="2"/>
      <c r="T14" s="2"/>
      <c r="U14" s="2"/>
    </row>
    <row r="15" spans="1:27" x14ac:dyDescent="0.3">
      <c r="A15" s="10" t="s">
        <v>99</v>
      </c>
      <c r="B15" s="87">
        <f>X12</f>
        <v>0</v>
      </c>
      <c r="C15" s="87"/>
      <c r="D15" s="87">
        <f>Y12</f>
        <v>0</v>
      </c>
      <c r="E15" s="87"/>
      <c r="F15" s="87">
        <f>Z12</f>
        <v>0</v>
      </c>
      <c r="G15" s="87"/>
      <c r="H15" s="87">
        <f>AA12</f>
        <v>0</v>
      </c>
      <c r="I15" s="536"/>
      <c r="J15" s="93"/>
      <c r="K15" s="545" t="s">
        <v>431</v>
      </c>
      <c r="L15" s="11" t="s">
        <v>397</v>
      </c>
      <c r="M15" s="11">
        <f>B3+C3+M11</f>
        <v>0</v>
      </c>
      <c r="N15" s="11"/>
      <c r="O15" s="11"/>
      <c r="Q15" s="2"/>
      <c r="R15" s="2"/>
      <c r="S15" s="2"/>
      <c r="T15" s="2"/>
      <c r="U15" s="2"/>
    </row>
    <row r="16" spans="1:27" x14ac:dyDescent="0.3">
      <c r="A16" s="273" t="s">
        <v>100</v>
      </c>
      <c r="B16" s="247">
        <f>IF(D3+E3=0,0,IF(AND(B14=1, SUM(B11:B13)=0),3,MAX(B11:B13)))</f>
        <v>0</v>
      </c>
      <c r="C16" s="247"/>
      <c r="D16" s="247">
        <f>IF(B3+C3=0,0,IF(AND(D14=1, SUM(D11:D13)=0),3,MAX(D11:D13)))</f>
        <v>0</v>
      </c>
      <c r="E16" s="247"/>
      <c r="F16" s="247">
        <f>IF(H3+I3=0,0,IF(AND(F14=1, SUM(F11:F13)=0),3,MAX(F11:F13)))</f>
        <v>0</v>
      </c>
      <c r="G16" s="247"/>
      <c r="H16" s="247">
        <f>IF(F3+G3=0,0,IF(AND(H14=1, SUM(H11:H13)=0),3,MAX(H11:H13)))</f>
        <v>0</v>
      </c>
      <c r="I16" s="269"/>
      <c r="J16" s="12"/>
      <c r="K16" s="545"/>
      <c r="L16" s="11" t="s">
        <v>398</v>
      </c>
      <c r="M16" s="11">
        <f>D3+E3+M12</f>
        <v>1</v>
      </c>
      <c r="N16" s="11"/>
      <c r="O16" s="11"/>
      <c r="P16" s="537" t="s">
        <v>108</v>
      </c>
      <c r="Q16" s="538"/>
      <c r="R16" s="538"/>
      <c r="S16" s="538"/>
      <c r="T16" s="538"/>
      <c r="U16" s="2"/>
    </row>
    <row r="17" spans="1:24" x14ac:dyDescent="0.3">
      <c r="A17" s="39" t="s">
        <v>92</v>
      </c>
      <c r="B17" s="270">
        <f>IF(OR(D16=3,R12=1),3,2)</f>
        <v>2</v>
      </c>
      <c r="C17" s="270"/>
      <c r="D17" s="270">
        <f>IF(OR(B16=3,S12=1),3,2)</f>
        <v>2</v>
      </c>
      <c r="E17" s="270"/>
      <c r="F17" s="270">
        <f>IF(OR(H16=3,T12=1),3,2)</f>
        <v>2</v>
      </c>
      <c r="G17" s="270"/>
      <c r="H17" s="270">
        <f>IF(OR(F16=3,U12=1),3,2)</f>
        <v>2</v>
      </c>
      <c r="I17" s="40" t="s">
        <v>96</v>
      </c>
      <c r="J17" s="16"/>
      <c r="K17" s="545"/>
      <c r="L17" s="15" t="s">
        <v>399</v>
      </c>
      <c r="M17" s="15">
        <f>F3+G3+M13</f>
        <v>0</v>
      </c>
      <c r="N17" s="17"/>
      <c r="O17" s="11"/>
      <c r="P17" s="15"/>
      <c r="Q17" s="535" t="s">
        <v>107</v>
      </c>
      <c r="R17" s="535"/>
      <c r="S17" s="535"/>
      <c r="T17" s="535"/>
      <c r="U17" s="15"/>
      <c r="V17" s="15"/>
    </row>
    <row r="18" spans="1:24" x14ac:dyDescent="0.3">
      <c r="A18" s="274" t="s">
        <v>89</v>
      </c>
      <c r="B18" s="275">
        <f>IF(OR(E7&gt;0,C7&gt;0),2,0)</f>
        <v>0</v>
      </c>
      <c r="C18" s="275"/>
      <c r="D18" s="275">
        <f>IF(OR(C7&gt;0,E7&gt;0),2,0)</f>
        <v>0</v>
      </c>
      <c r="E18" s="275"/>
      <c r="F18" s="275">
        <f>IF(OR(I7&gt;0,G7&gt;0),2,0)</f>
        <v>0</v>
      </c>
      <c r="G18" s="275"/>
      <c r="H18" s="275">
        <f>IF(OR(G7&gt;0,I7&gt;0),2,0)</f>
        <v>0</v>
      </c>
      <c r="I18" s="38" t="s">
        <v>95</v>
      </c>
      <c r="J18" s="14"/>
      <c r="K18" s="545"/>
      <c r="L18" s="15" t="s">
        <v>400</v>
      </c>
      <c r="M18" s="15">
        <f>H3+I3+M14</f>
        <v>1</v>
      </c>
      <c r="N18" s="20"/>
      <c r="O18" s="11"/>
      <c r="P18" t="s">
        <v>105</v>
      </c>
      <c r="Q18" s="49">
        <v>1</v>
      </c>
      <c r="R18" s="50">
        <v>2</v>
      </c>
      <c r="S18" s="6">
        <v>3</v>
      </c>
      <c r="T18" s="6">
        <v>4</v>
      </c>
      <c r="V18" s="15"/>
    </row>
    <row r="19" spans="1:24" s="41" customFormat="1" x14ac:dyDescent="0.3">
      <c r="A19" s="46" t="s">
        <v>97</v>
      </c>
      <c r="B19" s="271">
        <f>IF(E5=0,2,0)</f>
        <v>2</v>
      </c>
      <c r="C19" s="271"/>
      <c r="D19" s="271">
        <f>IF(C5=0,2,0)</f>
        <v>2</v>
      </c>
      <c r="E19" s="271"/>
      <c r="F19" s="271">
        <f>IF(I5=0,2,0)</f>
        <v>2</v>
      </c>
      <c r="G19" s="271"/>
      <c r="H19" s="271">
        <f>IF(G5=0,2,0)</f>
        <v>2</v>
      </c>
      <c r="I19" s="38"/>
      <c r="J19" s="14"/>
      <c r="K19" s="14"/>
      <c r="L19" s="21"/>
      <c r="M19" s="21"/>
      <c r="N19" s="29"/>
      <c r="O19" s="13"/>
      <c r="P19" s="47" t="s">
        <v>106</v>
      </c>
      <c r="Q19" s="45">
        <v>5</v>
      </c>
      <c r="R19" s="51">
        <v>6</v>
      </c>
      <c r="S19" s="45">
        <v>7</v>
      </c>
      <c r="T19" s="45">
        <v>8</v>
      </c>
      <c r="V19" s="21"/>
    </row>
    <row r="20" spans="1:24" x14ac:dyDescent="0.3">
      <c r="A20" s="42"/>
      <c r="B20" s="81"/>
      <c r="C20" s="81"/>
      <c r="D20" s="81"/>
      <c r="E20" s="81"/>
      <c r="F20" s="81"/>
      <c r="G20" s="81"/>
      <c r="H20" s="81"/>
      <c r="I20" s="21"/>
      <c r="J20" s="15"/>
      <c r="K20" s="15"/>
      <c r="L20" s="15"/>
      <c r="M20" s="15"/>
      <c r="N20" s="20"/>
      <c r="O20" s="11"/>
      <c r="V20" s="15"/>
    </row>
    <row r="21" spans="1:24" x14ac:dyDescent="0.3">
      <c r="A21" s="276" t="s">
        <v>104</v>
      </c>
      <c r="B21" s="247">
        <f>IF(AND(B16=1,B18=0),1,MAX(B16:B18))</f>
        <v>2</v>
      </c>
      <c r="C21" s="247"/>
      <c r="D21" s="247">
        <f>IF(AND(D16=1,D18=0),1,MAX(D16:D18))</f>
        <v>2</v>
      </c>
      <c r="E21" s="247"/>
      <c r="F21" s="247">
        <f>IF(AND(F16=1,F18=0),1,MAX(F16:F18))</f>
        <v>2</v>
      </c>
      <c r="G21" s="247"/>
      <c r="H21" s="247">
        <f>IF(AND(H16=1,H18=0),1,MAX(H16:H18))</f>
        <v>2</v>
      </c>
      <c r="I21" s="16"/>
      <c r="J21" s="15"/>
      <c r="K21" s="20" t="s">
        <v>13</v>
      </c>
      <c r="L21" s="20" t="s">
        <v>18</v>
      </c>
      <c r="M21" s="20" t="s">
        <v>3</v>
      </c>
      <c r="N21" s="20" t="s">
        <v>8</v>
      </c>
      <c r="O21" s="11"/>
      <c r="Q21" s="520" t="s">
        <v>109</v>
      </c>
      <c r="R21" s="520"/>
      <c r="S21" s="48"/>
      <c r="T21" s="48"/>
      <c r="V21" s="15"/>
    </row>
    <row r="22" spans="1:24" x14ac:dyDescent="0.3">
      <c r="A22" s="47" t="s">
        <v>101</v>
      </c>
      <c r="B22" s="87">
        <f>IF('Input sheet'!$B$21="Yes",'Phase designation'!K23,'Phase designation'!K22)</f>
        <v>2</v>
      </c>
      <c r="C22" s="87"/>
      <c r="D22" s="87">
        <f>IF('Input sheet'!$B$21="Yes",'Phase designation'!L23,'Phase designation'!L22)</f>
        <v>2</v>
      </c>
      <c r="E22" s="87"/>
      <c r="F22" s="87">
        <f>IF('Input sheet'!$B$21="Yes",'Phase designation'!M23,'Phase designation'!M22)</f>
        <v>2</v>
      </c>
      <c r="G22" s="87"/>
      <c r="H22" s="87">
        <f>IF('Input sheet'!$B$21="Yes",'Phase designation'!N23,'Phase designation'!N22)</f>
        <v>2</v>
      </c>
      <c r="I22" s="16"/>
      <c r="J22" s="15" t="s">
        <v>302</v>
      </c>
      <c r="K22" s="20">
        <f>IF(B19=0,B21,B19)</f>
        <v>2</v>
      </c>
      <c r="L22" s="20">
        <f>IF(D19=0,D21,D19)</f>
        <v>2</v>
      </c>
      <c r="M22" s="20">
        <f>IF(F19=0,F21,F19)</f>
        <v>2</v>
      </c>
      <c r="N22" s="20">
        <f>IF(H19=0,H21,H19)</f>
        <v>2</v>
      </c>
      <c r="O22" s="11"/>
      <c r="P22" t="s">
        <v>105</v>
      </c>
      <c r="Q22" s="50">
        <v>2</v>
      </c>
      <c r="R22" s="49">
        <v>4</v>
      </c>
      <c r="S22" s="6"/>
      <c r="T22" s="6"/>
      <c r="V22" s="15"/>
    </row>
    <row r="23" spans="1:24" s="42" customFormat="1" x14ac:dyDescent="0.3">
      <c r="A23" s="277"/>
      <c r="B23" s="277" t="str">
        <f>IF('Phase calculation'!C21="","Permitted",'Phase calculation'!C21)</f>
        <v>Permitted</v>
      </c>
      <c r="C23" s="277"/>
      <c r="D23" s="277" t="str">
        <f>IF('Phase calculation'!F21="","Permitted",'Phase calculation'!F21)</f>
        <v>Permitted</v>
      </c>
      <c r="E23" s="277"/>
      <c r="F23" s="277" t="str">
        <f>IF('Phase calculation'!I21="","Permitted",'Phase calculation'!I21)</f>
        <v>Permitted</v>
      </c>
      <c r="G23" s="277"/>
      <c r="H23" s="277" t="str">
        <f>IF('Phase calculation'!L21="","Permitted",'Phase calculation'!L21)</f>
        <v>Permitted</v>
      </c>
      <c r="I23" s="21"/>
      <c r="J23" s="22" t="s">
        <v>303</v>
      </c>
      <c r="K23" s="19">
        <f>IF('Input sheet'!F10=0,K22,'Input sheet'!F10)</f>
        <v>2</v>
      </c>
      <c r="L23" s="19">
        <f>IF('Input sheet'!M20=0,L22,'Input sheet'!M20)</f>
        <v>2</v>
      </c>
      <c r="M23" s="19">
        <f>IF('Input sheet'!F25=0,M22,'Input sheet'!F25)</f>
        <v>2</v>
      </c>
      <c r="N23" s="19">
        <f>IF('Input sheet'!L9=0,N22,'Input sheet'!L9)</f>
        <v>2</v>
      </c>
      <c r="O23" s="26"/>
      <c r="P23" s="47" t="s">
        <v>106</v>
      </c>
      <c r="Q23" s="51">
        <v>6</v>
      </c>
      <c r="R23" s="45">
        <v>8</v>
      </c>
      <c r="S23" s="45"/>
      <c r="T23" s="45"/>
      <c r="V23" s="15"/>
    </row>
    <row r="24" spans="1:24" s="42" customFormat="1" x14ac:dyDescent="0.3">
      <c r="B24" s="41"/>
      <c r="C24" s="21"/>
      <c r="D24" s="21"/>
      <c r="E24" s="105"/>
      <c r="F24" s="21"/>
      <c r="G24" s="21"/>
      <c r="H24" s="21"/>
      <c r="I24" s="21"/>
      <c r="J24" s="22"/>
      <c r="K24" s="22"/>
      <c r="L24" s="18"/>
      <c r="M24" s="68"/>
      <c r="N24" s="19"/>
      <c r="O24" s="13"/>
      <c r="V24" s="15"/>
    </row>
    <row r="25" spans="1:24" x14ac:dyDescent="0.3">
      <c r="B25" s="81"/>
      <c r="C25" s="81"/>
      <c r="D25" s="81"/>
      <c r="E25" s="81"/>
      <c r="F25" s="81"/>
      <c r="G25" s="81"/>
      <c r="H25" s="81"/>
      <c r="I25" s="81"/>
      <c r="L25" s="18"/>
      <c r="M25" s="68"/>
      <c r="N25" s="20"/>
      <c r="O25" s="14"/>
      <c r="Q25" s="520" t="s">
        <v>111</v>
      </c>
      <c r="R25" s="520"/>
      <c r="S25" s="520"/>
      <c r="V25" s="22"/>
    </row>
    <row r="26" spans="1:24" x14ac:dyDescent="0.3">
      <c r="A26" s="278" t="s">
        <v>73</v>
      </c>
      <c r="B26" s="252" t="s">
        <v>13</v>
      </c>
      <c r="C26" s="252" t="s">
        <v>14</v>
      </c>
      <c r="D26" s="252" t="s">
        <v>18</v>
      </c>
      <c r="E26" s="252" t="s">
        <v>19</v>
      </c>
      <c r="F26" s="252" t="s">
        <v>3</v>
      </c>
      <c r="G26" s="252" t="s">
        <v>4</v>
      </c>
      <c r="H26" s="252" t="s">
        <v>8</v>
      </c>
      <c r="I26" s="252" t="s">
        <v>9</v>
      </c>
      <c r="L26" s="18"/>
      <c r="M26" s="68"/>
      <c r="N26" s="20"/>
      <c r="O26" s="13"/>
      <c r="P26" t="s">
        <v>105</v>
      </c>
      <c r="Q26" s="50">
        <v>2</v>
      </c>
      <c r="R26" s="52">
        <v>4</v>
      </c>
      <c r="U26" t="s">
        <v>105</v>
      </c>
      <c r="V26" s="54" t="str">
        <f>IF(AND(D22&lt;&gt;4,F22=4),Q26,"")</f>
        <v/>
      </c>
      <c r="W26" s="52" t="str">
        <f>IF(AND(D22&lt;&gt;4,F22=4),R26,"")</f>
        <v/>
      </c>
      <c r="X26" s="6"/>
    </row>
    <row r="27" spans="1:24" x14ac:dyDescent="0.3">
      <c r="A27" s="43" t="s">
        <v>102</v>
      </c>
      <c r="B27" s="507">
        <f>'Phase calculation'!C18</f>
        <v>0</v>
      </c>
      <c r="C27" s="507">
        <f>'Phase calculation'!D18</f>
        <v>0</v>
      </c>
      <c r="D27" s="507">
        <f>'Phase calculation'!F18</f>
        <v>0</v>
      </c>
      <c r="E27" s="507">
        <f>'Phase calculation'!G18</f>
        <v>0</v>
      </c>
      <c r="F27" s="507">
        <f>'Phase calculation'!I18</f>
        <v>0</v>
      </c>
      <c r="G27" s="507">
        <f>'Phase calculation'!J18</f>
        <v>0</v>
      </c>
      <c r="H27" s="507">
        <f>'Phase calculation'!L18</f>
        <v>0</v>
      </c>
      <c r="I27" s="507">
        <f>'Phase calculation'!M18</f>
        <v>0</v>
      </c>
      <c r="L27" s="18"/>
      <c r="M27" s="68"/>
      <c r="N27" s="20"/>
      <c r="O27" s="13"/>
      <c r="P27" s="47" t="s">
        <v>106</v>
      </c>
      <c r="Q27" s="51">
        <v>6</v>
      </c>
      <c r="R27" s="53"/>
      <c r="S27" s="6">
        <v>8</v>
      </c>
      <c r="U27" s="47" t="s">
        <v>106</v>
      </c>
      <c r="V27" s="54" t="str">
        <f>IF(AND(D22&lt;&gt;4,F22=4),Q27,"")</f>
        <v/>
      </c>
      <c r="W27" s="52"/>
      <c r="X27" s="6" t="str">
        <f>IF(AND(D22&lt;&gt;4,F22=4),S27,"")</f>
        <v/>
      </c>
    </row>
    <row r="28" spans="1:24" x14ac:dyDescent="0.3">
      <c r="A28" s="278" t="s">
        <v>103</v>
      </c>
      <c r="B28" s="461">
        <f>'Phase calculation'!C19</f>
        <v>0</v>
      </c>
      <c r="C28" s="461"/>
      <c r="D28" s="461">
        <f>'Phase calculation'!F19</f>
        <v>0</v>
      </c>
      <c r="E28" s="461"/>
      <c r="F28" s="461">
        <f>'Phase calculation'!I19</f>
        <v>0</v>
      </c>
      <c r="G28" s="461"/>
      <c r="H28" s="461">
        <f>'Phase calculation'!L19</f>
        <v>0</v>
      </c>
      <c r="I28" s="461"/>
      <c r="L28" s="22"/>
      <c r="M28" s="22"/>
      <c r="N28" s="20"/>
      <c r="O28" s="23"/>
      <c r="V28" s="10"/>
    </row>
    <row r="29" spans="1:24" x14ac:dyDescent="0.3">
      <c r="L29" s="19"/>
      <c r="M29" s="19"/>
      <c r="N29" s="20"/>
      <c r="O29" s="14"/>
      <c r="P29" t="s">
        <v>105</v>
      </c>
      <c r="Q29" s="50">
        <v>2</v>
      </c>
      <c r="R29" s="52"/>
      <c r="S29" s="6">
        <v>4</v>
      </c>
      <c r="U29" t="s">
        <v>105</v>
      </c>
      <c r="V29" s="50" t="str">
        <f>IF(AND(D22=4,F22&lt;&gt;4),Q29,"")</f>
        <v/>
      </c>
      <c r="W29" s="52"/>
      <c r="X29" s="6" t="str">
        <f>IF(AND(D22=4,F22&lt;&gt;4),S29,"")</f>
        <v/>
      </c>
    </row>
    <row r="30" spans="1:24" x14ac:dyDescent="0.3">
      <c r="D30" s="8">
        <f>I27</f>
        <v>0</v>
      </c>
      <c r="E30" s="8" t="str">
        <f>H27&amp;"  "&amp;H28</f>
        <v>0  0</v>
      </c>
      <c r="L30" s="16"/>
      <c r="M30" s="16"/>
      <c r="N30" s="25"/>
      <c r="O30" s="11"/>
      <c r="P30" s="47" t="s">
        <v>106</v>
      </c>
      <c r="Q30" s="51"/>
      <c r="R30" s="53">
        <v>6</v>
      </c>
      <c r="S30" s="6">
        <v>8</v>
      </c>
      <c r="U30" s="47" t="s">
        <v>106</v>
      </c>
      <c r="V30" s="51"/>
      <c r="W30" s="53" t="str">
        <f>IF(AND(D22=4,F22&lt;&gt;4),R30,"")</f>
        <v/>
      </c>
      <c r="X30" s="6" t="str">
        <f>IF(AND(D22=4,F22&lt;&gt;4),S30,"")</f>
        <v/>
      </c>
    </row>
    <row r="31" spans="1:24" x14ac:dyDescent="0.3">
      <c r="L31" s="28"/>
      <c r="M31" s="28"/>
      <c r="N31" s="29"/>
      <c r="O31" s="11"/>
    </row>
    <row r="32" spans="1:24" x14ac:dyDescent="0.3">
      <c r="H32" s="17" t="s">
        <v>76</v>
      </c>
      <c r="L32" s="10"/>
      <c r="M32" s="10"/>
      <c r="N32" s="10"/>
      <c r="O32" s="11"/>
      <c r="P32" t="s">
        <v>105</v>
      </c>
      <c r="Q32" s="50">
        <v>2</v>
      </c>
      <c r="R32" s="52"/>
      <c r="S32" s="52">
        <v>4</v>
      </c>
      <c r="U32" t="s">
        <v>105</v>
      </c>
      <c r="V32" s="50" t="str">
        <f>IF(AND(D22=4,F22=4),Q32,"")</f>
        <v/>
      </c>
      <c r="W32" s="52"/>
      <c r="X32" s="52" t="str">
        <f>IF(AND(D22=4,F22=4),S32,"")</f>
        <v/>
      </c>
    </row>
    <row r="33" spans="2:33" x14ac:dyDescent="0.3">
      <c r="J33" s="16"/>
      <c r="K33" s="16"/>
      <c r="L33" s="84"/>
      <c r="M33" s="84"/>
      <c r="N33" s="84"/>
      <c r="O33" s="84"/>
      <c r="P33" s="47" t="s">
        <v>106</v>
      </c>
      <c r="Q33" s="51"/>
      <c r="R33" s="53">
        <v>6</v>
      </c>
      <c r="S33" s="52"/>
      <c r="T33" s="6">
        <v>8</v>
      </c>
      <c r="U33" s="47" t="s">
        <v>106</v>
      </c>
      <c r="V33" s="51"/>
      <c r="W33" s="53" t="str">
        <f>IF(AND(D22=4,F22=4),R33,"")</f>
        <v/>
      </c>
      <c r="X33" s="52"/>
      <c r="Y33" s="6" t="str">
        <f>IF(AND(D22=4,F22=4),T33,"")</f>
        <v/>
      </c>
    </row>
    <row r="34" spans="2:33" x14ac:dyDescent="0.3">
      <c r="J34" s="55"/>
      <c r="K34" s="539" t="s">
        <v>113</v>
      </c>
      <c r="L34" s="539"/>
      <c r="M34" s="539"/>
      <c r="N34" s="539"/>
      <c r="O34" s="82"/>
    </row>
    <row r="35" spans="2:33" x14ac:dyDescent="0.3">
      <c r="B35" s="44" t="str">
        <f>B27&amp;"  "&amp;B28</f>
        <v>0  0</v>
      </c>
      <c r="G35" s="9">
        <f>E27</f>
        <v>0</v>
      </c>
      <c r="J35" s="56"/>
      <c r="K35" s="57" t="str">
        <f>IF($U$41=0,"b","")</f>
        <v/>
      </c>
      <c r="L35" s="57" t="str">
        <f>IF(OR($U$41=0,$U$41=1),"b","")</f>
        <v>b</v>
      </c>
      <c r="M35" s="57" t="str">
        <f>IF($U$41=0,"b","")</f>
        <v/>
      </c>
      <c r="N35" s="58"/>
      <c r="O35" s="77"/>
      <c r="P35" s="42"/>
      <c r="Q35" s="42"/>
    </row>
    <row r="36" spans="2:33" x14ac:dyDescent="0.3">
      <c r="C36" s="11"/>
      <c r="D36" s="11"/>
      <c r="E36" s="11"/>
      <c r="F36" s="11"/>
      <c r="G36" s="24"/>
      <c r="H36" s="10"/>
      <c r="J36" s="59" t="s">
        <v>105</v>
      </c>
      <c r="K36" s="60" t="str">
        <f>IFERROR(INDEX($J$69:$Q$69,1,MATCH(111,$J$68:$Q$68,0)),"")</f>
        <v/>
      </c>
      <c r="L36" s="60" t="str">
        <f>IFERROR(INDEX($J$69:$Q$69,1,MATCH(112,$J$68:$Q$68,0)),"")</f>
        <v/>
      </c>
      <c r="M36" s="60" t="str">
        <f>IFERROR(INDEX($J$69:$Q$69,1,MATCH(211,$J$68:$Q$68,0)),"")</f>
        <v/>
      </c>
      <c r="N36" s="60" t="str">
        <f>IFERROR(INDEX($J$69:$Q$69,1,MATCH(212,$J$68:$Q$68,0)),"")</f>
        <v/>
      </c>
      <c r="O36" s="77"/>
      <c r="P36" s="42"/>
      <c r="Q36" s="42"/>
      <c r="U36" t="s">
        <v>105</v>
      </c>
      <c r="V36" s="50">
        <f t="shared" ref="V36:Y37" si="1">MAX(V26,V29,V32)</f>
        <v>0</v>
      </c>
      <c r="W36" s="50">
        <f t="shared" si="1"/>
        <v>0</v>
      </c>
      <c r="X36" s="50">
        <f t="shared" si="1"/>
        <v>0</v>
      </c>
      <c r="Y36" s="50">
        <f t="shared" si="1"/>
        <v>0</v>
      </c>
    </row>
    <row r="37" spans="2:33" x14ac:dyDescent="0.3">
      <c r="B37" s="7">
        <f>C27</f>
        <v>0</v>
      </c>
      <c r="C37" s="26"/>
      <c r="D37" s="11"/>
      <c r="E37" s="11"/>
      <c r="F37" s="11"/>
      <c r="G37" s="27" t="str">
        <f>D27&amp;"  "&amp;D28</f>
        <v>0  0</v>
      </c>
      <c r="H37" s="10"/>
      <c r="J37" s="61" t="s">
        <v>106</v>
      </c>
      <c r="K37" s="60" t="str">
        <f>IFERROR(INDEX($J$69:$Q$69,1,MATCH(121,$J$68:$Q$68,0)),"")</f>
        <v/>
      </c>
      <c r="L37" s="60" t="str">
        <f>IFERROR(INDEX($J$69:$Q$69,1,MATCH(122,$J$68:$Q$68,0)),"")</f>
        <v/>
      </c>
      <c r="M37" s="60" t="str">
        <f>IFERROR(INDEX($J$69:$Q$69,1,MATCH(221,$J$68:$Q$68,0)),"")</f>
        <v/>
      </c>
      <c r="N37" s="60" t="str">
        <f>IFERROR(INDEX($J$69:$Q$69,1,MATCH(222,$J$68:$Q$68,0)),"")</f>
        <v/>
      </c>
      <c r="O37" s="81"/>
      <c r="P37" s="42"/>
      <c r="Q37" s="42"/>
      <c r="U37" s="47" t="s">
        <v>106</v>
      </c>
      <c r="V37" s="50">
        <f t="shared" si="1"/>
        <v>0</v>
      </c>
      <c r="W37" s="50">
        <f t="shared" si="1"/>
        <v>0</v>
      </c>
      <c r="X37" s="50">
        <f t="shared" si="1"/>
        <v>0</v>
      </c>
      <c r="Y37" s="50">
        <f t="shared" si="1"/>
        <v>0</v>
      </c>
    </row>
    <row r="38" spans="2:33" x14ac:dyDescent="0.3">
      <c r="C38" s="30"/>
      <c r="D38" s="15"/>
      <c r="E38" s="15"/>
      <c r="F38" s="15"/>
      <c r="G38" s="26"/>
      <c r="H38" s="14"/>
      <c r="P38" s="42"/>
      <c r="Q38" s="42"/>
    </row>
    <row r="39" spans="2:33" x14ac:dyDescent="0.3">
      <c r="C39" s="31"/>
      <c r="D39" s="32"/>
      <c r="E39" s="32"/>
      <c r="F39" s="33"/>
      <c r="G39" s="15"/>
      <c r="H39" s="16"/>
      <c r="J39" s="55"/>
      <c r="K39" s="539" t="s">
        <v>114</v>
      </c>
      <c r="L39" s="539"/>
      <c r="M39" s="539"/>
      <c r="N39" s="539"/>
    </row>
    <row r="40" spans="2:33" x14ac:dyDescent="0.3">
      <c r="C40" s="34"/>
      <c r="D40" s="15"/>
      <c r="E40" s="15"/>
      <c r="F40" s="15"/>
      <c r="G40" s="18"/>
      <c r="H40" s="18"/>
      <c r="J40" s="56"/>
      <c r="K40" s="57" t="str">
        <f>K35</f>
        <v/>
      </c>
      <c r="L40" s="57" t="str">
        <f>L35</f>
        <v>b</v>
      </c>
      <c r="M40" s="57" t="str">
        <f>M35</f>
        <v/>
      </c>
      <c r="N40" s="57"/>
      <c r="P40" s="15"/>
      <c r="Q40" s="535" t="s">
        <v>110</v>
      </c>
      <c r="R40" s="535"/>
      <c r="S40" s="535"/>
      <c r="T40" s="535"/>
      <c r="W40" s="15"/>
      <c r="X40" s="535" t="s">
        <v>115</v>
      </c>
      <c r="Y40" s="535"/>
      <c r="Z40" s="535"/>
      <c r="AA40" s="535"/>
      <c r="AC40" s="15"/>
      <c r="AD40" s="535" t="s">
        <v>75</v>
      </c>
      <c r="AE40" s="535"/>
      <c r="AF40" s="535"/>
      <c r="AG40" s="535"/>
    </row>
    <row r="41" spans="2:33" x14ac:dyDescent="0.3">
      <c r="C41" s="35"/>
      <c r="D41" s="15"/>
      <c r="E41" s="15" t="s">
        <v>77</v>
      </c>
      <c r="F41" s="15"/>
      <c r="G41" s="15"/>
      <c r="H41" s="15"/>
      <c r="J41" s="59" t="s">
        <v>105</v>
      </c>
      <c r="K41" s="60" t="str">
        <f>IFERROR(INDEX($B$26:$I$26,1,MATCH(K36,$B$27:$I$27,0)),"")</f>
        <v/>
      </c>
      <c r="L41" s="60" t="str">
        <f t="shared" ref="L41:N42" si="2">IFERROR(INDEX($B$26:$I$26,1,MATCH(L36,$B$27:$I$27,0)),"")</f>
        <v/>
      </c>
      <c r="M41" s="60" t="str">
        <f t="shared" si="2"/>
        <v/>
      </c>
      <c r="N41" s="60" t="str">
        <f t="shared" si="2"/>
        <v/>
      </c>
      <c r="P41" t="s">
        <v>105</v>
      </c>
      <c r="Q41" s="49">
        <f>MAX(X41,AD41)</f>
        <v>0</v>
      </c>
      <c r="R41" s="49">
        <f t="shared" ref="R41:T42" si="3">MAX(Y41,AE41)</f>
        <v>0</v>
      </c>
      <c r="S41" s="49">
        <f t="shared" si="3"/>
        <v>0</v>
      </c>
      <c r="T41" s="49">
        <f t="shared" si="3"/>
        <v>0</v>
      </c>
      <c r="U41" s="542">
        <f>IF(V36=0,1,0)</f>
        <v>1</v>
      </c>
      <c r="W41" t="s">
        <v>105</v>
      </c>
      <c r="X41" s="49">
        <f>IF(AND($X$40=$J$2,D27=1),1,0)</f>
        <v>0</v>
      </c>
      <c r="Y41" s="50">
        <f>IF(AND($X$40=$J$2,C27=2),2,0)</f>
        <v>0</v>
      </c>
      <c r="Z41" s="6">
        <f>IF(AND($X$40=$J$2,F27=3),3,0)</f>
        <v>0</v>
      </c>
      <c r="AA41" s="50">
        <f>IF(AND($X$40=$J$2,I27=4),4,0)</f>
        <v>0</v>
      </c>
      <c r="AC41" t="s">
        <v>105</v>
      </c>
      <c r="AD41" s="49">
        <f>IF(AND($AD$40=$J$2,H27=1),1,0)</f>
        <v>0</v>
      </c>
      <c r="AE41" s="50">
        <f>IF(AND($AD$40=$J$2,G27=2),2,0)</f>
        <v>0</v>
      </c>
      <c r="AF41" s="6">
        <f>IF(AND($AD$40=$J$2,D27=3),3,0)</f>
        <v>0</v>
      </c>
      <c r="AG41" s="50">
        <f>IF(AND($AD$40=$J$2,C27=4),4,0)</f>
        <v>0</v>
      </c>
    </row>
    <row r="42" spans="2:33" x14ac:dyDescent="0.3">
      <c r="C42" s="23"/>
      <c r="D42" s="36" t="str">
        <f>F27&amp;"  "&amp;F28</f>
        <v>0  0</v>
      </c>
      <c r="E42" s="37">
        <f>G27</f>
        <v>0</v>
      </c>
      <c r="F42" s="15"/>
      <c r="G42" s="15"/>
      <c r="H42" s="15"/>
      <c r="J42" s="61" t="s">
        <v>106</v>
      </c>
      <c r="K42" s="60" t="str">
        <f>IFERROR(INDEX($B$26:$I$26,1,MATCH(K37,$B$27:$I$27,0)),"")</f>
        <v/>
      </c>
      <c r="L42" s="60" t="str">
        <f t="shared" si="2"/>
        <v/>
      </c>
      <c r="M42" s="60" t="str">
        <f t="shared" si="2"/>
        <v/>
      </c>
      <c r="N42" s="60" t="str">
        <f t="shared" si="2"/>
        <v/>
      </c>
      <c r="P42" s="47" t="s">
        <v>106</v>
      </c>
      <c r="Q42" s="49">
        <f>MAX(X42,AD42)</f>
        <v>0</v>
      </c>
      <c r="R42" s="49">
        <f t="shared" si="3"/>
        <v>0</v>
      </c>
      <c r="S42" s="49">
        <f t="shared" si="3"/>
        <v>0</v>
      </c>
      <c r="T42" s="49">
        <f t="shared" si="3"/>
        <v>0</v>
      </c>
      <c r="U42" s="542"/>
      <c r="W42" s="47" t="s">
        <v>106</v>
      </c>
      <c r="X42" s="45">
        <f>IF(AND($X$40=$J$2,B27=5),5,0)</f>
        <v>0</v>
      </c>
      <c r="Y42" s="51">
        <f>IF(AND($X$40=$J$2,E27=6),6,0)</f>
        <v>0</v>
      </c>
      <c r="Z42" s="45">
        <f>IF(AND($X$40=$J$2,H27=7),7,0)</f>
        <v>0</v>
      </c>
      <c r="AA42" s="51">
        <f>IF(AND($X$40=$J$2,G27=8),8,0)</f>
        <v>0</v>
      </c>
      <c r="AC42" s="47" t="s">
        <v>106</v>
      </c>
      <c r="AD42" s="45">
        <f>IF(AND($AD$40=$J$2,F27=5),5,0)</f>
        <v>0</v>
      </c>
      <c r="AE42" s="51">
        <f>IF(AND($AD$40=$J$2,I27=6),6,0)</f>
        <v>0</v>
      </c>
      <c r="AF42" s="45">
        <f>IF(AND($AD$40=$J$2,B27=7),7,0)</f>
        <v>0</v>
      </c>
      <c r="AG42" s="51">
        <f>IF(AND($AD$40=$J$2,E27=8),8,0)</f>
        <v>0</v>
      </c>
    </row>
    <row r="43" spans="2:33" x14ac:dyDescent="0.3">
      <c r="P43"/>
      <c r="Q43" s="42"/>
      <c r="R43" s="42"/>
      <c r="S43" s="42"/>
      <c r="T43" s="42"/>
      <c r="U43" s="6"/>
    </row>
    <row r="44" spans="2:33" hidden="1" x14ac:dyDescent="0.3">
      <c r="P44" s="47"/>
      <c r="Q44" s="535" t="s">
        <v>112</v>
      </c>
      <c r="R44" s="535"/>
      <c r="S44" s="535"/>
      <c r="T44" s="535"/>
      <c r="U44" s="6"/>
    </row>
    <row r="45" spans="2:33" hidden="1" x14ac:dyDescent="0.3">
      <c r="P45" t="s">
        <v>105</v>
      </c>
      <c r="Q45" s="50">
        <f t="shared" ref="Q45:T46" si="4">IF(V36&lt;&gt;0,V36,0)</f>
        <v>0</v>
      </c>
      <c r="R45" s="50">
        <f t="shared" si="4"/>
        <v>0</v>
      </c>
      <c r="S45" s="50">
        <f t="shared" si="4"/>
        <v>0</v>
      </c>
      <c r="T45" s="50">
        <f t="shared" si="4"/>
        <v>0</v>
      </c>
      <c r="U45" s="543">
        <f>IF(V36=0,0,1)</f>
        <v>0</v>
      </c>
    </row>
    <row r="46" spans="2:33" hidden="1" x14ac:dyDescent="0.3">
      <c r="P46" s="47" t="s">
        <v>106</v>
      </c>
      <c r="Q46" s="50">
        <f t="shared" si="4"/>
        <v>0</v>
      </c>
      <c r="R46" s="50">
        <f t="shared" si="4"/>
        <v>0</v>
      </c>
      <c r="S46" s="50">
        <f t="shared" si="4"/>
        <v>0</v>
      </c>
      <c r="T46" s="50">
        <f t="shared" si="4"/>
        <v>0</v>
      </c>
      <c r="U46" s="543"/>
    </row>
    <row r="47" spans="2:33" x14ac:dyDescent="0.3">
      <c r="B47" s="55"/>
      <c r="C47" s="539" t="s">
        <v>113</v>
      </c>
      <c r="D47" s="539"/>
      <c r="E47" s="539"/>
      <c r="F47" s="539"/>
      <c r="J47" s="55"/>
      <c r="K47" s="539" t="s">
        <v>436</v>
      </c>
      <c r="L47" s="539"/>
      <c r="M47" s="539"/>
      <c r="N47" s="539"/>
    </row>
    <row r="48" spans="2:33" x14ac:dyDescent="0.3">
      <c r="B48" s="56"/>
      <c r="C48" s="57" t="str">
        <f t="shared" ref="C48:F49" si="5">K35</f>
        <v/>
      </c>
      <c r="D48" s="57" t="str">
        <f t="shared" si="5"/>
        <v>b</v>
      </c>
      <c r="E48" s="57" t="str">
        <f t="shared" si="5"/>
        <v/>
      </c>
      <c r="F48" s="57">
        <f t="shared" si="5"/>
        <v>0</v>
      </c>
      <c r="J48" s="56"/>
      <c r="K48" s="57" t="str">
        <f>IF($U$41=0,"b","")</f>
        <v/>
      </c>
      <c r="L48" s="57" t="str">
        <f>IF(OR($U$41=0,$U$41=1),"b","")</f>
        <v>b</v>
      </c>
      <c r="M48" s="57" t="str">
        <f>IF($U$41=0,"b","")</f>
        <v/>
      </c>
      <c r="N48" s="58"/>
      <c r="P48" s="25"/>
      <c r="Q48" s="25"/>
      <c r="R48" s="25"/>
      <c r="S48" s="25"/>
      <c r="T48" s="25"/>
      <c r="U48" s="25"/>
      <c r="V48" s="25"/>
      <c r="W48" s="25"/>
    </row>
    <row r="49" spans="2:23" x14ac:dyDescent="0.3">
      <c r="B49" s="95" t="s">
        <v>105</v>
      </c>
      <c r="C49" s="57" t="str">
        <f>K36</f>
        <v/>
      </c>
      <c r="D49" s="57" t="str">
        <f t="shared" si="5"/>
        <v/>
      </c>
      <c r="E49" s="57" t="str">
        <f t="shared" si="5"/>
        <v/>
      </c>
      <c r="F49" s="57" t="str">
        <f t="shared" si="5"/>
        <v/>
      </c>
      <c r="J49" s="59" t="s">
        <v>105</v>
      </c>
      <c r="K49" s="60">
        <f>Phasing!D46</f>
        <v>0</v>
      </c>
      <c r="L49" s="60">
        <f>Phasing!E46</f>
        <v>0</v>
      </c>
      <c r="M49" s="60">
        <f>Phasing!F46</f>
        <v>0</v>
      </c>
      <c r="N49" s="60">
        <f>Phasing!G46</f>
        <v>0</v>
      </c>
      <c r="P49" s="6">
        <f>B27</f>
        <v>0</v>
      </c>
      <c r="Q49" s="6">
        <f t="shared" ref="Q49:W49" si="6">C27</f>
        <v>0</v>
      </c>
      <c r="R49" s="6">
        <f t="shared" si="6"/>
        <v>0</v>
      </c>
      <c r="S49" s="6">
        <f t="shared" si="6"/>
        <v>0</v>
      </c>
      <c r="T49" s="6">
        <f t="shared" si="6"/>
        <v>0</v>
      </c>
      <c r="U49" s="6">
        <f t="shared" si="6"/>
        <v>0</v>
      </c>
      <c r="V49" s="6">
        <f t="shared" si="6"/>
        <v>0</v>
      </c>
      <c r="W49" s="6">
        <f t="shared" si="6"/>
        <v>0</v>
      </c>
    </row>
    <row r="50" spans="2:23" x14ac:dyDescent="0.3">
      <c r="B50" s="184" t="s">
        <v>106</v>
      </c>
      <c r="C50" s="57" t="str">
        <f>K37</f>
        <v/>
      </c>
      <c r="D50" s="57" t="str">
        <f t="shared" ref="D50" si="7">L37</f>
        <v/>
      </c>
      <c r="E50" s="57" t="str">
        <f t="shared" ref="E50" si="8">M37</f>
        <v/>
      </c>
      <c r="F50" s="57" t="str">
        <f t="shared" ref="F50" si="9">N37</f>
        <v/>
      </c>
      <c r="J50" s="61" t="s">
        <v>106</v>
      </c>
      <c r="K50" s="60">
        <f>Phasing!H46</f>
        <v>0</v>
      </c>
      <c r="L50" s="60">
        <f>Phasing!I46</f>
        <v>0</v>
      </c>
      <c r="M50" s="60">
        <f>Phasing!J46</f>
        <v>0</v>
      </c>
      <c r="N50" s="60">
        <f>Phasing!K46</f>
        <v>0</v>
      </c>
      <c r="P50" s="6">
        <f t="shared" ref="P50:W50" si="10">IF(P49&gt;0,B26,0)</f>
        <v>0</v>
      </c>
      <c r="Q50" s="6">
        <f t="shared" si="10"/>
        <v>0</v>
      </c>
      <c r="R50" s="6">
        <f t="shared" si="10"/>
        <v>0</v>
      </c>
      <c r="S50" s="6">
        <f t="shared" si="10"/>
        <v>0</v>
      </c>
      <c r="T50" s="6">
        <f t="shared" si="10"/>
        <v>0</v>
      </c>
      <c r="U50" s="6">
        <f t="shared" si="10"/>
        <v>0</v>
      </c>
      <c r="V50" s="6">
        <f t="shared" si="10"/>
        <v>0</v>
      </c>
      <c r="W50" s="6">
        <f t="shared" si="10"/>
        <v>0</v>
      </c>
    </row>
    <row r="51" spans="2:23" x14ac:dyDescent="0.3">
      <c r="Q51" s="45"/>
      <c r="R51" s="45"/>
      <c r="S51" s="45"/>
      <c r="T51" s="45"/>
    </row>
    <row r="52" spans="2:23" x14ac:dyDescent="0.3">
      <c r="J52" s="55"/>
      <c r="K52" s="539" t="s">
        <v>437</v>
      </c>
      <c r="L52" s="539"/>
      <c r="M52" s="539"/>
      <c r="N52" s="539"/>
      <c r="P52" s="62" t="s">
        <v>105</v>
      </c>
      <c r="Q52" s="70" t="e">
        <f t="shared" ref="Q52:T53" si="11">MATCH(K36,$P$49:$W$49,0)</f>
        <v>#N/A</v>
      </c>
      <c r="R52" s="70" t="e">
        <f t="shared" si="11"/>
        <v>#N/A</v>
      </c>
      <c r="S52" s="70" t="e">
        <f t="shared" si="11"/>
        <v>#N/A</v>
      </c>
      <c r="T52" s="70" t="e">
        <f t="shared" si="11"/>
        <v>#N/A</v>
      </c>
    </row>
    <row r="53" spans="2:23" x14ac:dyDescent="0.3">
      <c r="J53" s="56"/>
      <c r="K53" s="57" t="str">
        <f>IF($U$41=0,"b","")</f>
        <v/>
      </c>
      <c r="L53" s="57" t="str">
        <f>IF(OR($U$41=0,$U$41=1),"b","")</f>
        <v>b</v>
      </c>
      <c r="M53" s="57" t="str">
        <f>IF($U$41=0,"b","")</f>
        <v/>
      </c>
      <c r="N53" s="58"/>
      <c r="P53" s="47" t="s">
        <v>106</v>
      </c>
      <c r="Q53" s="70" t="e">
        <f t="shared" si="11"/>
        <v>#N/A</v>
      </c>
      <c r="R53" s="70" t="e">
        <f t="shared" si="11"/>
        <v>#N/A</v>
      </c>
      <c r="S53" s="70" t="e">
        <f t="shared" si="11"/>
        <v>#N/A</v>
      </c>
      <c r="T53" s="70" t="e">
        <f t="shared" si="11"/>
        <v>#N/A</v>
      </c>
    </row>
    <row r="54" spans="2:23" x14ac:dyDescent="0.3">
      <c r="J54" s="59" t="s">
        <v>105</v>
      </c>
      <c r="K54" s="60">
        <f>Phasing!D47</f>
        <v>0</v>
      </c>
      <c r="L54" s="60">
        <f>Phasing!E47</f>
        <v>0</v>
      </c>
      <c r="M54" s="60">
        <f>Phasing!F47</f>
        <v>0</v>
      </c>
      <c r="N54" s="60">
        <f>Phasing!G47</f>
        <v>0</v>
      </c>
      <c r="Q54" s="70"/>
      <c r="R54" s="70"/>
      <c r="S54" s="70"/>
      <c r="T54" s="70"/>
    </row>
    <row r="55" spans="2:23" x14ac:dyDescent="0.3">
      <c r="J55" s="61" t="s">
        <v>106</v>
      </c>
      <c r="K55" s="60">
        <f>Phasing!H47</f>
        <v>0</v>
      </c>
      <c r="L55" s="60">
        <f>Phasing!I47</f>
        <v>0</v>
      </c>
      <c r="M55" s="60">
        <f>Phasing!J47</f>
        <v>0</v>
      </c>
      <c r="N55" s="60">
        <f>Phasing!K47</f>
        <v>0</v>
      </c>
      <c r="P55" s="62" t="s">
        <v>105</v>
      </c>
      <c r="Q55" s="70" t="e">
        <f>IF(Q52&gt;0,INDEX($P$49:$W$50,2,Q52),0)</f>
        <v>#N/A</v>
      </c>
      <c r="R55" s="70" t="e">
        <f>IF(R52&gt;0,INDEX($P$49:$W$50,2,R52),0)</f>
        <v>#N/A</v>
      </c>
      <c r="S55" s="70" t="e">
        <f>IF(S52&gt;0,INDEX($P$49:$W$50,2,S52),0)</f>
        <v>#N/A</v>
      </c>
      <c r="T55" s="70" t="e">
        <f t="shared" ref="R55:T56" si="12">INDEX($P$49:$W$50,2,T52)</f>
        <v>#N/A</v>
      </c>
    </row>
    <row r="56" spans="2:23" x14ac:dyDescent="0.3">
      <c r="P56" s="47" t="s">
        <v>106</v>
      </c>
      <c r="Q56" s="70" t="e">
        <f>INDEX($P$49:$W$50,2,Q53)</f>
        <v>#N/A</v>
      </c>
      <c r="R56" s="70" t="e">
        <f t="shared" si="12"/>
        <v>#N/A</v>
      </c>
      <c r="S56" s="70" t="e">
        <f t="shared" si="12"/>
        <v>#N/A</v>
      </c>
      <c r="T56" s="70" t="e">
        <f t="shared" si="12"/>
        <v>#N/A</v>
      </c>
    </row>
    <row r="59" spans="2:23" x14ac:dyDescent="0.3">
      <c r="J59" s="520" t="s">
        <v>438</v>
      </c>
      <c r="K59" s="544"/>
      <c r="L59" s="520" t="s">
        <v>439</v>
      </c>
      <c r="M59" s="544"/>
      <c r="N59" s="520" t="s">
        <v>440</v>
      </c>
      <c r="O59" s="544"/>
      <c r="P59" s="520" t="s">
        <v>441</v>
      </c>
      <c r="Q59" s="544"/>
      <c r="R59" s="84"/>
      <c r="S59" s="84"/>
      <c r="T59" s="84"/>
      <c r="U59" s="84"/>
      <c r="V59" s="84"/>
      <c r="W59" s="84"/>
    </row>
    <row r="60" spans="2:23" x14ac:dyDescent="0.3">
      <c r="I60" t="s">
        <v>105</v>
      </c>
      <c r="J60" s="363">
        <f>K49</f>
        <v>0</v>
      </c>
      <c r="K60" s="363">
        <f>K54</f>
        <v>0</v>
      </c>
      <c r="L60" s="363">
        <f>L49</f>
        <v>0</v>
      </c>
      <c r="M60" s="363">
        <f>L54</f>
        <v>0</v>
      </c>
      <c r="N60" s="363">
        <f>M49</f>
        <v>0</v>
      </c>
      <c r="O60" s="363">
        <f>M54</f>
        <v>0</v>
      </c>
      <c r="P60" s="87">
        <f>N49</f>
        <v>0</v>
      </c>
      <c r="Q60" s="87">
        <f>N54</f>
        <v>0</v>
      </c>
      <c r="R60" s="82"/>
      <c r="S60" s="82"/>
      <c r="T60" s="82"/>
      <c r="U60" s="82"/>
      <c r="V60" s="82"/>
      <c r="W60" s="83"/>
    </row>
    <row r="61" spans="2:23" x14ac:dyDescent="0.3">
      <c r="I61" t="s">
        <v>106</v>
      </c>
      <c r="J61" s="363">
        <f>K50</f>
        <v>0</v>
      </c>
      <c r="K61" s="363">
        <f>K55</f>
        <v>0</v>
      </c>
      <c r="L61" s="363">
        <f>L50</f>
        <v>0</v>
      </c>
      <c r="M61" s="363">
        <f>L55</f>
        <v>0</v>
      </c>
      <c r="N61" s="363">
        <f>M50</f>
        <v>0</v>
      </c>
      <c r="O61" s="363">
        <f>M55</f>
        <v>0</v>
      </c>
      <c r="P61" s="87">
        <f>N50</f>
        <v>0</v>
      </c>
      <c r="Q61" s="87">
        <f>N55</f>
        <v>0</v>
      </c>
      <c r="R61" s="45"/>
      <c r="S61" s="45"/>
      <c r="T61" s="45"/>
      <c r="U61" s="45"/>
      <c r="V61" s="45"/>
      <c r="W61" s="45"/>
    </row>
    <row r="62" spans="2:23" x14ac:dyDescent="0.3">
      <c r="J62" s="520" t="s">
        <v>442</v>
      </c>
      <c r="K62" s="544"/>
      <c r="L62" s="520" t="s">
        <v>443</v>
      </c>
      <c r="M62" s="544"/>
      <c r="N62" s="520" t="s">
        <v>444</v>
      </c>
      <c r="O62" s="544"/>
      <c r="P62" s="520" t="s">
        <v>445</v>
      </c>
      <c r="Q62" s="544"/>
      <c r="R62" s="45"/>
      <c r="S62" s="45"/>
      <c r="T62" s="45"/>
      <c r="U62" s="45"/>
      <c r="V62" s="45"/>
      <c r="W62" s="45"/>
    </row>
    <row r="63" spans="2:23" x14ac:dyDescent="0.3">
      <c r="P63" s="81"/>
      <c r="Q63" s="81"/>
      <c r="R63" s="81"/>
      <c r="S63" s="81"/>
      <c r="T63" s="81"/>
      <c r="U63" s="81"/>
      <c r="V63" s="81"/>
      <c r="W63" s="81"/>
    </row>
    <row r="64" spans="2:23" x14ac:dyDescent="0.3">
      <c r="J64" t="s">
        <v>105</v>
      </c>
      <c r="K64" s="363">
        <v>0</v>
      </c>
      <c r="L64" s="363">
        <f>L60</f>
        <v>0</v>
      </c>
      <c r="M64" s="363">
        <f>N60</f>
        <v>0</v>
      </c>
      <c r="N64" s="363">
        <f>P60</f>
        <v>0</v>
      </c>
      <c r="O64" s="363">
        <f>Q60</f>
        <v>0</v>
      </c>
      <c r="P64" s="81"/>
      <c r="Q64" s="81"/>
      <c r="R64" s="81"/>
      <c r="S64" s="81"/>
      <c r="T64" s="81"/>
      <c r="U64" s="81"/>
      <c r="V64" s="81"/>
      <c r="W64" s="81"/>
    </row>
    <row r="65" spans="9:23" x14ac:dyDescent="0.3">
      <c r="J65" t="s">
        <v>106</v>
      </c>
      <c r="K65" s="363">
        <v>0</v>
      </c>
      <c r="L65" s="363">
        <f>L61</f>
        <v>0</v>
      </c>
      <c r="M65" s="363">
        <f>N61</f>
        <v>0</v>
      </c>
      <c r="N65" s="363">
        <f>P61</f>
        <v>0</v>
      </c>
      <c r="O65" s="363">
        <f>Q61</f>
        <v>0</v>
      </c>
      <c r="P65" s="16"/>
      <c r="Q65" s="16"/>
      <c r="R65" s="84"/>
      <c r="S65" s="84"/>
      <c r="T65" s="84"/>
      <c r="U65" s="84"/>
      <c r="V65" s="84"/>
      <c r="W65" s="84"/>
    </row>
    <row r="66" spans="9:23" x14ac:dyDescent="0.3">
      <c r="P66" s="81"/>
      <c r="Q66" s="81"/>
      <c r="R66" s="82"/>
      <c r="S66" s="82"/>
      <c r="T66" s="82"/>
      <c r="U66" s="82"/>
      <c r="V66" s="82"/>
      <c r="W66" s="83"/>
    </row>
    <row r="67" spans="9:23" x14ac:dyDescent="0.3">
      <c r="I67" s="510" t="s">
        <v>639</v>
      </c>
      <c r="J67" s="511" t="str">
        <f>Phasing!D29</f>
        <v>D1</v>
      </c>
      <c r="K67" s="511" t="str">
        <f>Phasing!E29</f>
        <v>D2</v>
      </c>
      <c r="L67" s="511" t="str">
        <f>Phasing!F29</f>
        <v>D3</v>
      </c>
      <c r="M67" s="511" t="str">
        <f>Phasing!G29</f>
        <v>D4</v>
      </c>
      <c r="N67" s="511" t="str">
        <f>Phasing!H29</f>
        <v>D5</v>
      </c>
      <c r="O67" s="511" t="str">
        <f>Phasing!I29</f>
        <v>D6</v>
      </c>
      <c r="P67" s="511" t="str">
        <f>Phasing!J29</f>
        <v>D7</v>
      </c>
      <c r="Q67" s="511" t="str">
        <f>Phasing!K29</f>
        <v>D8</v>
      </c>
      <c r="R67" s="77"/>
      <c r="S67" s="77"/>
      <c r="T67" s="77"/>
      <c r="U67" s="77"/>
      <c r="V67" s="77"/>
      <c r="W67" s="77"/>
    </row>
    <row r="68" spans="9:23" x14ac:dyDescent="0.3">
      <c r="I68" s="510" t="s">
        <v>640</v>
      </c>
      <c r="J68" s="511">
        <f>Phasing!D30</f>
        <v>0</v>
      </c>
      <c r="K68" s="511">
        <f>Phasing!E30</f>
        <v>0</v>
      </c>
      <c r="L68" s="511">
        <f>Phasing!F30</f>
        <v>0</v>
      </c>
      <c r="M68" s="511">
        <f>Phasing!G30</f>
        <v>0</v>
      </c>
      <c r="N68" s="511">
        <f>Phasing!H30</f>
        <v>0</v>
      </c>
      <c r="O68" s="511">
        <f>Phasing!I30</f>
        <v>0</v>
      </c>
      <c r="P68" s="511">
        <f>Phasing!J30</f>
        <v>0</v>
      </c>
      <c r="Q68" s="511">
        <f>Phasing!K30</f>
        <v>0</v>
      </c>
      <c r="R68" s="77"/>
      <c r="S68" s="77"/>
      <c r="T68" s="77"/>
      <c r="U68" s="77"/>
      <c r="V68" s="77"/>
      <c r="W68" s="77"/>
    </row>
    <row r="69" spans="9:23" x14ac:dyDescent="0.3">
      <c r="I69" s="510" t="s">
        <v>124</v>
      </c>
      <c r="J69" s="511">
        <v>1</v>
      </c>
      <c r="K69" s="511">
        <v>2</v>
      </c>
      <c r="L69" s="511">
        <v>3</v>
      </c>
      <c r="M69" s="511">
        <v>4</v>
      </c>
      <c r="N69" s="511">
        <v>5</v>
      </c>
      <c r="O69" s="511">
        <v>6</v>
      </c>
      <c r="P69" s="511">
        <v>7</v>
      </c>
      <c r="Q69" s="511">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100" t="s">
        <v>204</v>
      </c>
      <c r="T1" s="96"/>
      <c r="AK1" s="96"/>
      <c r="BB1" s="96"/>
    </row>
    <row r="2" spans="2:57" s="62" customFormat="1" x14ac:dyDescent="0.3">
      <c r="B2" s="546" t="s">
        <v>151</v>
      </c>
      <c r="C2" s="546"/>
      <c r="D2" s="546"/>
      <c r="E2" s="546"/>
      <c r="T2" s="546" t="s">
        <v>198</v>
      </c>
      <c r="U2" s="546"/>
      <c r="V2" s="546"/>
      <c r="W2" s="546"/>
      <c r="AK2" s="546" t="s">
        <v>199</v>
      </c>
      <c r="AL2" s="546"/>
      <c r="AM2" s="546"/>
      <c r="AN2" s="546"/>
      <c r="BB2" s="546" t="s">
        <v>200</v>
      </c>
      <c r="BC2" s="546"/>
      <c r="BD2" s="546"/>
      <c r="BE2" s="546"/>
    </row>
    <row r="3" spans="2:57" s="62" customFormat="1" x14ac:dyDescent="0.3"/>
    <row r="4" spans="2:57" s="273" customFormat="1" x14ac:dyDescent="0.3">
      <c r="B4" s="278" t="s">
        <v>152</v>
      </c>
      <c r="C4" s="273" t="s">
        <v>153</v>
      </c>
      <c r="D4" s="273" t="s">
        <v>154</v>
      </c>
      <c r="T4" s="278" t="s">
        <v>152</v>
      </c>
      <c r="U4" s="273" t="s">
        <v>153</v>
      </c>
      <c r="V4" s="273" t="s">
        <v>154</v>
      </c>
      <c r="AK4" s="278" t="s">
        <v>152</v>
      </c>
      <c r="AL4" s="273" t="s">
        <v>153</v>
      </c>
      <c r="AM4" s="273" t="s">
        <v>154</v>
      </c>
      <c r="BB4" s="278" t="s">
        <v>152</v>
      </c>
      <c r="BC4" s="273" t="s">
        <v>153</v>
      </c>
      <c r="BD4" s="273" t="s">
        <v>154</v>
      </c>
    </row>
    <row r="5" spans="2:57" s="62" customFormat="1" x14ac:dyDescent="0.3">
      <c r="B5" s="62" t="s">
        <v>164</v>
      </c>
      <c r="C5" s="77">
        <f>ROUND(Sheet1!P4*(1-'Input sheet'!G17/100),0)</f>
        <v>0</v>
      </c>
      <c r="D5" s="77">
        <f>C5</f>
        <v>0</v>
      </c>
      <c r="T5" s="62" t="s">
        <v>164</v>
      </c>
      <c r="U5" s="77">
        <f>ROUND(Sheet1!U4*(1-'Input sheet'!N11/100),0)</f>
        <v>0</v>
      </c>
      <c r="V5" s="77">
        <f>U5</f>
        <v>0</v>
      </c>
      <c r="AK5" s="62" t="s">
        <v>164</v>
      </c>
      <c r="AL5" s="77">
        <f>ROUND((Sheet1!F4+Sheet1!Y4+Sheet1!AB4)*(1-'Input sheet'!L22/100),0)</f>
        <v>0</v>
      </c>
      <c r="AM5" s="77">
        <f>AL5</f>
        <v>0</v>
      </c>
      <c r="BB5" s="62" t="s">
        <v>164</v>
      </c>
      <c r="BC5" s="77">
        <f>ROUND((Sheet1!K4+Sheet1!AE4+Sheet1!AH4)*(1-'Input sheet'!H7/100),0)</f>
        <v>0</v>
      </c>
      <c r="BD5" s="77">
        <f>BC5</f>
        <v>0</v>
      </c>
    </row>
    <row r="6" spans="2:57" s="273" customFormat="1" x14ac:dyDescent="0.3">
      <c r="B6" s="273" t="s">
        <v>167</v>
      </c>
      <c r="C6" s="250">
        <f>Sheet1!P5</f>
        <v>0</v>
      </c>
      <c r="D6" s="250">
        <v>1</v>
      </c>
      <c r="T6" s="273" t="s">
        <v>167</v>
      </c>
      <c r="U6" s="250">
        <f>Sheet1!U5</f>
        <v>0</v>
      </c>
      <c r="V6" s="250">
        <v>1</v>
      </c>
      <c r="AK6" s="273" t="s">
        <v>167</v>
      </c>
      <c r="AL6" s="250">
        <f>Sheet1!F5+Sheet1!Y5+Sheet1!AB5</f>
        <v>0</v>
      </c>
      <c r="AM6" s="250">
        <v>1</v>
      </c>
      <c r="BB6" s="273" t="s">
        <v>167</v>
      </c>
      <c r="BC6" s="250">
        <f>Sheet1!K5+Sheet1!AE5+Sheet1!AH5</f>
        <v>0</v>
      </c>
      <c r="BD6" s="250">
        <v>1</v>
      </c>
    </row>
    <row r="7" spans="2:57" s="62" customFormat="1" x14ac:dyDescent="0.3">
      <c r="B7" s="62" t="s">
        <v>166</v>
      </c>
      <c r="C7" s="77">
        <f>IF(C6=1,0.85,0.75)</f>
        <v>0.75</v>
      </c>
      <c r="D7" s="77">
        <v>0.85</v>
      </c>
      <c r="T7" s="62" t="s">
        <v>166</v>
      </c>
      <c r="U7" s="77">
        <f>IF(U6=1,0.85,0.75)</f>
        <v>0.75</v>
      </c>
      <c r="V7" s="77">
        <v>0.85</v>
      </c>
      <c r="AK7" s="62" t="s">
        <v>166</v>
      </c>
      <c r="AL7" s="77">
        <f>IF(AL6=1,0.85,0.75)</f>
        <v>0.75</v>
      </c>
      <c r="AM7" s="77">
        <v>0.85</v>
      </c>
      <c r="BB7" s="62" t="s">
        <v>166</v>
      </c>
      <c r="BC7" s="77">
        <f>IF(BC6=1,0.85,0.75)</f>
        <v>0.75</v>
      </c>
      <c r="BD7" s="77">
        <v>0.85</v>
      </c>
    </row>
    <row r="8" spans="2:57" s="273" customFormat="1" x14ac:dyDescent="0.3">
      <c r="B8" s="273" t="s">
        <v>168</v>
      </c>
      <c r="C8" s="250">
        <f>ROUND(IF(C6=0,0,C5/(C6*C7)),0)</f>
        <v>0</v>
      </c>
      <c r="D8" s="250">
        <f>ROUND(IF(C6=0,D5/(D6*D7),0),0)</f>
        <v>0</v>
      </c>
      <c r="T8" s="273" t="s">
        <v>168</v>
      </c>
      <c r="U8" s="250">
        <f>ROUND(IF(U6=0,0,U5/(U6*U7)),0)</f>
        <v>0</v>
      </c>
      <c r="V8" s="250">
        <f>ROUND(IF(U6=0,V5/(V6*V7),0),0)</f>
        <v>0</v>
      </c>
      <c r="AK8" s="273" t="s">
        <v>168</v>
      </c>
      <c r="AL8" s="250">
        <f>ROUND(IF(AL6=0,0,AL5/(AL6*AL7)),0)</f>
        <v>0</v>
      </c>
      <c r="AM8" s="250">
        <f>ROUND(IF(AL6=0,AM5/(AM6*AM7),0),0)</f>
        <v>0</v>
      </c>
      <c r="BB8" s="273" t="s">
        <v>168</v>
      </c>
      <c r="BC8" s="250">
        <f>ROUND(IF(BC6=0,0,BC5/(BC6*BC7)),0)</f>
        <v>0</v>
      </c>
      <c r="BD8" s="250">
        <f>ROUND(IF(BC6=0,BD5/(BD6*BD7),0),0)</f>
        <v>0</v>
      </c>
    </row>
    <row r="9" spans="2:57" s="62" customFormat="1" x14ac:dyDescent="0.3"/>
    <row r="10" spans="2:57" s="273" customFormat="1" x14ac:dyDescent="0.3">
      <c r="B10" s="278" t="s">
        <v>155</v>
      </c>
      <c r="T10" s="278" t="s">
        <v>155</v>
      </c>
      <c r="AK10" s="278" t="s">
        <v>155</v>
      </c>
      <c r="BB10" s="278" t="s">
        <v>155</v>
      </c>
    </row>
    <row r="11" spans="2:57" s="62" customFormat="1" x14ac:dyDescent="0.3">
      <c r="B11" s="62" t="s">
        <v>165</v>
      </c>
      <c r="C11" s="77">
        <f>Sheet1!N4</f>
        <v>0</v>
      </c>
      <c r="T11" s="62" t="s">
        <v>165</v>
      </c>
      <c r="U11" s="77">
        <f>Sheet1!S4</f>
        <v>0</v>
      </c>
      <c r="AK11" s="62" t="s">
        <v>165</v>
      </c>
      <c r="AL11" s="77">
        <f>Sheet1!D4+Sheet1!W4+Sheet1!Z4</f>
        <v>0</v>
      </c>
      <c r="BB11" s="62" t="s">
        <v>165</v>
      </c>
      <c r="BC11" s="77">
        <f>Sheet1!I4+Sheet1!AC4+Sheet1!AF4</f>
        <v>0</v>
      </c>
    </row>
    <row r="12" spans="2:57" s="273" customFormat="1" x14ac:dyDescent="0.3">
      <c r="B12" s="273" t="s">
        <v>169</v>
      </c>
      <c r="C12" s="250">
        <f>SUM(Sheet1!S4:U4)-Sheet1!S4</f>
        <v>0</v>
      </c>
      <c r="T12" s="273" t="s">
        <v>169</v>
      </c>
      <c r="U12" s="250">
        <f>SUM(Sheet1!N4:P4)-Sheet1!N4</f>
        <v>0</v>
      </c>
      <c r="AK12" s="273" t="s">
        <v>169</v>
      </c>
      <c r="AL12" s="250">
        <f>SUM(Sheet1!I4:K4,Sheet1!AC4:AH4)-Sheet1!AF4-Sheet1!AC4-Sheet1!I4</f>
        <v>0</v>
      </c>
      <c r="BB12" s="273" t="s">
        <v>169</v>
      </c>
      <c r="BC12" s="250">
        <f>SUM(Sheet1!D4:F4,Sheet1!W4:AB4)-Sheet1!Z4-Sheet1!W4-Sheet1!D4</f>
        <v>0</v>
      </c>
    </row>
    <row r="13" spans="2:57" s="62" customFormat="1" x14ac:dyDescent="0.3">
      <c r="B13" s="62" t="s">
        <v>170</v>
      </c>
      <c r="C13" s="77">
        <f>Sheet1!N5</f>
        <v>0</v>
      </c>
      <c r="T13" s="62" t="s">
        <v>170</v>
      </c>
      <c r="U13" s="77">
        <f>Sheet1!S5</f>
        <v>0</v>
      </c>
      <c r="AK13" s="62" t="s">
        <v>170</v>
      </c>
      <c r="AL13" s="77">
        <f>Sheet1!D5+Sheet1!W5+Sheet1!Z5</f>
        <v>0</v>
      </c>
      <c r="BB13" s="62" t="s">
        <v>170</v>
      </c>
      <c r="BC13" s="77">
        <f>Sheet1!I5+Sheet1!AC4+Sheet1!AF4</f>
        <v>0</v>
      </c>
    </row>
    <row r="14" spans="2:57" s="273" customFormat="1" x14ac:dyDescent="0.3">
      <c r="B14" s="273" t="s">
        <v>171</v>
      </c>
      <c r="C14" s="250">
        <f>MAX(C18:C21)</f>
        <v>0</v>
      </c>
      <c r="D14" s="329">
        <f>IF(OR('Phase designation'!B22=1,'Phase designation'!B22=3),1,0)</f>
        <v>0</v>
      </c>
      <c r="T14" s="273" t="s">
        <v>171</v>
      </c>
      <c r="U14" s="250">
        <f>MAX(U18:U21)</f>
        <v>0</v>
      </c>
      <c r="V14" s="329">
        <f>IF(OR('Phase designation'!D22=1,'Phase designation'!D22=3),1,0)</f>
        <v>0</v>
      </c>
      <c r="AK14" s="273" t="s">
        <v>171</v>
      </c>
      <c r="AL14" s="250">
        <f>MAX(AL18:AL21)</f>
        <v>0</v>
      </c>
      <c r="AM14" s="329">
        <f>IF(OR('Phase designation'!F22=1,'Phase designation'!F22=3),1,0)</f>
        <v>0</v>
      </c>
      <c r="BB14" s="273" t="s">
        <v>171</v>
      </c>
      <c r="BC14" s="250">
        <f>MAX(BC18:BC21)</f>
        <v>0</v>
      </c>
      <c r="BD14" s="329">
        <f>IF(OR('Phase designation'!H22=1,'Phase designation'!H22=3),1,0)</f>
        <v>0</v>
      </c>
    </row>
    <row r="15" spans="2:57" s="62" customFormat="1" x14ac:dyDescent="0.3">
      <c r="B15" s="547" t="s">
        <v>156</v>
      </c>
      <c r="C15" s="77" t="s">
        <v>173</v>
      </c>
      <c r="D15" s="77" t="s">
        <v>174</v>
      </c>
      <c r="E15" s="77" t="s">
        <v>175</v>
      </c>
      <c r="T15" s="547" t="s">
        <v>156</v>
      </c>
      <c r="U15" s="77" t="s">
        <v>173</v>
      </c>
      <c r="V15" s="77" t="s">
        <v>174</v>
      </c>
      <c r="W15" s="77" t="s">
        <v>175</v>
      </c>
      <c r="AK15" s="547" t="s">
        <v>156</v>
      </c>
      <c r="AL15" s="77" t="s">
        <v>173</v>
      </c>
      <c r="AM15" s="77" t="s">
        <v>174</v>
      </c>
      <c r="AN15" s="77" t="s">
        <v>175</v>
      </c>
      <c r="BB15" s="547" t="s">
        <v>156</v>
      </c>
      <c r="BC15" s="77" t="s">
        <v>173</v>
      </c>
      <c r="BD15" s="77" t="s">
        <v>174</v>
      </c>
      <c r="BE15" s="77" t="s">
        <v>175</v>
      </c>
    </row>
    <row r="16" spans="2:57" s="273" customFormat="1" x14ac:dyDescent="0.3">
      <c r="B16" s="547"/>
      <c r="C16" s="284">
        <v>0</v>
      </c>
      <c r="D16" s="284">
        <f>IF(D14=1,D17,0)</f>
        <v>0</v>
      </c>
      <c r="E16" s="284">
        <f>ROUND(IF(OR(C20&gt;0,C21&gt;0),C11/(C13*C14),0),0)</f>
        <v>0</v>
      </c>
      <c r="T16" s="547"/>
      <c r="U16" s="284">
        <v>0</v>
      </c>
      <c r="V16" s="284">
        <f>IF(V14=1,V17,0)</f>
        <v>0</v>
      </c>
      <c r="W16" s="284">
        <f>ROUND(IF(OR(U20&gt;0,U21&gt;0),U11/(U13*U14),0),0)</f>
        <v>0</v>
      </c>
      <c r="AK16" s="547"/>
      <c r="AL16" s="284">
        <v>0</v>
      </c>
      <c r="AM16" s="284">
        <f>IF(AM14=1,AM17,0)</f>
        <v>0</v>
      </c>
      <c r="AN16" s="284">
        <f>ROUND(IF(OR(AL20&gt;0,AL21&gt;0),AL11/(AL13*AL14),0),0)</f>
        <v>0</v>
      </c>
      <c r="BB16" s="547"/>
      <c r="BC16" s="284">
        <v>0</v>
      </c>
      <c r="BD16" s="284">
        <f>IF(BD14=1,BD17,0)</f>
        <v>0</v>
      </c>
      <c r="BE16" s="284">
        <f>ROUND(IF(OR(BC20&gt;0,BC21&gt;0),BC11/(BC13*BC14),0),0)</f>
        <v>0</v>
      </c>
    </row>
    <row r="17" spans="2:57" s="62" customFormat="1" x14ac:dyDescent="0.3">
      <c r="D17" s="283">
        <f>ROUND(IF(OR(C18&gt;0,C19&gt;0),C11/(C13*C14),0),0)</f>
        <v>0</v>
      </c>
      <c r="V17" s="283">
        <f>ROUND(IF(OR(U18&gt;0,U19&gt;0),U11/(U13*U14),0),0)</f>
        <v>0</v>
      </c>
      <c r="AM17" s="283">
        <f>ROUND(IF(OR(AL18&gt;0,AL19&gt;0),AL11/(AL13*AL14),0),0)</f>
        <v>0</v>
      </c>
      <c r="BD17" s="283">
        <f>ROUND(IF(OR(BC18&gt;0,BC19&gt;0),BC11/(BC13*BC14),0),0)</f>
        <v>0</v>
      </c>
    </row>
    <row r="18" spans="2:57" s="62" customFormat="1" x14ac:dyDescent="0.3">
      <c r="B18" s="62" t="s">
        <v>157</v>
      </c>
      <c r="C18" s="62">
        <f>IF(AND(SUM(Sheet1!S5:U5)&gt;0,'Lane volumes'!C13=1),0.95,0)</f>
        <v>0</v>
      </c>
      <c r="T18" s="62" t="s">
        <v>157</v>
      </c>
      <c r="U18" s="62">
        <f>IF(AND(SUM(Sheet1!N5:P5)&gt;0,'Lane volumes'!U13=1),0.95,0)</f>
        <v>0</v>
      </c>
      <c r="AK18" s="62" t="s">
        <v>157</v>
      </c>
      <c r="AL18" s="62">
        <f>IF(AND(SUM(Sheet1!I5:K5,Sheet1!AC5:AE5,Sheet1!AF5:AH5)&gt;0,'Lane volumes'!AL13=1),0.95,0)</f>
        <v>0</v>
      </c>
      <c r="BB18" s="62" t="s">
        <v>157</v>
      </c>
      <c r="BC18" s="62">
        <f>IF(AND(SUM(Sheet1!D5:F5,Sheet1!W5:Y5,Sheet1!Z5:AB5)&gt;0,'Lane volumes'!BC13=1),0.95,0)</f>
        <v>0</v>
      </c>
    </row>
    <row r="19" spans="2:57" s="62" customFormat="1" x14ac:dyDescent="0.3">
      <c r="B19" s="62" t="s">
        <v>160</v>
      </c>
      <c r="C19" s="62">
        <f>IF(AND(SUM(Sheet1!S5:U5)&gt;0,'Lane volumes'!C13&gt;=2),0.92,0)</f>
        <v>0</v>
      </c>
      <c r="T19" s="62" t="s">
        <v>160</v>
      </c>
      <c r="U19" s="62">
        <f>IF(AND(SUM(Sheet1!N5:P5)&gt;0,'Lane volumes'!U13&gt;=2),0.92,0)</f>
        <v>0</v>
      </c>
      <c r="AK19" s="62" t="s">
        <v>160</v>
      </c>
      <c r="AL19" s="62">
        <f>IF(AND(SUM(Sheet1!I5:K5,Sheet1!AC5:AE5,Sheet1!AF5:AH5)&gt;0,'Lane volumes'!AL13&gt;=2),0.92,0)</f>
        <v>0</v>
      </c>
      <c r="BB19" s="62" t="s">
        <v>160</v>
      </c>
      <c r="BC19" s="62">
        <f>IF(AND(SUM(Sheet1!D5:F5,Sheet1!W5:Y5,Sheet1!Z5:AB5)&gt;0,'Lane volumes'!BC13&gt;=2),0.92,0)</f>
        <v>0</v>
      </c>
    </row>
    <row r="20" spans="2:57" s="62" customFormat="1" x14ac:dyDescent="0.3">
      <c r="B20" s="62" t="s">
        <v>158</v>
      </c>
      <c r="C20" s="62">
        <f>IF(AND(SUM(Sheet1!S5:U5)=0,'Lane volumes'!C13=1),0.85,0)</f>
        <v>0</v>
      </c>
      <c r="T20" s="62" t="s">
        <v>158</v>
      </c>
      <c r="U20" s="62">
        <f>IF(AND(SUM(Sheet1!N5:P5)=0,'Lane volumes'!U13=1),0.85,0)</f>
        <v>0</v>
      </c>
      <c r="AK20" s="62" t="s">
        <v>158</v>
      </c>
      <c r="AL20" s="62">
        <f>IF(AND(SUM(Sheet1!I5:K5,Sheet1!AC5:AE5,Sheet1!AF5:AH5)=0,'Lane volumes'!AL13=1),0.85,0)</f>
        <v>0</v>
      </c>
      <c r="BB20" s="62" t="s">
        <v>158</v>
      </c>
      <c r="BC20" s="62">
        <f>IF(AND(SUM(Sheet1!D5:F5,Sheet1!W5:Y5,Sheet1!Z5:AB5)=0,'Lane volumes'!BC13=1),0.85,0)</f>
        <v>0</v>
      </c>
    </row>
    <row r="21" spans="2:57" s="62" customFormat="1" x14ac:dyDescent="0.3">
      <c r="B21" s="62" t="s">
        <v>159</v>
      </c>
      <c r="C21" s="62">
        <f>IF(AND(SUM(Sheet1!S5:U5)=0,'Lane volumes'!C13&gt;=2),0.75,0)</f>
        <v>0</v>
      </c>
      <c r="T21" s="62" t="s">
        <v>159</v>
      </c>
      <c r="U21" s="62">
        <f>IF(AND(SUM(Sheet1!N5:P5)=0,'Lane volumes'!U13&gt;=2),0.75,0)</f>
        <v>0</v>
      </c>
      <c r="AK21" s="62" t="s">
        <v>159</v>
      </c>
      <c r="AL21" s="62">
        <f>IF(AND(SUM(Sheet1!I5:K5,Sheet1!AC5:AE5,Sheet1!AF5:AH5)=0,'Lane volumes'!AL13&gt;=2),0.75,0)</f>
        <v>0</v>
      </c>
      <c r="BB21" s="62" t="s">
        <v>159</v>
      </c>
      <c r="BC21" s="62">
        <f>IF(AND(SUM(Sheet1!D5:F5,Sheet1!W5:Y5,Sheet1!Z5:AB5)=0,'Lane volumes'!BC13&gt;=2),0.75,0)</f>
        <v>0</v>
      </c>
    </row>
    <row r="22" spans="2:57" s="62" customFormat="1" x14ac:dyDescent="0.3"/>
    <row r="23" spans="2:57" s="273" customFormat="1" x14ac:dyDescent="0.3">
      <c r="B23" s="278" t="s">
        <v>172</v>
      </c>
      <c r="C23" s="250" t="s">
        <v>173</v>
      </c>
      <c r="D23" s="250" t="s">
        <v>174</v>
      </c>
      <c r="E23" s="250" t="s">
        <v>175</v>
      </c>
      <c r="T23" s="278" t="s">
        <v>172</v>
      </c>
      <c r="U23" s="250" t="s">
        <v>173</v>
      </c>
      <c r="V23" s="250" t="s">
        <v>174</v>
      </c>
      <c r="W23" s="250" t="s">
        <v>175</v>
      </c>
      <c r="AK23" s="278" t="s">
        <v>172</v>
      </c>
      <c r="AL23" s="250" t="s">
        <v>173</v>
      </c>
      <c r="AM23" s="250" t="s">
        <v>174</v>
      </c>
      <c r="AN23" s="250" t="s">
        <v>175</v>
      </c>
      <c r="BB23" s="278" t="s">
        <v>172</v>
      </c>
      <c r="BC23" s="250" t="s">
        <v>173</v>
      </c>
      <c r="BD23" s="250" t="s">
        <v>174</v>
      </c>
      <c r="BE23" s="250" t="s">
        <v>175</v>
      </c>
    </row>
    <row r="24" spans="2:57" s="62" customFormat="1" x14ac:dyDescent="0.3">
      <c r="B24" s="62" t="s">
        <v>193</v>
      </c>
      <c r="C24" s="77">
        <f>IF(AND('Phase designation'!B22=2,E16=0),Sheet1!O4,0)</f>
        <v>0</v>
      </c>
      <c r="D24" s="77">
        <f>IF(OR('Phase designation'!B22=1,'Phase designation'!B22=3),Sheet1!O4,0)</f>
        <v>0</v>
      </c>
      <c r="E24" s="77">
        <f>IF(OR(C20&gt;0,C21&gt;0),Sheet1!O4,0)</f>
        <v>0</v>
      </c>
      <c r="T24" s="62" t="s">
        <v>193</v>
      </c>
      <c r="U24" s="77">
        <f>IF(AND('Phase designation'!D22=2,W16=0),Sheet1!T4,0)</f>
        <v>0</v>
      </c>
      <c r="V24" s="77">
        <f>IF(OR('Phase designation'!D22=1,'Phase designation'!D22=3),Sheet1!T4,0)</f>
        <v>0</v>
      </c>
      <c r="W24" s="77">
        <f>IF(OR(U20&gt;0,U21&gt;0),Sheet1!T4,0)</f>
        <v>0</v>
      </c>
      <c r="AK24" s="62" t="s">
        <v>193</v>
      </c>
      <c r="AL24" s="77">
        <f>IF(AND('Phase designation'!F22=2,AN16=0),Sheet1!E4+Sheet1!X4+Sheet1!AA4,0)</f>
        <v>0</v>
      </c>
      <c r="AM24" s="77">
        <f>IF(OR('Phase designation'!F22=1,'Phase designation'!F22=3),Sheet1!E4+Sheet1!X4+Sheet1!AA4,0)</f>
        <v>0</v>
      </c>
      <c r="AN24" s="77">
        <f>IF(OR(AL20&gt;0,AL21&gt;0),Sheet1!E4+Sheet1!X4+Sheet1!AA4,0)</f>
        <v>0</v>
      </c>
      <c r="BB24" s="62" t="s">
        <v>193</v>
      </c>
      <c r="BC24" s="77">
        <f>IF(AND('Phase designation'!H22=2,BE16=0),Sheet1!J4+Sheet1!AD4+Sheet1!AG4,0)</f>
        <v>0</v>
      </c>
      <c r="BD24" s="77">
        <f>IF(OR('Phase designation'!H22=1,'Phase designation'!H22=3),Sheet1!J4+Sheet1!AD4+Sheet1!AG4,0)</f>
        <v>0</v>
      </c>
      <c r="BE24" s="77">
        <f>IF(OR(BC20&gt;0,BC21&gt;0),Sheet1!J4+Sheet1!AD4+Sheet1!AG4,0)</f>
        <v>0</v>
      </c>
    </row>
    <row r="25" spans="2:57" s="273" customFormat="1" x14ac:dyDescent="0.3">
      <c r="B25" s="273" t="s">
        <v>161</v>
      </c>
      <c r="C25" s="250">
        <v>1</v>
      </c>
      <c r="D25" s="250">
        <v>1</v>
      </c>
      <c r="E25" s="250">
        <v>1</v>
      </c>
      <c r="T25" s="273" t="s">
        <v>161</v>
      </c>
      <c r="U25" s="250">
        <v>1</v>
      </c>
      <c r="V25" s="250">
        <v>1</v>
      </c>
      <c r="W25" s="250">
        <v>1</v>
      </c>
      <c r="AK25" s="273" t="s">
        <v>161</v>
      </c>
      <c r="AL25" s="250">
        <v>1</v>
      </c>
      <c r="AM25" s="250">
        <v>1</v>
      </c>
      <c r="AN25" s="250">
        <v>1</v>
      </c>
      <c r="BB25" s="273" t="s">
        <v>161</v>
      </c>
      <c r="BC25" s="250">
        <v>1</v>
      </c>
      <c r="BD25" s="250">
        <v>1</v>
      </c>
      <c r="BE25" s="250">
        <v>1</v>
      </c>
    </row>
    <row r="26" spans="2:57" s="62" customFormat="1" x14ac:dyDescent="0.3">
      <c r="B26" s="62" t="s">
        <v>163</v>
      </c>
      <c r="C26" s="77">
        <f>Sheet1!O5</f>
        <v>0</v>
      </c>
      <c r="D26" s="77">
        <f>C26</f>
        <v>0</v>
      </c>
      <c r="E26" s="77">
        <f>C26</f>
        <v>0</v>
      </c>
      <c r="T26" s="62" t="s">
        <v>163</v>
      </c>
      <c r="U26" s="77">
        <f>Sheet1!T5</f>
        <v>0</v>
      </c>
      <c r="V26" s="77">
        <f>U26</f>
        <v>0</v>
      </c>
      <c r="W26" s="77">
        <f>U26</f>
        <v>0</v>
      </c>
      <c r="AK26" s="62" t="s">
        <v>163</v>
      </c>
      <c r="AL26" s="77">
        <f>Sheet1!E5+Sheet1!X5+Sheet1!AA5</f>
        <v>0</v>
      </c>
      <c r="AM26" s="77">
        <f>AL26</f>
        <v>0</v>
      </c>
      <c r="AN26" s="77">
        <f>AL26</f>
        <v>0</v>
      </c>
      <c r="BB26" s="62" t="s">
        <v>163</v>
      </c>
      <c r="BC26" s="77">
        <f>Sheet1!J5+Sheet1!AD5+Sheet1!AG5</f>
        <v>0</v>
      </c>
      <c r="BD26" s="77">
        <f>BC26</f>
        <v>0</v>
      </c>
      <c r="BE26" s="77">
        <f>BC26</f>
        <v>0</v>
      </c>
    </row>
    <row r="27" spans="2:57" s="273" customFormat="1" x14ac:dyDescent="0.3">
      <c r="B27" s="273" t="s">
        <v>162</v>
      </c>
      <c r="C27" s="250">
        <f>IF(C24=0,0,(D8+C24)/C25)</f>
        <v>0</v>
      </c>
      <c r="D27" s="250">
        <f>IF(D24=0,0,(D8+D24)/D25)</f>
        <v>0</v>
      </c>
      <c r="E27" s="250">
        <f>IF(E24=0,0,(D8+E24+E16)/E25)</f>
        <v>0</v>
      </c>
      <c r="T27" s="273" t="s">
        <v>162</v>
      </c>
      <c r="U27" s="250">
        <f>IF(U24=0,0,(V8+U24)/U25)</f>
        <v>0</v>
      </c>
      <c r="V27" s="250">
        <f>IF(V24=0,0,(V8+V24)/V25)</f>
        <v>0</v>
      </c>
      <c r="W27" s="250">
        <f>IF(W24=0,0,(V8+W24+W16)/W25)</f>
        <v>0</v>
      </c>
      <c r="AK27" s="273" t="s">
        <v>162</v>
      </c>
      <c r="AL27" s="250">
        <f>IF(AL24=0,0,(AM8+AL24)/AL25)</f>
        <v>0</v>
      </c>
      <c r="AM27" s="250">
        <f>IF(AM24=0,0,(AM8+AM24)/AM25)</f>
        <v>0</v>
      </c>
      <c r="AN27" s="250">
        <f>IF(AN24=0,0,(AM8+AN24+AN16)/AN25)</f>
        <v>0</v>
      </c>
      <c r="BB27" s="273" t="s">
        <v>162</v>
      </c>
      <c r="BC27" s="250">
        <f>IF(BC24=0,0,(BD8+BC24)/BC25)</f>
        <v>0</v>
      </c>
      <c r="BD27" s="250">
        <f>IF(BD24=0,0,(BD8+BD24)/BD25)</f>
        <v>0</v>
      </c>
      <c r="BE27" s="250">
        <f>IF(BE24=0,0,(BD8+BE24+BE16)/BE25)</f>
        <v>0</v>
      </c>
    </row>
    <row r="28" spans="2:57" s="62" customFormat="1" x14ac:dyDescent="0.3"/>
    <row r="29" spans="2:57" s="273" customFormat="1" ht="30" customHeight="1" x14ac:dyDescent="0.3">
      <c r="B29" s="285" t="s">
        <v>176</v>
      </c>
      <c r="C29" s="284" t="s">
        <v>173</v>
      </c>
      <c r="D29" s="284" t="s">
        <v>174</v>
      </c>
      <c r="E29" s="284" t="s">
        <v>175</v>
      </c>
      <c r="T29" s="285" t="s">
        <v>176</v>
      </c>
      <c r="U29" s="284" t="s">
        <v>173</v>
      </c>
      <c r="V29" s="284" t="s">
        <v>174</v>
      </c>
      <c r="W29" s="284" t="s">
        <v>175</v>
      </c>
      <c r="AK29" s="285" t="s">
        <v>176</v>
      </c>
      <c r="AL29" s="284" t="s">
        <v>173</v>
      </c>
      <c r="AM29" s="284" t="s">
        <v>174</v>
      </c>
      <c r="AN29" s="284" t="s">
        <v>175</v>
      </c>
      <c r="BB29" s="285" t="s">
        <v>176</v>
      </c>
      <c r="BC29" s="284" t="s">
        <v>173</v>
      </c>
      <c r="BD29" s="284" t="s">
        <v>174</v>
      </c>
      <c r="BE29" s="284" t="s">
        <v>175</v>
      </c>
    </row>
    <row r="30" spans="2:57" s="62" customFormat="1" x14ac:dyDescent="0.3">
      <c r="B30" s="62" t="s">
        <v>178</v>
      </c>
      <c r="C30" s="77">
        <f>IF(C26&gt;0,ROUND(C27/C26,0),0)</f>
        <v>0</v>
      </c>
      <c r="D30" s="77">
        <f>IF(D26&gt;0,ROUND(D27/D26,0),0)</f>
        <v>0</v>
      </c>
      <c r="E30" s="77">
        <f>IF(E26&gt;0,ROUND(E27/E26,0),0)</f>
        <v>0</v>
      </c>
      <c r="T30" s="62" t="s">
        <v>178</v>
      </c>
      <c r="U30" s="77">
        <f>IF(U26&gt;0,ROUND(U27/U26,0),0)</f>
        <v>0</v>
      </c>
      <c r="V30" s="77">
        <f>IF(V26&gt;0,ROUND(V27/V26,0),0)</f>
        <v>0</v>
      </c>
      <c r="W30" s="77">
        <f>IF(W26&gt;0,ROUND(W27/W26,0),0)</f>
        <v>0</v>
      </c>
      <c r="AK30" s="62" t="s">
        <v>178</v>
      </c>
      <c r="AL30" s="77">
        <f>IF(AL26&gt;0,ROUND(AL27/AL26,0),0)</f>
        <v>0</v>
      </c>
      <c r="AM30" s="77">
        <f>IF(AM26&gt;0,ROUND(AM27/AM26,0),0)</f>
        <v>0</v>
      </c>
      <c r="AN30" s="77">
        <f>IF(AN26&gt;0,ROUND(AN27/AN26,0),0)</f>
        <v>0</v>
      </c>
      <c r="BB30" s="62" t="s">
        <v>178</v>
      </c>
      <c r="BC30" s="77">
        <f>IF(BC26&gt;0,ROUND(BC27/BC26,0),0)</f>
        <v>0</v>
      </c>
      <c r="BD30" s="77">
        <f>IF(BD26&gt;0,ROUND(BD27/BD26,0),0)</f>
        <v>0</v>
      </c>
      <c r="BE30" s="77">
        <f>IF(BE26&gt;0,ROUND(BE27/BE26,0),0)</f>
        <v>0</v>
      </c>
    </row>
    <row r="31" spans="2:57" s="273" customFormat="1" ht="30" customHeight="1" x14ac:dyDescent="0.3">
      <c r="B31" s="286" t="s">
        <v>177</v>
      </c>
      <c r="C31" s="284">
        <f>IF(C30=0,0,MAX(C30,C8,E16))</f>
        <v>0</v>
      </c>
      <c r="D31" s="284">
        <f>IF(D30=0,0,MAX(D30,C8,E16))</f>
        <v>0</v>
      </c>
      <c r="E31" s="284">
        <f>IF(E30=0,0,MAX(E30,C8,E16))</f>
        <v>0</v>
      </c>
      <c r="T31" s="286" t="s">
        <v>177</v>
      </c>
      <c r="U31" s="284">
        <f>IF(U30=0,0,MAX(U30,U8,W16))</f>
        <v>0</v>
      </c>
      <c r="V31" s="284">
        <f>IF(V30=0,0,MAX(V30,U8,W16))</f>
        <v>0</v>
      </c>
      <c r="W31" s="284">
        <f>IF(W30=0,0,MAX(W30,U8,W16))</f>
        <v>0</v>
      </c>
      <c r="AK31" s="286" t="s">
        <v>177</v>
      </c>
      <c r="AL31" s="284">
        <f>IF(AL30=0,0,MAX(AL30,AL8,AN16))</f>
        <v>0</v>
      </c>
      <c r="AM31" s="284">
        <f>IF(AM30=0,0,MAX(AM30,AL8,AN16))</f>
        <v>0</v>
      </c>
      <c r="AN31" s="284">
        <f>IF(AN30=0,0,MAX(AN30,AL8,AN16))</f>
        <v>0</v>
      </c>
      <c r="BB31" s="286" t="s">
        <v>177</v>
      </c>
      <c r="BC31" s="284">
        <f>IF(BC30=0,0,MAX(BC30,BC8,BE16))</f>
        <v>0</v>
      </c>
      <c r="BD31" s="284">
        <f>IF(BD30=0,0,MAX(BD30,BC8,BE16))</f>
        <v>0</v>
      </c>
      <c r="BE31" s="284">
        <f>IF(BE30=0,0,MAX(BE30,BC8,BE16))</f>
        <v>0</v>
      </c>
    </row>
    <row r="32" spans="2:57" s="62" customFormat="1" x14ac:dyDescent="0.3"/>
    <row r="33" spans="2:69" s="273" customFormat="1" ht="30" customHeight="1" x14ac:dyDescent="0.3">
      <c r="B33" s="285" t="s">
        <v>197</v>
      </c>
      <c r="C33" s="284" t="s">
        <v>173</v>
      </c>
      <c r="D33" s="284" t="s">
        <v>174</v>
      </c>
      <c r="E33" s="284" t="s">
        <v>175</v>
      </c>
      <c r="T33" s="285" t="s">
        <v>197</v>
      </c>
      <c r="U33" s="284" t="s">
        <v>173</v>
      </c>
      <c r="V33" s="284" t="s">
        <v>174</v>
      </c>
      <c r="W33" s="284" t="s">
        <v>175</v>
      </c>
      <c r="AK33" s="285" t="s">
        <v>197</v>
      </c>
      <c r="AL33" s="284" t="s">
        <v>173</v>
      </c>
      <c r="AM33" s="284" t="s">
        <v>174</v>
      </c>
      <c r="AN33" s="284" t="s">
        <v>175</v>
      </c>
      <c r="BB33" s="285" t="s">
        <v>197</v>
      </c>
      <c r="BC33" s="284" t="s">
        <v>173</v>
      </c>
      <c r="BD33" s="284" t="s">
        <v>174</v>
      </c>
      <c r="BE33" s="284" t="s">
        <v>175</v>
      </c>
    </row>
    <row r="34" spans="2:69" s="62" customFormat="1" x14ac:dyDescent="0.3">
      <c r="B34" s="62" t="s">
        <v>180</v>
      </c>
      <c r="C34" s="77">
        <f>MAX(D56:D57)</f>
        <v>0</v>
      </c>
      <c r="D34" s="77">
        <v>0</v>
      </c>
      <c r="E34" s="77">
        <v>0</v>
      </c>
      <c r="T34" s="62" t="s">
        <v>180</v>
      </c>
      <c r="U34" s="77">
        <f>MAX(V56:V57)</f>
        <v>0</v>
      </c>
      <c r="V34" s="77">
        <v>0</v>
      </c>
      <c r="W34" s="77">
        <v>0</v>
      </c>
      <c r="AK34" s="62" t="s">
        <v>180</v>
      </c>
      <c r="AL34" s="77">
        <f>MAX(AM56:AM57)</f>
        <v>0</v>
      </c>
      <c r="AM34" s="77">
        <v>0</v>
      </c>
      <c r="AN34" s="77">
        <v>0</v>
      </c>
      <c r="BB34" s="62" t="s">
        <v>180</v>
      </c>
      <c r="BC34" s="77">
        <f>MAX(BD56:BD57)</f>
        <v>0</v>
      </c>
      <c r="BD34" s="77">
        <v>0</v>
      </c>
      <c r="BE34" s="77">
        <v>0</v>
      </c>
    </row>
    <row r="35" spans="2:69" s="273" customFormat="1" x14ac:dyDescent="0.3">
      <c r="B35" s="273" t="s">
        <v>181</v>
      </c>
      <c r="C35" s="250">
        <f>IF(Sheet1!O6=0,INDEX(C42:Q43,2,C44+1),INDEX(C42:Q43,1,C44+1))</f>
        <v>1.3</v>
      </c>
      <c r="D35" s="250">
        <v>0</v>
      </c>
      <c r="E35" s="250">
        <v>0</v>
      </c>
      <c r="T35" s="273" t="s">
        <v>181</v>
      </c>
      <c r="U35" s="250">
        <f>IF(Sheet1!T6=0,INDEX(U42:AI43,2,U44+1),INDEX(U42:AI43,1,U44+1))</f>
        <v>1.3</v>
      </c>
      <c r="V35" s="250">
        <v>0</v>
      </c>
      <c r="W35" s="250">
        <v>0</v>
      </c>
      <c r="AK35" s="273" t="s">
        <v>181</v>
      </c>
      <c r="AL35" s="250">
        <f>IF(Sheet1!E6=0,INDEX(AL42:AZ43,2,AL44+1),INDEX(AL42:AZ43,1,AL44+1))</f>
        <v>1.3</v>
      </c>
      <c r="AM35" s="250">
        <v>0</v>
      </c>
      <c r="AN35" s="250">
        <v>0</v>
      </c>
      <c r="BB35" s="273" t="s">
        <v>181</v>
      </c>
      <c r="BC35" s="250">
        <f>IF(Sheet1!J6=0,INDEX(BC42:BQ43,2,BC44+1),INDEX(BC42:BQ43,1,BC44+1))</f>
        <v>1.3</v>
      </c>
      <c r="BD35" s="250">
        <v>0</v>
      </c>
      <c r="BE35" s="250">
        <v>0</v>
      </c>
    </row>
    <row r="36" spans="2:69" s="62" customFormat="1" x14ac:dyDescent="0.3">
      <c r="B36" s="62" t="s">
        <v>182</v>
      </c>
      <c r="C36" s="77">
        <f>IF(Sheet1!O6=0,1,MIN('Lane volumes'!E49,'Lane volumes'!E52))</f>
        <v>1</v>
      </c>
      <c r="D36" s="77">
        <f>IF(Sheet1!O6=0,1,E52)</f>
        <v>1</v>
      </c>
      <c r="E36" s="77">
        <v>1</v>
      </c>
      <c r="T36" s="62" t="s">
        <v>182</v>
      </c>
      <c r="U36" s="77">
        <f>IF(Sheet1!T6=0,1,MIN('Lane volumes'!W49,'Lane volumes'!W52))</f>
        <v>1</v>
      </c>
      <c r="V36" s="77">
        <f>IF(Sheet1!T6=0,1,W52)</f>
        <v>1</v>
      </c>
      <c r="W36" s="77">
        <v>1</v>
      </c>
      <c r="AK36" s="62" t="s">
        <v>182</v>
      </c>
      <c r="AL36" s="77">
        <f>IF(Sheet1!E6=0,1,MIN('Lane volumes'!AN49,'Lane volumes'!AN52))</f>
        <v>1</v>
      </c>
      <c r="AM36" s="77">
        <f>IF(Sheet1!E6=0,1,AN52)</f>
        <v>1</v>
      </c>
      <c r="AN36" s="77">
        <v>1</v>
      </c>
      <c r="BB36" s="62" t="s">
        <v>182</v>
      </c>
      <c r="BC36" s="77">
        <f>IF(Sheet1!J6=0,1,MIN('Lane volumes'!BE49,'Lane volumes'!BE52))</f>
        <v>1</v>
      </c>
      <c r="BD36" s="77">
        <f>IF(Sheet1!J6=0,1,BE52)</f>
        <v>1</v>
      </c>
      <c r="BE36" s="77">
        <v>1</v>
      </c>
    </row>
    <row r="37" spans="2:69" s="273" customFormat="1" x14ac:dyDescent="0.3">
      <c r="B37" s="273" t="s">
        <v>178</v>
      </c>
      <c r="C37" s="250">
        <f>IF(C36=1,0,C27/(C26*C36))</f>
        <v>0</v>
      </c>
      <c r="D37" s="250">
        <f>IF(D36=1,0,D27/(D26*D36))</f>
        <v>0</v>
      </c>
      <c r="E37" s="250">
        <f>IF(E36=1,0,E27/(E26*E36))</f>
        <v>0</v>
      </c>
      <c r="T37" s="273" t="s">
        <v>178</v>
      </c>
      <c r="U37" s="250">
        <f>IF(U36=1,0,U27/(U26*U36))</f>
        <v>0</v>
      </c>
      <c r="V37" s="250">
        <f>IF(V36=1,0,V27/(V26*V36))</f>
        <v>0</v>
      </c>
      <c r="W37" s="250">
        <f>IF(W36=1,0,W27/(W26*W36))</f>
        <v>0</v>
      </c>
      <c r="AK37" s="273" t="s">
        <v>178</v>
      </c>
      <c r="AL37" s="250">
        <f>IF(AL36=1,0,AL27/(AL26*AL36))</f>
        <v>0</v>
      </c>
      <c r="AM37" s="250">
        <f>IF(AM36=1,0,AM27/(AM26*AM36))</f>
        <v>0</v>
      </c>
      <c r="AN37" s="250">
        <f>IF(AN36=1,0,AN27/(AN26*AN36))</f>
        <v>0</v>
      </c>
      <c r="BB37" s="273" t="s">
        <v>178</v>
      </c>
      <c r="BC37" s="250">
        <f>IF(BC36=1,0,BC27/(BC26*BC36))</f>
        <v>0</v>
      </c>
      <c r="BD37" s="250">
        <f>IF(BD36=1,0,BD27/(BD26*BD36))</f>
        <v>0</v>
      </c>
      <c r="BE37" s="250">
        <f>IF(BE36=1,0,BE27/(BE26*BE36))</f>
        <v>0</v>
      </c>
    </row>
    <row r="38" spans="2:69" s="62" customFormat="1" ht="30" customHeight="1" x14ac:dyDescent="0.3">
      <c r="B38" s="281" t="s">
        <v>179</v>
      </c>
      <c r="C38" s="280">
        <f>IF(C37=0,0,MAX($C$8,C37))</f>
        <v>0</v>
      </c>
      <c r="D38" s="280">
        <f>IF(D37=0,0,MAX($C$8,D37))</f>
        <v>0</v>
      </c>
      <c r="E38" s="280">
        <f>IF(E37=0,0,MAX($C$8,E37))</f>
        <v>0</v>
      </c>
      <c r="T38" s="281" t="s">
        <v>179</v>
      </c>
      <c r="U38" s="280">
        <f>IF(U37=0,0,MAX($C$8,U37))</f>
        <v>0</v>
      </c>
      <c r="V38" s="280">
        <f>IF(V37=0,0,MAX($C$8,V37))</f>
        <v>0</v>
      </c>
      <c r="W38" s="280">
        <f>IF(W37=0,0,MAX($C$8,W37))</f>
        <v>0</v>
      </c>
      <c r="AK38" s="281" t="s">
        <v>179</v>
      </c>
      <c r="AL38" s="280">
        <f>IF(AL37=0,0,MAX($C$8,AL37))</f>
        <v>0</v>
      </c>
      <c r="AM38" s="280">
        <f>IF(AM37=0,0,MAX($C$8,AM37))</f>
        <v>0</v>
      </c>
      <c r="AN38" s="280">
        <f>IF(AN37=0,0,MAX($C$8,AN37))</f>
        <v>0</v>
      </c>
      <c r="BB38" s="281" t="s">
        <v>179</v>
      </c>
      <c r="BC38" s="280">
        <f>IF(BC37=0,0,MAX($C$8,BC37))</f>
        <v>0</v>
      </c>
      <c r="BD38" s="280">
        <f>IF(BD37=0,0,MAX($C$8,BD37))</f>
        <v>0</v>
      </c>
      <c r="BE38" s="280">
        <f>IF(BE37=0,0,MAX($C$8,BE37))</f>
        <v>0</v>
      </c>
    </row>
    <row r="39" spans="2:69" s="273" customFormat="1" x14ac:dyDescent="0.3"/>
    <row r="40" spans="2:69" s="62" customFormat="1" hidden="1" x14ac:dyDescent="0.3">
      <c r="C40" s="548" t="s">
        <v>184</v>
      </c>
      <c r="D40" s="548"/>
      <c r="E40" s="548"/>
      <c r="F40" s="548"/>
      <c r="G40" s="548"/>
      <c r="H40" s="548"/>
      <c r="I40" s="548"/>
      <c r="U40" s="548" t="s">
        <v>184</v>
      </c>
      <c r="V40" s="548"/>
      <c r="W40" s="548"/>
      <c r="X40" s="548"/>
      <c r="Y40" s="548"/>
      <c r="Z40" s="548"/>
      <c r="AA40" s="548"/>
      <c r="AL40" s="548" t="s">
        <v>184</v>
      </c>
      <c r="AM40" s="548"/>
      <c r="AN40" s="548"/>
      <c r="AO40" s="548"/>
      <c r="AP40" s="548"/>
      <c r="AQ40" s="548"/>
      <c r="AR40" s="548"/>
      <c r="BC40" s="548" t="s">
        <v>184</v>
      </c>
      <c r="BD40" s="548"/>
      <c r="BE40" s="548"/>
      <c r="BF40" s="548"/>
      <c r="BG40" s="548"/>
      <c r="BH40" s="548"/>
      <c r="BI40" s="548"/>
    </row>
    <row r="41" spans="2:69" s="62" customFormat="1" hidden="1" x14ac:dyDescent="0.3">
      <c r="B41" s="62" t="s">
        <v>185</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185</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185</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185</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x14ac:dyDescent="0.3">
      <c r="B42" s="62" t="s">
        <v>37</v>
      </c>
      <c r="C42" s="77">
        <v>1.4</v>
      </c>
      <c r="D42" s="77">
        <v>1.7</v>
      </c>
      <c r="E42" s="77">
        <v>2.1</v>
      </c>
      <c r="F42" s="77">
        <v>2.5</v>
      </c>
      <c r="G42" s="77">
        <v>3.1</v>
      </c>
      <c r="H42" s="77">
        <v>3.7</v>
      </c>
      <c r="I42" s="77">
        <v>4.5</v>
      </c>
      <c r="J42" s="77" t="e">
        <f>ROUND((1750/J44)-J46,2)</f>
        <v>#DIV/0!</v>
      </c>
      <c r="K42" s="77" t="e">
        <f t="shared" ref="K42:Q42" si="0">ROUND((1750/K44)-K46,2)</f>
        <v>#DIV/0!</v>
      </c>
      <c r="L42" s="77" t="e">
        <f t="shared" si="0"/>
        <v>#DIV/0!</v>
      </c>
      <c r="M42" s="77" t="e">
        <f t="shared" si="0"/>
        <v>#DIV/0!</v>
      </c>
      <c r="N42" s="77" t="e">
        <f t="shared" si="0"/>
        <v>#DIV/0!</v>
      </c>
      <c r="O42" s="77" t="e">
        <f t="shared" si="0"/>
        <v>#DIV/0!</v>
      </c>
      <c r="P42" s="77" t="e">
        <f t="shared" si="0"/>
        <v>#DIV/0!</v>
      </c>
      <c r="Q42" s="77" t="e">
        <f t="shared" si="0"/>
        <v>#DIV/0!</v>
      </c>
      <c r="T42" s="62" t="s">
        <v>37</v>
      </c>
      <c r="U42" s="77">
        <v>1.4</v>
      </c>
      <c r="V42" s="77">
        <v>1.7</v>
      </c>
      <c r="W42" s="77">
        <v>2.1</v>
      </c>
      <c r="X42" s="77">
        <v>2.5</v>
      </c>
      <c r="Y42" s="77">
        <v>3.1</v>
      </c>
      <c r="Z42" s="77">
        <v>3.7</v>
      </c>
      <c r="AA42" s="77">
        <v>4.5</v>
      </c>
      <c r="AB42" s="77" t="e">
        <f>ROUND((1750/AB44)-AB46,2)</f>
        <v>#DIV/0!</v>
      </c>
      <c r="AC42" s="77" t="e">
        <f t="shared" ref="AC42:AI42" si="1">ROUND((1750/AC44)-AC46,2)</f>
        <v>#DIV/0!</v>
      </c>
      <c r="AD42" s="77" t="e">
        <f t="shared" si="1"/>
        <v>#DIV/0!</v>
      </c>
      <c r="AE42" s="77" t="e">
        <f t="shared" si="1"/>
        <v>#DIV/0!</v>
      </c>
      <c r="AF42" s="77" t="e">
        <f t="shared" si="1"/>
        <v>#DIV/0!</v>
      </c>
      <c r="AG42" s="77" t="e">
        <f t="shared" si="1"/>
        <v>#DIV/0!</v>
      </c>
      <c r="AH42" s="77" t="e">
        <f t="shared" si="1"/>
        <v>#DIV/0!</v>
      </c>
      <c r="AI42" s="77" t="e">
        <f t="shared" si="1"/>
        <v>#DIV/0!</v>
      </c>
      <c r="AK42" s="62" t="s">
        <v>37</v>
      </c>
      <c r="AL42" s="77">
        <v>1.4</v>
      </c>
      <c r="AM42" s="77">
        <v>1.7</v>
      </c>
      <c r="AN42" s="77">
        <v>2.1</v>
      </c>
      <c r="AO42" s="77">
        <v>2.5</v>
      </c>
      <c r="AP42" s="77">
        <v>3.1</v>
      </c>
      <c r="AQ42" s="77">
        <v>3.7</v>
      </c>
      <c r="AR42" s="77">
        <v>4.5</v>
      </c>
      <c r="AS42" s="77" t="e">
        <f>ROUND((1750/AS44)-AS46,2)</f>
        <v>#DIV/0!</v>
      </c>
      <c r="AT42" s="77" t="e">
        <f t="shared" ref="AT42:AZ42" si="2">ROUND((1750/AT44)-AT46,2)</f>
        <v>#DIV/0!</v>
      </c>
      <c r="AU42" s="77" t="e">
        <f t="shared" si="2"/>
        <v>#DIV/0!</v>
      </c>
      <c r="AV42" s="77" t="e">
        <f t="shared" si="2"/>
        <v>#DIV/0!</v>
      </c>
      <c r="AW42" s="77" t="e">
        <f t="shared" si="2"/>
        <v>#DIV/0!</v>
      </c>
      <c r="AX42" s="77" t="e">
        <f t="shared" si="2"/>
        <v>#DIV/0!</v>
      </c>
      <c r="AY42" s="77" t="e">
        <f t="shared" si="2"/>
        <v>#DIV/0!</v>
      </c>
      <c r="AZ42" s="77" t="e">
        <f t="shared" si="2"/>
        <v>#DIV/0!</v>
      </c>
      <c r="BB42" s="62" t="s">
        <v>37</v>
      </c>
      <c r="BC42" s="77">
        <v>1.4</v>
      </c>
      <c r="BD42" s="77">
        <v>1.7</v>
      </c>
      <c r="BE42" s="77">
        <v>2.1</v>
      </c>
      <c r="BF42" s="77">
        <v>2.5</v>
      </c>
      <c r="BG42" s="77">
        <v>3.1</v>
      </c>
      <c r="BH42" s="77">
        <v>3.7</v>
      </c>
      <c r="BI42" s="77">
        <v>4.5</v>
      </c>
      <c r="BJ42" s="77" t="e">
        <f>ROUND((1750/BJ44)-BJ46,2)</f>
        <v>#DIV/0!</v>
      </c>
      <c r="BK42" s="77" t="e">
        <f t="shared" ref="BK42:BQ42" si="3">ROUND((1750/BK44)-BK46,2)</f>
        <v>#DIV/0!</v>
      </c>
      <c r="BL42" s="77" t="e">
        <f t="shared" si="3"/>
        <v>#DIV/0!</v>
      </c>
      <c r="BM42" s="77" t="e">
        <f t="shared" si="3"/>
        <v>#DIV/0!</v>
      </c>
      <c r="BN42" s="77" t="e">
        <f t="shared" si="3"/>
        <v>#DIV/0!</v>
      </c>
      <c r="BO42" s="77" t="e">
        <f t="shared" si="3"/>
        <v>#DIV/0!</v>
      </c>
      <c r="BP42" s="77" t="e">
        <f t="shared" si="3"/>
        <v>#DIV/0!</v>
      </c>
      <c r="BQ42" s="77" t="e">
        <f t="shared" si="3"/>
        <v>#DIV/0!</v>
      </c>
    </row>
    <row r="43" spans="2:69" s="62" customFormat="1" hidden="1" x14ac:dyDescent="0.3">
      <c r="B43" s="62" t="s">
        <v>183</v>
      </c>
      <c r="C43" s="77">
        <v>1.3</v>
      </c>
      <c r="D43" s="77">
        <v>1.6</v>
      </c>
      <c r="E43" s="77">
        <v>1.9</v>
      </c>
      <c r="F43" s="77">
        <v>2.2999999999999998</v>
      </c>
      <c r="G43" s="77">
        <v>2.8</v>
      </c>
      <c r="H43" s="77">
        <v>3.3</v>
      </c>
      <c r="I43" s="77">
        <v>4</v>
      </c>
      <c r="J43" s="77" t="e">
        <f>ROUND((1750/J44)-J46,2)</f>
        <v>#DIV/0!</v>
      </c>
      <c r="K43" s="77" t="e">
        <f t="shared" ref="K43:Q43" si="4">ROUND((1750/K44)-K46,2)</f>
        <v>#DIV/0!</v>
      </c>
      <c r="L43" s="77" t="e">
        <f t="shared" si="4"/>
        <v>#DIV/0!</v>
      </c>
      <c r="M43" s="77" t="e">
        <f t="shared" si="4"/>
        <v>#DIV/0!</v>
      </c>
      <c r="N43" s="77" t="e">
        <f t="shared" si="4"/>
        <v>#DIV/0!</v>
      </c>
      <c r="O43" s="77" t="e">
        <f t="shared" si="4"/>
        <v>#DIV/0!</v>
      </c>
      <c r="P43" s="77" t="e">
        <f t="shared" si="4"/>
        <v>#DIV/0!</v>
      </c>
      <c r="Q43" s="77" t="e">
        <f t="shared" si="4"/>
        <v>#DIV/0!</v>
      </c>
      <c r="T43" s="62" t="s">
        <v>183</v>
      </c>
      <c r="U43" s="77">
        <v>1.3</v>
      </c>
      <c r="V43" s="77">
        <v>1.6</v>
      </c>
      <c r="W43" s="77">
        <v>1.9</v>
      </c>
      <c r="X43" s="77">
        <v>2.2999999999999998</v>
      </c>
      <c r="Y43" s="77">
        <v>2.8</v>
      </c>
      <c r="Z43" s="77">
        <v>3.3</v>
      </c>
      <c r="AA43" s="77">
        <v>4</v>
      </c>
      <c r="AB43" s="77" t="e">
        <f t="shared" ref="AB43:AI43" si="5">ROUND((1750/AB44)-AB46,2)</f>
        <v>#DIV/0!</v>
      </c>
      <c r="AC43" s="77" t="e">
        <f t="shared" si="5"/>
        <v>#DIV/0!</v>
      </c>
      <c r="AD43" s="77" t="e">
        <f t="shared" si="5"/>
        <v>#DIV/0!</v>
      </c>
      <c r="AE43" s="77" t="e">
        <f t="shared" si="5"/>
        <v>#DIV/0!</v>
      </c>
      <c r="AF43" s="77" t="e">
        <f t="shared" si="5"/>
        <v>#DIV/0!</v>
      </c>
      <c r="AG43" s="77" t="e">
        <f t="shared" si="5"/>
        <v>#DIV/0!</v>
      </c>
      <c r="AH43" s="77" t="e">
        <f t="shared" si="5"/>
        <v>#DIV/0!</v>
      </c>
      <c r="AI43" s="77" t="e">
        <f t="shared" si="5"/>
        <v>#DIV/0!</v>
      </c>
      <c r="AK43" s="62" t="s">
        <v>183</v>
      </c>
      <c r="AL43" s="77">
        <v>1.3</v>
      </c>
      <c r="AM43" s="77">
        <v>1.6</v>
      </c>
      <c r="AN43" s="77">
        <v>1.9</v>
      </c>
      <c r="AO43" s="77">
        <v>2.2999999999999998</v>
      </c>
      <c r="AP43" s="77">
        <v>2.8</v>
      </c>
      <c r="AQ43" s="77">
        <v>3.3</v>
      </c>
      <c r="AR43" s="77">
        <v>4</v>
      </c>
      <c r="AS43" s="77" t="e">
        <f t="shared" ref="AS43:AZ43" si="6">ROUND((1750/AS44)-AS46,2)</f>
        <v>#DIV/0!</v>
      </c>
      <c r="AT43" s="77" t="e">
        <f t="shared" si="6"/>
        <v>#DIV/0!</v>
      </c>
      <c r="AU43" s="77" t="e">
        <f t="shared" si="6"/>
        <v>#DIV/0!</v>
      </c>
      <c r="AV43" s="77" t="e">
        <f t="shared" si="6"/>
        <v>#DIV/0!</v>
      </c>
      <c r="AW43" s="77" t="e">
        <f t="shared" si="6"/>
        <v>#DIV/0!</v>
      </c>
      <c r="AX43" s="77" t="e">
        <f t="shared" si="6"/>
        <v>#DIV/0!</v>
      </c>
      <c r="AY43" s="77" t="e">
        <f t="shared" si="6"/>
        <v>#DIV/0!</v>
      </c>
      <c r="AZ43" s="77" t="e">
        <f t="shared" si="6"/>
        <v>#DIV/0!</v>
      </c>
      <c r="BB43" s="62" t="s">
        <v>183</v>
      </c>
      <c r="BC43" s="77">
        <v>1.3</v>
      </c>
      <c r="BD43" s="77">
        <v>1.6</v>
      </c>
      <c r="BE43" s="77">
        <v>1.9</v>
      </c>
      <c r="BF43" s="77">
        <v>2.2999999999999998</v>
      </c>
      <c r="BG43" s="77">
        <v>2.8</v>
      </c>
      <c r="BH43" s="77">
        <v>3.3</v>
      </c>
      <c r="BI43" s="77">
        <v>4</v>
      </c>
      <c r="BJ43" s="77" t="e">
        <f t="shared" ref="BJ43:BQ43" si="7">ROUND((1750/BJ44)-BJ46,2)</f>
        <v>#DIV/0!</v>
      </c>
      <c r="BK43" s="77" t="e">
        <f t="shared" si="7"/>
        <v>#DIV/0!</v>
      </c>
      <c r="BL43" s="77" t="e">
        <f t="shared" si="7"/>
        <v>#DIV/0!</v>
      </c>
      <c r="BM43" s="77" t="e">
        <f t="shared" si="7"/>
        <v>#DIV/0!</v>
      </c>
      <c r="BN43" s="77" t="e">
        <f t="shared" si="7"/>
        <v>#DIV/0!</v>
      </c>
      <c r="BO43" s="77" t="e">
        <f t="shared" si="7"/>
        <v>#DIV/0!</v>
      </c>
      <c r="BP43" s="77" t="e">
        <f t="shared" si="7"/>
        <v>#DIV/0!</v>
      </c>
      <c r="BQ43" s="77" t="e">
        <f t="shared" si="7"/>
        <v>#DIV/0!</v>
      </c>
    </row>
    <row r="44" spans="2:69" s="62" customFormat="1" hidden="1" x14ac:dyDescent="0.3">
      <c r="C44" s="283">
        <f>IF(C12&gt;0,MATCH($C$12,$C$41:$Q$41),0)</f>
        <v>0</v>
      </c>
      <c r="I44" s="77" t="s">
        <v>186</v>
      </c>
      <c r="J44" s="77" t="e">
        <f>ROUND(($C$12*EXP(-1*$C$12*4.5/3600))/(1-EXP(-1*$C$12*J45)),0)</f>
        <v>#DIV/0!</v>
      </c>
      <c r="K44" s="77" t="e">
        <f t="shared" ref="K44:Q44" si="8">ROUND(($C$12*EXP(-1*$C$12*4.5/3600))/(1-EXP(-1*$C$12*K45)),0)</f>
        <v>#DIV/0!</v>
      </c>
      <c r="L44" s="77" t="e">
        <f t="shared" si="8"/>
        <v>#DIV/0!</v>
      </c>
      <c r="M44" s="77" t="e">
        <f t="shared" si="8"/>
        <v>#DIV/0!</v>
      </c>
      <c r="N44" s="77" t="e">
        <f t="shared" si="8"/>
        <v>#DIV/0!</v>
      </c>
      <c r="O44" s="77" t="e">
        <f t="shared" si="8"/>
        <v>#DIV/0!</v>
      </c>
      <c r="P44" s="77" t="e">
        <f t="shared" si="8"/>
        <v>#DIV/0!</v>
      </c>
      <c r="Q44" s="77" t="e">
        <f t="shared" si="8"/>
        <v>#DIV/0!</v>
      </c>
      <c r="U44" s="283">
        <f>IF(U12&gt;0,MATCH($U$12,$U$41:$AI$41),0)</f>
        <v>0</v>
      </c>
      <c r="AA44" s="77" t="s">
        <v>186</v>
      </c>
      <c r="AB44" s="77" t="e">
        <f>ROUND(($U$12*EXP(-1*$U$12*4.5/3600))/(1-EXP(-1*$U$12*AB45)),0)</f>
        <v>#DIV/0!</v>
      </c>
      <c r="AC44" s="77" t="e">
        <f t="shared" ref="AC44:AI44" si="9">ROUND(($U$12*EXP(-1*$U$12*4.5/3600))/(1-EXP(-1*$U$12*AC45)),0)</f>
        <v>#DIV/0!</v>
      </c>
      <c r="AD44" s="77" t="e">
        <f t="shared" si="9"/>
        <v>#DIV/0!</v>
      </c>
      <c r="AE44" s="77" t="e">
        <f t="shared" si="9"/>
        <v>#DIV/0!</v>
      </c>
      <c r="AF44" s="77" t="e">
        <f t="shared" si="9"/>
        <v>#DIV/0!</v>
      </c>
      <c r="AG44" s="77" t="e">
        <f t="shared" si="9"/>
        <v>#DIV/0!</v>
      </c>
      <c r="AH44" s="77" t="e">
        <f t="shared" si="9"/>
        <v>#DIV/0!</v>
      </c>
      <c r="AI44" s="77" t="e">
        <f t="shared" si="9"/>
        <v>#DIV/0!</v>
      </c>
      <c r="AL44" s="283">
        <f>IF(AL12&gt;0,MATCH($AL$12,$AL$41:$AZ$41),0)</f>
        <v>0</v>
      </c>
      <c r="AR44" s="77" t="s">
        <v>186</v>
      </c>
      <c r="AS44" s="77" t="e">
        <f>ROUND(($AL$12*EXP(-1*$AL$12*4.5/3600))/(1-EXP(-1*$AL$12*AS45)),0)</f>
        <v>#DIV/0!</v>
      </c>
      <c r="AT44" s="77" t="e">
        <f t="shared" ref="AT44:AZ44" si="10">ROUND(($AL$12*EXP(-1*$AL$12*4.5/3600))/(1-EXP(-1*$AL$12*AT45)),0)</f>
        <v>#DIV/0!</v>
      </c>
      <c r="AU44" s="77" t="e">
        <f t="shared" si="10"/>
        <v>#DIV/0!</v>
      </c>
      <c r="AV44" s="77" t="e">
        <f t="shared" si="10"/>
        <v>#DIV/0!</v>
      </c>
      <c r="AW44" s="77" t="e">
        <f t="shared" si="10"/>
        <v>#DIV/0!</v>
      </c>
      <c r="AX44" s="77" t="e">
        <f t="shared" si="10"/>
        <v>#DIV/0!</v>
      </c>
      <c r="AY44" s="77" t="e">
        <f t="shared" si="10"/>
        <v>#DIV/0!</v>
      </c>
      <c r="AZ44" s="77" t="e">
        <f t="shared" si="10"/>
        <v>#DIV/0!</v>
      </c>
      <c r="BC44" s="283">
        <f>IF(BC12&gt;0,MATCH($BC$12,$BC$41:$BQ$41),0)</f>
        <v>0</v>
      </c>
      <c r="BI44" s="77" t="s">
        <v>186</v>
      </c>
      <c r="BJ44" s="77" t="e">
        <f>ROUND(($BC$12*EXP(-1*$BC$12*4.5/3600))/(1-EXP(-1*$BC$12*BJ45)),0)</f>
        <v>#DIV/0!</v>
      </c>
      <c r="BK44" s="77" t="e">
        <f t="shared" ref="BK44:BP44" si="11">ROUND(($BC$12*EXP(-1*$BC$12*4.5/3600))/(1-EXP(-1*$BC$12*BK45)),0)</f>
        <v>#DIV/0!</v>
      </c>
      <c r="BL44" s="77" t="e">
        <f t="shared" si="11"/>
        <v>#DIV/0!</v>
      </c>
      <c r="BM44" s="77" t="e">
        <f t="shared" si="11"/>
        <v>#DIV/0!</v>
      </c>
      <c r="BN44" s="77" t="e">
        <f t="shared" si="11"/>
        <v>#DIV/0!</v>
      </c>
      <c r="BO44" s="77" t="e">
        <f t="shared" si="11"/>
        <v>#DIV/0!</v>
      </c>
      <c r="BP44" s="77" t="e">
        <f t="shared" si="11"/>
        <v>#DIV/0!</v>
      </c>
      <c r="BQ44" s="77" t="e">
        <f>ROUND(($BC$12*EXP(-1*$BC$12*4.5/3600))/(1-EXP(-1*$BC$12*BQ45)),0)</f>
        <v>#DIV/0!</v>
      </c>
    </row>
    <row r="45" spans="2:69" s="62" customFormat="1" hidden="1" x14ac:dyDescent="0.3">
      <c r="I45" s="77" t="s">
        <v>187</v>
      </c>
      <c r="J45" s="77">
        <f>IF(Sheet1!O6=0,2.5,4.5)</f>
        <v>2.5</v>
      </c>
      <c r="K45" s="77">
        <f>J45</f>
        <v>2.5</v>
      </c>
      <c r="L45" s="77">
        <f>J45</f>
        <v>2.5</v>
      </c>
      <c r="M45" s="77">
        <f>J45</f>
        <v>2.5</v>
      </c>
      <c r="N45" s="77">
        <f>J45</f>
        <v>2.5</v>
      </c>
      <c r="O45" s="77">
        <f>J45</f>
        <v>2.5</v>
      </c>
      <c r="P45" s="77">
        <f>J45</f>
        <v>2.5</v>
      </c>
      <c r="Q45" s="77">
        <f>J45</f>
        <v>2.5</v>
      </c>
      <c r="AA45" s="77" t="s">
        <v>187</v>
      </c>
      <c r="AB45" s="77">
        <f>IF(Sheet1!T6=0,2.5,4.5)</f>
        <v>2.5</v>
      </c>
      <c r="AC45" s="77">
        <f>AB45</f>
        <v>2.5</v>
      </c>
      <c r="AD45" s="77">
        <f>AB45</f>
        <v>2.5</v>
      </c>
      <c r="AE45" s="77">
        <f>AB45</f>
        <v>2.5</v>
      </c>
      <c r="AF45" s="77">
        <f>AB45</f>
        <v>2.5</v>
      </c>
      <c r="AG45" s="77">
        <f>AB45</f>
        <v>2.5</v>
      </c>
      <c r="AH45" s="77">
        <f>AB45</f>
        <v>2.5</v>
      </c>
      <c r="AI45" s="77">
        <f>AB45</f>
        <v>2.5</v>
      </c>
      <c r="AR45" s="77" t="s">
        <v>187</v>
      </c>
      <c r="AS45" s="77">
        <f>IF(Sheet1!E6=0,2.5,4.5)</f>
        <v>2.5</v>
      </c>
      <c r="AT45" s="77">
        <f>AS45</f>
        <v>2.5</v>
      </c>
      <c r="AU45" s="77">
        <f>AS45</f>
        <v>2.5</v>
      </c>
      <c r="AV45" s="77">
        <f>AS45</f>
        <v>2.5</v>
      </c>
      <c r="AW45" s="77">
        <f>AS45</f>
        <v>2.5</v>
      </c>
      <c r="AX45" s="77">
        <f>AS45</f>
        <v>2.5</v>
      </c>
      <c r="AY45" s="77">
        <f>AS45</f>
        <v>2.5</v>
      </c>
      <c r="AZ45" s="77">
        <f>AS45</f>
        <v>2.5</v>
      </c>
      <c r="BI45" s="77" t="s">
        <v>187</v>
      </c>
      <c r="BJ45" s="77">
        <f>IF(Sheet1!J6=0,2.5,4.5)</f>
        <v>2.5</v>
      </c>
      <c r="BK45" s="77">
        <f>BJ45</f>
        <v>2.5</v>
      </c>
      <c r="BL45" s="77">
        <f>BJ45</f>
        <v>2.5</v>
      </c>
      <c r="BM45" s="77">
        <f>BJ45</f>
        <v>2.5</v>
      </c>
      <c r="BN45" s="77">
        <f>BJ45</f>
        <v>2.5</v>
      </c>
      <c r="BO45" s="77">
        <f>BJ45</f>
        <v>2.5</v>
      </c>
      <c r="BP45" s="77">
        <f>BJ45</f>
        <v>2.5</v>
      </c>
      <c r="BQ45" s="77">
        <f>BJ45</f>
        <v>2.5</v>
      </c>
    </row>
    <row r="46" spans="2:69" s="62" customFormat="1" hidden="1" x14ac:dyDescent="0.3">
      <c r="I46" s="77" t="s">
        <v>188</v>
      </c>
      <c r="J46" s="77">
        <f>IF(Sheet1!O6=0,0,1)</f>
        <v>0</v>
      </c>
      <c r="K46" s="77">
        <f>J46</f>
        <v>0</v>
      </c>
      <c r="L46" s="77">
        <f>J46</f>
        <v>0</v>
      </c>
      <c r="M46" s="77">
        <f>J46</f>
        <v>0</v>
      </c>
      <c r="N46" s="77">
        <f>J46</f>
        <v>0</v>
      </c>
      <c r="O46" s="77">
        <f>J46</f>
        <v>0</v>
      </c>
      <c r="P46" s="77">
        <f>J46</f>
        <v>0</v>
      </c>
      <c r="Q46" s="77">
        <f>J46</f>
        <v>0</v>
      </c>
      <c r="AA46" s="77" t="s">
        <v>188</v>
      </c>
      <c r="AB46" s="77">
        <f>IF(Sheet1!T6=0,0,1)</f>
        <v>0</v>
      </c>
      <c r="AC46" s="77">
        <f>AB46</f>
        <v>0</v>
      </c>
      <c r="AD46" s="77">
        <f>AB46</f>
        <v>0</v>
      </c>
      <c r="AE46" s="77">
        <f>AB46</f>
        <v>0</v>
      </c>
      <c r="AF46" s="77">
        <f>AB46</f>
        <v>0</v>
      </c>
      <c r="AG46" s="77">
        <f>AB46</f>
        <v>0</v>
      </c>
      <c r="AH46" s="77">
        <f>AB46</f>
        <v>0</v>
      </c>
      <c r="AI46" s="77">
        <f>AB46</f>
        <v>0</v>
      </c>
      <c r="AR46" s="77" t="s">
        <v>188</v>
      </c>
      <c r="AS46" s="77">
        <f>IF(Sheet1!E6=0,0,1)</f>
        <v>0</v>
      </c>
      <c r="AT46" s="77">
        <f>AS46</f>
        <v>0</v>
      </c>
      <c r="AU46" s="77">
        <f>AS46</f>
        <v>0</v>
      </c>
      <c r="AV46" s="77">
        <f>AS46</f>
        <v>0</v>
      </c>
      <c r="AW46" s="77">
        <f>AS46</f>
        <v>0</v>
      </c>
      <c r="AX46" s="77">
        <f>AS46</f>
        <v>0</v>
      </c>
      <c r="AY46" s="77">
        <f>AS46</f>
        <v>0</v>
      </c>
      <c r="AZ46" s="77">
        <f>AS46</f>
        <v>0</v>
      </c>
      <c r="BI46" s="77" t="s">
        <v>188</v>
      </c>
      <c r="BJ46" s="77">
        <f>IF(Sheet1!J6=0,0,1)</f>
        <v>0</v>
      </c>
      <c r="BK46" s="77">
        <f>BJ46</f>
        <v>0</v>
      </c>
      <c r="BL46" s="77">
        <f>BJ46</f>
        <v>0</v>
      </c>
      <c r="BM46" s="77">
        <f>BJ46</f>
        <v>0</v>
      </c>
      <c r="BN46" s="77">
        <f>BJ46</f>
        <v>0</v>
      </c>
      <c r="BO46" s="77">
        <f>BJ46</f>
        <v>0</v>
      </c>
      <c r="BP46" s="77">
        <f>BJ46</f>
        <v>0</v>
      </c>
      <c r="BQ46" s="77">
        <f>BJ46</f>
        <v>0</v>
      </c>
    </row>
    <row r="47" spans="2:69" s="62" customFormat="1" hidden="1" x14ac:dyDescent="0.3"/>
    <row r="48" spans="2:69" s="62" customFormat="1" hidden="1" x14ac:dyDescent="0.3">
      <c r="B48" s="547" t="s">
        <v>192</v>
      </c>
      <c r="C48" s="62" t="s">
        <v>189</v>
      </c>
      <c r="D48" s="62">
        <f>IF(C13&gt;=2,((C26-1)+EXP(-1*C26*C11*C35/600))/C26,0)</f>
        <v>0</v>
      </c>
      <c r="T48" s="547" t="s">
        <v>192</v>
      </c>
      <c r="U48" s="62" t="s">
        <v>189</v>
      </c>
      <c r="V48" s="62">
        <f>IF(U13&gt;=2,((U26-1)+EXP(-1*U26*U11*U35/600))/U26,0)</f>
        <v>0</v>
      </c>
      <c r="AK48" s="547" t="s">
        <v>192</v>
      </c>
      <c r="AL48" s="62" t="s">
        <v>189</v>
      </c>
      <c r="AM48" s="62">
        <f>IF(AL13&gt;=2,((AL26-1)+EXP(-1*AL26*AL11*AL35/600))/AL26,0)</f>
        <v>0</v>
      </c>
      <c r="BB48" s="547" t="s">
        <v>192</v>
      </c>
      <c r="BC48" s="62" t="s">
        <v>189</v>
      </c>
      <c r="BD48" s="62">
        <f>IF(BC13&gt;=2,((BC26-1)+EXP(-1*BC26*BC11*BC35/600))/BC26,0)</f>
        <v>0</v>
      </c>
    </row>
    <row r="49" spans="2:57" s="62" customFormat="1" hidden="1" x14ac:dyDescent="0.3">
      <c r="B49" s="547"/>
      <c r="C49" s="62" t="s">
        <v>190</v>
      </c>
      <c r="D49" s="62">
        <f>IF(SUM(Sheet1!N5:P5)=1,EXP(-0.02*(C35+10*C34)*C11*0.0444),0)</f>
        <v>0</v>
      </c>
      <c r="E49" s="62" t="e">
        <f>IF('Phase designation'!B22=2,MAX('Lane volumes'!D48:D50),1)</f>
        <v>#DIV/0!</v>
      </c>
      <c r="T49" s="547"/>
      <c r="U49" s="62" t="s">
        <v>190</v>
      </c>
      <c r="V49" s="62">
        <f>IF(SUM(Sheet1!S5:U5)=1,EXP(-0.02*(U35+10*U34)*U11*0.0444),0)</f>
        <v>0</v>
      </c>
      <c r="W49" s="62">
        <f>IF('Phase designation'!T22=2,MAX('Lane volumes'!V48:V50),1)</f>
        <v>1</v>
      </c>
      <c r="AK49" s="547"/>
      <c r="AL49" s="62" t="s">
        <v>190</v>
      </c>
      <c r="AM49" s="62">
        <f>IF(SUM(Sheet1!D5:F5)=1,EXP(-0.02*(AL35+10*AL34)*AL11*0.0444),0)</f>
        <v>0</v>
      </c>
      <c r="AN49" s="62" t="e">
        <f>IF('Phase designation'!F22=2,MAX('Lane volumes'!AM48:AM50),1)</f>
        <v>#DIV/0!</v>
      </c>
      <c r="BB49" s="547"/>
      <c r="BC49" s="62" t="s">
        <v>190</v>
      </c>
      <c r="BD49" s="62">
        <f>IF(SUM(Sheet1!I5:K5)=1,EXP(-0.02*(BC35+10*BC34)*BC11*0.0444),0)</f>
        <v>0</v>
      </c>
      <c r="BE49" s="62" t="e">
        <f>IF('Phase designation'!H22=2,MAX('Lane volumes'!BD48:BD50),1)</f>
        <v>#DIV/0!</v>
      </c>
    </row>
    <row r="50" spans="2:57" s="62" customFormat="1" hidden="1" x14ac:dyDescent="0.3">
      <c r="B50" s="547"/>
      <c r="C50" s="62" t="s">
        <v>191</v>
      </c>
      <c r="D50" s="62" t="e">
        <f>((C26-1)+EXP(-1*C11*0.0444))/C26</f>
        <v>#DIV/0!</v>
      </c>
      <c r="T50" s="547"/>
      <c r="U50" s="62" t="s">
        <v>191</v>
      </c>
      <c r="V50" s="62" t="e">
        <f>((U26-1)+EXP(-1*U11*0.0444))/U26</f>
        <v>#DIV/0!</v>
      </c>
      <c r="AK50" s="547"/>
      <c r="AL50" s="62" t="s">
        <v>191</v>
      </c>
      <c r="AM50" s="62" t="e">
        <f>((AL26-1)+EXP(-1*AL11*0.0444))/AL26</f>
        <v>#DIV/0!</v>
      </c>
      <c r="BB50" s="547"/>
      <c r="BC50" s="62" t="s">
        <v>191</v>
      </c>
      <c r="BD50" s="62" t="e">
        <f>((BC26-1)+EXP(-1*BC11*0.0444))/BC26</f>
        <v>#DIV/0!</v>
      </c>
    </row>
    <row r="51" spans="2:57" s="62" customFormat="1" hidden="1" x14ac:dyDescent="0.3"/>
    <row r="52" spans="2:57" s="62" customFormat="1" hidden="1" x14ac:dyDescent="0.3">
      <c r="B52" s="547" t="s">
        <v>194</v>
      </c>
      <c r="C52" s="62" t="s">
        <v>195</v>
      </c>
      <c r="D52" s="62">
        <f>IF(C12&lt;1220,1/(1+(C34*(235+0.435*C12)/(1400-C12))),0)</f>
        <v>1</v>
      </c>
      <c r="E52" s="62">
        <f>IF('Phase designation'!B22=3,MAX('Lane volumes'!D52:D53),1)</f>
        <v>1</v>
      </c>
      <c r="T52" s="547" t="s">
        <v>194</v>
      </c>
      <c r="U52" s="62" t="s">
        <v>195</v>
      </c>
      <c r="V52" s="62">
        <f>IF(U12&lt;1220,1/(1+(U34*(235+0.435*U12)/(1400-U12))),0)</f>
        <v>1</v>
      </c>
      <c r="W52" s="62">
        <f>IF('Phase designation'!T22=3,MAX('Lane volumes'!V52:V53),1)</f>
        <v>1</v>
      </c>
      <c r="AK52" s="547" t="s">
        <v>194</v>
      </c>
      <c r="AL52" s="62" t="s">
        <v>195</v>
      </c>
      <c r="AM52" s="62">
        <f>IF(AL12&lt;1220,1/(1+(AL34*(235+0.435*AL12)/(1400-AL12))),0)</f>
        <v>1</v>
      </c>
      <c r="AN52" s="62">
        <f>IF('Phase designation'!F22=3,MAX('Lane volumes'!AM52:AM53),1)</f>
        <v>1</v>
      </c>
      <c r="BB52" s="547" t="s">
        <v>194</v>
      </c>
      <c r="BC52" s="62" t="s">
        <v>195</v>
      </c>
      <c r="BD52" s="62">
        <f>IF(BC12&lt;1220,1/(1+(BC34*(235+0.435*BC12)/(1400-BC12))),0)</f>
        <v>1</v>
      </c>
      <c r="BE52" s="62">
        <f>IF('Phase designation'!H22=3,MAX('Lane volumes'!BD52:BD53),1)</f>
        <v>1</v>
      </c>
    </row>
    <row r="53" spans="2:57" s="62" customFormat="1" hidden="1" x14ac:dyDescent="0.3">
      <c r="B53" s="547"/>
      <c r="C53" s="62" t="s">
        <v>196</v>
      </c>
      <c r="D53" s="62">
        <f>IF(C12&gt;=1220,1/(1+4.525*C34),0)</f>
        <v>0</v>
      </c>
      <c r="T53" s="547"/>
      <c r="U53" s="62" t="s">
        <v>196</v>
      </c>
      <c r="V53" s="62">
        <f>IF(U12&gt;=1220,1/(1+4.525*U34),0)</f>
        <v>0</v>
      </c>
      <c r="AK53" s="547"/>
      <c r="AL53" s="62" t="s">
        <v>196</v>
      </c>
      <c r="AM53" s="62">
        <f>IF(AL12&gt;=1220,1/(1+4.525*AL34),0)</f>
        <v>0</v>
      </c>
      <c r="BB53" s="547"/>
      <c r="BC53" s="62" t="s">
        <v>196</v>
      </c>
      <c r="BD53" s="62">
        <f>IF(BC12&gt;=1220,1/(1+4.525*BC34),0)</f>
        <v>0</v>
      </c>
    </row>
    <row r="54" spans="2:57" s="62" customFormat="1" hidden="1" x14ac:dyDescent="0.3"/>
    <row r="55" spans="2:57" s="62" customFormat="1" hidden="1" x14ac:dyDescent="0.3"/>
    <row r="56" spans="2:57" s="62" customFormat="1" hidden="1" x14ac:dyDescent="0.3">
      <c r="B56" s="321" t="s">
        <v>358</v>
      </c>
      <c r="C56" s="313">
        <f>IF(Sheet1!N4&gt;0,ROUND(Sheet1!N4/SUM(Sheet1!N4:P4),2),0)</f>
        <v>0</v>
      </c>
      <c r="D56" s="62">
        <f>IF(C13=0,0,1)</f>
        <v>0</v>
      </c>
      <c r="T56" s="321" t="s">
        <v>358</v>
      </c>
      <c r="U56" s="313">
        <f>IF(Sheet1!S4&gt;0,ROUND(Sheet1!S4/SUM(Sheet1!S4:U4),2),0)</f>
        <v>0</v>
      </c>
      <c r="V56" s="62">
        <f>IF(U13=0,U560,1)</f>
        <v>0</v>
      </c>
      <c r="AK56" s="321" t="s">
        <v>358</v>
      </c>
      <c r="AL56" s="313">
        <f>IF((Sheet1!D4+Sheet1!W4+Sheet1!Z4)&gt;0,ROUND((Sheet1!D4+Sheet1!W4+Sheet1!Z4)/SUM(Sheet1!D4:F4,Sheet1!W4:AB4),2),0)</f>
        <v>0</v>
      </c>
      <c r="AM56" s="62">
        <f>IF(AL13=0,AL560,1)</f>
        <v>0</v>
      </c>
      <c r="BB56" s="321" t="s">
        <v>358</v>
      </c>
      <c r="BC56" s="313">
        <f>IF((Sheet1!I4+Sheet1!AC4+Sheet1!AF4)&gt;0,ROUND((Sheet1!I4+Sheet1!AC4+Sheet1!AF4)/SUM(Sheet1!I4:K4,Sheet1!AC4:AE4,Sheet1!AF4:AH4),2),0)</f>
        <v>0</v>
      </c>
      <c r="BD56" s="62">
        <f>IF(BC13=0,BC560,1)</f>
        <v>0</v>
      </c>
    </row>
    <row r="57" spans="2:57" s="62" customFormat="1" hidden="1" x14ac:dyDescent="0.3">
      <c r="B57" s="321" t="s">
        <v>359</v>
      </c>
      <c r="C57" s="313">
        <f>IF(Sheet1!N4&gt;0,ROUND(Sheet1!N4/SUM(Sheet1!N4:P4),2),0)</f>
        <v>0</v>
      </c>
      <c r="D57" s="62">
        <f>IF(C13=0,C57,0)</f>
        <v>0</v>
      </c>
      <c r="T57" s="321" t="s">
        <v>359</v>
      </c>
      <c r="U57" s="313">
        <f>IF(Sheet1!S4&gt;0,ROUND(Sheet1!S4/SUM(Sheet1!S4:U4),2),0)</f>
        <v>0</v>
      </c>
      <c r="V57" s="62">
        <f>IF(U13=0,U57,0)</f>
        <v>0</v>
      </c>
      <c r="AK57" s="321" t="s">
        <v>359</v>
      </c>
      <c r="AL57" s="313">
        <f>IF((Sheet1!D4+Sheet1!W4+Sheet1!Z4)&gt;0,ROUND((Sheet1!D4+Sheet1!W4+Sheet1!Z4)/SUM(Sheet1!D4:F4,Sheet1!W4:AB4),2),0)</f>
        <v>0</v>
      </c>
      <c r="AM57" s="62">
        <f>IF(AL13=0,AL57,0)</f>
        <v>0</v>
      </c>
      <c r="BB57" s="321" t="s">
        <v>359</v>
      </c>
      <c r="BC57" s="313">
        <f>IF((Sheet1!I4+Sheet1!AC4+Sheet1!AF4)&gt;0,ROUND((Sheet1!I4+Sheet1!AC4+Sheet1!AF4)/SUM(Sheet1!I4:K4,Sheet1!AC4:AE4,Sheet1!AF4:AH4),2),0)</f>
        <v>0</v>
      </c>
      <c r="BD57" s="62">
        <f>IF(BC13=0,BC57,0)</f>
        <v>0</v>
      </c>
    </row>
    <row r="58" spans="2:57" s="62" customFormat="1" x14ac:dyDescent="0.3"/>
    <row r="59" spans="2:57" s="62" customFormat="1" x14ac:dyDescent="0.3"/>
    <row r="60" spans="2:57" s="62" customFormat="1" x14ac:dyDescent="0.3"/>
    <row r="61" spans="2:57" s="62" customFormat="1" x14ac:dyDescent="0.3"/>
    <row r="62" spans="2:57" s="62" customFormat="1" x14ac:dyDescent="0.3"/>
    <row r="63" spans="2:57" s="62" customFormat="1" x14ac:dyDescent="0.3"/>
    <row r="64" spans="2:57" s="62" customFormat="1" x14ac:dyDescent="0.3"/>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zoomScale="80" zoomScaleNormal="80" workbookViewId="0">
      <selection activeCell="C40" sqref="C40"/>
    </sheetView>
  </sheetViews>
  <sheetFormatPr defaultColWidth="9.109375" defaultRowHeight="14.4" x14ac:dyDescent="0.3"/>
  <cols>
    <col min="1" max="1" width="9.109375" style="3"/>
    <col min="2" max="2" width="31.109375" style="3" customWidth="1"/>
    <col min="3" max="4" width="15.109375" style="3" bestFit="1" customWidth="1"/>
    <col min="5" max="5" width="15.109375" style="236" bestFit="1" customWidth="1"/>
    <col min="6" max="7" width="15.109375" style="3" bestFit="1" customWidth="1"/>
    <col min="8" max="8" width="9.109375" style="236"/>
    <col min="9" max="10" width="9.109375" style="3"/>
    <col min="11" max="11" width="9.109375" style="236"/>
    <col min="12" max="13" width="9.109375" style="3"/>
    <col min="14" max="14" width="9.109375" style="236" customWidth="1"/>
    <col min="15" max="15" width="9.109375" style="3" hidden="1" customWidth="1"/>
    <col min="16" max="16" width="9.109375" style="282" hidden="1" customWidth="1"/>
    <col min="17" max="18" width="9.109375" style="3" hidden="1" customWidth="1"/>
    <col min="19" max="19" width="10.6640625" style="3" hidden="1" customWidth="1"/>
    <col min="20" max="20" width="9.5546875" style="3" hidden="1" customWidth="1"/>
    <col min="21" max="24" width="9.109375" style="3" hidden="1" customWidth="1"/>
    <col min="25" max="29" width="13.6640625" style="3" hidden="1" customWidth="1"/>
    <col min="30" max="30" width="10.6640625" style="3" hidden="1" customWidth="1"/>
    <col min="31" max="32" width="25.6640625" style="78" hidden="1" customWidth="1"/>
    <col min="33" max="34" width="9.109375" style="78" hidden="1" customWidth="1"/>
    <col min="35" max="35" width="17" style="78" hidden="1" customWidth="1"/>
    <col min="36" max="36" width="9.109375" style="78" hidden="1" customWidth="1"/>
    <col min="37" max="39" width="9.109375" style="77" hidden="1" customWidth="1"/>
    <col min="40" max="40" width="17" style="77" hidden="1" customWidth="1"/>
    <col min="41" max="44" width="9.109375" style="77" hidden="1" customWidth="1"/>
    <col min="45" max="45" width="16.33203125" style="77" hidden="1" customWidth="1"/>
    <col min="46" max="48" width="9.109375" style="77" hidden="1" customWidth="1"/>
    <col min="49" max="60" width="9.109375" style="3" hidden="1" customWidth="1"/>
    <col min="61" max="61" width="7.6640625" style="3" customWidth="1"/>
    <col min="62" max="62" width="8.33203125" style="3" customWidth="1"/>
    <col min="63" max="63" width="20.5546875" style="418" bestFit="1" customWidth="1"/>
    <col min="64" max="16384" width="9.109375" style="3"/>
  </cols>
  <sheetData>
    <row r="1" spans="2:76" x14ac:dyDescent="0.3">
      <c r="B1" s="541" t="s">
        <v>204</v>
      </c>
      <c r="C1" s="541"/>
      <c r="D1" s="541"/>
      <c r="E1" s="235"/>
      <c r="Q1" s="101"/>
      <c r="R1" s="101"/>
      <c r="S1" s="101"/>
      <c r="T1" s="101"/>
      <c r="U1" s="101"/>
      <c r="V1" s="101"/>
      <c r="Y1" s="520" t="s">
        <v>373</v>
      </c>
      <c r="Z1" s="520"/>
      <c r="AA1" s="520"/>
      <c r="AB1" s="520"/>
      <c r="AC1" s="520"/>
      <c r="BI1" s="471"/>
      <c r="BJ1" s="471"/>
      <c r="BK1" s="471"/>
      <c r="BL1" s="471"/>
      <c r="BM1" s="471"/>
      <c r="BN1" s="471"/>
      <c r="BO1" s="471"/>
      <c r="BP1" s="471"/>
      <c r="BQ1" s="471"/>
      <c r="BR1" s="471"/>
      <c r="BS1" s="471"/>
      <c r="BT1" s="471"/>
      <c r="BU1" s="471"/>
      <c r="BV1" s="471"/>
      <c r="BW1" s="471"/>
      <c r="BX1" s="471"/>
    </row>
    <row r="2" spans="2:76" x14ac:dyDescent="0.3">
      <c r="B2" s="247" t="s">
        <v>73</v>
      </c>
      <c r="C2" s="248" t="s">
        <v>13</v>
      </c>
      <c r="D2" s="249" t="s">
        <v>14</v>
      </c>
      <c r="E2" s="516" t="s">
        <v>15</v>
      </c>
      <c r="F2" s="248" t="s">
        <v>18</v>
      </c>
      <c r="G2" s="249" t="s">
        <v>19</v>
      </c>
      <c r="H2" s="516" t="s">
        <v>20</v>
      </c>
      <c r="I2" s="248" t="s">
        <v>3</v>
      </c>
      <c r="J2" s="249" t="s">
        <v>4</v>
      </c>
      <c r="K2" s="516" t="s">
        <v>5</v>
      </c>
      <c r="L2" s="249" t="s">
        <v>8</v>
      </c>
      <c r="M2" s="249" t="s">
        <v>9</v>
      </c>
      <c r="N2" s="315" t="s">
        <v>10</v>
      </c>
      <c r="O2" s="513"/>
      <c r="Q2" s="10"/>
      <c r="R2" s="112" t="s">
        <v>205</v>
      </c>
      <c r="S2" s="113">
        <f>'Input sheet'!V3</f>
        <v>1900</v>
      </c>
      <c r="T2" s="101"/>
      <c r="U2" s="10"/>
      <c r="V2" s="10"/>
      <c r="W2" s="5"/>
      <c r="X2" s="308"/>
      <c r="Y2" s="380" t="s">
        <v>372</v>
      </c>
      <c r="Z2" s="322" t="s">
        <v>360</v>
      </c>
      <c r="AA2" s="322" t="s">
        <v>361</v>
      </c>
      <c r="AB2" s="322" t="s">
        <v>362</v>
      </c>
      <c r="AC2" s="322" t="s">
        <v>363</v>
      </c>
      <c r="AD2" s="380" t="s">
        <v>372</v>
      </c>
      <c r="AE2" s="378" t="s">
        <v>381</v>
      </c>
      <c r="AF2" s="326" t="s">
        <v>382</v>
      </c>
      <c r="AH2" s="245" t="s">
        <v>381</v>
      </c>
      <c r="AI2" s="78" t="s">
        <v>385</v>
      </c>
      <c r="AJ2" s="78" t="s">
        <v>124</v>
      </c>
      <c r="AN2" s="77" t="s">
        <v>386</v>
      </c>
      <c r="AO2" s="77" t="s">
        <v>124</v>
      </c>
      <c r="AS2" s="77" t="s">
        <v>387</v>
      </c>
      <c r="AT2" s="77" t="s">
        <v>124</v>
      </c>
      <c r="BI2" s="471" t="s">
        <v>297</v>
      </c>
      <c r="BJ2" s="471" t="s">
        <v>469</v>
      </c>
      <c r="BK2" s="471"/>
      <c r="BL2" s="471" t="s">
        <v>528</v>
      </c>
      <c r="BM2" s="471" t="s">
        <v>529</v>
      </c>
      <c r="BN2" s="471" t="s">
        <v>530</v>
      </c>
      <c r="BO2" s="471" t="s">
        <v>531</v>
      </c>
      <c r="BP2" s="471" t="s">
        <v>532</v>
      </c>
      <c r="BQ2" s="471" t="s">
        <v>533</v>
      </c>
      <c r="BR2" s="471" t="s">
        <v>534</v>
      </c>
      <c r="BS2" s="471" t="s">
        <v>535</v>
      </c>
      <c r="BT2" s="471" t="s">
        <v>536</v>
      </c>
      <c r="BU2" s="471" t="s">
        <v>537</v>
      </c>
      <c r="BV2" s="471" t="s">
        <v>538</v>
      </c>
      <c r="BW2" s="471" t="s">
        <v>539</v>
      </c>
      <c r="BX2" s="471"/>
    </row>
    <row r="3" spans="2:76" x14ac:dyDescent="0.3">
      <c r="B3" s="87" t="s">
        <v>74</v>
      </c>
      <c r="C3" s="458">
        <f>IF(SUM(C6:E6=0),0,'Phase designation'!B3)</f>
        <v>0</v>
      </c>
      <c r="D3" s="459">
        <f>'Phase designation'!C3</f>
        <v>0</v>
      </c>
      <c r="E3" s="51">
        <f>IF(SUM('Phase designation'!B19:H19)&gt;2,0,Sheet1!P4)</f>
        <v>0</v>
      </c>
      <c r="F3" s="458">
        <f>IF(SUM(F6:H6=0),0,'Phase designation'!D3)</f>
        <v>0</v>
      </c>
      <c r="G3" s="459">
        <f>'Phase designation'!E3</f>
        <v>0</v>
      </c>
      <c r="H3" s="51">
        <f>IF(SUM('Phase designation'!B19:H19)&gt;2,0,Sheet1!U4)</f>
        <v>0</v>
      </c>
      <c r="I3" s="458">
        <f>IF(SUM(I6:K6)=0,0,'Phase designation'!F3)</f>
        <v>0</v>
      </c>
      <c r="J3" s="459">
        <f>'Phase designation'!G3</f>
        <v>0</v>
      </c>
      <c r="K3" s="51">
        <f>IF(SUM('Phase designation'!B19:H19)&gt;2,0,Sheet1!F4+Sheet1!Y4+Sheet1!AB4)</f>
        <v>0</v>
      </c>
      <c r="L3" s="459">
        <f>IF(SUM(L6:N6)=0,0,'Phase designation'!H3)</f>
        <v>0</v>
      </c>
      <c r="M3" s="459">
        <f>'Phase designation'!I3</f>
        <v>0</v>
      </c>
      <c r="N3" s="459">
        <f>IF(SUM('Phase designation'!B19:H19)&gt;2,0,Sheet1!K4+Sheet1!AE4+Sheet1!AH4)</f>
        <v>0</v>
      </c>
      <c r="O3" s="513">
        <f>SUM(C3:N3)</f>
        <v>0</v>
      </c>
      <c r="Q3" s="10"/>
      <c r="R3" s="112" t="s">
        <v>206</v>
      </c>
      <c r="S3" s="113">
        <f>'Input sheet'!V5</f>
        <v>7</v>
      </c>
      <c r="T3" s="10"/>
      <c r="U3" s="10"/>
      <c r="V3" s="10"/>
      <c r="W3" s="5"/>
      <c r="Y3" s="381" t="s">
        <v>364</v>
      </c>
      <c r="Z3" s="168" t="s">
        <v>83</v>
      </c>
      <c r="AA3" s="168" t="s">
        <v>83</v>
      </c>
      <c r="AB3" s="168" t="s">
        <v>83</v>
      </c>
      <c r="AC3" s="168" t="s">
        <v>83</v>
      </c>
      <c r="AD3" s="381" t="s">
        <v>364</v>
      </c>
      <c r="AE3" s="376" t="str">
        <f>Z3&amp;" "&amp;AA3</f>
        <v>Permitted Permitted</v>
      </c>
      <c r="AF3" s="377" t="str">
        <f>AB3&amp;" "&amp;AC3</f>
        <v>Permitted Permitted</v>
      </c>
      <c r="AI3" s="78" t="s">
        <v>372</v>
      </c>
      <c r="AJ3" s="78">
        <v>1</v>
      </c>
      <c r="AK3" s="77">
        <v>2</v>
      </c>
      <c r="AL3" s="77">
        <v>3</v>
      </c>
      <c r="AN3" s="77" t="s">
        <v>372</v>
      </c>
      <c r="AO3" s="77">
        <v>1</v>
      </c>
      <c r="AP3" s="77">
        <v>2</v>
      </c>
      <c r="AQ3" s="77">
        <v>3</v>
      </c>
      <c r="AS3" s="77" t="s">
        <v>372</v>
      </c>
      <c r="AT3" s="77">
        <v>1</v>
      </c>
      <c r="AU3" s="77">
        <v>2</v>
      </c>
      <c r="AV3" s="77">
        <v>3</v>
      </c>
      <c r="BI3" s="471">
        <f>MAX(F24,'Input sheet'!V8)</f>
        <v>40</v>
      </c>
      <c r="BJ3" s="471">
        <f>'Input sheet'!V9</f>
        <v>150</v>
      </c>
      <c r="BK3" s="471"/>
      <c r="BL3" s="472">
        <f>BI3</f>
        <v>40</v>
      </c>
      <c r="BM3" s="472">
        <f>IF(BI3+10&lt;=$BJ$3,BI3+10,0)</f>
        <v>50</v>
      </c>
      <c r="BN3" s="472">
        <f>IF(BM3=0,0,IF(BM3+10&lt;=$BJ$3,BM3+10,0))</f>
        <v>60</v>
      </c>
      <c r="BO3" s="472">
        <f t="shared" ref="BO3:BW3" si="0">IF(BN3=0,0,IF(BN3+10&lt;=$BJ$3,BN3+10,0))</f>
        <v>70</v>
      </c>
      <c r="BP3" s="472">
        <f t="shared" si="0"/>
        <v>80</v>
      </c>
      <c r="BQ3" s="472">
        <f t="shared" si="0"/>
        <v>90</v>
      </c>
      <c r="BR3" s="472">
        <f t="shared" si="0"/>
        <v>100</v>
      </c>
      <c r="BS3" s="472">
        <f t="shared" si="0"/>
        <v>110</v>
      </c>
      <c r="BT3" s="472">
        <f t="shared" si="0"/>
        <v>120</v>
      </c>
      <c r="BU3" s="472">
        <f t="shared" si="0"/>
        <v>130</v>
      </c>
      <c r="BV3" s="472">
        <f t="shared" si="0"/>
        <v>140</v>
      </c>
      <c r="BW3" s="472">
        <f t="shared" si="0"/>
        <v>150</v>
      </c>
      <c r="BX3" s="471"/>
    </row>
    <row r="4" spans="2:76" x14ac:dyDescent="0.3">
      <c r="B4" s="250" t="s">
        <v>122</v>
      </c>
      <c r="C4" s="314">
        <f>IFERROR(INDEX(UTDF_input!$A$49:$AC$49,1,MATCH(C2,UTDF_input!$A$26:$AC$26,0)),1)</f>
        <v>1</v>
      </c>
      <c r="D4" s="315">
        <f>IFERROR(INDEX(UTDF_input!$A$49:$AC$49,1,MATCH(D2,UTDF_input!$A$26:$AC$26,0)),1)</f>
        <v>1</v>
      </c>
      <c r="E4" s="516">
        <f>IFERROR(INDEX(UTDF_input!$A$49:$AC$49,1,MATCH(E2,UTDF_input!$A$26:$AC$26,0)),1)</f>
        <v>1</v>
      </c>
      <c r="F4" s="314">
        <f>IFERROR(INDEX(UTDF_input!$A$49:$AC$49,1,MATCH(F2,UTDF_input!$A$26:$AC$26,0)),1)</f>
        <v>1</v>
      </c>
      <c r="G4" s="315">
        <f>IFERROR(INDEX(UTDF_input!$A$49:$AC$49,1,MATCH(G2,UTDF_input!$A$26:$AC$26,0)),1)</f>
        <v>1</v>
      </c>
      <c r="H4" s="516">
        <f>IFERROR(INDEX(UTDF_input!$A$49:$AC$49,1,MATCH(H2,UTDF_input!$A$26:$AC$26,0)),1)</f>
        <v>1</v>
      </c>
      <c r="I4" s="314">
        <f>IFERROR(INDEX(UTDF_input!$A$49:$AC$49,1,MATCH(I2,UTDF_input!$A$26:$AC$26,0)),1)</f>
        <v>1</v>
      </c>
      <c r="J4" s="315">
        <f>IFERROR(INDEX(UTDF_input!$A$49:$AC$49,1,MATCH(J2,UTDF_input!$A$26:$AC$26,0)),1)</f>
        <v>1</v>
      </c>
      <c r="K4" s="516">
        <f>IFERROR(INDEX(UTDF_input!$A$49:$AC$49,1,MATCH(K2,UTDF_input!$A$26:$AC$26,0)),1)</f>
        <v>1</v>
      </c>
      <c r="L4" s="315">
        <f>IFERROR(INDEX(UTDF_input!$A$49:$AC$49,1,MATCH(L2,UTDF_input!$A$26:$AC$26,0)),1)</f>
        <v>1</v>
      </c>
      <c r="M4" s="315">
        <f>IFERROR(INDEX(UTDF_input!$A$49:$AC$49,1,MATCH(M2,UTDF_input!$A$26:$AC$26,0)),1)</f>
        <v>1</v>
      </c>
      <c r="N4" s="315">
        <f>IFERROR(INDEX(UTDF_input!$A$49:$AC$49,1,MATCH(N2,UTDF_input!$A$26:$AC$26,0)),1)</f>
        <v>1</v>
      </c>
      <c r="O4" s="513">
        <f>AVERAGE(C4:M4)</f>
        <v>1</v>
      </c>
      <c r="Q4" s="10"/>
      <c r="R4" s="114" t="s">
        <v>211</v>
      </c>
      <c r="S4" s="115">
        <f>100/(100+S3)</f>
        <v>0.93457943925233644</v>
      </c>
      <c r="T4" s="10"/>
      <c r="U4" s="10"/>
      <c r="V4" s="10"/>
      <c r="W4" s="17"/>
      <c r="Y4" s="381" t="s">
        <v>365</v>
      </c>
      <c r="Z4" s="168" t="s">
        <v>83</v>
      </c>
      <c r="AA4" s="168" t="s">
        <v>371</v>
      </c>
      <c r="AB4" s="168" t="s">
        <v>83</v>
      </c>
      <c r="AC4" s="168" t="s">
        <v>371</v>
      </c>
      <c r="AD4" s="381" t="s">
        <v>365</v>
      </c>
      <c r="AE4" s="376" t="str">
        <f t="shared" ref="AE4:AE10" si="1">Z4&amp;" "&amp;AA4</f>
        <v>Permitted Not opposed</v>
      </c>
      <c r="AF4" s="377" t="str">
        <f t="shared" ref="AF4:AF10" si="2">AB4&amp;" "&amp;AC4</f>
        <v>Permitted Not opposed</v>
      </c>
      <c r="AI4" s="78" t="s">
        <v>364</v>
      </c>
      <c r="AJ4" s="78">
        <v>4</v>
      </c>
      <c r="AN4" s="77" t="s">
        <v>364</v>
      </c>
      <c r="AO4" s="328" t="s">
        <v>388</v>
      </c>
      <c r="AP4" s="328"/>
      <c r="AQ4" s="328"/>
      <c r="AS4" s="77" t="s">
        <v>364</v>
      </c>
      <c r="AT4" s="77">
        <f>MAX(D16,G16,F16)</f>
        <v>0</v>
      </c>
      <c r="BI4" s="471"/>
      <c r="BJ4" s="471"/>
      <c r="BK4" s="471"/>
      <c r="BL4" s="471" t="s">
        <v>540</v>
      </c>
      <c r="BM4" s="471" t="s">
        <v>541</v>
      </c>
      <c r="BN4" s="471" t="s">
        <v>542</v>
      </c>
      <c r="BO4" s="471" t="s">
        <v>543</v>
      </c>
      <c r="BP4" s="471" t="s">
        <v>544</v>
      </c>
      <c r="BQ4" s="471" t="s">
        <v>545</v>
      </c>
      <c r="BR4" s="471" t="s">
        <v>546</v>
      </c>
      <c r="BS4" s="471" t="s">
        <v>547</v>
      </c>
      <c r="BT4" s="471" t="s">
        <v>548</v>
      </c>
      <c r="BU4" s="471" t="s">
        <v>549</v>
      </c>
      <c r="BV4" s="471" t="s">
        <v>550</v>
      </c>
      <c r="BW4" s="471"/>
      <c r="BX4" s="471"/>
    </row>
    <row r="5" spans="2:76" x14ac:dyDescent="0.3">
      <c r="B5" s="313" t="s">
        <v>123</v>
      </c>
      <c r="C5" s="512">
        <f>IFERROR(ROUND(C3/C4,0),0)</f>
        <v>0</v>
      </c>
      <c r="D5" s="513">
        <f t="shared" ref="D5:N5" si="3">IFERROR(ROUND(D3/D4,0),0)</f>
        <v>0</v>
      </c>
      <c r="E5" s="514">
        <f t="shared" si="3"/>
        <v>0</v>
      </c>
      <c r="F5" s="512">
        <f t="shared" si="3"/>
        <v>0</v>
      </c>
      <c r="G5" s="513">
        <f t="shared" si="3"/>
        <v>0</v>
      </c>
      <c r="H5" s="514">
        <f t="shared" si="3"/>
        <v>0</v>
      </c>
      <c r="I5" s="512">
        <f t="shared" si="3"/>
        <v>0</v>
      </c>
      <c r="J5" s="513">
        <f t="shared" si="3"/>
        <v>0</v>
      </c>
      <c r="K5" s="514">
        <f t="shared" si="3"/>
        <v>0</v>
      </c>
      <c r="L5" s="513">
        <f t="shared" si="3"/>
        <v>0</v>
      </c>
      <c r="M5" s="513">
        <f t="shared" si="3"/>
        <v>0</v>
      </c>
      <c r="N5" s="513">
        <f t="shared" si="3"/>
        <v>0</v>
      </c>
      <c r="O5" s="513"/>
      <c r="Q5" s="10"/>
      <c r="R5" s="10"/>
      <c r="S5" s="101" t="s">
        <v>209</v>
      </c>
      <c r="T5" s="10"/>
      <c r="U5" s="10"/>
      <c r="V5" s="10"/>
      <c r="W5" s="5"/>
      <c r="Y5" s="381" t="s">
        <v>366</v>
      </c>
      <c r="Z5" s="168" t="s">
        <v>371</v>
      </c>
      <c r="AA5" s="168" t="s">
        <v>83</v>
      </c>
      <c r="AB5" s="168" t="s">
        <v>371</v>
      </c>
      <c r="AC5" s="168" t="s">
        <v>83</v>
      </c>
      <c r="AD5" s="381" t="s">
        <v>366</v>
      </c>
      <c r="AE5" s="376" t="str">
        <f t="shared" si="1"/>
        <v>Not opposed Permitted</v>
      </c>
      <c r="AF5" s="377" t="str">
        <f t="shared" si="2"/>
        <v>Not opposed Permitted</v>
      </c>
      <c r="AI5" s="78" t="s">
        <v>365</v>
      </c>
      <c r="AJ5" s="78">
        <v>4</v>
      </c>
      <c r="AN5" s="77" t="s">
        <v>365</v>
      </c>
      <c r="AO5" s="328" t="s">
        <v>388</v>
      </c>
      <c r="AP5" s="328"/>
      <c r="AQ5" s="328"/>
      <c r="AS5" s="77" t="s">
        <v>365</v>
      </c>
      <c r="AT5" s="313">
        <f>MAX(D16,G16,F16)</f>
        <v>0</v>
      </c>
      <c r="BI5" s="471"/>
      <c r="BJ5" s="471"/>
      <c r="BK5" s="471"/>
      <c r="BL5" s="471">
        <v>110.55</v>
      </c>
      <c r="BM5" s="471">
        <v>60.13</v>
      </c>
      <c r="BN5" s="471">
        <v>51.08</v>
      </c>
      <c r="BO5" s="471">
        <v>49.77</v>
      </c>
      <c r="BP5" s="471">
        <v>52.52</v>
      </c>
      <c r="BQ5" s="471">
        <v>57.85</v>
      </c>
      <c r="BR5" s="471">
        <v>65.5</v>
      </c>
      <c r="BS5" s="471">
        <v>73.03</v>
      </c>
      <c r="BT5" s="471">
        <v>80.790000000000006</v>
      </c>
      <c r="BU5" s="471">
        <v>88.21</v>
      </c>
      <c r="BV5" s="471">
        <v>0</v>
      </c>
      <c r="BW5" s="471">
        <v>0</v>
      </c>
      <c r="BX5" s="471"/>
    </row>
    <row r="6" spans="2:76" ht="15" customHeight="1" x14ac:dyDescent="0.3">
      <c r="B6" s="250" t="s">
        <v>127</v>
      </c>
      <c r="C6" s="314">
        <f>'Phase designation'!B6</f>
        <v>0</v>
      </c>
      <c r="D6" s="315">
        <f>'Phase designation'!C6</f>
        <v>0</v>
      </c>
      <c r="E6" s="516">
        <f>IF(SUM('Phase designation'!B19:H19)&gt;2,0,'Summary sheet'!T13)</f>
        <v>0</v>
      </c>
      <c r="F6" s="314">
        <f>'Phase designation'!D6</f>
        <v>0</v>
      </c>
      <c r="G6" s="315">
        <f>'Phase designation'!E6</f>
        <v>0</v>
      </c>
      <c r="H6" s="516">
        <f>IF(SUM('Phase designation'!B19:H19)&gt;2,0,'Summary sheet'!Z9)</f>
        <v>0</v>
      </c>
      <c r="I6" s="314">
        <f>'Phase designation'!F6</f>
        <v>0</v>
      </c>
      <c r="J6" s="315">
        <f>'Phase designation'!G6</f>
        <v>0</v>
      </c>
      <c r="K6" s="516">
        <f>IF(SUM('Phase designation'!B19:H19)&gt;2,0,'Summary sheet'!X17)</f>
        <v>0</v>
      </c>
      <c r="L6" s="315">
        <f>'Phase designation'!H6</f>
        <v>0</v>
      </c>
      <c r="M6" s="315">
        <f>'Phase designation'!I6</f>
        <v>0</v>
      </c>
      <c r="N6" s="315">
        <f>IF(SUM('Phase designation'!B19:H19)&gt;2,0,'Summary sheet'!V4)</f>
        <v>0</v>
      </c>
      <c r="O6" s="513"/>
      <c r="Q6" s="10"/>
      <c r="R6" s="557" t="s">
        <v>207</v>
      </c>
      <c r="S6" s="101">
        <v>1</v>
      </c>
      <c r="T6" s="101">
        <v>1</v>
      </c>
      <c r="U6" s="10"/>
      <c r="V6" s="10"/>
      <c r="W6" s="5"/>
      <c r="Y6" s="381" t="s">
        <v>367</v>
      </c>
      <c r="Z6" s="168" t="s">
        <v>83</v>
      </c>
      <c r="AA6" s="168" t="s">
        <v>82</v>
      </c>
      <c r="AB6" s="168" t="s">
        <v>83</v>
      </c>
      <c r="AC6" s="168" t="s">
        <v>82</v>
      </c>
      <c r="AD6" s="381" t="s">
        <v>367</v>
      </c>
      <c r="AE6" s="376" t="str">
        <f t="shared" si="1"/>
        <v>Permitted Protected</v>
      </c>
      <c r="AF6" s="377" t="str">
        <f t="shared" si="2"/>
        <v>Permitted Protected</v>
      </c>
      <c r="AI6" s="78" t="s">
        <v>366</v>
      </c>
      <c r="AJ6" s="78">
        <v>4</v>
      </c>
      <c r="AN6" s="77" t="s">
        <v>366</v>
      </c>
      <c r="AO6" s="328" t="s">
        <v>388</v>
      </c>
      <c r="AP6" s="328"/>
      <c r="AQ6" s="328"/>
      <c r="AS6" s="77" t="s">
        <v>366</v>
      </c>
      <c r="AT6" s="313">
        <f>MAX(D16,G16,F16)</f>
        <v>0</v>
      </c>
      <c r="BI6" s="471"/>
      <c r="BJ6" s="471"/>
      <c r="BK6" s="471"/>
      <c r="BL6" s="472">
        <f>IF(BL5=0,"",BL5)</f>
        <v>110.55</v>
      </c>
      <c r="BM6" s="472">
        <f>IF(BM5=0,"",BM5)</f>
        <v>60.13</v>
      </c>
      <c r="BN6" s="472">
        <f t="shared" ref="BN6:BW6" si="4">IF(BN5=0,"",BN5)</f>
        <v>51.08</v>
      </c>
      <c r="BO6" s="472">
        <f t="shared" si="4"/>
        <v>49.77</v>
      </c>
      <c r="BP6" s="472">
        <f t="shared" si="4"/>
        <v>52.52</v>
      </c>
      <c r="BQ6" s="472">
        <f t="shared" si="4"/>
        <v>57.85</v>
      </c>
      <c r="BR6" s="472">
        <f t="shared" si="4"/>
        <v>65.5</v>
      </c>
      <c r="BS6" s="472">
        <f t="shared" si="4"/>
        <v>73.03</v>
      </c>
      <c r="BT6" s="472">
        <f t="shared" si="4"/>
        <v>80.790000000000006</v>
      </c>
      <c r="BU6" s="472">
        <f t="shared" si="4"/>
        <v>88.21</v>
      </c>
      <c r="BV6" s="472" t="str">
        <f t="shared" si="4"/>
        <v/>
      </c>
      <c r="BW6" s="472" t="str">
        <f t="shared" si="4"/>
        <v/>
      </c>
      <c r="BX6" s="471"/>
    </row>
    <row r="7" spans="2:76" s="69" customFormat="1" hidden="1" x14ac:dyDescent="0.3">
      <c r="B7" s="313" t="s">
        <v>131</v>
      </c>
      <c r="C7" s="512">
        <f>IF(C6&gt;0,ROUND(C5/C6,0),0)</f>
        <v>0</v>
      </c>
      <c r="D7" s="513">
        <f t="shared" ref="D7:M7" si="5">IF(D6&gt;0,ROUND(D5/D6,0),0)</f>
        <v>0</v>
      </c>
      <c r="E7" s="514"/>
      <c r="F7" s="512">
        <f t="shared" si="5"/>
        <v>0</v>
      </c>
      <c r="G7" s="513">
        <f t="shared" si="5"/>
        <v>0</v>
      </c>
      <c r="H7" s="514"/>
      <c r="I7" s="512">
        <f t="shared" si="5"/>
        <v>0</v>
      </c>
      <c r="J7" s="513">
        <f t="shared" si="5"/>
        <v>0</v>
      </c>
      <c r="K7" s="514"/>
      <c r="L7" s="513">
        <f t="shared" si="5"/>
        <v>0</v>
      </c>
      <c r="M7" s="513">
        <f t="shared" si="5"/>
        <v>0</v>
      </c>
      <c r="N7" s="513"/>
      <c r="O7" s="513"/>
      <c r="P7" s="282"/>
      <c r="Q7" s="102"/>
      <c r="R7" s="557"/>
      <c r="S7" s="101">
        <v>2</v>
      </c>
      <c r="T7" s="101">
        <v>0.95199999999999996</v>
      </c>
      <c r="U7" s="10"/>
      <c r="V7" s="103"/>
      <c r="W7" s="5"/>
      <c r="Y7" s="381" t="s">
        <v>368</v>
      </c>
      <c r="Z7" s="168" t="s">
        <v>82</v>
      </c>
      <c r="AA7" s="168" t="s">
        <v>83</v>
      </c>
      <c r="AB7" s="168" t="s">
        <v>82</v>
      </c>
      <c r="AC7" s="168" t="s">
        <v>83</v>
      </c>
      <c r="AD7" s="381" t="s">
        <v>368</v>
      </c>
      <c r="AE7" s="376" t="str">
        <f t="shared" si="1"/>
        <v>Protected Permitted</v>
      </c>
      <c r="AF7" s="377" t="str">
        <f t="shared" si="2"/>
        <v>Protected Permitted</v>
      </c>
      <c r="AG7" s="78"/>
      <c r="AH7" s="78"/>
      <c r="AI7" s="78" t="s">
        <v>367</v>
      </c>
      <c r="AJ7" s="78">
        <v>4</v>
      </c>
      <c r="AK7" s="77">
        <v>4</v>
      </c>
      <c r="AL7" s="77"/>
      <c r="AM7" s="77"/>
      <c r="AN7" s="77" t="s">
        <v>367</v>
      </c>
      <c r="AO7" s="328" t="s">
        <v>389</v>
      </c>
      <c r="AP7" s="328" t="s">
        <v>388</v>
      </c>
      <c r="AQ7" s="328"/>
      <c r="AR7" s="77"/>
      <c r="AS7" s="77" t="s">
        <v>367</v>
      </c>
      <c r="AT7" s="77">
        <f>F16</f>
        <v>0</v>
      </c>
      <c r="AU7" s="77">
        <f>MAX(G16-F16,D16)</f>
        <v>0</v>
      </c>
      <c r="AV7" s="77"/>
      <c r="BI7" s="471"/>
      <c r="BJ7" s="471"/>
      <c r="BK7" s="471"/>
      <c r="BL7" s="471"/>
      <c r="BM7" s="471"/>
      <c r="BN7" s="471"/>
      <c r="BO7" s="471"/>
      <c r="BP7" s="471"/>
      <c r="BQ7" s="471"/>
      <c r="BR7" s="471"/>
      <c r="BS7" s="471"/>
      <c r="BT7" s="471"/>
      <c r="BU7" s="471"/>
      <c r="BV7" s="471"/>
      <c r="BW7" s="471"/>
      <c r="BX7" s="471"/>
    </row>
    <row r="8" spans="2:76" s="236" customFormat="1" x14ac:dyDescent="0.3">
      <c r="B8" s="313" t="s">
        <v>325</v>
      </c>
      <c r="C8" s="512"/>
      <c r="D8" s="513"/>
      <c r="E8" s="514">
        <f>ROUND('Input sheet'!G17/100*E5,0)</f>
        <v>0</v>
      </c>
      <c r="F8" s="512"/>
      <c r="G8" s="513"/>
      <c r="H8" s="514">
        <f>ROUND('Input sheet'!N11/100*H5,0)</f>
        <v>0</v>
      </c>
      <c r="I8" s="512"/>
      <c r="J8" s="513"/>
      <c r="K8" s="514">
        <f>ROUND('Input sheet'!L22/100*K5,0)</f>
        <v>0</v>
      </c>
      <c r="L8" s="513"/>
      <c r="M8" s="513"/>
      <c r="N8" s="513">
        <f>ROUND('Input sheet'!H7/100*N5,0)</f>
        <v>0</v>
      </c>
      <c r="O8" s="513"/>
      <c r="P8" s="282"/>
      <c r="Q8" s="102"/>
      <c r="R8" s="557"/>
      <c r="S8" s="101"/>
      <c r="T8" s="101"/>
      <c r="U8" s="10"/>
      <c r="V8" s="103"/>
      <c r="W8" s="5"/>
      <c r="Y8" s="381" t="s">
        <v>369</v>
      </c>
      <c r="Z8" s="168" t="s">
        <v>378</v>
      </c>
      <c r="AA8" s="168" t="s">
        <v>82</v>
      </c>
      <c r="AB8" s="168" t="s">
        <v>378</v>
      </c>
      <c r="AC8" s="168" t="s">
        <v>82</v>
      </c>
      <c r="AD8" s="381" t="s">
        <v>369</v>
      </c>
      <c r="AE8" s="376" t="str">
        <f t="shared" si="1"/>
        <v>ProtectedA Protected</v>
      </c>
      <c r="AF8" s="377" t="str">
        <f t="shared" si="2"/>
        <v>ProtectedA Protected</v>
      </c>
      <c r="AG8" s="78"/>
      <c r="AH8" s="78"/>
      <c r="AI8" s="78" t="s">
        <v>368</v>
      </c>
      <c r="AJ8" s="78">
        <v>4</v>
      </c>
      <c r="AK8" s="77">
        <v>4</v>
      </c>
      <c r="AL8" s="77"/>
      <c r="AM8" s="77"/>
      <c r="AN8" s="77" t="s">
        <v>368</v>
      </c>
      <c r="AO8" s="328" t="s">
        <v>390</v>
      </c>
      <c r="AP8" s="328" t="s">
        <v>388</v>
      </c>
      <c r="AQ8" s="328"/>
      <c r="AR8" s="77"/>
      <c r="AS8" s="77" t="s">
        <v>368</v>
      </c>
      <c r="AT8" s="77">
        <f>C16</f>
        <v>0</v>
      </c>
      <c r="AU8" s="77">
        <f>MAX(D16-C16,G16)</f>
        <v>0</v>
      </c>
      <c r="AV8" s="77"/>
      <c r="BI8" s="471"/>
      <c r="BJ8" s="471"/>
      <c r="BK8" s="471"/>
      <c r="BL8" s="471"/>
      <c r="BM8" s="471"/>
      <c r="BN8" s="471"/>
      <c r="BO8" s="471"/>
      <c r="BP8" s="471"/>
      <c r="BQ8" s="471"/>
      <c r="BR8" s="471"/>
      <c r="BS8" s="471"/>
      <c r="BT8" s="471"/>
      <c r="BU8" s="471"/>
      <c r="BV8" s="471"/>
      <c r="BW8" s="471"/>
      <c r="BX8" s="471"/>
    </row>
    <row r="9" spans="2:76" s="236" customFormat="1" x14ac:dyDescent="0.3">
      <c r="B9" s="250" t="s">
        <v>326</v>
      </c>
      <c r="C9" s="314">
        <f>C5</f>
        <v>0</v>
      </c>
      <c r="D9" s="315">
        <f>IF(AND(E3&gt;0,E6=0),D5+E5,D5)</f>
        <v>0</v>
      </c>
      <c r="E9" s="516">
        <f>IF(AND(E3&gt;0,E6=0),0,E5-E8)</f>
        <v>0</v>
      </c>
      <c r="F9" s="314">
        <f>F5</f>
        <v>0</v>
      </c>
      <c r="G9" s="315">
        <f>IF(AND(H3&gt;0,H6=0),G5+H5,G5)</f>
        <v>0</v>
      </c>
      <c r="H9" s="516">
        <f>IF(AND(H3&gt;0,H6=0),0,H5-H8)</f>
        <v>0</v>
      </c>
      <c r="I9" s="314">
        <f>I5</f>
        <v>0</v>
      </c>
      <c r="J9" s="315">
        <f>IF(AND(K3&gt;0,K6=0),J5+K5,J5)</f>
        <v>0</v>
      </c>
      <c r="K9" s="516">
        <f>IF(AND(K3&gt;0,K6=0),0,K5-K8)</f>
        <v>0</v>
      </c>
      <c r="L9" s="315">
        <f>L5</f>
        <v>0</v>
      </c>
      <c r="M9" s="315">
        <f>IF(AND(N3&gt;0,N6=0),M5+N5,M5)</f>
        <v>0</v>
      </c>
      <c r="N9" s="315">
        <f>IF(AND(N3&gt;0,N6=0),0,N5-N8)</f>
        <v>0</v>
      </c>
      <c r="O9" s="513">
        <f>SUM(C9:N9)</f>
        <v>0</v>
      </c>
      <c r="P9" s="282"/>
      <c r="Q9" s="102"/>
      <c r="R9" s="557"/>
      <c r="S9" s="101"/>
      <c r="T9" s="101"/>
      <c r="U9" s="10"/>
      <c r="V9" s="103"/>
      <c r="W9" s="5"/>
      <c r="Y9" s="381" t="s">
        <v>370</v>
      </c>
      <c r="Z9" s="168" t="s">
        <v>82</v>
      </c>
      <c r="AA9" s="168" t="s">
        <v>378</v>
      </c>
      <c r="AB9" s="168" t="s">
        <v>82</v>
      </c>
      <c r="AC9" s="168" t="s">
        <v>378</v>
      </c>
      <c r="AD9" s="381" t="s">
        <v>370</v>
      </c>
      <c r="AE9" s="376" t="str">
        <f t="shared" si="1"/>
        <v>Protected ProtectedA</v>
      </c>
      <c r="AF9" s="377" t="str">
        <f t="shared" si="2"/>
        <v>Protected ProtectedA</v>
      </c>
      <c r="AG9" s="78"/>
      <c r="AH9" s="78"/>
      <c r="AI9" s="78" t="s">
        <v>369</v>
      </c>
      <c r="AJ9" s="78">
        <v>4</v>
      </c>
      <c r="AK9" s="77">
        <v>0</v>
      </c>
      <c r="AL9" s="77">
        <v>4</v>
      </c>
      <c r="AM9" s="77"/>
      <c r="AN9" s="77" t="s">
        <v>369</v>
      </c>
      <c r="AO9" s="328" t="s">
        <v>391</v>
      </c>
      <c r="AP9" s="328" t="s">
        <v>390</v>
      </c>
      <c r="AQ9" s="328" t="s">
        <v>388</v>
      </c>
      <c r="AR9" s="77"/>
      <c r="AS9" s="77" t="s">
        <v>369</v>
      </c>
      <c r="AT9" s="77">
        <f>F16</f>
        <v>0</v>
      </c>
      <c r="AU9" s="77">
        <f>C16-F16</f>
        <v>0</v>
      </c>
      <c r="AV9" s="77">
        <f>MAX(G16,D16-(C16-F16))</f>
        <v>0</v>
      </c>
      <c r="BI9" s="471"/>
      <c r="BJ9" s="471"/>
      <c r="BK9" s="471"/>
      <c r="BL9" s="471" t="s">
        <v>551</v>
      </c>
      <c r="BM9" s="371">
        <f>MIN(BL6:BW6)</f>
        <v>49.77</v>
      </c>
      <c r="BN9" s="471"/>
      <c r="BO9" s="471"/>
      <c r="BP9" s="471"/>
      <c r="BQ9" s="471"/>
      <c r="BR9" s="471"/>
      <c r="BS9" s="471"/>
      <c r="BT9" s="471"/>
      <c r="BU9" s="471"/>
      <c r="BV9" s="471"/>
      <c r="BW9" s="471"/>
      <c r="BX9" s="471"/>
    </row>
    <row r="10" spans="2:76" s="85" customFormat="1" x14ac:dyDescent="0.3">
      <c r="B10" s="313" t="s">
        <v>210</v>
      </c>
      <c r="C10" s="512">
        <f>IF(C6=0,1,LOOKUP(C6,$S$18:$S$19,$T$18:$T$19))</f>
        <v>1</v>
      </c>
      <c r="D10" s="513">
        <f>IF(D6=0,1,LOOKUP(D6,$S$6:$S$10,$T$6:$T$10))</f>
        <v>1</v>
      </c>
      <c r="E10" s="514"/>
      <c r="F10" s="512">
        <f>IF(F6=0,1,LOOKUP(F6,$S$18:$S$19,$T$18:$T$19))</f>
        <v>1</v>
      </c>
      <c r="G10" s="513">
        <f>IF(G6=0,1,LOOKUP(G6,$S$6:$S$10,$T$6:$T$10))</f>
        <v>1</v>
      </c>
      <c r="H10" s="514"/>
      <c r="I10" s="512">
        <f>IF(I6=0,1,LOOKUP(I6,$S$18:$S$19,$T$18:$T$19))</f>
        <v>1</v>
      </c>
      <c r="J10" s="513">
        <f>IF(J6=0,1,LOOKUP(J6,$S$6:$S$10,$T$6:$T$10))</f>
        <v>1</v>
      </c>
      <c r="K10" s="514"/>
      <c r="L10" s="513">
        <f>IF(L6=0,1,LOOKUP(L6,$S$18:$S$19,$T$18:$T$19))</f>
        <v>1</v>
      </c>
      <c r="M10" s="513">
        <f>IF(M6=0,1,LOOKUP(M6,$S$6:$S$10,$T$6:$T$10))</f>
        <v>1</v>
      </c>
      <c r="N10" s="513"/>
      <c r="O10" s="513"/>
      <c r="P10" s="282"/>
      <c r="Q10" s="102"/>
      <c r="R10" s="557"/>
      <c r="S10" s="101">
        <v>3</v>
      </c>
      <c r="T10" s="101">
        <v>0.90800000000000003</v>
      </c>
      <c r="U10" s="10"/>
      <c r="V10" s="103"/>
      <c r="W10" s="5"/>
      <c r="Y10" s="381">
        <v>4</v>
      </c>
      <c r="Z10" s="168" t="s">
        <v>371</v>
      </c>
      <c r="AA10" s="168" t="s">
        <v>371</v>
      </c>
      <c r="AB10" s="168" t="s">
        <v>371</v>
      </c>
      <c r="AC10" s="168" t="s">
        <v>371</v>
      </c>
      <c r="AD10" s="381">
        <v>4</v>
      </c>
      <c r="AE10" s="376" t="str">
        <f t="shared" si="1"/>
        <v>Not opposed Not opposed</v>
      </c>
      <c r="AF10" s="377" t="str">
        <f t="shared" si="2"/>
        <v>Not opposed Not opposed</v>
      </c>
      <c r="AG10" s="78"/>
      <c r="AH10" s="78"/>
      <c r="AI10" s="78" t="s">
        <v>370</v>
      </c>
      <c r="AJ10" s="78">
        <v>4</v>
      </c>
      <c r="AK10" s="77">
        <v>0</v>
      </c>
      <c r="AL10" s="77">
        <v>4</v>
      </c>
      <c r="AM10" s="77"/>
      <c r="AN10" s="77" t="s">
        <v>370</v>
      </c>
      <c r="AO10" s="328" t="s">
        <v>391</v>
      </c>
      <c r="AP10" s="328" t="s">
        <v>389</v>
      </c>
      <c r="AQ10" s="328" t="s">
        <v>388</v>
      </c>
      <c r="AR10" s="77"/>
      <c r="AS10" s="77" t="s">
        <v>370</v>
      </c>
      <c r="AT10" s="77">
        <f>C16</f>
        <v>0</v>
      </c>
      <c r="AU10" s="77">
        <f>F16-C16</f>
        <v>0</v>
      </c>
      <c r="AV10" s="77">
        <f>MAX(D16,G16-(F16-C16))</f>
        <v>0</v>
      </c>
      <c r="BI10" s="471"/>
      <c r="BJ10" s="471"/>
      <c r="BK10" s="471"/>
      <c r="BL10" s="471" t="s">
        <v>552</v>
      </c>
      <c r="BM10" s="471">
        <f>IF(BM9=0,0,INDEX(BL3:BW3,MATCH(BM9,BL5:BW5,0)))</f>
        <v>70</v>
      </c>
      <c r="BN10" s="471"/>
      <c r="BO10" s="471"/>
      <c r="BP10" s="471"/>
      <c r="BQ10" s="471"/>
      <c r="BR10" s="471"/>
      <c r="BS10" s="471"/>
      <c r="BT10" s="471"/>
      <c r="BU10" s="471"/>
      <c r="BV10" s="471"/>
      <c r="BW10" s="471"/>
      <c r="BX10" s="471"/>
    </row>
    <row r="11" spans="2:76" x14ac:dyDescent="0.3">
      <c r="B11" s="250" t="s">
        <v>327</v>
      </c>
      <c r="C11" s="314">
        <f>IFERROR(INDEX(UTDF_input!$A$42:$AC$42,1,MATCH(C2,UTDF_input!$A$26:$AC$26,0)),0)</f>
        <v>0</v>
      </c>
      <c r="D11" s="315">
        <f>IFERROR(INDEX(UTDF_input!$A$42:$AC$42,1,MATCH(D2,UTDF_input!$A$26:$AC$26,0)),0)</f>
        <v>0</v>
      </c>
      <c r="E11" s="516">
        <f>IFERROR(INDEX(UTDF_input!$A$42:$AC$42,1,MATCH(E2,UTDF_input!$A$26:$AC$26,0)),0)</f>
        <v>0</v>
      </c>
      <c r="F11" s="314">
        <f>IFERROR(INDEX(UTDF_input!$A$42:$AC$42,1,MATCH(F2,UTDF_input!$A$26:$AC$26,0)),0)</f>
        <v>0</v>
      </c>
      <c r="G11" s="315">
        <f>IFERROR(INDEX(UTDF_input!$A$42:$AC$42,1,MATCH(G2,UTDF_input!$A$26:$AC$26,0)),0)</f>
        <v>0</v>
      </c>
      <c r="H11" s="516">
        <f>IFERROR(INDEX(UTDF_input!$A$42:$AC$42,1,MATCH(H2,UTDF_input!$A$26:$AC$26,0)),0)</f>
        <v>0</v>
      </c>
      <c r="I11" s="314">
        <f>IFERROR(INDEX(UTDF_input!$A$42:$AC$42,1,MATCH(I2,UTDF_input!$A$26:$AC$26,0)),0)</f>
        <v>0</v>
      </c>
      <c r="J11" s="315">
        <f>IFERROR(INDEX(UTDF_input!$A$42:$AC$42,1,MATCH(J2,UTDF_input!$A$26:$AC$26,0)),0)</f>
        <v>0</v>
      </c>
      <c r="K11" s="516">
        <f>IFERROR(INDEX(UTDF_input!$A$42:$AC$42,1,MATCH(K2,UTDF_input!$A$26:$AC$26,0)),0)</f>
        <v>0</v>
      </c>
      <c r="L11" s="315">
        <f>IFERROR(INDEX(UTDF_input!$A$42:$AC$42,1,MATCH(L2,UTDF_input!$A$26:$AC$26,0)),0)</f>
        <v>0</v>
      </c>
      <c r="M11" s="315">
        <f>IFERROR(INDEX(UTDF_input!$A$42:$AC$42,1,MATCH(M2,UTDF_input!$A$26:$AC$26,0)),0)</f>
        <v>0</v>
      </c>
      <c r="N11" s="315">
        <f>IFERROR(INDEX(UTDF_input!$A$42:$AC$42,1,MATCH(N2,UTDF_input!$A$26:$AC$26,0)),0)</f>
        <v>0</v>
      </c>
      <c r="O11" s="334">
        <f>ROUND(1530*O4*'Input sheet'!W7,0)</f>
        <v>1530</v>
      </c>
      <c r="P11" s="282" t="s">
        <v>212</v>
      </c>
      <c r="Q11" s="77"/>
      <c r="R11" s="111"/>
      <c r="U11" s="10"/>
      <c r="V11" s="103"/>
      <c r="W11" s="10"/>
      <c r="Y11" s="382" t="s">
        <v>369</v>
      </c>
      <c r="Z11" s="325" t="s">
        <v>378</v>
      </c>
      <c r="AA11" s="325" t="s">
        <v>378</v>
      </c>
      <c r="AB11" s="325" t="s">
        <v>378</v>
      </c>
      <c r="AC11" s="325" t="s">
        <v>378</v>
      </c>
      <c r="AD11" s="382" t="s">
        <v>369</v>
      </c>
      <c r="AE11" s="379" t="str">
        <f>Z11&amp;" "&amp;AA11</f>
        <v>ProtectedA ProtectedA</v>
      </c>
      <c r="AF11" s="327" t="str">
        <f>AB11&amp;" "&amp;AC11</f>
        <v>ProtectedA ProtectedA</v>
      </c>
      <c r="AI11" s="78">
        <v>4</v>
      </c>
      <c r="AJ11" s="78">
        <v>4</v>
      </c>
      <c r="AK11" s="77">
        <v>4</v>
      </c>
      <c r="AN11" s="77">
        <v>4</v>
      </c>
      <c r="AO11" s="328" t="s">
        <v>390</v>
      </c>
      <c r="AP11" s="328" t="s">
        <v>389</v>
      </c>
      <c r="AQ11" s="328"/>
      <c r="AS11" s="77">
        <v>4</v>
      </c>
      <c r="AT11" s="77">
        <f>MAX(D16,C16)</f>
        <v>0</v>
      </c>
      <c r="AU11" s="77">
        <f>MAX(G16,F16)</f>
        <v>0</v>
      </c>
      <c r="BE11" s="168"/>
      <c r="BI11" s="471"/>
      <c r="BJ11" s="471"/>
      <c r="BK11" s="471"/>
      <c r="BL11" s="471"/>
      <c r="BM11" s="471"/>
      <c r="BN11" s="471"/>
      <c r="BO11" s="471"/>
      <c r="BP11" s="471"/>
      <c r="BQ11" s="471"/>
      <c r="BR11" s="471"/>
      <c r="BS11" s="471"/>
      <c r="BT11" s="471"/>
      <c r="BU11" s="471"/>
      <c r="BV11" s="471"/>
      <c r="BW11" s="471"/>
      <c r="BX11" s="471"/>
    </row>
    <row r="12" spans="2:76" s="77" customFormat="1" hidden="1" x14ac:dyDescent="0.3">
      <c r="B12" s="313" t="s">
        <v>329</v>
      </c>
      <c r="C12" s="512">
        <f>MAX(1,'Lane volumes'!C12)</f>
        <v>1</v>
      </c>
      <c r="D12" s="513"/>
      <c r="E12" s="514"/>
      <c r="F12" s="512">
        <f>MAX(1,'Lane volumes'!U12)</f>
        <v>1</v>
      </c>
      <c r="G12" s="513"/>
      <c r="H12" s="514"/>
      <c r="I12" s="512">
        <f>MAX(1,'Lane volumes'!AL12)</f>
        <v>1</v>
      </c>
      <c r="J12" s="513"/>
      <c r="K12" s="514"/>
      <c r="L12" s="513">
        <f>MAX(1,'Lane volumes'!BC12)</f>
        <v>1</v>
      </c>
      <c r="M12" s="513"/>
      <c r="N12" s="513"/>
      <c r="O12" s="513"/>
      <c r="P12" s="282"/>
      <c r="R12" s="111"/>
      <c r="U12" s="10"/>
      <c r="V12" s="103"/>
      <c r="W12" s="10"/>
      <c r="AE12" s="78"/>
      <c r="AF12" s="78"/>
      <c r="AG12" s="78"/>
      <c r="AH12" s="78"/>
      <c r="BI12" s="473"/>
      <c r="BJ12" s="473"/>
      <c r="BK12" s="473"/>
      <c r="BL12" s="473"/>
      <c r="BM12" s="473"/>
      <c r="BN12" s="473"/>
      <c r="BO12" s="473"/>
      <c r="BP12" s="473"/>
      <c r="BQ12" s="473"/>
      <c r="BR12" s="473"/>
      <c r="BS12" s="473"/>
      <c r="BT12" s="473"/>
      <c r="BU12" s="473"/>
      <c r="BV12" s="473"/>
      <c r="BW12" s="473"/>
      <c r="BX12" s="473"/>
    </row>
    <row r="13" spans="2:76" s="282" customFormat="1" hidden="1" x14ac:dyDescent="0.3">
      <c r="B13" s="313" t="s">
        <v>330</v>
      </c>
      <c r="C13" s="512">
        <f>IF(AND(C6=0,C3&gt;0),4.5,2.5)</f>
        <v>2.5</v>
      </c>
      <c r="D13" s="513"/>
      <c r="E13" s="514"/>
      <c r="F13" s="512">
        <f>IF(AND(F6=0,F3&gt;0),4.5,2.5)</f>
        <v>2.5</v>
      </c>
      <c r="G13" s="513"/>
      <c r="H13" s="514"/>
      <c r="I13" s="512">
        <f>IF(AND(I6=0,I3&gt;0),4.5,2.5)</f>
        <v>2.5</v>
      </c>
      <c r="J13" s="513"/>
      <c r="K13" s="514"/>
      <c r="L13" s="513">
        <f>IF(AND(L6=0,L3&gt;0),4.5,2.5)</f>
        <v>2.5</v>
      </c>
      <c r="M13" s="513"/>
      <c r="N13" s="513"/>
      <c r="O13" s="513"/>
      <c r="R13" s="111"/>
      <c r="U13" s="10"/>
      <c r="V13" s="103"/>
      <c r="W13" s="10"/>
      <c r="Y13" s="313" t="s">
        <v>374</v>
      </c>
      <c r="Z13" s="77" t="str">
        <f>'Phase designation'!B23</f>
        <v>Permitted</v>
      </c>
      <c r="AA13" s="313" t="str">
        <f>'Phase designation'!D23</f>
        <v>Permitted</v>
      </c>
      <c r="AB13" s="313" t="str">
        <f>'Phase designation'!F23</f>
        <v>Permitted</v>
      </c>
      <c r="AC13" s="313" t="str">
        <f>'Phase designation'!H23</f>
        <v>Permitted</v>
      </c>
      <c r="AE13" s="245"/>
      <c r="AF13" s="245"/>
      <c r="AG13" s="245"/>
      <c r="AH13" s="245"/>
      <c r="AI13" s="245"/>
      <c r="AJ13" s="245"/>
      <c r="BI13" s="473"/>
      <c r="BJ13" s="473"/>
      <c r="BK13" s="473"/>
      <c r="BL13" s="473"/>
      <c r="BM13" s="473"/>
      <c r="BN13" s="473"/>
      <c r="BO13" s="473"/>
      <c r="BP13" s="473"/>
      <c r="BQ13" s="473"/>
      <c r="BR13" s="473"/>
      <c r="BS13" s="473"/>
      <c r="BT13" s="473"/>
      <c r="BU13" s="473"/>
      <c r="BV13" s="473"/>
      <c r="BW13" s="473"/>
      <c r="BX13" s="473"/>
    </row>
    <row r="14" spans="2:76" s="236" customFormat="1" x14ac:dyDescent="0.3">
      <c r="B14" s="313" t="s">
        <v>328</v>
      </c>
      <c r="C14" s="512">
        <f>IFERROR(INDEX(UTDF_input!$A$43:$AC$43,1,MATCH(C2,UTDF_input!$A$26:$AC$26,0)),0)</f>
        <v>0</v>
      </c>
      <c r="D14" s="513">
        <f>IFERROR(INDEX(UTDF_input!$A$43:$AC$43,1,MATCH(D2,UTDF_input!$A$26:$AC$26,0)),0)</f>
        <v>0</v>
      </c>
      <c r="E14" s="514">
        <f>IFERROR(INDEX(UTDF_input!$A$43:$AC$43,1,MATCH(E2,UTDF_input!$A$26:$AC$26,0)),0)</f>
        <v>0</v>
      </c>
      <c r="F14" s="512">
        <f>IFERROR(INDEX(UTDF_input!$A$43:$AC$43,1,MATCH(F2,UTDF_input!$A$26:$AC$26,0)),0)</f>
        <v>0</v>
      </c>
      <c r="G14" s="513">
        <f>IFERROR(INDEX(UTDF_input!$A$43:$AC$43,1,MATCH(G2,UTDF_input!$A$26:$AC$26,0)),0)</f>
        <v>0</v>
      </c>
      <c r="H14" s="514">
        <f>IFERROR(INDEX(UTDF_input!$A$43:$AC$43,1,MATCH(H2,UTDF_input!$A$26:$AC$26,0)),0)</f>
        <v>0</v>
      </c>
      <c r="I14" s="512">
        <f>IFERROR(INDEX(UTDF_input!$A$43:$AC$43,1,MATCH(I2,UTDF_input!$A$26:$AC$26,0)),0)</f>
        <v>0</v>
      </c>
      <c r="J14" s="513">
        <f>IFERROR(INDEX(UTDF_input!$A$43:$AC$43,1,MATCH(J2,UTDF_input!$A$26:$AC$26,0)),0)</f>
        <v>0</v>
      </c>
      <c r="K14" s="514">
        <f>IFERROR(INDEX(UTDF_input!$A$43:$AC$43,1,MATCH(K2,UTDF_input!$A$26:$AC$26,0)),0)</f>
        <v>0</v>
      </c>
      <c r="L14" s="513">
        <f>IFERROR(INDEX(UTDF_input!$A$43:$AC$43,1,MATCH(L2,UTDF_input!$A$26:$AC$26,0)),0)</f>
        <v>0</v>
      </c>
      <c r="M14" s="513">
        <f>IFERROR(INDEX(UTDF_input!$A$43:$AC$43,1,MATCH(M2,UTDF_input!$A$26:$AC$26,0)),0)</f>
        <v>0</v>
      </c>
      <c r="N14" s="513">
        <f>IFERROR(INDEX(UTDF_input!$A$43:$AC$43,1,MATCH(N2,UTDF_input!$A$26:$AC$26,0)),0)</f>
        <v>0</v>
      </c>
      <c r="O14" s="513"/>
      <c r="P14" s="282"/>
      <c r="Q14" s="77"/>
      <c r="R14" s="111"/>
      <c r="U14" s="10"/>
      <c r="V14" s="103"/>
      <c r="W14" s="10"/>
      <c r="Y14" s="308" t="s">
        <v>377</v>
      </c>
      <c r="Z14" s="236">
        <f>IF(SUM(Sheet1!S5:U5)=0,1,0)</f>
        <v>1</v>
      </c>
      <c r="AA14" s="308">
        <f>IF(SUM(Sheet1!N5:P5)=0,1,0)</f>
        <v>1</v>
      </c>
      <c r="AB14" s="308">
        <f>IF(SUM(Sheet1!I5:K5,Sheet1!AC5:AH5)=0,1,0)</f>
        <v>1</v>
      </c>
      <c r="AC14" s="308">
        <f>IF(SUM(Sheet1!D5:F5,Sheet1!W5:AB5)=0,1,0)</f>
        <v>1</v>
      </c>
      <c r="AE14" s="78"/>
      <c r="AF14" s="78"/>
      <c r="AG14" s="78"/>
      <c r="AH14" s="167" t="s">
        <v>381</v>
      </c>
      <c r="AI14" s="330">
        <f>Z21</f>
        <v>4</v>
      </c>
      <c r="AJ14" s="167"/>
      <c r="AK14" s="307"/>
      <c r="AL14" s="307"/>
      <c r="AM14" s="77"/>
      <c r="AN14" s="77"/>
      <c r="AO14" s="77"/>
      <c r="AP14" s="77"/>
      <c r="AQ14" s="77"/>
      <c r="AR14" s="77"/>
      <c r="AS14" s="77"/>
      <c r="AT14" s="77"/>
      <c r="AU14" s="77"/>
      <c r="AV14" s="77"/>
      <c r="BI14" s="471"/>
      <c r="BJ14" s="471"/>
      <c r="BK14" s="471"/>
      <c r="BL14" s="471"/>
      <c r="BM14" s="471"/>
      <c r="BN14" s="471"/>
      <c r="BO14" s="471"/>
      <c r="BP14" s="471"/>
      <c r="BQ14" s="471"/>
      <c r="BR14" s="471"/>
      <c r="BS14" s="471"/>
      <c r="BT14" s="471"/>
      <c r="BU14" s="471"/>
      <c r="BV14" s="471"/>
      <c r="BW14" s="471"/>
      <c r="BX14" s="471"/>
    </row>
    <row r="15" spans="2:76" hidden="1" x14ac:dyDescent="0.3">
      <c r="B15" s="313" t="s">
        <v>130</v>
      </c>
      <c r="C15" s="512">
        <f>IF(C7+G7&gt;F7+D7,C7,0)</f>
        <v>0</v>
      </c>
      <c r="D15" s="513">
        <f>IF(D7+F7&gt;G7+C7,D7,0)</f>
        <v>0</v>
      </c>
      <c r="E15" s="514"/>
      <c r="F15" s="512">
        <f>IF(F7+D7&gt;C7+G7,F7,0)</f>
        <v>0</v>
      </c>
      <c r="G15" s="513">
        <f>IF(G7+C7&gt;D7+F7,G7,0)</f>
        <v>0</v>
      </c>
      <c r="H15" s="514"/>
      <c r="I15" s="512">
        <f>IF(I7+M7&gt;L7+J7,I7,0)</f>
        <v>0</v>
      </c>
      <c r="J15" s="513">
        <f>IF(J7+L7&gt;M7+I7,J7,0)</f>
        <v>0</v>
      </c>
      <c r="K15" s="514"/>
      <c r="L15" s="513">
        <f>IF(L7+J7&gt;I7+M7,L7,0)</f>
        <v>0</v>
      </c>
      <c r="M15" s="513">
        <f>IF(M7+I7&gt;J7+L7,M7,0)</f>
        <v>0</v>
      </c>
      <c r="N15" s="513"/>
      <c r="O15" s="513">
        <f>SUM(C15:M15)</f>
        <v>0</v>
      </c>
      <c r="Q15" s="10"/>
      <c r="R15" s="13"/>
      <c r="S15" s="101"/>
      <c r="T15" s="101"/>
      <c r="U15" s="10"/>
      <c r="V15" s="103"/>
      <c r="W15" s="10"/>
      <c r="Y15" s="308" t="s">
        <v>376</v>
      </c>
      <c r="Z15" s="3" t="str">
        <f>IF(Z13="Prot+perm","Protected",Z13)</f>
        <v>Permitted</v>
      </c>
      <c r="AA15" s="308" t="str">
        <f>IF(AA13="Prot+perm","Protected",AA13)</f>
        <v>Permitted</v>
      </c>
      <c r="AB15" s="308" t="str">
        <f>IF(AB13="Prot+perm","Protected",AB13)</f>
        <v>Permitted</v>
      </c>
      <c r="AC15" s="308" t="str">
        <f>IF(AC13="Prot+perm","Protected",AC13)</f>
        <v>Permitted</v>
      </c>
      <c r="AI15" s="167" t="s">
        <v>385</v>
      </c>
      <c r="AJ15" s="167">
        <f>INDEX(AJ4:AJ11,MATCH($AI$14,$AI$4:$AI$11,0))</f>
        <v>4</v>
      </c>
      <c r="AK15" s="167">
        <f>INDEX(AK4:AK11,MATCH($AI$14,$AI$4:$AI$11,0))</f>
        <v>4</v>
      </c>
      <c r="AL15" s="167">
        <f>INDEX(AL4:AL11,MATCH($AI$14,$AI$4:$AI$11,0))</f>
        <v>0</v>
      </c>
      <c r="BI15" s="471"/>
      <c r="BJ15" s="471"/>
      <c r="BK15" s="471"/>
      <c r="BL15" s="471"/>
      <c r="BM15" s="471"/>
      <c r="BN15" s="471"/>
      <c r="BO15" s="471"/>
      <c r="BP15" s="471"/>
      <c r="BQ15" s="471"/>
      <c r="BR15" s="471"/>
      <c r="BS15" s="471"/>
      <c r="BT15" s="471"/>
      <c r="BU15" s="471"/>
      <c r="BV15" s="471"/>
      <c r="BW15" s="471"/>
      <c r="BX15" s="471"/>
    </row>
    <row r="16" spans="2:76" s="282" customFormat="1" x14ac:dyDescent="0.3">
      <c r="B16" s="250" t="s">
        <v>331</v>
      </c>
      <c r="C16" s="314">
        <f>MAX('Lane volumes'!C16:E16)</f>
        <v>0</v>
      </c>
      <c r="D16" s="315">
        <f>IF(D6=0,0,ROUND(MAX('Lane volumes'!C31:E31,'Lane volumes'!C38:E38),0))</f>
        <v>0</v>
      </c>
      <c r="E16" s="516">
        <f>MAX('Lane volumes'!C8:D8)</f>
        <v>0</v>
      </c>
      <c r="F16" s="314">
        <f>MAX('Lane volumes'!U16:W16)</f>
        <v>0</v>
      </c>
      <c r="G16" s="315">
        <f>IF(G6=0,0,ROUND(MAX('Lane volumes'!U31:W31,'Lane volumes'!U38:W38),0))</f>
        <v>0</v>
      </c>
      <c r="H16" s="516">
        <f>MAX('Lane volumes'!U8:V8)</f>
        <v>0</v>
      </c>
      <c r="I16" s="314">
        <f>MAX('Lane volumes'!AL16:AN16)</f>
        <v>0</v>
      </c>
      <c r="J16" s="315">
        <f>IF(J6=0,0,ROUND(MAX('Lane volumes'!AL31:AN31,'Lane volumes'!AL38:AN38),0))</f>
        <v>0</v>
      </c>
      <c r="K16" s="516">
        <f>MAX('Lane volumes'!AL8:AM8)</f>
        <v>0</v>
      </c>
      <c r="L16" s="315">
        <f>MAX('Lane volumes'!BC16:BE16)</f>
        <v>0</v>
      </c>
      <c r="M16" s="315">
        <f>IF(M6=0,0,ROUND(MAX('Lane volumes'!BC31:BE31,'Lane volumes'!BC38:BE38),0))</f>
        <v>0</v>
      </c>
      <c r="N16" s="315">
        <f>MAX('Lane volumes'!BC8:BD8)</f>
        <v>0</v>
      </c>
      <c r="O16" s="513"/>
      <c r="Q16" s="10"/>
      <c r="R16" s="13"/>
      <c r="S16" s="101"/>
      <c r="T16" s="101"/>
      <c r="U16" s="10"/>
      <c r="V16" s="103"/>
      <c r="W16" s="10"/>
      <c r="Y16" s="313" t="s">
        <v>379</v>
      </c>
      <c r="Z16" s="282" t="str">
        <f>IF(AND(Z15="Protected",AA15="Protected",C3&gt;=F3),"ProtectedA","Protected")</f>
        <v>Protected</v>
      </c>
      <c r="AA16" s="313" t="str">
        <f>IF(AND(Z15="Protected",AA15="Protected",F3&gt;=C3),"ProtectedA","Protected")</f>
        <v>Protected</v>
      </c>
      <c r="AB16" s="313" t="str">
        <f>IF(AND(AB15="Protected",AC15="Protected",I3&gt;=L3),"ProtectedA","Protected")</f>
        <v>Protected</v>
      </c>
      <c r="AC16" s="313" t="str">
        <f>IF(AND(AB15="Protected",AC15="Protected",L3&gt;=I3),"ProtectedA","Protected")</f>
        <v>Protected</v>
      </c>
      <c r="AE16" s="245"/>
      <c r="AF16" s="245"/>
      <c r="AG16" s="245"/>
      <c r="AH16" s="245"/>
      <c r="AI16" s="167" t="s">
        <v>386</v>
      </c>
      <c r="AJ16" s="167" t="str">
        <f>INDEX(AO4:AO11,MATCH($AI$14,$AN$4:$AN$11,0))</f>
        <v>EBTHLT</v>
      </c>
      <c r="AK16" s="167" t="str">
        <f>INDEX(AP4:AP11,MATCH($AI$14,$AN$4:$AN$11,0))</f>
        <v>WBTHLT</v>
      </c>
      <c r="AL16" s="167">
        <f>INDEX(AQ4:AQ11,MATCH($AI$14,$AN$4:$AN$11,0))</f>
        <v>0</v>
      </c>
      <c r="BI16" s="473"/>
      <c r="BJ16" s="473"/>
      <c r="BK16" s="473"/>
      <c r="BL16" s="473"/>
      <c r="BM16" s="473"/>
      <c r="BN16" s="473"/>
      <c r="BO16" s="473"/>
      <c r="BP16" s="473"/>
      <c r="BQ16" s="473"/>
      <c r="BR16" s="473"/>
      <c r="BS16" s="473"/>
      <c r="BT16" s="473"/>
      <c r="BU16" s="473"/>
      <c r="BV16" s="473"/>
      <c r="BW16" s="473"/>
      <c r="BX16" s="473"/>
    </row>
    <row r="17" spans="2:76" s="164" customFormat="1" hidden="1" x14ac:dyDescent="0.3">
      <c r="B17" s="313" t="s">
        <v>227</v>
      </c>
      <c r="C17" s="558"/>
      <c r="D17" s="559"/>
      <c r="E17" s="560"/>
      <c r="F17" s="558"/>
      <c r="G17" s="559"/>
      <c r="H17" s="560"/>
      <c r="I17" s="558"/>
      <c r="J17" s="559"/>
      <c r="K17" s="560"/>
      <c r="L17" s="559"/>
      <c r="M17" s="559"/>
      <c r="N17" s="559"/>
      <c r="O17" s="334">
        <f>SUM(AJ17:AL17,AJ33:AL33)</f>
        <v>0</v>
      </c>
      <c r="P17" s="282" t="s">
        <v>213</v>
      </c>
      <c r="Q17" s="10"/>
      <c r="R17" s="13"/>
      <c r="S17" s="101"/>
      <c r="T17" s="101"/>
      <c r="U17" s="10"/>
      <c r="V17" s="103"/>
      <c r="W17" s="10"/>
      <c r="Y17" s="313" t="s">
        <v>380</v>
      </c>
      <c r="Z17" s="313" t="str">
        <f>IF(AND(Z14=1,Z15="Permitted"),"Not opposed",Z15)</f>
        <v>Not opposed</v>
      </c>
      <c r="AA17" s="313" t="str">
        <f>IF(AND(AA14=1,AA15="Permitted"),"Not opposed",AA15)</f>
        <v>Not opposed</v>
      </c>
      <c r="AB17" s="313" t="str">
        <f>IF(AND(AB14=1,AB15="Permitted"),"Not opposed",AB15)</f>
        <v>Not opposed</v>
      </c>
      <c r="AC17" s="313" t="str">
        <f>IF(AND(AC14=1,AC15="Permitted"),"Not opposed",AC15)</f>
        <v>Not opposed</v>
      </c>
      <c r="AE17" s="78"/>
      <c r="AF17" s="78"/>
      <c r="AG17" s="78"/>
      <c r="AH17" s="78"/>
      <c r="AI17" s="167" t="s">
        <v>387</v>
      </c>
      <c r="AJ17" s="167">
        <f>INDEX(AT4:AT11,MATCH($AI$14,$AS$4:$AS$11,0))</f>
        <v>0</v>
      </c>
      <c r="AK17" s="167">
        <f>INDEX(AU4:AU11,MATCH($AI$14,$AS$4:$AS$11,0))</f>
        <v>0</v>
      </c>
      <c r="AL17" s="167">
        <f>INDEX(AV4:AV11,MATCH($AI$14,$AS$4:$AS$11,0))</f>
        <v>0</v>
      </c>
      <c r="AM17" s="77"/>
      <c r="AN17" s="77"/>
      <c r="AO17" s="77"/>
      <c r="AP17" s="77"/>
      <c r="AQ17" s="77"/>
      <c r="AR17" s="77"/>
      <c r="AS17" s="77"/>
      <c r="AT17" s="77"/>
      <c r="AU17" s="77"/>
      <c r="AV17" s="77"/>
      <c r="BE17" s="168"/>
      <c r="BI17" s="471"/>
      <c r="BJ17" s="471"/>
      <c r="BK17" s="471"/>
      <c r="BL17" s="471"/>
      <c r="BM17" s="471"/>
      <c r="BN17" s="471"/>
      <c r="BO17" s="471"/>
      <c r="BP17" s="471"/>
      <c r="BQ17" s="471"/>
      <c r="BR17" s="471"/>
      <c r="BS17" s="471"/>
      <c r="BT17" s="471"/>
      <c r="BU17" s="471"/>
      <c r="BV17" s="471"/>
      <c r="BW17" s="471"/>
      <c r="BX17" s="471"/>
    </row>
    <row r="18" spans="2:76" x14ac:dyDescent="0.3">
      <c r="B18" s="313" t="s">
        <v>415</v>
      </c>
      <c r="C18" s="512">
        <f>IFERROR(INDEX(UTDF_input!$A$37:$AC$37,1,MATCH(C2,UTDF_input!$A$26:$AC$26,0)),0)</f>
        <v>0</v>
      </c>
      <c r="D18" s="513">
        <f>IFERROR(INDEX(UTDF_input!$A$37:$AC$37,1,MATCH(D2,UTDF_input!$A$26:$AC$26,0)),0)</f>
        <v>0</v>
      </c>
      <c r="E18" s="514">
        <f>IFERROR(INDEX(UTDF_input!$A$37:$AC$37,1,MATCH(E2,UTDF_input!$A$26:$AC$26,0)),0)</f>
        <v>0</v>
      </c>
      <c r="F18" s="512">
        <f>IFERROR(INDEX(UTDF_input!$A$37:$AC$37,1,MATCH(F2,UTDF_input!$A$26:$AC$26,0)),0)</f>
        <v>0</v>
      </c>
      <c r="G18" s="513">
        <f>IFERROR(INDEX(UTDF_input!$A$37:$AC$37,1,MATCH(G2,UTDF_input!$A$26:$AC$26,0)),0)</f>
        <v>0</v>
      </c>
      <c r="H18" s="514">
        <f>IFERROR(INDEX(UTDF_input!$A$37:$AC$37,1,MATCH(H2,UTDF_input!$A$26:$AC$26,0)),0)</f>
        <v>0</v>
      </c>
      <c r="I18" s="512">
        <f>IFERROR(INDEX(UTDF_input!$A$37:$AC$37,1,MATCH(I2,UTDF_input!$A$26:$AC$26,0)),0)</f>
        <v>0</v>
      </c>
      <c r="J18" s="513">
        <f>IFERROR(INDEX(UTDF_input!$A$37:$AC$37,1,MATCH(J2,UTDF_input!$A$26:$AC$26,0)),0)</f>
        <v>0</v>
      </c>
      <c r="K18" s="514">
        <f>IFERROR(INDEX(UTDF_input!$A$37:$AC$37,1,MATCH(K2,UTDF_input!$A$26:$AC$26,0)),0)</f>
        <v>0</v>
      </c>
      <c r="L18" s="513">
        <f>IFERROR(INDEX(UTDF_input!$A$37:$AC$37,1,MATCH(L2,UTDF_input!$A$26:$AC$26,0)),0)</f>
        <v>0</v>
      </c>
      <c r="M18" s="513">
        <f>IFERROR(INDEX(UTDF_input!$A$37:$AC$37,1,MATCH(M2,UTDF_input!$A$26:$AC$26,0)),0)</f>
        <v>0</v>
      </c>
      <c r="N18" s="513">
        <f>IFERROR(INDEX(UTDF_input!$A$37:$AC$37,1,MATCH(N2,UTDF_input!$A$26:$AC$26,0)),0)</f>
        <v>0</v>
      </c>
      <c r="O18" s="513"/>
      <c r="Q18" s="10"/>
      <c r="R18" s="562" t="s">
        <v>208</v>
      </c>
      <c r="S18" s="25">
        <v>1</v>
      </c>
      <c r="T18" s="25">
        <v>1</v>
      </c>
      <c r="U18" s="16"/>
      <c r="V18" s="13"/>
      <c r="W18" s="14"/>
      <c r="Y18" s="307" t="s">
        <v>375</v>
      </c>
      <c r="Z18" s="307" t="str">
        <f>IF(AND(Z16="ProtectedA",Z17="Protected"),"ProtectedA",Z17)</f>
        <v>Not opposed</v>
      </c>
      <c r="AA18" s="307" t="str">
        <f>IF(AND(AA16="ProtectedA",AA17="Protected"),"ProtectedA",AA17)</f>
        <v>Not opposed</v>
      </c>
      <c r="AB18" s="307" t="str">
        <f>IF(AND(AB16="ProtectedA",AB17="Protected"),"ProtectedA",AB17)</f>
        <v>Not opposed</v>
      </c>
      <c r="AC18" s="307" t="str">
        <f>IF(AND(AC16="ProtectedA",AC17="Protected"),"ProtectedA",AC17)</f>
        <v>Not opposed</v>
      </c>
      <c r="AI18" s="332" t="s">
        <v>396</v>
      </c>
      <c r="AJ18" s="332">
        <f>IF(AJ17=0,0,ROUND(($C$25-$C$23)*(AJ17/$O$17)+AJ15,1))</f>
        <v>0</v>
      </c>
      <c r="AK18" s="332">
        <f>IF(AK17=0,0,ROUND(($C$25-$C$23)*(AK17/$O$17)+AK15,1))</f>
        <v>0</v>
      </c>
      <c r="AL18" s="332">
        <f>IF(AL17=0,0,ROUND(($C$25-$C$23)*(AL17/$O$17)+AL15,1))</f>
        <v>0</v>
      </c>
      <c r="BI18" s="471"/>
      <c r="BJ18" s="471"/>
      <c r="BK18" s="471"/>
      <c r="BL18" s="471"/>
      <c r="BM18" s="471"/>
      <c r="BN18" s="471"/>
      <c r="BO18" s="471"/>
      <c r="BP18" s="471"/>
      <c r="BQ18" s="471"/>
      <c r="BR18" s="471"/>
      <c r="BS18" s="471"/>
      <c r="BT18" s="471"/>
      <c r="BU18" s="471"/>
      <c r="BV18" s="471"/>
      <c r="BW18" s="471"/>
      <c r="BX18" s="471"/>
    </row>
    <row r="19" spans="2:76" s="110" customFormat="1" x14ac:dyDescent="0.3">
      <c r="B19" s="287" t="s">
        <v>125</v>
      </c>
      <c r="C19" s="288">
        <f>IFERROR(INDEX(UTDF_input!$A$38:$AC$38,1,MATCH(C2,UTDF_input!$A$26:$AC$26,0)),0)</f>
        <v>0</v>
      </c>
      <c r="D19" s="515">
        <f>IFERROR(INDEX(UTDF_input!$A$38:$AC$38,1,MATCH(D2,UTDF_input!$A$26:$AC$26,0)),0)</f>
        <v>0</v>
      </c>
      <c r="E19" s="517">
        <f>IFERROR(INDEX(UTDF_input!$A$38:$AC$38,1,MATCH(E2,UTDF_input!$A$26:$AC$26,0)),0)</f>
        <v>0</v>
      </c>
      <c r="F19" s="288">
        <f>IFERROR(INDEX(UTDF_input!$A$38:$AC$38,1,MATCH(F2,UTDF_input!$A$26:$AC$26,0)),0)</f>
        <v>0</v>
      </c>
      <c r="G19" s="515">
        <f>IFERROR(INDEX(UTDF_input!$A$38:$AC$38,1,MATCH(G2,UTDF_input!$A$26:$AC$26,0)),0)</f>
        <v>0</v>
      </c>
      <c r="H19" s="517">
        <f>IFERROR(INDEX(UTDF_input!$A$38:$AC$38,1,MATCH(H2,UTDF_input!$A$26:$AC$26,0)),0)</f>
        <v>0</v>
      </c>
      <c r="I19" s="288">
        <f>IFERROR(INDEX(UTDF_input!$A$38:$AC$38,1,MATCH(I2,UTDF_input!$A$26:$AC$26,0)),0)</f>
        <v>0</v>
      </c>
      <c r="J19" s="515">
        <f>IFERROR(INDEX(UTDF_input!$A$38:$AC$38,1,MATCH(J2,UTDF_input!$A$26:$AC$26,0)),0)</f>
        <v>0</v>
      </c>
      <c r="K19" s="517">
        <f>IFERROR(INDEX(UTDF_input!$A$38:$AC$38,1,MATCH(K2,UTDF_input!$A$26:$AC$26,0)),0)</f>
        <v>0</v>
      </c>
      <c r="L19" s="515">
        <f>IFERROR(INDEX(UTDF_input!$A$38:$AC$38,1,MATCH(L2,UTDF_input!$A$26:$AC$26,0)),0)</f>
        <v>0</v>
      </c>
      <c r="M19" s="515">
        <f>IFERROR(INDEX(UTDF_input!$A$38:$AC$38,1,MATCH(M2,UTDF_input!$A$26:$AC$26,0)),0)</f>
        <v>0</v>
      </c>
      <c r="N19" s="515">
        <f>IFERROR(INDEX(UTDF_input!$A$38:$AC$38,1,MATCH(N2,UTDF_input!$A$26:$AC$26,0)),0)</f>
        <v>0</v>
      </c>
      <c r="O19" s="198"/>
      <c r="P19" s="195"/>
      <c r="Q19" s="108"/>
      <c r="R19" s="562"/>
      <c r="S19" s="107">
        <v>2</v>
      </c>
      <c r="T19" s="107">
        <v>0.97099999999999997</v>
      </c>
      <c r="U19" s="106"/>
      <c r="V19" s="109"/>
      <c r="W19" s="109"/>
      <c r="Y19" s="224" t="s">
        <v>383</v>
      </c>
      <c r="Z19" s="556" t="str">
        <f>IF(OR(AND(Z18="Not opposed", AA18="Protected"),AND(AA18="Not opposed", Z18="Protected")),"ProtectedA Protected",Z18&amp;" "&amp;AA18)</f>
        <v>Not opposed Not opposed</v>
      </c>
      <c r="AA19" s="556"/>
      <c r="AB19" s="556" t="str">
        <f>IF(OR(AND(AB18="Protected",AC18="Not opposed"),AND(AC18="Protected",AB18="Not opposed")),"Protected ProtectedA",AB18&amp;" "&amp;AC18)</f>
        <v>Not opposed Not opposed</v>
      </c>
      <c r="AC19" s="556"/>
      <c r="AE19" s="198"/>
      <c r="AF19" s="198"/>
      <c r="AG19" s="198"/>
      <c r="AH19" s="291" t="s">
        <v>382</v>
      </c>
      <c r="AI19" s="78" t="s">
        <v>385</v>
      </c>
      <c r="AJ19" s="78" t="s">
        <v>124</v>
      </c>
      <c r="AK19" s="77"/>
      <c r="AL19" s="77"/>
      <c r="AM19" s="77"/>
      <c r="AN19" s="77" t="s">
        <v>386</v>
      </c>
      <c r="AO19" s="77" t="s">
        <v>124</v>
      </c>
      <c r="AP19" s="77"/>
      <c r="AQ19" s="77"/>
      <c r="AR19" s="77"/>
      <c r="AS19" s="77" t="s">
        <v>387</v>
      </c>
      <c r="AT19" s="77" t="s">
        <v>124</v>
      </c>
      <c r="AU19" s="77"/>
      <c r="AV19" s="77"/>
      <c r="BI19" s="474"/>
      <c r="BJ19" s="474"/>
      <c r="BK19" s="474"/>
      <c r="BL19" s="474"/>
      <c r="BM19" s="474"/>
      <c r="BN19" s="474"/>
      <c r="BO19" s="474"/>
      <c r="BP19" s="474"/>
      <c r="BQ19" s="474"/>
      <c r="BR19" s="474"/>
      <c r="BS19" s="474"/>
      <c r="BT19" s="474"/>
      <c r="BU19" s="474"/>
      <c r="BV19" s="474"/>
      <c r="BW19" s="474"/>
      <c r="BX19" s="474"/>
    </row>
    <row r="20" spans="2:76" x14ac:dyDescent="0.3">
      <c r="B20" s="350" t="s">
        <v>126</v>
      </c>
      <c r="C20" s="512">
        <f>IFERROR(INDEX(UTDF_input!$A$39:$AC$39,1,MATCH(C2,UTDF_input!$A$26:$AC$26,0)),0)</f>
        <v>0</v>
      </c>
      <c r="D20" s="513">
        <f>IFERROR(INDEX(UTDF_input!$A$39:$AC$39,1,MATCH(D2,UTDF_input!$A$26:$AC$26,0)),0)</f>
        <v>0</v>
      </c>
      <c r="E20" s="514">
        <f>IFERROR(INDEX(UTDF_input!$A$39:$AC$39,1,MATCH(E2,UTDF_input!$A$26:$AC$26,0)),0)</f>
        <v>0</v>
      </c>
      <c r="F20" s="512">
        <f>IFERROR(INDEX(UTDF_input!$A$39:$AC$39,1,MATCH(F2,UTDF_input!$A$26:$AC$26,0)),0)</f>
        <v>0</v>
      </c>
      <c r="G20" s="513">
        <f>IFERROR(INDEX(UTDF_input!$A$39:$AC$39,1,MATCH(G2,UTDF_input!$A$26:$AC$26,0)),0)</f>
        <v>0</v>
      </c>
      <c r="H20" s="514">
        <f>IFERROR(INDEX(UTDF_input!$A$39:$AC$39,1,MATCH(H2,UTDF_input!$A$26:$AC$26,0)),0)</f>
        <v>0</v>
      </c>
      <c r="I20" s="512">
        <f>IFERROR(INDEX(UTDF_input!$A$39:$AC$39,1,MATCH(I2,UTDF_input!$A$26:$AC$26,0)),0)</f>
        <v>0</v>
      </c>
      <c r="J20" s="513">
        <f>IFERROR(INDEX(UTDF_input!$A$39:$AC$39,1,MATCH(J2,UTDF_input!$A$26:$AC$26,0)),0)</f>
        <v>0</v>
      </c>
      <c r="K20" s="514">
        <f>IFERROR(INDEX(UTDF_input!$A$39:$AC$39,1,MATCH(K2,UTDF_input!$A$26:$AC$26,0)),0)</f>
        <v>0</v>
      </c>
      <c r="L20" s="513">
        <f>IFERROR(INDEX(UTDF_input!$A$39:$AC$39,1,MATCH(L2,UTDF_input!$A$26:$AC$26,0)),0)</f>
        <v>0</v>
      </c>
      <c r="M20" s="513">
        <f>IFERROR(INDEX(UTDF_input!$A$39:$AC$39,1,MATCH(M2,UTDF_input!$A$26:$AC$26,0)),0)</f>
        <v>0</v>
      </c>
      <c r="N20" s="513">
        <f>IFERROR(INDEX(UTDF_input!$A$39:$AC$39,1,MATCH(N2,UTDF_input!$A$26:$AC$26,0)),0)</f>
        <v>0</v>
      </c>
      <c r="O20" s="245"/>
      <c r="Q20" s="10"/>
      <c r="R20" s="35"/>
      <c r="S20" s="25"/>
      <c r="T20" s="25"/>
      <c r="U20" s="16"/>
      <c r="V20" s="105"/>
      <c r="W20" s="72"/>
      <c r="Y20" s="308" t="s">
        <v>384</v>
      </c>
      <c r="Z20" s="520">
        <f>MATCH(Z19,AE3:AE11,0)</f>
        <v>8</v>
      </c>
      <c r="AA20" s="520"/>
      <c r="AB20" s="520">
        <f>MATCH(AB19,AF3:AF11,0)</f>
        <v>8</v>
      </c>
      <c r="AC20" s="520"/>
      <c r="AI20" s="78" t="s">
        <v>372</v>
      </c>
      <c r="AJ20" s="78">
        <v>1</v>
      </c>
      <c r="AK20" s="77">
        <v>2</v>
      </c>
      <c r="AL20" s="77">
        <v>3</v>
      </c>
      <c r="AN20" s="77" t="s">
        <v>372</v>
      </c>
      <c r="AO20" s="77">
        <v>1</v>
      </c>
      <c r="AP20" s="77">
        <v>2</v>
      </c>
      <c r="AQ20" s="77">
        <v>3</v>
      </c>
      <c r="AS20" s="77" t="s">
        <v>372</v>
      </c>
      <c r="AT20" s="77">
        <v>1</v>
      </c>
      <c r="AU20" s="77">
        <v>2</v>
      </c>
      <c r="AV20" s="77">
        <v>3</v>
      </c>
      <c r="BI20" s="471"/>
      <c r="BJ20" s="471"/>
      <c r="BK20" s="471"/>
      <c r="BL20" s="471"/>
      <c r="BM20" s="471"/>
      <c r="BN20" s="471"/>
      <c r="BO20" s="471"/>
      <c r="BP20" s="471"/>
      <c r="BQ20" s="471"/>
      <c r="BR20" s="471"/>
      <c r="BS20" s="471"/>
      <c r="BT20" s="471"/>
      <c r="BU20" s="471"/>
      <c r="BV20" s="471"/>
      <c r="BW20" s="471"/>
      <c r="BX20" s="471"/>
    </row>
    <row r="21" spans="2:76" x14ac:dyDescent="0.3">
      <c r="B21" s="518" t="s">
        <v>641</v>
      </c>
      <c r="C21" s="314" t="str">
        <f>IF(AND(C18=0,C19=0),"",IF(AND(C18&gt;0,C19&gt;0),"Prot+perm",IF(AND(C18&gt;0,C19=0),"Protected","Permitted")))</f>
        <v/>
      </c>
      <c r="D21" s="315"/>
      <c r="E21" s="516"/>
      <c r="F21" s="314" t="str">
        <f>IF(AND(F18=0,F19=0),"",IF(AND(F18&gt;0,F19&gt;0),"Prot+perm",IF(AND(F18&gt;0,F19=0),"Protected","Permitted")))</f>
        <v/>
      </c>
      <c r="G21" s="315"/>
      <c r="H21" s="516"/>
      <c r="I21" s="314" t="str">
        <f>IF(AND(I18=0,I19=0),"",IF(AND(I18&gt;0,I19&gt;0),"Prot+perm",IF(AND(I18&gt;0,I19=0),"Protected","Permitted")))</f>
        <v/>
      </c>
      <c r="J21" s="315"/>
      <c r="K21" s="516"/>
      <c r="L21" s="315" t="str">
        <f>IF(AND(L18=0,L19=0),"",IF(AND(L18&gt;0,L19&gt;0),"Prot+perm",IF(AND(L18&gt;0,L19=0),"Protected","Permitted")))</f>
        <v/>
      </c>
      <c r="M21" s="315"/>
      <c r="N21" s="315"/>
      <c r="O21" s="513"/>
      <c r="Q21" s="10"/>
      <c r="R21" s="104"/>
      <c r="S21" s="25"/>
      <c r="T21" s="25"/>
      <c r="U21" s="16"/>
      <c r="V21" s="16"/>
      <c r="W21" s="15"/>
      <c r="Y21" s="308" t="s">
        <v>372</v>
      </c>
      <c r="Z21" s="520">
        <f>INDEX(AD3:AD13,Z20)</f>
        <v>4</v>
      </c>
      <c r="AA21" s="520"/>
      <c r="AB21" s="520">
        <f>INDEX(AD3:AD11,AB20)</f>
        <v>4</v>
      </c>
      <c r="AC21" s="520"/>
      <c r="AI21" s="78" t="s">
        <v>364</v>
      </c>
      <c r="AJ21" s="78">
        <v>4</v>
      </c>
      <c r="AN21" s="77" t="s">
        <v>364</v>
      </c>
      <c r="AO21" s="328" t="s">
        <v>392</v>
      </c>
      <c r="AP21" s="328"/>
      <c r="AQ21" s="328"/>
      <c r="AS21" s="77" t="s">
        <v>364</v>
      </c>
      <c r="AT21" s="77">
        <f>MAX(J16,I16,M16,L16)</f>
        <v>0</v>
      </c>
      <c r="BI21" s="471"/>
      <c r="BJ21" s="471"/>
      <c r="BK21" s="471"/>
      <c r="BL21" s="471"/>
      <c r="BM21" s="471"/>
      <c r="BN21" s="471"/>
      <c r="BO21" s="471"/>
      <c r="BP21" s="471"/>
      <c r="BQ21" s="471"/>
      <c r="BR21" s="471"/>
      <c r="BS21" s="471"/>
      <c r="BT21" s="471"/>
      <c r="BU21" s="471"/>
      <c r="BV21" s="471"/>
      <c r="BW21" s="471"/>
      <c r="BX21" s="471"/>
    </row>
    <row r="22" spans="2:76" x14ac:dyDescent="0.3">
      <c r="B22" s="77"/>
      <c r="C22" s="77"/>
      <c r="D22" s="77"/>
      <c r="E22" s="77"/>
      <c r="F22" s="77"/>
      <c r="G22" s="101"/>
      <c r="H22" s="101"/>
      <c r="I22" s="101"/>
      <c r="J22" s="101"/>
      <c r="K22" s="101"/>
      <c r="L22" s="101"/>
      <c r="M22" s="101"/>
      <c r="N22" s="101"/>
      <c r="O22" s="77"/>
      <c r="Q22" s="10"/>
      <c r="R22" s="104"/>
      <c r="S22" s="25"/>
      <c r="T22" s="29"/>
      <c r="U22" s="16"/>
      <c r="V22" s="101" t="s">
        <v>233</v>
      </c>
      <c r="W22" s="15"/>
      <c r="AI22" s="78" t="s">
        <v>365</v>
      </c>
      <c r="AJ22" s="78">
        <v>4</v>
      </c>
      <c r="AN22" s="77" t="s">
        <v>365</v>
      </c>
      <c r="AO22" s="328" t="s">
        <v>392</v>
      </c>
      <c r="AP22" s="328"/>
      <c r="AQ22" s="328"/>
      <c r="AS22" s="77" t="s">
        <v>365</v>
      </c>
      <c r="AT22" s="313">
        <f>MAX(J16,I16,M16,L16)</f>
        <v>0</v>
      </c>
      <c r="BI22" s="471"/>
      <c r="BJ22" s="471"/>
      <c r="BK22" s="471"/>
      <c r="BL22" s="471"/>
      <c r="BM22" s="471"/>
      <c r="BN22" s="471"/>
      <c r="BO22" s="471"/>
      <c r="BP22" s="471"/>
      <c r="BQ22" s="471"/>
      <c r="BR22" s="471"/>
      <c r="BS22" s="471"/>
      <c r="BT22" s="471"/>
      <c r="BU22" s="471"/>
      <c r="BV22" s="471"/>
      <c r="BW22" s="471"/>
      <c r="BX22" s="471"/>
    </row>
    <row r="23" spans="2:76" x14ac:dyDescent="0.3">
      <c r="B23" s="316" t="s">
        <v>416</v>
      </c>
      <c r="C23" s="316">
        <f>SUM(AJ15:AL15,AJ31:AL31)</f>
        <v>16</v>
      </c>
      <c r="F23" s="101"/>
      <c r="H23" s="101"/>
      <c r="M23" s="101"/>
      <c r="N23" s="101"/>
      <c r="O23" s="77"/>
      <c r="S23" s="85"/>
      <c r="V23" s="101">
        <f>IF(O17&gt;=O11,140,C23/(1-(O17/O11)))</f>
        <v>16</v>
      </c>
      <c r="Y23" s="319" t="s">
        <v>425</v>
      </c>
      <c r="Z23" s="319" t="s">
        <v>426</v>
      </c>
      <c r="AA23" s="319" t="s">
        <v>427</v>
      </c>
      <c r="AB23" s="101" t="s">
        <v>300</v>
      </c>
      <c r="AC23" s="319" t="s">
        <v>428</v>
      </c>
      <c r="AI23" s="78" t="s">
        <v>366</v>
      </c>
      <c r="AJ23" s="78">
        <v>4</v>
      </c>
      <c r="AN23" s="77" t="s">
        <v>366</v>
      </c>
      <c r="AO23" s="328" t="s">
        <v>392</v>
      </c>
      <c r="AP23" s="328"/>
      <c r="AQ23" s="328"/>
      <c r="AS23" s="77" t="s">
        <v>366</v>
      </c>
      <c r="AT23" s="313">
        <f>MAX(J16,I16,M16,L16)</f>
        <v>0</v>
      </c>
      <c r="BI23" s="471"/>
      <c r="BJ23" s="471"/>
      <c r="BK23" s="471"/>
      <c r="BL23" s="471"/>
      <c r="BM23" s="471"/>
      <c r="BN23" s="471"/>
      <c r="BO23" s="471"/>
      <c r="BP23" s="471"/>
      <c r="BQ23" s="471"/>
      <c r="BR23" s="471"/>
      <c r="BS23" s="471"/>
      <c r="BT23" s="471"/>
      <c r="BU23" s="471"/>
      <c r="BV23" s="471"/>
      <c r="BW23" s="471"/>
      <c r="BX23" s="471"/>
    </row>
    <row r="24" spans="2:76" x14ac:dyDescent="0.3">
      <c r="B24" s="318" t="s">
        <v>417</v>
      </c>
      <c r="C24" s="352">
        <f>C23/(1-(O17/O11))</f>
        <v>16</v>
      </c>
      <c r="D24" s="561" t="s">
        <v>430</v>
      </c>
      <c r="E24" s="561"/>
      <c r="F24" s="358">
        <f>V25</f>
        <v>0</v>
      </c>
      <c r="H24" s="101"/>
      <c r="M24" s="101"/>
      <c r="N24" s="101"/>
      <c r="O24" s="77"/>
      <c r="U24" s="101" t="s">
        <v>429</v>
      </c>
      <c r="V24" s="101" t="s">
        <v>297</v>
      </c>
      <c r="Y24" s="3">
        <v>-100000</v>
      </c>
      <c r="Z24" s="3">
        <v>0</v>
      </c>
      <c r="AA24" s="3">
        <f>'Input sheet'!V9</f>
        <v>150</v>
      </c>
      <c r="AB24" s="101">
        <f>V23</f>
        <v>16</v>
      </c>
      <c r="AC24" s="3">
        <f>LOOKUP(AB24,Y24:Z37,AA24:AA37)</f>
        <v>40</v>
      </c>
      <c r="AI24" s="78" t="s">
        <v>367</v>
      </c>
      <c r="AJ24" s="78">
        <v>4</v>
      </c>
      <c r="AK24" s="77">
        <v>4</v>
      </c>
      <c r="AN24" s="77" t="s">
        <v>367</v>
      </c>
      <c r="AO24" s="328" t="s">
        <v>393</v>
      </c>
      <c r="AP24" s="328" t="s">
        <v>392</v>
      </c>
      <c r="AQ24" s="328"/>
      <c r="AS24" s="77" t="s">
        <v>367</v>
      </c>
      <c r="AT24" s="77">
        <f>L16</f>
        <v>0</v>
      </c>
      <c r="AU24" s="313">
        <f>MAX(M16-L16,J16)</f>
        <v>0</v>
      </c>
    </row>
    <row r="25" spans="2:76" x14ac:dyDescent="0.3">
      <c r="B25" s="317" t="s">
        <v>418</v>
      </c>
      <c r="C25" s="238">
        <f>UTDF_input!C88</f>
        <v>0</v>
      </c>
      <c r="D25" s="488" t="s">
        <v>563</v>
      </c>
      <c r="E25" s="488">
        <f>UTDF_input!C92</f>
        <v>0</v>
      </c>
      <c r="F25" s="484" t="s">
        <v>384</v>
      </c>
      <c r="G25" s="486">
        <f>UTDF_input!C90</f>
        <v>0</v>
      </c>
      <c r="H25" s="101"/>
      <c r="I25" s="101"/>
      <c r="J25" s="101"/>
      <c r="K25" s="101"/>
      <c r="L25" s="101"/>
      <c r="M25" s="101"/>
      <c r="N25" s="101"/>
      <c r="O25" s="77"/>
      <c r="Q25" s="75"/>
      <c r="R25" s="75"/>
      <c r="S25" s="75"/>
      <c r="U25" s="3">
        <f>Phasing!L27</f>
        <v>0</v>
      </c>
      <c r="V25" s="101">
        <f>10*ROUNDUP(U25/10,0)</f>
        <v>0</v>
      </c>
      <c r="Y25" s="3">
        <v>0</v>
      </c>
      <c r="Z25" s="3">
        <v>40</v>
      </c>
      <c r="AA25" s="3">
        <f>'Input sheet'!V8</f>
        <v>40</v>
      </c>
      <c r="AI25" s="78" t="s">
        <v>368</v>
      </c>
      <c r="AJ25" s="78">
        <v>4</v>
      </c>
      <c r="AK25" s="77">
        <v>4</v>
      </c>
      <c r="AN25" s="77" t="s">
        <v>368</v>
      </c>
      <c r="AO25" s="328" t="s">
        <v>394</v>
      </c>
      <c r="AP25" s="328" t="s">
        <v>392</v>
      </c>
      <c r="AQ25" s="328"/>
      <c r="AS25" s="77" t="s">
        <v>368</v>
      </c>
      <c r="AT25" s="77">
        <f>I16</f>
        <v>0</v>
      </c>
      <c r="AU25" s="77">
        <f>MAX(J16-I16,M16)</f>
        <v>0</v>
      </c>
    </row>
    <row r="26" spans="2:76" hidden="1" x14ac:dyDescent="0.3">
      <c r="B26" s="77" t="s">
        <v>244</v>
      </c>
      <c r="C26" s="77">
        <f>C7</f>
        <v>0</v>
      </c>
      <c r="D26" s="77">
        <f>IF(AND(C18=0,C26&gt;0,D3=0),C26,D7)</f>
        <v>0</v>
      </c>
      <c r="E26" s="77"/>
      <c r="F26" s="77">
        <f>F7</f>
        <v>0</v>
      </c>
      <c r="G26" s="77">
        <f>IF(AND(F18=0,F26&gt;0,G3=0),F26,G7)</f>
        <v>0</v>
      </c>
      <c r="H26" s="77"/>
      <c r="I26" s="77">
        <f>I7</f>
        <v>0</v>
      </c>
      <c r="J26" s="77">
        <f>IF(AND(I18=0,I26&gt;0,J3=0),I26,J7)</f>
        <v>0</v>
      </c>
      <c r="K26" s="77"/>
      <c r="L26" s="77">
        <f>L7</f>
        <v>0</v>
      </c>
      <c r="M26" s="77">
        <f>IF(AND(L18=0,L26&gt;0,M3=0),L26,M7)</f>
        <v>0</v>
      </c>
      <c r="N26" s="77"/>
      <c r="O26" s="77"/>
      <c r="V26" s="282" t="s">
        <v>332</v>
      </c>
      <c r="Y26" s="3">
        <f>Z25+0.001</f>
        <v>40.000999999999998</v>
      </c>
      <c r="Z26" s="3">
        <f>Z25+10</f>
        <v>50</v>
      </c>
      <c r="AA26" s="3">
        <f>AA25+10</f>
        <v>50</v>
      </c>
      <c r="AI26" s="78" t="s">
        <v>369</v>
      </c>
      <c r="AJ26" s="78">
        <v>4</v>
      </c>
      <c r="AK26" s="77">
        <v>0</v>
      </c>
      <c r="AL26" s="77">
        <v>4</v>
      </c>
      <c r="AN26" s="77" t="s">
        <v>369</v>
      </c>
      <c r="AO26" s="328" t="s">
        <v>395</v>
      </c>
      <c r="AP26" s="328" t="s">
        <v>394</v>
      </c>
      <c r="AQ26" s="328" t="s">
        <v>392</v>
      </c>
      <c r="AS26" s="77" t="s">
        <v>369</v>
      </c>
      <c r="AT26" s="77">
        <f>L16</f>
        <v>0</v>
      </c>
      <c r="AU26" s="77">
        <f>I16-L16</f>
        <v>0</v>
      </c>
      <c r="AV26" s="77">
        <f>MAX(M16,J16-(I16-L16))</f>
        <v>0</v>
      </c>
    </row>
    <row r="27" spans="2:76" hidden="1" x14ac:dyDescent="0.3">
      <c r="B27" s="77" t="s">
        <v>128</v>
      </c>
      <c r="C27" s="77">
        <f>IF(C18=0,0,MATCH(C26,'Max greens'!$B:$B))</f>
        <v>0</v>
      </c>
      <c r="D27" s="77">
        <f>IF(D18=0,0,MATCH(D26,'Max greens'!$B:$B))</f>
        <v>0</v>
      </c>
      <c r="E27" s="77"/>
      <c r="F27" s="77">
        <f>IF(F18=0,0,MATCH(F26,'Max greens'!$B:$B))</f>
        <v>0</v>
      </c>
      <c r="G27" s="77">
        <f>IF(G18=0,0,MATCH(G26,'Max greens'!$B:$B))</f>
        <v>0</v>
      </c>
      <c r="H27" s="77"/>
      <c r="I27" s="77">
        <f>IF(I18=0,0,MATCH(I26,'Max greens'!$B:$B))</f>
        <v>0</v>
      </c>
      <c r="J27" s="77">
        <f>IF(J18=0,0,MATCH(J26,'Max greens'!$B:$B))</f>
        <v>0</v>
      </c>
      <c r="K27" s="77"/>
      <c r="L27" s="77">
        <f>IF(L18=0,0,MATCH(L26,'Max greens'!$B:$B))</f>
        <v>0</v>
      </c>
      <c r="M27" s="77">
        <f>IF(M18=0,0,MATCH(M26,'Max greens'!$B:$B))</f>
        <v>0</v>
      </c>
      <c r="N27" s="77"/>
      <c r="O27" s="77"/>
      <c r="Q27" s="55"/>
      <c r="R27" s="539" t="s">
        <v>113</v>
      </c>
      <c r="S27" s="539"/>
      <c r="T27" s="539"/>
      <c r="U27" s="539"/>
      <c r="V27" s="77">
        <f>IF(MAX(V25,AC24)&gt;='Input sheet'!V9,'Input sheet'!V9,MAX(V25,AC24))</f>
        <v>40</v>
      </c>
      <c r="Y27" s="319">
        <f t="shared" ref="Y27:Y36" si="6">Z26+0.001</f>
        <v>50.000999999999998</v>
      </c>
      <c r="Z27" s="319">
        <f t="shared" ref="Z27:Z35" si="7">Z26+10</f>
        <v>60</v>
      </c>
      <c r="AA27" s="319">
        <f t="shared" ref="AA27:AA36" si="8">AA26+10</f>
        <v>60</v>
      </c>
      <c r="AI27" s="78" t="s">
        <v>370</v>
      </c>
      <c r="AJ27" s="78">
        <v>4</v>
      </c>
      <c r="AK27" s="77">
        <v>0</v>
      </c>
      <c r="AL27" s="77">
        <v>4</v>
      </c>
      <c r="AN27" s="77" t="s">
        <v>370</v>
      </c>
      <c r="AO27" s="328" t="s">
        <v>395</v>
      </c>
      <c r="AP27" s="328" t="s">
        <v>393</v>
      </c>
      <c r="AQ27" s="328" t="s">
        <v>392</v>
      </c>
      <c r="AS27" s="77" t="s">
        <v>370</v>
      </c>
      <c r="AT27" s="77">
        <f>I16</f>
        <v>0</v>
      </c>
      <c r="AU27" s="77">
        <f>L16-I16</f>
        <v>0</v>
      </c>
      <c r="AV27" s="77">
        <f>MAX(J16,M16-(L16-I16))</f>
        <v>0</v>
      </c>
    </row>
    <row r="28" spans="2:76" hidden="1" x14ac:dyDescent="0.3">
      <c r="B28" s="77" t="s">
        <v>129</v>
      </c>
      <c r="C28" s="77">
        <f>IF(SUM('Phase designation'!B19:H19)&gt;2,0,MATCH($C$25,'Max greens'!5:5))</f>
        <v>0</v>
      </c>
      <c r="D28" s="77">
        <f>IF(SUM('Phase designation'!B19:H19)&gt;2,0,MATCH($C$25,'Max greens'!5:5))</f>
        <v>0</v>
      </c>
      <c r="E28" s="77"/>
      <c r="F28" s="77">
        <f>IF(SUM('Phase designation'!B19:H19)&gt;2,0,MATCH($C$25,'Max greens'!5:5))</f>
        <v>0</v>
      </c>
      <c r="G28" s="77">
        <f>IF(SUM('Phase designation'!B19:H19)&gt;2,0,MATCH($C$25,'Max greens'!5:5))</f>
        <v>0</v>
      </c>
      <c r="H28" s="77"/>
      <c r="I28" s="77">
        <f>IF(SUM('Phase designation'!B19:H19)&gt;2,0,MATCH($C$25,'Max greens'!5:5))</f>
        <v>0</v>
      </c>
      <c r="J28" s="77">
        <f>IF(SUM('Phase designation'!B19:H19)&gt;2,0,MATCH($C$25,'Max greens'!5:5))</f>
        <v>0</v>
      </c>
      <c r="K28" s="77"/>
      <c r="L28" s="77">
        <f>IF(SUM('Phase designation'!B19:H19)&gt;2,0,MATCH($C$25,'Max greens'!5:5))</f>
        <v>0</v>
      </c>
      <c r="M28" s="77">
        <f>IF(SUM('Phase designation'!B19:H19)&gt;2,0,MATCH($C$25,'Max greens'!5:5))</f>
        <v>0</v>
      </c>
      <c r="N28" s="77"/>
      <c r="O28" s="77"/>
      <c r="Q28" s="56"/>
      <c r="R28" s="57" t="str">
        <f>'Phase designation'!K35</f>
        <v/>
      </c>
      <c r="S28" s="57" t="str">
        <f>'Phase designation'!L35</f>
        <v>b</v>
      </c>
      <c r="T28" s="57" t="str">
        <f>'Phase designation'!M35</f>
        <v/>
      </c>
      <c r="U28" s="57"/>
      <c r="Y28" s="319">
        <f t="shared" si="6"/>
        <v>60.000999999999998</v>
      </c>
      <c r="Z28" s="319">
        <f t="shared" si="7"/>
        <v>70</v>
      </c>
      <c r="AA28" s="319">
        <f t="shared" si="8"/>
        <v>70</v>
      </c>
      <c r="AI28" s="78">
        <v>4</v>
      </c>
      <c r="AJ28" s="78">
        <v>4</v>
      </c>
      <c r="AK28" s="77">
        <v>4</v>
      </c>
      <c r="AN28" s="77">
        <v>4</v>
      </c>
      <c r="AO28" s="328" t="s">
        <v>394</v>
      </c>
      <c r="AP28" s="328" t="s">
        <v>393</v>
      </c>
      <c r="AQ28" s="328"/>
      <c r="AS28" s="77">
        <v>4</v>
      </c>
      <c r="AT28" s="77">
        <f>MAX(J16,I16)</f>
        <v>0</v>
      </c>
      <c r="AU28" s="77">
        <f>MAX(M16,L16)</f>
        <v>0</v>
      </c>
    </row>
    <row r="29" spans="2:76" hidden="1" x14ac:dyDescent="0.3">
      <c r="B29" s="313" t="s">
        <v>256</v>
      </c>
      <c r="C29" s="336" t="str">
        <f>Phasing!O13</f>
        <v/>
      </c>
      <c r="D29" s="336" t="str">
        <f>Phasing!P13</f>
        <v/>
      </c>
      <c r="E29" s="336" t="str">
        <f>D29</f>
        <v/>
      </c>
      <c r="F29" s="336" t="str">
        <f>Phasing!Q13</f>
        <v/>
      </c>
      <c r="G29" s="336" t="str">
        <f>Phasing!R13</f>
        <v/>
      </c>
      <c r="H29" s="336" t="str">
        <f>G29</f>
        <v/>
      </c>
      <c r="I29" s="336" t="str">
        <f>Phasing!S13</f>
        <v/>
      </c>
      <c r="J29" s="336" t="str">
        <f>Phasing!T13</f>
        <v/>
      </c>
      <c r="K29" s="336" t="str">
        <f>J29</f>
        <v/>
      </c>
      <c r="L29" s="336" t="str">
        <f>Phasing!U13</f>
        <v/>
      </c>
      <c r="M29" s="336" t="str">
        <f>Phasing!V13</f>
        <v/>
      </c>
      <c r="N29" s="336" t="str">
        <f>M29</f>
        <v/>
      </c>
      <c r="O29" s="77"/>
      <c r="Q29" s="59" t="s">
        <v>105</v>
      </c>
      <c r="R29" s="80" t="str">
        <f>'Phase designation'!K36</f>
        <v/>
      </c>
      <c r="S29" s="80" t="str">
        <f>'Phase designation'!L36</f>
        <v/>
      </c>
      <c r="T29" s="80" t="str">
        <f>'Phase designation'!M36</f>
        <v/>
      </c>
      <c r="U29" s="80" t="str">
        <f>'Phase designation'!N36</f>
        <v/>
      </c>
      <c r="Y29" s="319">
        <f t="shared" si="6"/>
        <v>70.001000000000005</v>
      </c>
      <c r="Z29" s="319">
        <f t="shared" si="7"/>
        <v>80</v>
      </c>
      <c r="AA29" s="319">
        <f t="shared" si="8"/>
        <v>80</v>
      </c>
    </row>
    <row r="30" spans="2:76" hidden="1" x14ac:dyDescent="0.3">
      <c r="B30" s="313" t="s">
        <v>409</v>
      </c>
      <c r="C30" s="77">
        <f>IF(SUM('Phase designation'!B19:H19)&gt;2,0,AQ48)</f>
        <v>0</v>
      </c>
      <c r="D30" s="313">
        <f>IF(SUM('Phase designation'!B19:H19)&gt;2,0,AR48)</f>
        <v>0</v>
      </c>
      <c r="E30" s="313">
        <f>IF(SUM('Phase designation'!B19:H19)&gt;2,0,AS48)</f>
        <v>0</v>
      </c>
      <c r="F30" s="313">
        <f>IF(SUM('Phase designation'!B19:H19)&gt;2,0,AT48)</f>
        <v>0</v>
      </c>
      <c r="G30" s="313">
        <f>IF(SUM('Phase designation'!B19:H19)&gt;2,0,AU48)</f>
        <v>0</v>
      </c>
      <c r="H30" s="313">
        <f>IF(SUM('Phase designation'!B19:H19)&gt;2,0,AV48)</f>
        <v>0</v>
      </c>
      <c r="I30" s="313">
        <f>IF(SUM('Phase designation'!B19:H19)&gt;2,0,AW48)</f>
        <v>0</v>
      </c>
      <c r="J30" s="313">
        <f>IF(SUM('Phase designation'!B19:H19)&gt;2,0,AX48)</f>
        <v>0</v>
      </c>
      <c r="K30" s="313">
        <f>IF(SUM('Phase designation'!B19:H19)&gt;2,0,AY48)</f>
        <v>0</v>
      </c>
      <c r="L30" s="313">
        <f>IF(SUM('Phase designation'!B19:H19)&gt;2,0,AZ48)</f>
        <v>0</v>
      </c>
      <c r="M30" s="313">
        <f>IF(SUM('Phase designation'!B19:H19)&gt;2,0,BA48)</f>
        <v>0</v>
      </c>
      <c r="N30" s="313">
        <f>IF(SUM('Phase designation'!B19:H19)&gt;2,0,BB48)</f>
        <v>0</v>
      </c>
      <c r="O30" s="77"/>
      <c r="Q30" s="61" t="s">
        <v>106</v>
      </c>
      <c r="R30" s="80" t="str">
        <f>'Phase designation'!K37</f>
        <v/>
      </c>
      <c r="S30" s="80" t="str">
        <f>'Phase designation'!L37</f>
        <v/>
      </c>
      <c r="T30" s="80" t="str">
        <f>'Phase designation'!M37</f>
        <v/>
      </c>
      <c r="U30" s="80" t="str">
        <f>'Phase designation'!N37</f>
        <v/>
      </c>
      <c r="Y30" s="319">
        <f t="shared" si="6"/>
        <v>80.001000000000005</v>
      </c>
      <c r="Z30" s="319">
        <f t="shared" si="7"/>
        <v>90</v>
      </c>
      <c r="AA30" s="319">
        <f t="shared" si="8"/>
        <v>90</v>
      </c>
      <c r="AH30" s="331" t="s">
        <v>382</v>
      </c>
      <c r="AI30" s="330">
        <f>AB21</f>
        <v>4</v>
      </c>
      <c r="AJ30" s="167"/>
      <c r="AK30" s="307"/>
      <c r="AL30" s="307"/>
    </row>
    <row r="31" spans="2:76" s="69" customFormat="1" x14ac:dyDescent="0.3">
      <c r="B31" s="77"/>
      <c r="C31" s="77"/>
      <c r="D31" s="77"/>
      <c r="E31" s="77"/>
      <c r="F31" s="77"/>
      <c r="G31" s="77"/>
      <c r="H31" s="77"/>
      <c r="I31" s="77"/>
      <c r="J31" s="77"/>
      <c r="K31" s="77"/>
      <c r="L31" s="77"/>
      <c r="M31" s="77"/>
      <c r="N31" s="77"/>
      <c r="O31" s="313"/>
      <c r="P31" s="282"/>
      <c r="Q31" s="62" t="s">
        <v>105</v>
      </c>
      <c r="R31" s="87">
        <f t="shared" ref="R31:U32" si="9">IF(R29=0,0,1)</f>
        <v>1</v>
      </c>
      <c r="S31" s="87">
        <f t="shared" si="9"/>
        <v>1</v>
      </c>
      <c r="T31" s="87">
        <f t="shared" si="9"/>
        <v>1</v>
      </c>
      <c r="U31" s="87">
        <f t="shared" si="9"/>
        <v>1</v>
      </c>
      <c r="Y31" s="319">
        <f t="shared" si="6"/>
        <v>90.001000000000005</v>
      </c>
      <c r="Z31" s="319">
        <f t="shared" si="7"/>
        <v>100</v>
      </c>
      <c r="AA31" s="319">
        <f t="shared" si="8"/>
        <v>100</v>
      </c>
      <c r="AE31" s="78"/>
      <c r="AF31" s="78"/>
      <c r="AG31" s="78"/>
      <c r="AH31" s="78"/>
      <c r="AI31" s="167" t="s">
        <v>385</v>
      </c>
      <c r="AJ31" s="167">
        <f>INDEX(AJ21:AJ28,MATCH($AI$30,$AI$21:$AI$28,0))</f>
        <v>4</v>
      </c>
      <c r="AK31" s="167">
        <f>INDEX(AK21:AK28,MATCH($AI$30,$AI$21:$AI$28,0))</f>
        <v>4</v>
      </c>
      <c r="AL31" s="167">
        <f>INDEX(AL21:AL28,MATCH($AI$30,$AI$21:$AI$28,0))</f>
        <v>0</v>
      </c>
      <c r="AM31" s="77"/>
      <c r="AN31" s="77"/>
      <c r="AO31" s="77"/>
      <c r="AP31" s="77"/>
      <c r="AQ31" s="77"/>
      <c r="AR31" s="77"/>
      <c r="AS31" s="77"/>
      <c r="AT31" s="77"/>
      <c r="AU31" s="77"/>
      <c r="AV31" s="77"/>
      <c r="BK31" s="418"/>
    </row>
    <row r="32" spans="2:76" x14ac:dyDescent="0.3">
      <c r="B32" s="247" t="s">
        <v>73</v>
      </c>
      <c r="C32" s="338" t="str">
        <f>C2</f>
        <v>EBL</v>
      </c>
      <c r="D32" s="339" t="str">
        <f>D2</f>
        <v>EBT</v>
      </c>
      <c r="E32" s="339" t="s">
        <v>15</v>
      </c>
      <c r="F32" s="338" t="s">
        <v>18</v>
      </c>
      <c r="G32" s="339" t="s">
        <v>19</v>
      </c>
      <c r="H32" s="339" t="s">
        <v>20</v>
      </c>
      <c r="I32" s="338" t="s">
        <v>3</v>
      </c>
      <c r="J32" s="339" t="s">
        <v>4</v>
      </c>
      <c r="K32" s="339" t="s">
        <v>5</v>
      </c>
      <c r="L32" s="338" t="s">
        <v>8</v>
      </c>
      <c r="M32" s="339" t="s">
        <v>9</v>
      </c>
      <c r="N32" s="339" t="s">
        <v>10</v>
      </c>
      <c r="O32" s="313"/>
      <c r="Q32" s="47" t="s">
        <v>106</v>
      </c>
      <c r="R32" s="87">
        <f t="shared" si="9"/>
        <v>1</v>
      </c>
      <c r="S32" s="87">
        <f t="shared" si="9"/>
        <v>1</v>
      </c>
      <c r="T32" s="87">
        <f t="shared" si="9"/>
        <v>1</v>
      </c>
      <c r="U32" s="87">
        <f t="shared" si="9"/>
        <v>1</v>
      </c>
      <c r="Y32" s="319">
        <f t="shared" si="6"/>
        <v>100.001</v>
      </c>
      <c r="Z32" s="319">
        <f t="shared" si="7"/>
        <v>110</v>
      </c>
      <c r="AA32" s="319">
        <f t="shared" si="8"/>
        <v>110</v>
      </c>
      <c r="AI32" s="167" t="s">
        <v>386</v>
      </c>
      <c r="AJ32" s="167" t="str">
        <f>INDEX(AO21:AO28,MATCH($AI$30,$AN$21:$AN$28,0))</f>
        <v>NBTHLT</v>
      </c>
      <c r="AK32" s="167" t="str">
        <f>INDEX(AP21:AP28,MATCH($AI$30,$AN$21:$AN$28,0))</f>
        <v>SBTHLT</v>
      </c>
      <c r="AL32" s="167">
        <f>INDEX(AQ21:AQ28,MATCH($AI$30,$AN$21:$AN$28,0))</f>
        <v>0</v>
      </c>
    </row>
    <row r="33" spans="2:63" x14ac:dyDescent="0.3">
      <c r="B33" s="77" t="s">
        <v>124</v>
      </c>
      <c r="C33" s="508">
        <f>IF(C18=0,C19,C18)</f>
        <v>0</v>
      </c>
      <c r="D33" s="509">
        <f>D18</f>
        <v>0</v>
      </c>
      <c r="E33" s="509">
        <f>IF(D33=0,E18,D33)</f>
        <v>0</v>
      </c>
      <c r="F33" s="508">
        <f>IF(F18=0,F19,F18)</f>
        <v>0</v>
      </c>
      <c r="G33" s="509">
        <f>G18</f>
        <v>0</v>
      </c>
      <c r="H33" s="509">
        <f>IF(G33=0,H18,G33)</f>
        <v>0</v>
      </c>
      <c r="I33" s="508">
        <f>IF(I18=0,I19,I18)</f>
        <v>0</v>
      </c>
      <c r="J33" s="509">
        <f>J18</f>
        <v>0</v>
      </c>
      <c r="K33" s="509">
        <f>IF(J33=0,K18,J33)</f>
        <v>0</v>
      </c>
      <c r="L33" s="508">
        <f>IF(L18=0,L19,L18)</f>
        <v>0</v>
      </c>
      <c r="M33" s="509">
        <f>M18</f>
        <v>0</v>
      </c>
      <c r="N33" s="509">
        <f>IF(M33=0,N18,M33)</f>
        <v>0</v>
      </c>
      <c r="O33" s="313"/>
      <c r="Y33" s="319">
        <f t="shared" si="6"/>
        <v>110.001</v>
      </c>
      <c r="Z33" s="319">
        <f t="shared" si="7"/>
        <v>120</v>
      </c>
      <c r="AA33" s="319">
        <f t="shared" si="8"/>
        <v>120</v>
      </c>
      <c r="AI33" s="167" t="s">
        <v>387</v>
      </c>
      <c r="AJ33" s="167">
        <f>INDEX(AT21:AT28,MATCH($AI$30,$AS$21:$AS$28,0))</f>
        <v>0</v>
      </c>
      <c r="AK33" s="167">
        <f>INDEX(AU21:AU28,MATCH($AI$30,$AS$21:$AS$28,0))</f>
        <v>0</v>
      </c>
      <c r="AL33" s="167">
        <f>INDEX(AV21:AV28,MATCH($AI$30,$AS$21:$AS$28,0))</f>
        <v>0</v>
      </c>
      <c r="AP33" s="524" t="s">
        <v>381</v>
      </c>
      <c r="AQ33" s="307" t="str">
        <f>AJ16</f>
        <v>EBTHLT</v>
      </c>
      <c r="AR33" s="307" t="str">
        <f>AK16</f>
        <v>WBTHLT</v>
      </c>
      <c r="AS33" s="307">
        <f>AL16</f>
        <v>0</v>
      </c>
      <c r="AT33" s="236"/>
      <c r="AU33" s="236"/>
      <c r="AV33" s="236"/>
      <c r="AW33" s="236"/>
      <c r="AX33" s="236"/>
      <c r="AY33" s="236"/>
      <c r="AZ33" s="236"/>
      <c r="BA33" s="236"/>
      <c r="BB33" s="236"/>
    </row>
    <row r="34" spans="2:63" x14ac:dyDescent="0.3">
      <c r="B34" s="250" t="s">
        <v>134</v>
      </c>
      <c r="C34" s="314">
        <f>IF(C18=0,Phasing!P30,Phasing!O30)</f>
        <v>0</v>
      </c>
      <c r="D34" s="314">
        <f>Phasing!P30</f>
        <v>0</v>
      </c>
      <c r="E34" s="315">
        <f>INDEX(Phasing!$O$30:$V$30,1,MATCH('Phase calculation'!E33,Phasing!$O$5:$V$5,0))</f>
        <v>0</v>
      </c>
      <c r="F34" s="314">
        <f>IF(F18=0,Phasing!R30,Phasing!Q30)</f>
        <v>0</v>
      </c>
      <c r="G34" s="314">
        <f>Phasing!R30</f>
        <v>0</v>
      </c>
      <c r="H34" s="315">
        <f>INDEX(Phasing!$O$30:$V$30,1,MATCH('Phase calculation'!H33,Phasing!$O$5:$V$5,0))</f>
        <v>0</v>
      </c>
      <c r="I34" s="314">
        <f>IF(I18=0,Phasing!T30,Phasing!S30)</f>
        <v>0</v>
      </c>
      <c r="J34" s="314">
        <f>Phasing!T30</f>
        <v>0</v>
      </c>
      <c r="K34" s="315">
        <f>INDEX(Phasing!$O$30:$V$30,1,MATCH('Phase calculation'!K33,Phasing!$O$5:$V$5,0))</f>
        <v>0</v>
      </c>
      <c r="L34" s="314">
        <f>IF(L18=0,Phasing!V30,Phasing!U30)</f>
        <v>0</v>
      </c>
      <c r="M34" s="314">
        <f>Phasing!V30</f>
        <v>0</v>
      </c>
      <c r="N34" s="315">
        <f>INDEX(Phasing!$O$30:$V$30,1,MATCH('Phase calculation'!N33,Phasing!$O$5:$V$5,0))</f>
        <v>0</v>
      </c>
      <c r="O34" s="313"/>
      <c r="Y34" s="319">
        <f t="shared" si="6"/>
        <v>120.001</v>
      </c>
      <c r="Z34" s="319">
        <f t="shared" si="7"/>
        <v>130</v>
      </c>
      <c r="AA34" s="319">
        <f t="shared" si="8"/>
        <v>130</v>
      </c>
      <c r="AI34" s="332" t="s">
        <v>396</v>
      </c>
      <c r="AJ34" s="332">
        <f>IF(AJ33=0,0,ROUND(($C$25-$C$23)*(AJ33/$O$17)+AJ31,1))</f>
        <v>0</v>
      </c>
      <c r="AK34" s="332">
        <f>IF(AK33=0,0,ROUND(($C$25-$C$23)*(AK33/$O$17)+AK31,1))</f>
        <v>0</v>
      </c>
      <c r="AL34" s="332">
        <f>IF(AL33=0,0,ROUND(($C$25-$C$23)*(AL33/$O$17)+AL31,1))</f>
        <v>0</v>
      </c>
      <c r="AP34" s="524"/>
      <c r="AQ34" s="294">
        <f>AJ18</f>
        <v>0</v>
      </c>
      <c r="AR34" s="294">
        <f>AK18</f>
        <v>0</v>
      </c>
      <c r="AS34" s="294">
        <f>AL18</f>
        <v>0</v>
      </c>
      <c r="AT34" s="3"/>
      <c r="AU34" s="3"/>
      <c r="AV34" s="3"/>
    </row>
    <row r="35" spans="2:63" s="234" customFormat="1" x14ac:dyDescent="0.3">
      <c r="B35" s="77" t="s">
        <v>261</v>
      </c>
      <c r="C35" s="508">
        <f>INDEX(Phasing!$O$8:$V$8,1,MATCH('Phase calculation'!C33,Phasing!$O$5:$V$5,0))</f>
        <v>0</v>
      </c>
      <c r="D35" s="508">
        <f>INDEX(Phasing!$O$8:$V$8,1,MATCH('Phase calculation'!D33,Phasing!$O$5:$V$5,0))</f>
        <v>0</v>
      </c>
      <c r="E35" s="508">
        <f>INDEX(Phasing!$O$8:$V$8,1,MATCH('Phase calculation'!E33,Phasing!$O$5:$V$5,0))</f>
        <v>0</v>
      </c>
      <c r="F35" s="508">
        <f>INDEX(Phasing!$O$8:$V$8,1,MATCH('Phase calculation'!F33,Phasing!$O$5:$V$5,0))</f>
        <v>0</v>
      </c>
      <c r="G35" s="508">
        <f>INDEX(Phasing!$O$8:$V$8,1,MATCH('Phase calculation'!G33,Phasing!$O$5:$V$5,0))</f>
        <v>0</v>
      </c>
      <c r="H35" s="508">
        <f>INDEX(Phasing!$O$8:$V$8,1,MATCH('Phase calculation'!H33,Phasing!$O$5:$V$5,0))</f>
        <v>0</v>
      </c>
      <c r="I35" s="508">
        <f>INDEX(Phasing!$O$8:$V$8,1,MATCH('Phase calculation'!I33,Phasing!$O$5:$V$5,0))</f>
        <v>0</v>
      </c>
      <c r="J35" s="508">
        <f>INDEX(Phasing!$O$8:$V$8,1,MATCH('Phase calculation'!J33,Phasing!$O$5:$V$5,0))</f>
        <v>0</v>
      </c>
      <c r="K35" s="508">
        <f>INDEX(Phasing!$O$8:$V$8,1,MATCH('Phase calculation'!K33,Phasing!$O$5:$V$5,0))</f>
        <v>0</v>
      </c>
      <c r="L35" s="508">
        <f>INDEX(Phasing!$O$8:$V$8,1,MATCH('Phase calculation'!L33,Phasing!$O$5:$V$5,0))</f>
        <v>0</v>
      </c>
      <c r="M35" s="508">
        <f>INDEX(Phasing!$O$8:$V$8,1,MATCH('Phase calculation'!M33,Phasing!$O$5:$V$5,0))</f>
        <v>0</v>
      </c>
      <c r="N35" s="508">
        <f>INDEX(Phasing!$O$8:$V$8,1,MATCH('Phase calculation'!N33,Phasing!$O$5:$V$5,0))</f>
        <v>0</v>
      </c>
      <c r="O35" s="313"/>
      <c r="P35" s="282"/>
      <c r="Q35" s="77">
        <f>C33</f>
        <v>0</v>
      </c>
      <c r="R35" s="77">
        <f>D33</f>
        <v>0</v>
      </c>
      <c r="S35" s="77">
        <f>F33</f>
        <v>0</v>
      </c>
      <c r="T35" s="77">
        <f>G33</f>
        <v>0</v>
      </c>
      <c r="U35" s="77">
        <f>I33</f>
        <v>0</v>
      </c>
      <c r="V35" s="77">
        <f>J33</f>
        <v>0</v>
      </c>
      <c r="W35" s="77">
        <f>L33</f>
        <v>0</v>
      </c>
      <c r="X35" s="77">
        <f>M33</f>
        <v>0</v>
      </c>
      <c r="Y35" s="319">
        <f t="shared" si="6"/>
        <v>130.001</v>
      </c>
      <c r="Z35" s="319">
        <f t="shared" si="7"/>
        <v>140</v>
      </c>
      <c r="AA35" s="319">
        <f t="shared" si="8"/>
        <v>140</v>
      </c>
      <c r="AE35" s="78"/>
      <c r="AF35" s="78"/>
      <c r="AG35" s="78"/>
      <c r="AH35" s="78"/>
      <c r="AI35" s="78"/>
      <c r="AJ35" s="245"/>
      <c r="AK35" s="313"/>
      <c r="AL35" s="313"/>
      <c r="AM35" s="77"/>
      <c r="AN35" s="77"/>
      <c r="AO35" s="77"/>
      <c r="AP35" s="547" t="s">
        <v>382</v>
      </c>
      <c r="AQ35" s="307" t="str">
        <f>AJ32</f>
        <v>NBTHLT</v>
      </c>
      <c r="AR35" s="307" t="str">
        <f>AK32</f>
        <v>SBTHLT</v>
      </c>
      <c r="AS35" s="307">
        <f>AL32</f>
        <v>0</v>
      </c>
      <c r="AT35" s="282"/>
      <c r="AU35" s="282"/>
      <c r="AV35" s="282"/>
      <c r="AW35" s="282"/>
      <c r="AX35" s="282"/>
      <c r="AY35" s="282"/>
      <c r="AZ35" s="282"/>
      <c r="BA35" s="282"/>
      <c r="BB35" s="282"/>
      <c r="BK35" s="418"/>
    </row>
    <row r="36" spans="2:63" s="234" customFormat="1" x14ac:dyDescent="0.3">
      <c r="B36" s="250" t="s">
        <v>262</v>
      </c>
      <c r="C36" s="314">
        <f>INDEX(Phasing!$O$11:$V$11,1,MATCH('Phase calculation'!C33,Phasing!$O$5:$V$5,0))</f>
        <v>0</v>
      </c>
      <c r="D36" s="314">
        <f>INDEX(Phasing!$O$11:$V$11,1,MATCH('Phase calculation'!D33,Phasing!$O$5:$V$5,0))</f>
        <v>0</v>
      </c>
      <c r="E36" s="314">
        <f>INDEX(Phasing!$O$11:$V$11,1,MATCH('Phase calculation'!E33,Phasing!$O$5:$V$5,0))</f>
        <v>0</v>
      </c>
      <c r="F36" s="314">
        <f>INDEX(Phasing!$O$11:$V$11,1,MATCH('Phase calculation'!F33,Phasing!$O$5:$V$5,0))</f>
        <v>0</v>
      </c>
      <c r="G36" s="314">
        <f>INDEX(Phasing!$O$11:$V$11,1,MATCH('Phase calculation'!G33,Phasing!$O$5:$V$5,0))</f>
        <v>0</v>
      </c>
      <c r="H36" s="314">
        <f>INDEX(Phasing!$O$11:$V$11,1,MATCH('Phase calculation'!H33,Phasing!$O$5:$V$5,0))</f>
        <v>0</v>
      </c>
      <c r="I36" s="314">
        <f>INDEX(Phasing!$O$11:$V$11,1,MATCH('Phase calculation'!I33,Phasing!$O$5:$V$5,0))</f>
        <v>0</v>
      </c>
      <c r="J36" s="314">
        <f>INDEX(Phasing!$O$11:$V$11,1,MATCH('Phase calculation'!J33,Phasing!$O$5:$V$5,0))</f>
        <v>0</v>
      </c>
      <c r="K36" s="314">
        <f>INDEX(Phasing!$O$11:$V$11,1,MATCH('Phase calculation'!K33,Phasing!$O$5:$V$5,0))</f>
        <v>0</v>
      </c>
      <c r="L36" s="314">
        <f>INDEX(Phasing!$O$11:$V$11,1,MATCH('Phase calculation'!L33,Phasing!$O$5:$V$5,0))</f>
        <v>0</v>
      </c>
      <c r="M36" s="314">
        <f>INDEX(Phasing!$O$11:$V$11,1,MATCH('Phase calculation'!M33,Phasing!$O$5:$V$5,0))</f>
        <v>0</v>
      </c>
      <c r="N36" s="314">
        <f>INDEX(Phasing!$O$11:$V$11,1,MATCH('Phase calculation'!N33,Phasing!$O$5:$V$5,0))</f>
        <v>0</v>
      </c>
      <c r="O36" s="313"/>
      <c r="P36" s="282"/>
      <c r="Q36" s="78">
        <f>Q40</f>
        <v>0</v>
      </c>
      <c r="R36" s="245">
        <f t="shared" ref="R36:X36" si="10">R40</f>
        <v>0</v>
      </c>
      <c r="S36" s="245">
        <f t="shared" si="10"/>
        <v>0</v>
      </c>
      <c r="T36" s="245">
        <f t="shared" si="10"/>
        <v>0</v>
      </c>
      <c r="U36" s="245">
        <f t="shared" si="10"/>
        <v>0</v>
      </c>
      <c r="V36" s="245">
        <f t="shared" si="10"/>
        <v>0</v>
      </c>
      <c r="W36" s="245">
        <f t="shared" si="10"/>
        <v>0</v>
      </c>
      <c r="X36" s="245">
        <f t="shared" si="10"/>
        <v>0</v>
      </c>
      <c r="Y36" s="319">
        <f t="shared" si="6"/>
        <v>140.001</v>
      </c>
      <c r="Z36" s="319">
        <f>Z35+10</f>
        <v>150</v>
      </c>
      <c r="AA36" s="319">
        <f t="shared" si="8"/>
        <v>150</v>
      </c>
      <c r="AE36" s="78"/>
      <c r="AF36" s="78"/>
      <c r="AG36" s="78"/>
      <c r="AH36" s="78"/>
      <c r="AI36" s="78"/>
      <c r="AJ36" s="245"/>
      <c r="AK36" s="313"/>
      <c r="AL36" s="313"/>
      <c r="AM36" s="77"/>
      <c r="AN36" s="77"/>
      <c r="AO36" s="77"/>
      <c r="AP36" s="547"/>
      <c r="AQ36" s="294">
        <f>AJ34</f>
        <v>0</v>
      </c>
      <c r="AR36" s="294">
        <f>AK34</f>
        <v>0</v>
      </c>
      <c r="AS36" s="294">
        <f>AL34</f>
        <v>0</v>
      </c>
      <c r="AT36" s="164"/>
      <c r="AU36" s="164"/>
      <c r="AV36" s="164"/>
      <c r="AW36" s="164"/>
      <c r="AX36" s="164"/>
      <c r="AY36" s="164"/>
      <c r="AZ36" s="164"/>
      <c r="BA36" s="164"/>
      <c r="BB36" s="164"/>
      <c r="BK36" s="418"/>
    </row>
    <row r="37" spans="2:63" s="234" customFormat="1" x14ac:dyDescent="0.3">
      <c r="B37" s="77" t="s">
        <v>320</v>
      </c>
      <c r="C37" s="244">
        <f>C34-C35-C36</f>
        <v>0</v>
      </c>
      <c r="D37" s="489">
        <f t="shared" ref="D37:N37" si="11">D34-D35-D36</f>
        <v>0</v>
      </c>
      <c r="E37" s="489">
        <f t="shared" si="11"/>
        <v>0</v>
      </c>
      <c r="F37" s="489">
        <f t="shared" si="11"/>
        <v>0</v>
      </c>
      <c r="G37" s="489">
        <f t="shared" si="11"/>
        <v>0</v>
      </c>
      <c r="H37" s="489">
        <f t="shared" si="11"/>
        <v>0</v>
      </c>
      <c r="I37" s="489">
        <f t="shared" si="11"/>
        <v>0</v>
      </c>
      <c r="J37" s="489">
        <f t="shared" si="11"/>
        <v>0</v>
      </c>
      <c r="K37" s="489">
        <f t="shared" si="11"/>
        <v>0</v>
      </c>
      <c r="L37" s="489">
        <f t="shared" si="11"/>
        <v>0</v>
      </c>
      <c r="M37" s="489">
        <f t="shared" si="11"/>
        <v>0</v>
      </c>
      <c r="N37" s="489">
        <f t="shared" si="11"/>
        <v>0</v>
      </c>
      <c r="O37" s="313"/>
      <c r="P37" s="282"/>
      <c r="Q37" s="78"/>
      <c r="R37" s="78"/>
      <c r="S37" s="78"/>
      <c r="T37" s="78"/>
      <c r="U37" s="78"/>
      <c r="V37" s="78"/>
      <c r="W37" s="78"/>
      <c r="X37" s="78"/>
      <c r="Y37" s="234">
        <v>150.001</v>
      </c>
      <c r="Z37" s="319">
        <v>100000</v>
      </c>
      <c r="AA37" s="319">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139</v>
      </c>
      <c r="BG37" s="166" t="s">
        <v>221</v>
      </c>
      <c r="BK37" s="418"/>
    </row>
    <row r="38" spans="2:63" s="234" customFormat="1" x14ac:dyDescent="0.3">
      <c r="B38" s="250" t="s">
        <v>321</v>
      </c>
      <c r="C38" s="314">
        <f>IF(C37=0,0,(C37+C36+C35)-C20)</f>
        <v>0</v>
      </c>
      <c r="D38" s="315">
        <f t="shared" ref="D38:N38" si="12">IF(D37=0,0,(D37+D36+D35)-D20)</f>
        <v>0</v>
      </c>
      <c r="E38" s="315">
        <f t="shared" si="12"/>
        <v>0</v>
      </c>
      <c r="F38" s="314">
        <f t="shared" si="12"/>
        <v>0</v>
      </c>
      <c r="G38" s="315">
        <f t="shared" si="12"/>
        <v>0</v>
      </c>
      <c r="H38" s="315">
        <f t="shared" si="12"/>
        <v>0</v>
      </c>
      <c r="I38" s="314">
        <f t="shared" si="12"/>
        <v>0</v>
      </c>
      <c r="J38" s="315">
        <f t="shared" si="12"/>
        <v>0</v>
      </c>
      <c r="K38" s="315">
        <f t="shared" si="12"/>
        <v>0</v>
      </c>
      <c r="L38" s="314">
        <f t="shared" si="12"/>
        <v>0</v>
      </c>
      <c r="M38" s="315">
        <f t="shared" si="12"/>
        <v>0</v>
      </c>
      <c r="N38" s="315">
        <f t="shared" si="12"/>
        <v>0</v>
      </c>
      <c r="O38" s="313"/>
      <c r="P38" s="282"/>
      <c r="Q38" s="78"/>
      <c r="R38" s="78"/>
      <c r="S38" s="78"/>
      <c r="T38" s="78"/>
      <c r="U38" s="78"/>
      <c r="V38" s="78"/>
      <c r="W38" s="78"/>
      <c r="X38" s="78"/>
      <c r="AE38" s="78"/>
      <c r="AF38" s="78"/>
      <c r="AG38" s="78"/>
      <c r="AH38" s="78"/>
      <c r="AI38" s="78"/>
      <c r="AJ38" s="78"/>
      <c r="AK38" s="77"/>
      <c r="AL38" s="77"/>
      <c r="AM38" s="77"/>
      <c r="AN38" s="77"/>
      <c r="AO38" s="77"/>
      <c r="AP38" s="342"/>
      <c r="AQ38" s="542" t="s">
        <v>397</v>
      </c>
      <c r="AR38" s="543"/>
      <c r="AS38" s="543"/>
      <c r="AT38" s="542" t="s">
        <v>398</v>
      </c>
      <c r="AU38" s="543"/>
      <c r="AV38" s="543"/>
      <c r="AW38" s="542" t="s">
        <v>399</v>
      </c>
      <c r="AX38" s="543"/>
      <c r="AY38" s="543"/>
      <c r="AZ38" s="542" t="s">
        <v>400</v>
      </c>
      <c r="BA38" s="543"/>
      <c r="BB38" s="543"/>
      <c r="BF38" s="166" t="s">
        <v>142</v>
      </c>
      <c r="BG38" s="67"/>
      <c r="BK38" s="418"/>
    </row>
    <row r="39" spans="2:63" s="308" customFormat="1" x14ac:dyDescent="0.3">
      <c r="B39" s="313" t="s">
        <v>424</v>
      </c>
      <c r="C39" s="355">
        <f t="shared" ref="C39:N39" si="13">IF($C$25=0,0,C34/$C$25)</f>
        <v>0</v>
      </c>
      <c r="D39" s="354">
        <f t="shared" si="13"/>
        <v>0</v>
      </c>
      <c r="E39" s="354">
        <f t="shared" si="13"/>
        <v>0</v>
      </c>
      <c r="F39" s="355">
        <f t="shared" si="13"/>
        <v>0</v>
      </c>
      <c r="G39" s="354">
        <f t="shared" si="13"/>
        <v>0</v>
      </c>
      <c r="H39" s="354">
        <f t="shared" si="13"/>
        <v>0</v>
      </c>
      <c r="I39" s="355">
        <f t="shared" si="13"/>
        <v>0</v>
      </c>
      <c r="J39" s="354">
        <f t="shared" si="13"/>
        <v>0</v>
      </c>
      <c r="K39" s="354">
        <f t="shared" si="13"/>
        <v>0</v>
      </c>
      <c r="L39" s="355">
        <f t="shared" si="13"/>
        <v>0</v>
      </c>
      <c r="M39" s="354">
        <f t="shared" si="13"/>
        <v>0</v>
      </c>
      <c r="N39" s="354">
        <f t="shared" si="13"/>
        <v>0</v>
      </c>
      <c r="O39" s="313"/>
      <c r="P39" s="313"/>
      <c r="Q39" s="245"/>
      <c r="R39" s="245"/>
      <c r="S39" s="245"/>
      <c r="T39" s="245"/>
      <c r="U39" s="245"/>
      <c r="V39" s="245"/>
      <c r="W39" s="245"/>
      <c r="X39" s="245"/>
      <c r="AE39" s="245"/>
      <c r="AF39" s="245"/>
      <c r="AG39" s="245"/>
      <c r="AH39" s="245"/>
      <c r="AI39" s="245"/>
      <c r="AJ39" s="245"/>
      <c r="AK39" s="313"/>
      <c r="AL39" s="313"/>
      <c r="AM39" s="313"/>
      <c r="AN39" s="313"/>
      <c r="AO39" s="313"/>
      <c r="AP39" s="342"/>
      <c r="AQ39" s="309" t="s">
        <v>401</v>
      </c>
      <c r="AR39" s="310" t="s">
        <v>402</v>
      </c>
      <c r="AS39" s="310" t="s">
        <v>403</v>
      </c>
      <c r="AT39" s="309" t="s">
        <v>401</v>
      </c>
      <c r="AU39" s="310" t="s">
        <v>402</v>
      </c>
      <c r="AV39" s="310" t="s">
        <v>403</v>
      </c>
      <c r="AW39" s="309" t="s">
        <v>401</v>
      </c>
      <c r="AX39" s="310" t="s">
        <v>402</v>
      </c>
      <c r="AY39" s="310" t="s">
        <v>403</v>
      </c>
      <c r="AZ39" s="309" t="s">
        <v>401</v>
      </c>
      <c r="BA39" s="310" t="s">
        <v>402</v>
      </c>
      <c r="BB39" s="310" t="s">
        <v>403</v>
      </c>
      <c r="BF39" s="166" t="s">
        <v>143</v>
      </c>
      <c r="BG39" s="156"/>
      <c r="BK39" s="418"/>
    </row>
    <row r="40" spans="2:63" x14ac:dyDescent="0.3">
      <c r="B40" s="250" t="s">
        <v>135</v>
      </c>
      <c r="C40" s="314">
        <f>IF(C41=0,0,ROUND(C5/C41,2))</f>
        <v>0</v>
      </c>
      <c r="D40" s="315">
        <f>IF(D41=0,0,ROUND(D5/D41,2))</f>
        <v>0</v>
      </c>
      <c r="E40" s="340">
        <f>IF(E41=0,0,E9/E41)</f>
        <v>0</v>
      </c>
      <c r="F40" s="314">
        <f>IF(F41=0,0,ROUND(F5/F41,2))</f>
        <v>0</v>
      </c>
      <c r="G40" s="315">
        <f>IF(G41=0,0,ROUND(G5/G41,2))</f>
        <v>0</v>
      </c>
      <c r="H40" s="340">
        <f>IF(H41=0,0,H9/H41)</f>
        <v>0</v>
      </c>
      <c r="I40" s="314">
        <f>IF(I41=0,0,ROUND(I5/I41,2))</f>
        <v>0</v>
      </c>
      <c r="J40" s="315">
        <f>IF(J41=0,0,ROUND(J5/J41,2))</f>
        <v>0</v>
      </c>
      <c r="K40" s="340">
        <f>IF(K41=0,0,K9/K41)</f>
        <v>0</v>
      </c>
      <c r="L40" s="314">
        <f>IF(L41=0,0,ROUND(L5/L41,2))</f>
        <v>0</v>
      </c>
      <c r="M40" s="315">
        <f>IF(M41=0,0,ROUND(M5/M41,2))</f>
        <v>0</v>
      </c>
      <c r="N40" s="340">
        <f>IF(N41=0,0,N9/N41)</f>
        <v>0</v>
      </c>
      <c r="Q40" s="78">
        <f>C30</f>
        <v>0</v>
      </c>
      <c r="R40" s="78">
        <f>D30</f>
        <v>0</v>
      </c>
      <c r="S40" s="78">
        <f>F30</f>
        <v>0</v>
      </c>
      <c r="T40" s="78">
        <f>G30</f>
        <v>0</v>
      </c>
      <c r="U40" s="78">
        <f>I30</f>
        <v>0</v>
      </c>
      <c r="V40" s="78">
        <f>J30</f>
        <v>0</v>
      </c>
      <c r="W40" s="78">
        <f>L30</f>
        <v>0</v>
      </c>
      <c r="X40" s="78">
        <f>M30</f>
        <v>0</v>
      </c>
      <c r="Y40" s="164"/>
      <c r="AP40" s="343" t="s">
        <v>388</v>
      </c>
      <c r="AQ40" s="344"/>
      <c r="AR40" s="343">
        <f>IF($AP$40=$AQ$33,$AQ$34,0)+IF($AP40=$AR$33,$AR$34,0)+IF($AP40=$AS$33,$AS$34,0)</f>
        <v>0</v>
      </c>
      <c r="AS40" s="343">
        <f>IF($AP$40=$AQ$33,$AQ$34,0)+IF($AP40=$AR$33,$AR$34,0)+IF($AP40=$AS$33,$AS$34,0)</f>
        <v>0</v>
      </c>
      <c r="AT40" s="344"/>
      <c r="AU40" s="343">
        <f>IF($AP$40=$AQ$33,$AQ$34,0)+IF($AP40=$AR$33,$AR$34,0)+IF($AP40=$AS$33,$AS$34,0)</f>
        <v>0</v>
      </c>
      <c r="AV40" s="343">
        <f>IF($AP$40=$AQ$33,$AQ$34,0)+IF($AP40=$AR$33,$AR$34,0)+IF($AP40=$AS$33,$AS$34,0)</f>
        <v>0</v>
      </c>
      <c r="AW40" s="344"/>
      <c r="AX40" s="343"/>
      <c r="AY40" s="343"/>
      <c r="AZ40" s="344"/>
      <c r="BA40" s="343"/>
      <c r="BB40" s="343"/>
      <c r="BF40" s="166" t="s">
        <v>144</v>
      </c>
      <c r="BG40" s="157"/>
    </row>
    <row r="41" spans="2:63" x14ac:dyDescent="0.3">
      <c r="B41" s="313" t="s">
        <v>356</v>
      </c>
      <c r="C41" s="244">
        <f>IFERROR(ROUND(C11*C38/$C$25+C14*D38/$C$25,1),0)</f>
        <v>0</v>
      </c>
      <c r="D41" s="245">
        <f>IFERROR(ROUND(D11*D38/$C$25,1),0)</f>
        <v>0</v>
      </c>
      <c r="E41" s="245">
        <f>IF($C$25=0,0,ROUND(E6*E11*E38/$C$25,0))</f>
        <v>0</v>
      </c>
      <c r="F41" s="489">
        <f>IFERROR(ROUND(F11*F38/$C$25+F14*G38/$C$25,1),0)</f>
        <v>0</v>
      </c>
      <c r="G41" s="490">
        <f>IFERROR(ROUND(G11*G38/$C$25,1),0)</f>
        <v>0</v>
      </c>
      <c r="H41" s="245">
        <f>IF($C$25=0,0,ROUND(H6*H11*H38/$C$25,0))</f>
        <v>0</v>
      </c>
      <c r="I41" s="489">
        <f>IFERROR(ROUND(I11*I38/$C$25+I14*J38/$C$25,1),0)</f>
        <v>0</v>
      </c>
      <c r="J41" s="490">
        <f>IFERROR(ROUND(J11*J38/$C$25,1),0)</f>
        <v>0</v>
      </c>
      <c r="K41" s="245">
        <f>IF($C$25=0,0,ROUND(K6*K11*K38/$C$25,0))</f>
        <v>0</v>
      </c>
      <c r="L41" s="489">
        <f>IFERROR(ROUND(L11*L38/$C$25+L14*M38/$C$25,1),0)</f>
        <v>0</v>
      </c>
      <c r="M41" s="490">
        <f>IFERROR(ROUND(M11*M38/$C$25,1),0)</f>
        <v>0</v>
      </c>
      <c r="N41" s="245">
        <f>IF($C$25=0,0,ROUND(N6*N11*N38/$C$25,0))</f>
        <v>0</v>
      </c>
      <c r="Q41" s="62" t="s">
        <v>105</v>
      </c>
      <c r="R41" s="70" t="e">
        <f t="shared" ref="R41:U42" si="14">MATCH(R29,$Q$35:$X$35,0)</f>
        <v>#N/A</v>
      </c>
      <c r="S41" s="70" t="e">
        <f t="shared" si="14"/>
        <v>#N/A</v>
      </c>
      <c r="T41" s="70" t="e">
        <f t="shared" si="14"/>
        <v>#N/A</v>
      </c>
      <c r="U41" s="70" t="e">
        <f t="shared" si="14"/>
        <v>#N/A</v>
      </c>
      <c r="AP41" s="343" t="s">
        <v>389</v>
      </c>
      <c r="AQ41" s="344"/>
      <c r="AR41" s="343"/>
      <c r="AS41" s="343"/>
      <c r="AT41" s="344">
        <f>IF($AP$41=$AQ$33,$AQ$34,0)+IF($AP41=$AR$33,$AR$34,0)+IF($AP41=$AS$33,$AS$34,0)</f>
        <v>0</v>
      </c>
      <c r="AU41" s="343">
        <f>IF($AP$41=$AQ$33,$AQ$34,0)+IF($AP41=$AR$33,$AR$34,0)+IF($AP41=$AS$33,$AS$34,0)</f>
        <v>0</v>
      </c>
      <c r="AV41" s="343">
        <f>IF($AP$41=$AQ$33,$AQ$34,0)+IF($AP41=$AR$33,$AR$34,0)+IF($AP41=$AS$33,$AS$34,0)</f>
        <v>0</v>
      </c>
      <c r="AW41" s="344"/>
      <c r="AX41" s="343"/>
      <c r="AY41" s="343"/>
      <c r="AZ41" s="344"/>
      <c r="BA41" s="343"/>
      <c r="BB41" s="343"/>
      <c r="BF41" s="166" t="s">
        <v>145</v>
      </c>
      <c r="BG41" s="1"/>
    </row>
    <row r="42" spans="2:63" hidden="1" x14ac:dyDescent="0.3">
      <c r="B42" s="313" t="s">
        <v>136</v>
      </c>
      <c r="C42" s="244">
        <f t="shared" ref="C42:N42" si="15">IF(C40=0,0,ROUND((0.5*$C$25*(1-(C38)/$C$25)^2)/(1-(MIN(1,C40)*(C38))/$C$25),2))</f>
        <v>0</v>
      </c>
      <c r="D42" s="245">
        <f t="shared" si="15"/>
        <v>0</v>
      </c>
      <c r="E42" s="245">
        <f t="shared" si="15"/>
        <v>0</v>
      </c>
      <c r="F42" s="244">
        <f t="shared" si="15"/>
        <v>0</v>
      </c>
      <c r="G42" s="245">
        <f t="shared" si="15"/>
        <v>0</v>
      </c>
      <c r="H42" s="245">
        <f t="shared" si="15"/>
        <v>0</v>
      </c>
      <c r="I42" s="244">
        <f t="shared" si="15"/>
        <v>0</v>
      </c>
      <c r="J42" s="245">
        <f t="shared" si="15"/>
        <v>0</v>
      </c>
      <c r="K42" s="245">
        <f t="shared" si="15"/>
        <v>0</v>
      </c>
      <c r="L42" s="244">
        <f t="shared" si="15"/>
        <v>0</v>
      </c>
      <c r="M42" s="245">
        <f t="shared" si="15"/>
        <v>0</v>
      </c>
      <c r="N42" s="245">
        <f t="shared" si="15"/>
        <v>0</v>
      </c>
      <c r="O42" s="313"/>
      <c r="Q42" s="47" t="s">
        <v>106</v>
      </c>
      <c r="R42" s="70" t="e">
        <f t="shared" si="14"/>
        <v>#N/A</v>
      </c>
      <c r="S42" s="70" t="e">
        <f t="shared" si="14"/>
        <v>#N/A</v>
      </c>
      <c r="T42" s="70" t="e">
        <f t="shared" si="14"/>
        <v>#N/A</v>
      </c>
      <c r="U42" s="70" t="e">
        <f t="shared" si="14"/>
        <v>#N/A</v>
      </c>
      <c r="AP42" s="343" t="s">
        <v>390</v>
      </c>
      <c r="AQ42" s="344">
        <f>IF($AP$42=$AQ$33,$AQ$34,0)+IF($AP42=$AR$33,$AR$34,0)+IF($AP42=$AS$33,$AS$34,0)</f>
        <v>0</v>
      </c>
      <c r="AR42" s="343">
        <f>IF($AP$42=$AQ$33,$AQ$34,0)+IF($AP42=$AR$33,$AR$34,0)+IF($AP42=$AS$33,$AS$34,0)</f>
        <v>0</v>
      </c>
      <c r="AS42" s="343">
        <f>IF($AP$42=$AQ$33,$AQ$34,0)+IF($AP42=$AR$33,$AR$34,0)+IF($AP42=$AS$33,$AS$34,0)</f>
        <v>0</v>
      </c>
      <c r="AT42" s="344"/>
      <c r="AU42" s="343"/>
      <c r="AV42" s="343"/>
      <c r="AW42" s="344"/>
      <c r="AX42" s="343"/>
      <c r="AY42" s="343"/>
      <c r="AZ42" s="344"/>
      <c r="BA42" s="343"/>
      <c r="BB42" s="343"/>
      <c r="BF42" s="77"/>
      <c r="BG42" s="62"/>
    </row>
    <row r="43" spans="2:63" hidden="1" x14ac:dyDescent="0.3">
      <c r="B43" s="313" t="s">
        <v>137</v>
      </c>
      <c r="C43" s="244">
        <f>IF(OR(C41=0,C11+C14=0),0,ROUND(225*((C40-1)+SQRT((C40-1)^2+(4*C40)/(C41*0.25))),2))</f>
        <v>0</v>
      </c>
      <c r="D43" s="245">
        <f>IF(OR(D41=0,D11=0),0,ROUND(225*((D40-1)+SQRT((D40-1)^2+(4*D40)/(D41*0.25))),2))</f>
        <v>0</v>
      </c>
      <c r="E43" s="245">
        <f>IF(OR(E41=0,E11=0),0,ROUND(225*((E40-1)+SQRT((E40-1)^2+(4*E40)/(E41*0.25))),2))</f>
        <v>0</v>
      </c>
      <c r="F43" s="244">
        <f>IF(OR(F41=0,F11+F14=0),0,ROUND(225*((F40-1)+SQRT((F40-1)^2+(4*F40)/(F41*0.25))),2))</f>
        <v>0</v>
      </c>
      <c r="G43" s="245">
        <f>IF(OR(G41=0,G11=0),0,ROUND(225*((G40-1)+SQRT((G40-1)^2+(4*G40)/(G41*0.25))),2))</f>
        <v>0</v>
      </c>
      <c r="H43" s="245">
        <f>IF(OR(H41=0,H11=0),0,ROUND(225*((H40-1)+SQRT((H40-1)^2+(4*H40)/(H41*0.25))),2))</f>
        <v>0</v>
      </c>
      <c r="I43" s="244">
        <f>IF(OR(I41=0,I11+I14=0),0,ROUND(225*((I40-1)+SQRT((I40-1)^2+(4*I40)/(I41*0.25))),2))</f>
        <v>0</v>
      </c>
      <c r="J43" s="245">
        <f>IF(OR(J41=0,J11=0),0,ROUND(225*((J40-1)+SQRT((J40-1)^2+(4*J40)/(J41*0.25))),2))</f>
        <v>0</v>
      </c>
      <c r="K43" s="245">
        <f>IF(OR(K41=0,K11=0),0,ROUND(225*((K40-1)+SQRT((K40-1)^2+(4*K40)/(K41*0.25))),2))</f>
        <v>0</v>
      </c>
      <c r="L43" s="244">
        <f>IF(OR(L41=0,L11+L14=0),0,ROUND(225*((L40-1)+SQRT((L40-1)^2+(4*L40)/(L41*0.25))),2))</f>
        <v>0</v>
      </c>
      <c r="M43" s="245">
        <f>IF(OR(M41=0,M41=0),0,ROUND(225*((M40-1)+SQRT((M40-1)^2+(4*M40)/(M41*0.25))),2))</f>
        <v>0</v>
      </c>
      <c r="N43" s="245">
        <f>IF(OR(N41=0,N11=0),0,ROUND(225*((N40-1)+SQRT((N40-1)^2+(4*N40)/(N41*0.25))),2))</f>
        <v>0</v>
      </c>
      <c r="O43" s="313"/>
      <c r="R43" s="69"/>
      <c r="S43" s="69"/>
      <c r="T43" s="69"/>
      <c r="U43" s="69"/>
      <c r="Y43" s="549" t="s">
        <v>301</v>
      </c>
      <c r="Z43" s="549"/>
      <c r="AA43" s="549"/>
      <c r="AB43" s="549"/>
      <c r="AF43" s="78" t="s">
        <v>237</v>
      </c>
      <c r="AG43" s="78" t="s">
        <v>238</v>
      </c>
      <c r="AP43" s="343" t="s">
        <v>391</v>
      </c>
      <c r="AQ43" s="344">
        <f>IF($AP$43=$AQ$33,$AQ$34,0)+IF($AP43=$AR$33,$AR$34,0)+IF($AP43=$AS$33,$AS$34,0)</f>
        <v>0</v>
      </c>
      <c r="AR43" s="343"/>
      <c r="AS43" s="343"/>
      <c r="AT43" s="344">
        <f>IF($AP$43=$AQ$33,$AQ$34,0)+IF($AP43=$AR$33,$AR$34,0)+IF($AP43=$AS$33,$AS$34,0)</f>
        <v>0</v>
      </c>
      <c r="AU43" s="343"/>
      <c r="AV43" s="343"/>
      <c r="AW43" s="344"/>
      <c r="AX43" s="343"/>
      <c r="AY43" s="343"/>
      <c r="AZ43" s="344"/>
      <c r="BA43" s="343"/>
      <c r="BB43" s="343"/>
      <c r="BF43" s="77"/>
      <c r="BG43" s="62"/>
    </row>
    <row r="44" spans="2:63" x14ac:dyDescent="0.3">
      <c r="B44" s="250" t="s">
        <v>138</v>
      </c>
      <c r="C44" s="356">
        <f>IF(C3=0,0,C42+C43)</f>
        <v>0</v>
      </c>
      <c r="D44" s="357">
        <f>IF(OR(D3=0,D6=0),0,D42+D43)</f>
        <v>0</v>
      </c>
      <c r="E44" s="357">
        <f>IF(E3=0,0,E42+E43)</f>
        <v>0</v>
      </c>
      <c r="F44" s="356">
        <f>IF(F3=0,0,F42+F43)</f>
        <v>0</v>
      </c>
      <c r="G44" s="357">
        <f>IF(OR(G3=0,G6=0),0,G42+G43)</f>
        <v>0</v>
      </c>
      <c r="H44" s="357">
        <f>IF(H3=0,0,H42+H43)</f>
        <v>0</v>
      </c>
      <c r="I44" s="356">
        <f>IF(I3=0,0,I42+I43)</f>
        <v>0</v>
      </c>
      <c r="J44" s="357">
        <f>IF(OR(J3=0,J6=0),0,J42+J43)</f>
        <v>0</v>
      </c>
      <c r="K44" s="357">
        <f>IF(K3=0,0,K42+K43)</f>
        <v>0</v>
      </c>
      <c r="L44" s="356">
        <f>IF(L3=0,0,L42+L43)</f>
        <v>0</v>
      </c>
      <c r="M44" s="357">
        <f>IF(OR(M3=0,M6=0),0,M42+M43)</f>
        <v>0</v>
      </c>
      <c r="N44" s="357">
        <f>IF(N3=0,0,N42+N43)</f>
        <v>0</v>
      </c>
      <c r="Q44" s="62" t="s">
        <v>105</v>
      </c>
      <c r="R44" s="70" t="e">
        <f t="shared" ref="R44:U45" si="16">IF(R41&gt;0,MAX(Y44,INDEX($Q$35:$X$36,2,R41),0))</f>
        <v>#N/A</v>
      </c>
      <c r="S44" s="70" t="e">
        <f t="shared" si="16"/>
        <v>#N/A</v>
      </c>
      <c r="T44" s="70" t="e">
        <f t="shared" si="16"/>
        <v>#N/A</v>
      </c>
      <c r="U44" s="70" t="e">
        <f t="shared" si="16"/>
        <v>#N/A</v>
      </c>
      <c r="V44" s="71" t="e">
        <f>SUM(R44:U44)</f>
        <v>#N/A</v>
      </c>
      <c r="X44" s="62" t="s">
        <v>105</v>
      </c>
      <c r="Y44" s="45">
        <f>Phasing!D43</f>
        <v>0</v>
      </c>
      <c r="Z44" s="45">
        <f>Phasing!E43</f>
        <v>0</v>
      </c>
      <c r="AA44" s="45">
        <f>Phasing!F43</f>
        <v>0</v>
      </c>
      <c r="AB44" s="45">
        <f>Phasing!G43</f>
        <v>0</v>
      </c>
      <c r="AC44" s="170" t="s">
        <v>237</v>
      </c>
      <c r="AD44" s="170" t="s">
        <v>238</v>
      </c>
      <c r="AE44" s="47"/>
      <c r="AF44" s="167">
        <f>Y44+Z44</f>
        <v>0</v>
      </c>
      <c r="AG44" s="167">
        <f>AA44+AB44</f>
        <v>0</v>
      </c>
      <c r="AH44" s="62" t="s">
        <v>105</v>
      </c>
      <c r="AI44" s="78">
        <f>IF(MIN(AF44,$AC$45)=0,0,ROUND(Y44*MAX(AF44,$AC$45)/MIN(AF44,$AC$45)*$C$25/$AE$45,0))</f>
        <v>0</v>
      </c>
      <c r="AJ44" s="78">
        <f>IF(MIN(AF44,$AC$45)=0,0,ROUND(Z44*MAX(AF44,$AC$45)/MIN(AF44,$AC$45)*$C$25/$AE$45,0))</f>
        <v>0</v>
      </c>
      <c r="AK44" s="78">
        <f>IF(MIN(AG44,$AD$45)=0,0,ROUND(AA44*MAX(AG44,$AD$45)/MIN(AG44,$AD$45)*$C$25/$AE$45,0))</f>
        <v>0</v>
      </c>
      <c r="AL44" s="78">
        <f>$C$25-SUM(AI44:AK44)</f>
        <v>0</v>
      </c>
      <c r="AM44" s="87"/>
      <c r="AN44" s="87"/>
      <c r="AO44" s="87"/>
      <c r="AP44" s="345" t="s">
        <v>392</v>
      </c>
      <c r="AQ44" s="346"/>
      <c r="AR44" s="345"/>
      <c r="AS44" s="345"/>
      <c r="AT44" s="346"/>
      <c r="AU44" s="345"/>
      <c r="AV44" s="345"/>
      <c r="AW44" s="346"/>
      <c r="AX44" s="345">
        <f>IF($AP$44=$AQ$35,$AQ$36,0)+IF($AP44=$AR$35,$AR$36,0)+IF($AP44=$AS$35,$AS$36,0)</f>
        <v>0</v>
      </c>
      <c r="AY44" s="345">
        <f>IF($AP$44=$AQ$35,$AQ$36,0)+IF($AP44=$AR$35,$AR$36,0)+IF($AP44=$AS$35,$AS$36,0)</f>
        <v>0</v>
      </c>
      <c r="AZ44" s="346"/>
      <c r="BA44" s="345">
        <f>IF($AP$44=$AQ$35,$AQ$36,0)+IF($AP44=$AR$35,$AR$36,0)+IF($AP44=$AS$35,$AS$36,0)</f>
        <v>0</v>
      </c>
      <c r="BB44" s="345">
        <f>IF($AP$44=$AQ$35,$AQ$36,0)+IF($AP44=$AR$35,$AR$36,0)+IF($AP44=$AS$35,$AS$36,0)</f>
        <v>0</v>
      </c>
      <c r="BF44" s="194" t="s">
        <v>146</v>
      </c>
      <c r="BG44" s="155"/>
    </row>
    <row r="45" spans="2:63" x14ac:dyDescent="0.3">
      <c r="B45" s="313" t="s">
        <v>139</v>
      </c>
      <c r="C45" s="243" t="str">
        <f>IF(C44=0,"N/A",VLOOKUP(C44,'LOS table'!$B$3:$D$8,3))</f>
        <v>N/A</v>
      </c>
      <c r="D45" s="45" t="str">
        <f>IF(D44=0,"N/A",VLOOKUP(D44,'LOS table'!$B$3:$D$8,3))</f>
        <v>N/A</v>
      </c>
      <c r="E45" s="45" t="str">
        <f>IF(E44=0,"N/A",VLOOKUP(E44,'LOS table'!$B$3:$D$8,3))</f>
        <v>N/A</v>
      </c>
      <c r="F45" s="243" t="str">
        <f>IF(F44=0,"N/A",VLOOKUP(F44,'LOS table'!$B$3:$D$8,3))</f>
        <v>N/A</v>
      </c>
      <c r="G45" s="45" t="str">
        <f>IF(G44=0,"N/A",VLOOKUP(G44,'LOS table'!$B$3:$D$8,3))</f>
        <v>N/A</v>
      </c>
      <c r="H45" s="45" t="str">
        <f>IF(H44=0,"N/A",VLOOKUP(H44,'LOS table'!$B$3:$D$8,3))</f>
        <v>N/A</v>
      </c>
      <c r="I45" s="243" t="str">
        <f>IF(I44=0,"N/A",VLOOKUP(I44,'LOS table'!$B$3:$D$8,3))</f>
        <v>N/A</v>
      </c>
      <c r="J45" s="45" t="str">
        <f>IF(J44=0,"N/A",VLOOKUP(J44,'LOS table'!$B$3:$D$8,3))</f>
        <v>N/A</v>
      </c>
      <c r="K45" s="45" t="str">
        <f>IF(K44=0,"N/A",VLOOKUP(K44,'LOS table'!$B$3:$D$8,3))</f>
        <v>N/A</v>
      </c>
      <c r="L45" s="243" t="str">
        <f>IF(L44=0,"N/A",VLOOKUP(L44,'LOS table'!$B$3:$D$8,3))</f>
        <v>N/A</v>
      </c>
      <c r="M45" s="45" t="str">
        <f>IF(M44=0,"N/A",VLOOKUP(M44,'LOS table'!$B$3:$D$8,3))</f>
        <v>N/A</v>
      </c>
      <c r="N45" s="45" t="str">
        <f>IF(N44=0,"N/A",VLOOKUP(N44,'LOS table'!$B$3:$D$8,3))</f>
        <v>N/A</v>
      </c>
      <c r="Q45" s="47" t="s">
        <v>106</v>
      </c>
      <c r="R45" s="210" t="e">
        <f t="shared" si="16"/>
        <v>#N/A</v>
      </c>
      <c r="S45" s="70" t="e">
        <f t="shared" si="16"/>
        <v>#N/A</v>
      </c>
      <c r="T45" s="70" t="e">
        <f t="shared" si="16"/>
        <v>#N/A</v>
      </c>
      <c r="U45" s="70" t="e">
        <f t="shared" si="16"/>
        <v>#N/A</v>
      </c>
      <c r="V45" s="71" t="e">
        <f>SUM(R45:U45)</f>
        <v>#N/A</v>
      </c>
      <c r="X45" s="47" t="s">
        <v>106</v>
      </c>
      <c r="Y45" s="45">
        <f>Phasing!H43</f>
        <v>0</v>
      </c>
      <c r="Z45" s="45">
        <f>Phasing!I43</f>
        <v>0</v>
      </c>
      <c r="AA45" s="45">
        <f>Phasing!J43</f>
        <v>0</v>
      </c>
      <c r="AB45" s="45">
        <f>Phasing!K43</f>
        <v>0</v>
      </c>
      <c r="AC45" s="170">
        <f>MAX(Y44+Z44,Y45+Z45)</f>
        <v>0</v>
      </c>
      <c r="AD45" s="170">
        <f>MAX(AA44+AB44,AA45+AB45)</f>
        <v>0</v>
      </c>
      <c r="AE45" s="217">
        <f>SUM(AC45:AD45)</f>
        <v>0</v>
      </c>
      <c r="AF45" s="167">
        <f>Y45+Z45</f>
        <v>0</v>
      </c>
      <c r="AG45" s="167">
        <f>AA45+AB45</f>
        <v>0</v>
      </c>
      <c r="AH45" s="47" t="s">
        <v>106</v>
      </c>
      <c r="AI45" s="78">
        <f>IF(MIN(AF45,$AC$45)=0,0,ROUND(Y45*MAX(AF45,$AC$45)/MIN(AF45,$AC$45)*$C$25/$AE$45,0))</f>
        <v>0</v>
      </c>
      <c r="AJ45" s="78">
        <f>IF(MIN(AF45,$AC$45)=0,0,ROUND(Z45*MAX(AF45,$AC$45)/MIN(AF45,$AC$45)*$C$25/$AE$45,0))</f>
        <v>0</v>
      </c>
      <c r="AK45" s="78">
        <f>IF(MIN(AG45,$AD$45)=0,0,ROUND(AA45*MAX(AG45,$AD$45)/MIN(AG45,$AD$45)*$C$25/$AE$45,0))</f>
        <v>0</v>
      </c>
      <c r="AL45" s="78">
        <f>$C$25-SUM(AI45:AK45)</f>
        <v>0</v>
      </c>
      <c r="AM45" s="87"/>
      <c r="AN45" s="87"/>
      <c r="AO45" s="87"/>
      <c r="AP45" s="345" t="s">
        <v>393</v>
      </c>
      <c r="AQ45" s="346"/>
      <c r="AR45" s="345"/>
      <c r="AS45" s="345"/>
      <c r="AT45" s="346"/>
      <c r="AU45" s="345"/>
      <c r="AV45" s="345"/>
      <c r="AW45" s="346"/>
      <c r="AX45" s="345"/>
      <c r="AY45" s="345"/>
      <c r="AZ45" s="346">
        <f>IF($AP$45=$AQ$35,$AQ$36,0)+IF($AP45=$AR$35,$AR$36,0)+IF($AP45=$AS$35,$AS$36,0)</f>
        <v>0</v>
      </c>
      <c r="BA45" s="345">
        <f>IF($AP$45=$AQ$35,$AQ$36,0)+IF($AP45=$AR$35,$AR$36,0)+IF($AP45=$AS$35,$AS$36,0)</f>
        <v>0</v>
      </c>
      <c r="BB45" s="345">
        <f>IF($AP$45=$AQ$35,$AQ$36,0)+IF($AP45=$AR$35,$AR$36,0)+IF($AP45=$AS$35,$AS$36,0)</f>
        <v>0</v>
      </c>
      <c r="BF45" s="194" t="s">
        <v>147</v>
      </c>
      <c r="BG45" s="59"/>
    </row>
    <row r="46" spans="2:63" s="308" customFormat="1" x14ac:dyDescent="0.3">
      <c r="B46" s="250" t="s">
        <v>410</v>
      </c>
      <c r="C46" s="456">
        <f>IF(SUM(C3:E3)=0,0,SUMPRODUCT(C3:E3,C44:E44)/SUM(C3:E3))</f>
        <v>0</v>
      </c>
      <c r="D46" s="457"/>
      <c r="E46" s="462"/>
      <c r="F46" s="456">
        <f>IF(SUM(F3:H3)=0,0,SUMPRODUCT(F3:H3,F44:H44)/SUM(F3:H3))</f>
        <v>0</v>
      </c>
      <c r="G46" s="457"/>
      <c r="H46" s="462"/>
      <c r="I46" s="456">
        <f>IF(SUM(I3:K3)=0,0,SUMPRODUCT(I3:K3,I44:K44)/SUM(I3:K3))</f>
        <v>0</v>
      </c>
      <c r="J46" s="457"/>
      <c r="K46" s="462"/>
      <c r="L46" s="456">
        <f>IF(SUM(L3:N3)=0,0,SUMPRODUCT(L3:N3,L44:N44)/SUM(L3:N3))</f>
        <v>0</v>
      </c>
      <c r="M46" s="457"/>
      <c r="N46" s="457"/>
      <c r="O46" s="246"/>
      <c r="P46" s="313"/>
      <c r="Q46" s="47"/>
      <c r="R46" s="311"/>
      <c r="S46" s="311"/>
      <c r="T46" s="311"/>
      <c r="U46" s="311"/>
      <c r="V46" s="313"/>
      <c r="X46" s="47"/>
      <c r="Y46" s="45"/>
      <c r="Z46" s="45"/>
      <c r="AA46" s="45"/>
      <c r="AB46" s="45"/>
      <c r="AC46" s="245"/>
      <c r="AD46" s="245"/>
      <c r="AE46" s="245"/>
      <c r="AF46" s="245"/>
      <c r="AG46" s="245"/>
      <c r="AH46" s="47"/>
      <c r="AI46" s="245"/>
      <c r="AJ46" s="245"/>
      <c r="AK46" s="245"/>
      <c r="AL46" s="245"/>
      <c r="AM46" s="87"/>
      <c r="AN46" s="87"/>
      <c r="AO46" s="87"/>
      <c r="AP46" s="345" t="s">
        <v>394</v>
      </c>
      <c r="AQ46" s="346"/>
      <c r="AR46" s="345"/>
      <c r="AS46" s="345"/>
      <c r="AT46" s="346"/>
      <c r="AU46" s="345"/>
      <c r="AV46" s="345"/>
      <c r="AW46" s="346">
        <f>IF($AP$46=$AQ$35,$AQ$36,0)+IF($AP46=$AR$35,$AR$36,0)+IF($AP46=$AS$35,$AS$36,0)</f>
        <v>0</v>
      </c>
      <c r="AX46" s="345">
        <f>IF($AP$46=$AQ$35,$AQ$36,0)+IF($AP46=$AR$35,$AR$36,0)+IF($AP46=$AS$35,$AS$36,0)</f>
        <v>0</v>
      </c>
      <c r="AY46" s="345">
        <f>IF($AP$46=$AQ$35,$AQ$36,0)+IF($AP46=$AR$35,$AR$36,0)+IF($AP46=$AS$35,$AS$36,0)</f>
        <v>0</v>
      </c>
      <c r="AZ46" s="346"/>
      <c r="BA46" s="345"/>
      <c r="BB46" s="345"/>
      <c r="BK46" s="418"/>
    </row>
    <row r="47" spans="2:63" s="308" customFormat="1" x14ac:dyDescent="0.3">
      <c r="B47" s="313" t="s">
        <v>411</v>
      </c>
      <c r="C47" s="458" t="str">
        <f>IF(C46=0,"N/A",VLOOKUP(C46,'LOS table'!$B$3:$D$8,3))</f>
        <v>N/A</v>
      </c>
      <c r="D47" s="459"/>
      <c r="E47" s="51"/>
      <c r="F47" s="458" t="str">
        <f>IF(F46=0,"N/A",VLOOKUP(F46,'LOS table'!$B$3:$D$8,3))</f>
        <v>N/A</v>
      </c>
      <c r="G47" s="459"/>
      <c r="H47" s="51"/>
      <c r="I47" s="458" t="str">
        <f>IF(I46=0,"N/A",VLOOKUP(I46,'LOS table'!$B$3:$D$8,3))</f>
        <v>N/A</v>
      </c>
      <c r="J47" s="459"/>
      <c r="K47" s="51"/>
      <c r="L47" s="458" t="str">
        <f>IF(L46=0,"N/A",VLOOKUP(L46,'LOS table'!$B$3:$D$8,3))</f>
        <v>N/A</v>
      </c>
      <c r="M47" s="459"/>
      <c r="N47" s="459"/>
      <c r="O47" s="312"/>
      <c r="P47" s="313"/>
      <c r="Q47" s="47"/>
      <c r="R47" s="311"/>
      <c r="S47" s="311"/>
      <c r="T47" s="311"/>
      <c r="U47" s="311"/>
      <c r="V47" s="313"/>
      <c r="X47" s="47"/>
      <c r="Y47" s="45"/>
      <c r="Z47" s="45"/>
      <c r="AA47" s="45"/>
      <c r="AB47" s="45"/>
      <c r="AC47" s="245"/>
      <c r="AD47" s="245"/>
      <c r="AE47" s="245"/>
      <c r="AF47" s="245"/>
      <c r="AG47" s="245"/>
      <c r="AH47" s="47"/>
      <c r="AI47" s="245"/>
      <c r="AJ47" s="245"/>
      <c r="AK47" s="245"/>
      <c r="AL47" s="245"/>
      <c r="AM47" s="87"/>
      <c r="AN47" s="87"/>
      <c r="AO47" s="87"/>
      <c r="AP47" s="345" t="s">
        <v>395</v>
      </c>
      <c r="AQ47" s="346"/>
      <c r="AR47" s="345"/>
      <c r="AS47" s="345"/>
      <c r="AT47" s="346"/>
      <c r="AU47" s="345"/>
      <c r="AV47" s="345"/>
      <c r="AW47" s="346">
        <f>IF($AP$47=$AQ$35,$AQ$36,0)+IF($AP47=$AR$35,$AR$36,0)+IF($AP47=$AS$35,$AS$36,0)</f>
        <v>0</v>
      </c>
      <c r="AX47" s="345"/>
      <c r="AY47" s="345"/>
      <c r="AZ47" s="346">
        <f>IF($AP$47=$AQ$35,$AQ$36,0)+IF($AP47=$AR$35,$AR$36,0)+IF($AP47=$AS$35,$AS$36,0)</f>
        <v>0</v>
      </c>
      <c r="BA47" s="345"/>
      <c r="BB47" s="345"/>
      <c r="BK47" s="418"/>
    </row>
    <row r="48" spans="2:63" s="308" customFormat="1" x14ac:dyDescent="0.3">
      <c r="B48" s="313"/>
      <c r="C48" s="87"/>
      <c r="D48" s="87"/>
      <c r="E48" s="87"/>
      <c r="F48" s="87"/>
      <c r="G48" s="87"/>
      <c r="H48" s="87"/>
      <c r="I48" s="87"/>
      <c r="J48" s="87"/>
      <c r="K48" s="87"/>
      <c r="L48" s="87"/>
      <c r="M48" s="87"/>
      <c r="N48" s="87"/>
      <c r="O48" s="312"/>
      <c r="P48" s="313"/>
      <c r="Q48" s="47"/>
      <c r="R48" s="311"/>
      <c r="S48" s="311"/>
      <c r="T48" s="311"/>
      <c r="U48" s="311"/>
      <c r="V48" s="313"/>
      <c r="X48" s="47"/>
      <c r="Y48" s="45"/>
      <c r="Z48" s="45"/>
      <c r="AA48" s="45"/>
      <c r="AB48" s="45"/>
      <c r="AC48" s="245"/>
      <c r="AD48" s="245"/>
      <c r="AE48" s="245"/>
      <c r="AF48" s="245"/>
      <c r="AG48" s="245"/>
      <c r="AH48" s="47"/>
      <c r="AI48" s="245"/>
      <c r="AJ48" s="245"/>
      <c r="AK48" s="245"/>
      <c r="AL48" s="245"/>
      <c r="AM48" s="87"/>
      <c r="AN48" s="87"/>
      <c r="AO48" s="87"/>
      <c r="AP48" s="347"/>
      <c r="AQ48" s="348">
        <f>SUM(AQ40:AQ47)</f>
        <v>0</v>
      </c>
      <c r="AR48" s="349">
        <f t="shared" ref="AR48:BB48" si="17">SUM(AR40:AR47)</f>
        <v>0</v>
      </c>
      <c r="AS48" s="349">
        <f t="shared" si="17"/>
        <v>0</v>
      </c>
      <c r="AT48" s="348">
        <f t="shared" si="17"/>
        <v>0</v>
      </c>
      <c r="AU48" s="349">
        <f t="shared" si="17"/>
        <v>0</v>
      </c>
      <c r="AV48" s="349">
        <f t="shared" si="17"/>
        <v>0</v>
      </c>
      <c r="AW48" s="348">
        <f t="shared" si="17"/>
        <v>0</v>
      </c>
      <c r="AX48" s="349">
        <f t="shared" si="17"/>
        <v>0</v>
      </c>
      <c r="AY48" s="349">
        <f t="shared" si="17"/>
        <v>0</v>
      </c>
      <c r="AZ48" s="348">
        <f t="shared" si="17"/>
        <v>0</v>
      </c>
      <c r="BA48" s="349">
        <f t="shared" si="17"/>
        <v>0</v>
      </c>
      <c r="BB48" s="349">
        <f t="shared" si="17"/>
        <v>0</v>
      </c>
      <c r="BK48" s="418"/>
    </row>
    <row r="49" spans="2:63" s="308" customFormat="1" x14ac:dyDescent="0.3">
      <c r="B49" s="351" t="s">
        <v>412</v>
      </c>
      <c r="C49" s="460" t="str">
        <f>IF($C$25=0,"CHECK INPUT DATA!",IF(OR(SUM(C9:H9)=0,SUM(I9:N9)=0),0,ROUND(SUMPRODUCT(C9:N9,C44:N44)/O9,2)))</f>
        <v>CHECK INPUT DATA!</v>
      </c>
      <c r="D49" s="460"/>
      <c r="E49" s="341"/>
      <c r="G49" s="87"/>
      <c r="H49" s="87"/>
      <c r="M49" s="87"/>
      <c r="N49" s="87"/>
      <c r="O49" s="312"/>
      <c r="P49" s="313"/>
      <c r="Q49" s="47"/>
      <c r="R49" s="333">
        <v>0</v>
      </c>
      <c r="S49" s="333">
        <v>0.85</v>
      </c>
      <c r="T49" s="333" t="s">
        <v>420</v>
      </c>
      <c r="U49" s="311"/>
      <c r="V49" s="313"/>
      <c r="X49" s="47"/>
      <c r="Y49" s="45"/>
      <c r="Z49" s="45"/>
      <c r="AA49" s="45"/>
      <c r="AB49" s="45"/>
      <c r="AC49" s="245"/>
      <c r="AD49" s="245"/>
      <c r="AE49" s="245"/>
      <c r="AF49" s="245"/>
      <c r="AG49" s="245"/>
      <c r="AH49" s="47"/>
      <c r="AI49" s="245"/>
      <c r="AJ49" s="245"/>
      <c r="AK49" s="245"/>
      <c r="AL49" s="245"/>
      <c r="AM49" s="87"/>
      <c r="AN49" s="87"/>
      <c r="AO49" s="87"/>
      <c r="AP49" s="3"/>
      <c r="AQ49" s="3"/>
      <c r="AR49" s="3"/>
      <c r="AS49" s="3"/>
      <c r="AT49" s="3"/>
      <c r="AU49" s="3"/>
      <c r="AV49" s="3"/>
      <c r="AW49" s="3"/>
      <c r="AX49" s="3"/>
      <c r="AY49" s="3"/>
      <c r="AZ49" s="3"/>
      <c r="BA49" s="3"/>
      <c r="BB49" s="3"/>
      <c r="BK49" s="418"/>
    </row>
    <row r="50" spans="2:63" s="308" customFormat="1" x14ac:dyDescent="0.3">
      <c r="B50" s="161" t="s">
        <v>413</v>
      </c>
      <c r="C50" s="455" t="str">
        <f>IF($C$25=0,"CHECK INPUT DATA",IF(C49=0,"N/A",VLOOKUP(C49,'LOS table'!$B$3:$D$8,3)))</f>
        <v>CHECK INPUT DATA</v>
      </c>
      <c r="D50" s="455"/>
      <c r="E50" s="87"/>
      <c r="F50" s="87"/>
      <c r="G50" s="87"/>
      <c r="H50" s="87"/>
      <c r="I50" s="87"/>
      <c r="J50" s="87"/>
      <c r="K50" s="87"/>
      <c r="L50" s="87"/>
      <c r="M50" s="87"/>
      <c r="N50" s="87"/>
      <c r="O50" s="312"/>
      <c r="P50" s="313"/>
      <c r="Q50" s="47"/>
      <c r="R50" s="333">
        <v>0.85</v>
      </c>
      <c r="S50" s="333">
        <v>0.95</v>
      </c>
      <c r="T50" s="333" t="s">
        <v>421</v>
      </c>
      <c r="U50" s="311"/>
      <c r="V50" s="313"/>
      <c r="X50" s="47"/>
      <c r="Y50" s="45"/>
      <c r="Z50" s="45"/>
      <c r="AA50" s="45"/>
      <c r="AB50" s="45"/>
      <c r="AC50" s="245"/>
      <c r="AD50" s="245"/>
      <c r="AE50" s="245"/>
      <c r="AF50" s="245"/>
      <c r="AG50" s="245"/>
      <c r="AH50" s="47"/>
      <c r="AI50" s="245"/>
      <c r="AJ50" s="245"/>
      <c r="AK50" s="245"/>
      <c r="AL50" s="245"/>
      <c r="AM50" s="87"/>
      <c r="AN50" s="87"/>
      <c r="AO50" s="87"/>
      <c r="AP50" s="69"/>
      <c r="AQ50" s="69"/>
      <c r="AR50" s="69"/>
      <c r="AS50" s="69"/>
      <c r="AT50" s="69"/>
      <c r="AU50" s="69"/>
      <c r="AV50" s="69"/>
      <c r="AW50" s="69"/>
      <c r="AX50" s="69"/>
      <c r="AY50" s="69"/>
      <c r="AZ50" s="69"/>
      <c r="BA50" s="69"/>
      <c r="BB50" s="69"/>
      <c r="BK50" s="418"/>
    </row>
    <row r="51" spans="2:63" s="308" customFormat="1" x14ac:dyDescent="0.3">
      <c r="B51" s="351" t="s">
        <v>414</v>
      </c>
      <c r="C51" s="461" t="str">
        <f>IF($C$25=0,"CHECK INPUT DATA",ROUND(O17/(1700*O4*'Input sheet'!W7*(1-C23/C25)),2))</f>
        <v>CHECK INPUT DATA</v>
      </c>
      <c r="D51" s="461"/>
      <c r="E51" s="87"/>
      <c r="F51" s="87"/>
      <c r="G51" s="87"/>
      <c r="H51" s="87"/>
      <c r="I51" s="87"/>
      <c r="J51" s="87"/>
      <c r="K51" s="87"/>
      <c r="L51" s="87"/>
      <c r="M51" s="87"/>
      <c r="N51" s="87"/>
      <c r="O51" s="312"/>
      <c r="P51" s="313"/>
      <c r="Q51" s="47"/>
      <c r="R51" s="333">
        <v>0.95</v>
      </c>
      <c r="S51" s="333">
        <v>1</v>
      </c>
      <c r="T51" s="333" t="s">
        <v>422</v>
      </c>
      <c r="U51" s="311"/>
      <c r="V51" s="313"/>
      <c r="X51" s="47"/>
      <c r="Y51" s="45"/>
      <c r="Z51" s="45"/>
      <c r="AA51" s="45"/>
      <c r="AB51" s="45"/>
      <c r="AC51" s="245"/>
      <c r="AD51" s="245"/>
      <c r="AE51" s="245"/>
      <c r="AF51" s="245"/>
      <c r="AG51" s="245"/>
      <c r="AH51" s="47"/>
      <c r="AI51" s="245"/>
      <c r="AJ51" s="245"/>
      <c r="AK51" s="245"/>
      <c r="AL51" s="245"/>
      <c r="AM51" s="87"/>
      <c r="AN51" s="87"/>
      <c r="AO51" s="87"/>
      <c r="AP51" s="87"/>
      <c r="AQ51" s="313"/>
      <c r="AR51" s="47"/>
      <c r="AS51" s="87"/>
      <c r="AT51" s="87"/>
      <c r="AU51" s="87"/>
      <c r="AV51" s="87"/>
      <c r="AX51" s="62"/>
      <c r="BK51" s="418"/>
    </row>
    <row r="52" spans="2:63" s="308" customFormat="1" x14ac:dyDescent="0.3">
      <c r="B52" s="161" t="s">
        <v>419</v>
      </c>
      <c r="C52" s="455" t="str">
        <f>IF($C$25=0,"CHECK INPUT DATA",VLOOKUP(C51,R49:T52,3))</f>
        <v>CHECK INPUT DATA</v>
      </c>
      <c r="D52" s="455"/>
      <c r="E52" s="87"/>
      <c r="F52" s="87"/>
      <c r="G52" s="87"/>
      <c r="H52" s="87"/>
      <c r="I52" s="87"/>
      <c r="J52" s="87"/>
      <c r="K52" s="87"/>
      <c r="L52" s="87"/>
      <c r="M52" s="87"/>
      <c r="N52" s="87"/>
      <c r="O52" s="312"/>
      <c r="P52" s="313"/>
      <c r="Q52" s="47"/>
      <c r="R52" s="333">
        <v>1</v>
      </c>
      <c r="S52" s="333">
        <v>100</v>
      </c>
      <c r="T52" s="333" t="s">
        <v>423</v>
      </c>
      <c r="U52" s="311"/>
      <c r="V52" s="313"/>
      <c r="X52" s="47"/>
      <c r="Y52" s="45"/>
      <c r="Z52" s="45"/>
      <c r="AA52" s="45"/>
      <c r="AB52" s="45"/>
      <c r="AC52" s="245"/>
      <c r="AD52" s="245"/>
      <c r="AE52" s="245"/>
      <c r="AF52" s="245"/>
      <c r="AG52" s="245"/>
      <c r="AH52" s="47"/>
      <c r="AI52" s="245"/>
      <c r="AJ52" s="245"/>
      <c r="AK52" s="245"/>
      <c r="AL52" s="245"/>
      <c r="AM52" s="87"/>
      <c r="AN52" s="87"/>
      <c r="AO52" s="87"/>
      <c r="AP52" s="87"/>
      <c r="AQ52" s="313"/>
      <c r="AR52" s="47"/>
      <c r="AS52" s="87"/>
      <c r="AT52" s="87"/>
      <c r="AU52" s="87"/>
      <c r="AV52" s="87"/>
      <c r="AX52" s="62"/>
      <c r="BK52" s="418"/>
    </row>
    <row r="53" spans="2:63" s="308" customFormat="1" x14ac:dyDescent="0.3">
      <c r="B53" s="313"/>
      <c r="C53" s="87"/>
      <c r="D53" s="87"/>
      <c r="E53" s="87"/>
      <c r="F53" s="87"/>
      <c r="G53" s="87"/>
      <c r="H53" s="87"/>
      <c r="I53" s="87"/>
      <c r="J53" s="87"/>
      <c r="K53" s="87"/>
      <c r="L53" s="87"/>
      <c r="M53" s="87"/>
      <c r="N53" s="87"/>
      <c r="O53" s="312"/>
      <c r="P53" s="313"/>
      <c r="Q53" s="47"/>
      <c r="R53" s="311"/>
      <c r="S53" s="311"/>
      <c r="T53" s="311"/>
      <c r="U53" s="311"/>
      <c r="V53" s="313"/>
      <c r="X53" s="47"/>
      <c r="Y53" s="45"/>
      <c r="Z53" s="45"/>
      <c r="AA53" s="45"/>
      <c r="AB53" s="45"/>
      <c r="AC53" s="245"/>
      <c r="AD53" s="245"/>
      <c r="AE53" s="245"/>
      <c r="AF53" s="245"/>
      <c r="AG53" s="245"/>
      <c r="AH53" s="47"/>
      <c r="AI53" s="245"/>
      <c r="AJ53" s="245"/>
      <c r="AK53" s="245"/>
      <c r="AL53" s="245"/>
      <c r="AM53" s="87"/>
      <c r="AN53" s="87"/>
      <c r="AO53" s="87"/>
      <c r="AP53" s="87"/>
      <c r="AQ53" s="313"/>
      <c r="AR53" s="47"/>
      <c r="AS53" s="87"/>
      <c r="AT53" s="87"/>
      <c r="AU53" s="87"/>
      <c r="AV53" s="87"/>
      <c r="AX53" s="62"/>
      <c r="BK53" s="418"/>
    </row>
    <row r="54" spans="2:63" hidden="1" x14ac:dyDescent="0.3">
      <c r="B54" s="240" t="s">
        <v>354</v>
      </c>
      <c r="C54" s="3">
        <f>ROUND(SUMPRODUCT(C66:C68,D66:D68),0)</f>
        <v>0</v>
      </c>
      <c r="D54" s="85">
        <f>IF($C$25=0,0,IF(D41=0,0,D11))</f>
        <v>0</v>
      </c>
      <c r="E54" s="240">
        <f>IF($C$25=0,0,IF(AND(E6=0,E3&gt;0),ROUND(0.25*D54,0),E11))</f>
        <v>0</v>
      </c>
      <c r="F54" s="359">
        <f>ROUND(SUMPRODUCT(F66:F68,G66:G68),0)</f>
        <v>0</v>
      </c>
      <c r="G54" s="240">
        <f>IF($C$25=0,0,IF(G41=0,0,G11))</f>
        <v>0</v>
      </c>
      <c r="H54" s="240">
        <f>IF($C$25=0,0,IF(AND(H6=0,H3&gt;0),ROUND(0.25*G54,0),H11))</f>
        <v>0</v>
      </c>
      <c r="I54" s="359">
        <f>ROUND(SUMPRODUCT(I66:I68,J66:J68),0)</f>
        <v>0</v>
      </c>
      <c r="J54" s="240">
        <f>IF($C$25=0,0,IF(J41=0,0,J11))</f>
        <v>0</v>
      </c>
      <c r="K54" s="240">
        <f>IF($C$25=0,0,IF(AND(K6=0,K3&gt;0),ROUND(0.25*J54,0),K11))</f>
        <v>0</v>
      </c>
      <c r="L54" s="359">
        <f>ROUND(SUMPRODUCT(L66:L68,M66:M68),0)</f>
        <v>0</v>
      </c>
      <c r="M54" s="240">
        <f>IF($C$25=0,0,IF(M41=0,0,M11))</f>
        <v>0</v>
      </c>
      <c r="N54" s="240">
        <f>IF($C$25=0,0,IF(AND(N6=0,N3&gt;0),ROUND(0.25*M54,0),N11))</f>
        <v>0</v>
      </c>
      <c r="Y54" s="78"/>
      <c r="Z54" s="78"/>
      <c r="AA54" s="78"/>
      <c r="AB54" s="78"/>
      <c r="AC54" s="78"/>
      <c r="AD54" s="78"/>
    </row>
    <row r="55" spans="2:63" hidden="1" x14ac:dyDescent="0.3">
      <c r="B55" s="240" t="s">
        <v>355</v>
      </c>
      <c r="C55" s="3">
        <f t="shared" ref="C55:N55" si="18">IF($C$25=0,0,C38/$C$25)</f>
        <v>0</v>
      </c>
      <c r="D55" s="240">
        <f t="shared" si="18"/>
        <v>0</v>
      </c>
      <c r="E55" s="240">
        <f t="shared" si="18"/>
        <v>0</v>
      </c>
      <c r="F55" s="240">
        <f t="shared" si="18"/>
        <v>0</v>
      </c>
      <c r="G55" s="240">
        <f t="shared" si="18"/>
        <v>0</v>
      </c>
      <c r="H55" s="240">
        <f t="shared" si="18"/>
        <v>0</v>
      </c>
      <c r="I55" s="240">
        <f t="shared" si="18"/>
        <v>0</v>
      </c>
      <c r="J55" s="240">
        <f t="shared" si="18"/>
        <v>0</v>
      </c>
      <c r="K55" s="240">
        <f t="shared" si="18"/>
        <v>0</v>
      </c>
      <c r="L55" s="240">
        <f t="shared" si="18"/>
        <v>0</v>
      </c>
      <c r="M55" s="240">
        <f t="shared" si="18"/>
        <v>0</v>
      </c>
      <c r="N55" s="240">
        <f t="shared" si="18"/>
        <v>0</v>
      </c>
      <c r="Q55" s="62" t="s">
        <v>105</v>
      </c>
      <c r="R55" s="70" t="e">
        <f>IF(V44=0,0,ROUND(R44*$C$25/$V$44,0))</f>
        <v>#N/A</v>
      </c>
      <c r="S55" s="70" t="e">
        <f>IF(V44=0,0,ROUND(S44*$C$25/$V$44,0))</f>
        <v>#N/A</v>
      </c>
      <c r="T55" s="70" t="e">
        <f>IF(V44=0,0,ROUND(T44*$C$25/$V$44,0))</f>
        <v>#N/A</v>
      </c>
      <c r="U55" s="70" t="e">
        <f>IF(V44=0,0,ROUND(U44*$C$25/$V$44,0))</f>
        <v>#N/A</v>
      </c>
      <c r="W55" s="71" t="e">
        <f>SUM(R55:S55)</f>
        <v>#N/A</v>
      </c>
      <c r="X55" s="71" t="e">
        <f>SUM(T55:U55)</f>
        <v>#N/A</v>
      </c>
      <c r="Y55" s="47"/>
      <c r="Z55" s="62" t="s">
        <v>105</v>
      </c>
      <c r="AA55" s="193" t="e">
        <f>IF(W55=0,0,R31*MAX(Y44,ROUNDDOWN($W$58/W55*R55,0)))</f>
        <v>#N/A</v>
      </c>
      <c r="AB55" s="193" t="e">
        <f>IF(W55=0,0,S31*MAX(Z44,ROUNDUP($W$58/W55*S55,0)))</f>
        <v>#N/A</v>
      </c>
      <c r="AC55" s="193" t="e">
        <f>IF(X55=0,0,T31*MAX(AA44,ROUNDDOWN($X$58/X55*T55,0)))</f>
        <v>#N/A</v>
      </c>
      <c r="AD55" s="193" t="e">
        <f>IF(X55=0,0,U31*MAX(AB44,ROUNDUP($X$58/X55*U55,0)))</f>
        <v>#N/A</v>
      </c>
      <c r="AE55" s="47"/>
      <c r="AF55" s="62" t="s">
        <v>105</v>
      </c>
      <c r="AG55" s="193" t="e">
        <f>IF(AND(AB55=Z44,AA55+AB55&gt;W58),W58-AB57,AA57)</f>
        <v>#N/A</v>
      </c>
      <c r="AH55" s="193" t="e">
        <f>IF(AND(AA55=Y44,AA55+AB55&gt;W58),W58-AA57,AB57)</f>
        <v>#N/A</v>
      </c>
      <c r="AI55" s="193" t="e">
        <f>IF(AND(AD55=AB44,AC55+AD55&gt;X58),X58-AD57,AC57)</f>
        <v>#N/A</v>
      </c>
      <c r="AJ55" s="193" t="e">
        <f>IF(AND(AC55=AA44,AC55+AD55&gt;X58),X58-AC57,AD57)</f>
        <v>#N/A</v>
      </c>
      <c r="AK55" s="196"/>
      <c r="AM55" s="62"/>
      <c r="AN55" s="87"/>
      <c r="AO55" s="87"/>
      <c r="AP55" s="87"/>
      <c r="AQ55" s="87"/>
      <c r="AT55" s="62"/>
      <c r="AU55" s="87"/>
      <c r="AV55" s="87"/>
      <c r="AW55" s="87"/>
      <c r="AX55" s="87"/>
      <c r="AY55" s="77"/>
    </row>
    <row r="56" spans="2:63" hidden="1" x14ac:dyDescent="0.3">
      <c r="C56" s="520" t="s">
        <v>13</v>
      </c>
      <c r="D56" s="520"/>
      <c r="F56" s="520" t="s">
        <v>18</v>
      </c>
      <c r="G56" s="520"/>
      <c r="I56" s="520" t="s">
        <v>3</v>
      </c>
      <c r="J56" s="520"/>
      <c r="L56" s="520" t="s">
        <v>8</v>
      </c>
      <c r="M56" s="520"/>
      <c r="Q56" s="47" t="s">
        <v>106</v>
      </c>
      <c r="R56" s="70" t="e">
        <f>IF(V45=0,0,ROUND(R45*$C$25/$V$45,0))</f>
        <v>#N/A</v>
      </c>
      <c r="S56" s="70" t="e">
        <f>IF(V45=0,0,ROUND(S45*$C$25/$V$45,0))</f>
        <v>#N/A</v>
      </c>
      <c r="T56" s="70" t="e">
        <f>IF(V45=0,0,ROUND(T45*$C$25/$V$45,0))</f>
        <v>#N/A</v>
      </c>
      <c r="U56" s="70" t="e">
        <f>IF(V45=0,0,ROUND(U45*$C$25/$V$45,0))</f>
        <v>#N/A</v>
      </c>
      <c r="W56" s="71" t="e">
        <f>SUM(R56:S56)</f>
        <v>#N/A</v>
      </c>
      <c r="X56" s="71" t="e">
        <f>SUM(T56:U56)</f>
        <v>#N/A</v>
      </c>
      <c r="Y56" s="213"/>
      <c r="Z56" s="47" t="s">
        <v>106</v>
      </c>
      <c r="AA56" s="193" t="e">
        <f>IF(W56=0,0,R32*MAX(Y45,ROUNDDOWN($W$58/W56*R56,0)))</f>
        <v>#N/A</v>
      </c>
      <c r="AB56" s="193" t="e">
        <f>IF(W56=0,0,S32*MAX(Z45,ROUNDUP($W$58/W56*S56,0)))</f>
        <v>#N/A</v>
      </c>
      <c r="AC56" s="193" t="e">
        <f>IF(X56=0,0,T32*MAX(AA45,ROUNDDOWN($X$58/X56*T56,0)))</f>
        <v>#N/A</v>
      </c>
      <c r="AD56" s="193" t="e">
        <f>IF(X56=0,0,U32*MAX(AB45,ROUNDUP($X$58/X56*U56,0)))</f>
        <v>#N/A</v>
      </c>
      <c r="AE56" s="47"/>
      <c r="AF56" s="47" t="s">
        <v>106</v>
      </c>
      <c r="AG56" s="193" t="e">
        <f>IF(AND(AB56=Z45,AA56+AB56&gt;W58),W58-AB56,AA58)</f>
        <v>#N/A</v>
      </c>
      <c r="AH56" s="193" t="e">
        <f>IF(AND(AA56=Y45,AA56+AB56&gt;W58),W58-AA58,AB58)</f>
        <v>#N/A</v>
      </c>
      <c r="AI56" s="193" t="e">
        <f>IF(AND(AD56=AB45,AC56+AD56&gt;X58),X58-AD58,AC58)</f>
        <v>#N/A</v>
      </c>
      <c r="AJ56" s="193" t="e">
        <f>IF(AND(AC56=AA45,AC56+AD56&gt;X58),X58-AC58,AD58)</f>
        <v>#N/A</v>
      </c>
      <c r="AK56" s="196"/>
      <c r="AM56" s="47"/>
      <c r="AN56" s="87"/>
      <c r="AO56" s="87"/>
      <c r="AP56" s="87"/>
      <c r="AQ56" s="87"/>
      <c r="AT56" s="47"/>
      <c r="AU56" s="87"/>
      <c r="AV56" s="87"/>
      <c r="AW56" s="87"/>
      <c r="AX56" s="87"/>
      <c r="AY56" s="77"/>
    </row>
    <row r="57" spans="2:63" hidden="1" x14ac:dyDescent="0.3">
      <c r="B57" s="164" t="s">
        <v>224</v>
      </c>
      <c r="C57" s="164" t="e">
        <f>C97</f>
        <v>#VALUE!</v>
      </c>
      <c r="D57" s="163">
        <f>IF('Phase designation'!B22=2,1,0)</f>
        <v>1</v>
      </c>
      <c r="F57" s="240" t="e">
        <f>F97</f>
        <v>#VALUE!</v>
      </c>
      <c r="G57" s="164">
        <f>IF('Phase designation'!D22=2,1,0)</f>
        <v>1</v>
      </c>
      <c r="I57" s="240" t="e">
        <f>I97</f>
        <v>#VALUE!</v>
      </c>
      <c r="J57" s="164">
        <f>IF('Phase designation'!F22=2,1,0)</f>
        <v>1</v>
      </c>
      <c r="L57" s="240" t="e">
        <f>L97</f>
        <v>#VALUE!</v>
      </c>
      <c r="M57" s="164">
        <f>IF('Phase designation'!H22=2,1,0)</f>
        <v>1</v>
      </c>
      <c r="W57" s="65" t="e">
        <f>MAX(AC45,MAX(W55:W56))</f>
        <v>#N/A</v>
      </c>
      <c r="X57" s="65" t="e">
        <f>MAX(AD45,MAX(X55:X56))</f>
        <v>#N/A</v>
      </c>
      <c r="Y57" s="213"/>
      <c r="Z57" s="62" t="s">
        <v>105</v>
      </c>
      <c r="AA57" s="193" t="e">
        <f>AA55</f>
        <v>#N/A</v>
      </c>
      <c r="AB57" s="193" t="e">
        <f t="shared" ref="AB57:AD58" si="19">AB55</f>
        <v>#N/A</v>
      </c>
      <c r="AC57" s="193" t="e">
        <f t="shared" si="19"/>
        <v>#N/A</v>
      </c>
      <c r="AD57" s="193" t="e">
        <f t="shared" si="19"/>
        <v>#N/A</v>
      </c>
    </row>
    <row r="58" spans="2:63" ht="15" hidden="1" thickBot="1" x14ac:dyDescent="0.35">
      <c r="B58" s="164" t="s">
        <v>225</v>
      </c>
      <c r="C58" s="3" t="e">
        <f>C96</f>
        <v>#DIV/0!</v>
      </c>
      <c r="D58" s="164">
        <f>IF('Phase designation'!B22=1,1,0)</f>
        <v>0</v>
      </c>
      <c r="F58" s="240" t="e">
        <f>F96</f>
        <v>#DIV/0!</v>
      </c>
      <c r="G58" s="164">
        <f>IF('Phase designation'!D22=1,1,0)</f>
        <v>0</v>
      </c>
      <c r="I58" s="240" t="e">
        <f>I96</f>
        <v>#DIV/0!</v>
      </c>
      <c r="J58" s="164">
        <f>IF('Phase designation'!F22=1,1,0)</f>
        <v>0</v>
      </c>
      <c r="L58" s="240" t="e">
        <f>L96</f>
        <v>#DIV/0!</v>
      </c>
      <c r="M58" s="164">
        <f>IF('Phase designation'!H22=1,1,0)</f>
        <v>0</v>
      </c>
      <c r="W58" s="76" t="e">
        <f>C25-MIN(W57:X57)</f>
        <v>#N/A</v>
      </c>
      <c r="X58" s="76" t="e">
        <f>C25-W58</f>
        <v>#N/A</v>
      </c>
      <c r="Y58" s="47"/>
      <c r="Z58" s="47" t="s">
        <v>106</v>
      </c>
      <c r="AA58" s="193" t="e">
        <f>AA56</f>
        <v>#N/A</v>
      </c>
      <c r="AB58" s="193" t="e">
        <f t="shared" si="19"/>
        <v>#N/A</v>
      </c>
      <c r="AC58" s="193" t="e">
        <f t="shared" si="19"/>
        <v>#N/A</v>
      </c>
      <c r="AD58" s="193" t="e">
        <f t="shared" si="19"/>
        <v>#N/A</v>
      </c>
      <c r="AE58" s="197" t="s">
        <v>223</v>
      </c>
    </row>
    <row r="59" spans="2:63" s="77" customFormat="1" hidden="1" x14ac:dyDescent="0.3">
      <c r="B59" s="77" t="s">
        <v>226</v>
      </c>
      <c r="C59" s="77" t="e">
        <f>C104</f>
        <v>#DIV/0!</v>
      </c>
      <c r="D59" s="77">
        <f>IF('Phase designation'!B22=3,1,0)</f>
        <v>0</v>
      </c>
      <c r="F59" s="282" t="e">
        <f>F104</f>
        <v>#DIV/0!</v>
      </c>
      <c r="G59" s="77">
        <f>IF('Phase designation'!D22=3,1,0)</f>
        <v>0</v>
      </c>
      <c r="I59" s="282" t="e">
        <f>I104</f>
        <v>#DIV/0!</v>
      </c>
      <c r="J59" s="77">
        <f>IF('Phase designation'!F22=3,1,0)</f>
        <v>0</v>
      </c>
      <c r="L59" s="282" t="e">
        <f>L104</f>
        <v>#DIV/0!</v>
      </c>
      <c r="M59" s="77">
        <f>IF('Phase designation'!H22=3,1,0)</f>
        <v>0</v>
      </c>
      <c r="P59" s="282"/>
      <c r="Q59" s="172"/>
      <c r="R59" s="173"/>
      <c r="S59" s="173"/>
      <c r="T59" s="173"/>
      <c r="U59" s="173"/>
      <c r="V59" s="174" t="s">
        <v>132</v>
      </c>
      <c r="W59" s="175" t="s">
        <v>237</v>
      </c>
      <c r="X59" s="176" t="s">
        <v>238</v>
      </c>
      <c r="Y59" s="47"/>
      <c r="AA59" s="78"/>
      <c r="AB59" s="78"/>
      <c r="AC59" s="78"/>
      <c r="AD59" s="78"/>
      <c r="AE59" s="78"/>
      <c r="AF59" s="78"/>
      <c r="AG59" s="78"/>
      <c r="AH59" s="78"/>
      <c r="AI59" s="78"/>
      <c r="AJ59" s="78"/>
      <c r="BK59" s="419"/>
    </row>
    <row r="60" spans="2:63" s="77" customFormat="1" hidden="1" x14ac:dyDescent="0.3">
      <c r="B60" s="240" t="s">
        <v>353</v>
      </c>
      <c r="C60" s="3" t="e">
        <f>C103</f>
        <v>#VALUE!</v>
      </c>
      <c r="D60" s="77">
        <f>IF(AND(C6=0,C3&gt;0),1,0)</f>
        <v>0</v>
      </c>
      <c r="F60" s="240" t="e">
        <f>F103</f>
        <v>#VALUE!</v>
      </c>
      <c r="G60" s="282">
        <f>IF(AND(F6=0,F3&gt;0),1,0)</f>
        <v>0</v>
      </c>
      <c r="I60" s="240" t="e">
        <f>I103</f>
        <v>#VALUE!</v>
      </c>
      <c r="J60" s="282">
        <f>IF(AND(I6=0,I3&gt;0),1,0)</f>
        <v>0</v>
      </c>
      <c r="L60" s="240" t="e">
        <f>L103</f>
        <v>#VALUE!</v>
      </c>
      <c r="M60" s="282">
        <f>IF(AND(L6=0,L3&gt;0),1,0)</f>
        <v>0</v>
      </c>
      <c r="P60" s="282"/>
      <c r="Q60" s="177" t="s">
        <v>105</v>
      </c>
      <c r="R60" s="169" t="e">
        <f t="shared" ref="R60:U61" si="20">AG55</f>
        <v>#N/A</v>
      </c>
      <c r="S60" s="169" t="e">
        <f t="shared" si="20"/>
        <v>#N/A</v>
      </c>
      <c r="T60" s="169" t="e">
        <f t="shared" si="20"/>
        <v>#N/A</v>
      </c>
      <c r="U60" s="169" t="e">
        <f t="shared" si="20"/>
        <v>#N/A</v>
      </c>
      <c r="V60" s="167" t="e">
        <f>SUM(R60:U60)</f>
        <v>#N/A</v>
      </c>
      <c r="W60" s="170" t="e">
        <f>R60+S60</f>
        <v>#N/A</v>
      </c>
      <c r="X60" s="178" t="e">
        <f>T60+U60</f>
        <v>#N/A</v>
      </c>
      <c r="Y60" s="47"/>
      <c r="Z60" s="62" t="s">
        <v>105</v>
      </c>
      <c r="AA60" s="215" t="e">
        <f t="shared" ref="AA60:AD61" si="21">IF(R60&lt;Y44,1,0)</f>
        <v>#N/A</v>
      </c>
      <c r="AB60" s="215" t="e">
        <f t="shared" si="21"/>
        <v>#N/A</v>
      </c>
      <c r="AC60" s="215" t="e">
        <f t="shared" si="21"/>
        <v>#N/A</v>
      </c>
      <c r="AD60" s="215" t="e">
        <f t="shared" si="21"/>
        <v>#N/A</v>
      </c>
      <c r="AE60" s="78"/>
      <c r="AF60" s="45"/>
      <c r="AG60" s="45"/>
      <c r="AH60" s="45"/>
      <c r="AI60" s="45"/>
      <c r="AJ60" s="78"/>
      <c r="BK60" s="419"/>
    </row>
    <row r="61" spans="2:63" s="77" customFormat="1" ht="15" hidden="1" thickBot="1" x14ac:dyDescent="0.35">
      <c r="P61" s="282"/>
      <c r="Q61" s="179" t="s">
        <v>106</v>
      </c>
      <c r="R61" s="180" t="e">
        <f t="shared" si="20"/>
        <v>#N/A</v>
      </c>
      <c r="S61" s="180" t="e">
        <f t="shared" si="20"/>
        <v>#N/A</v>
      </c>
      <c r="T61" s="180" t="e">
        <f t="shared" si="20"/>
        <v>#N/A</v>
      </c>
      <c r="U61" s="180" t="e">
        <f t="shared" si="20"/>
        <v>#N/A</v>
      </c>
      <c r="V61" s="181" t="e">
        <f>SUM(R61:U61)</f>
        <v>#N/A</v>
      </c>
      <c r="W61" s="182" t="e">
        <f>R61+S61</f>
        <v>#N/A</v>
      </c>
      <c r="X61" s="183" t="e">
        <f>T61+U61</f>
        <v>#N/A</v>
      </c>
      <c r="Y61" s="47"/>
      <c r="Z61" s="47" t="s">
        <v>106</v>
      </c>
      <c r="AA61" s="215" t="e">
        <f t="shared" si="21"/>
        <v>#N/A</v>
      </c>
      <c r="AB61" s="215" t="e">
        <f t="shared" si="21"/>
        <v>#N/A</v>
      </c>
      <c r="AC61" s="215" t="e">
        <f t="shared" si="21"/>
        <v>#N/A</v>
      </c>
      <c r="AD61" s="215" t="e">
        <f t="shared" si="21"/>
        <v>#N/A</v>
      </c>
      <c r="AE61" s="216" t="e">
        <f>SUM(AA60:AD61)</f>
        <v>#N/A</v>
      </c>
      <c r="AF61" s="45"/>
      <c r="AG61" s="45"/>
      <c r="AH61" s="45"/>
      <c r="AI61" s="45"/>
      <c r="AJ61" s="78"/>
      <c r="BK61" s="419"/>
    </row>
    <row r="62" spans="2:63" hidden="1" x14ac:dyDescent="0.3">
      <c r="B62" s="234" t="s">
        <v>322</v>
      </c>
      <c r="C62" s="77">
        <f>MAX(0,D37)</f>
        <v>0</v>
      </c>
      <c r="D62" s="77">
        <f>D57</f>
        <v>1</v>
      </c>
      <c r="E62" s="77"/>
      <c r="F62" s="282">
        <f>MAX(0,G37)</f>
        <v>0</v>
      </c>
      <c r="G62" s="77">
        <f>G57</f>
        <v>1</v>
      </c>
      <c r="H62" s="77"/>
      <c r="I62" s="282">
        <f>MAX(0,J37)</f>
        <v>0</v>
      </c>
      <c r="J62" s="77">
        <f>J57</f>
        <v>1</v>
      </c>
      <c r="K62" s="77"/>
      <c r="L62" s="282">
        <f>MAX(0,M37)</f>
        <v>0</v>
      </c>
      <c r="M62" s="77">
        <f>M57</f>
        <v>1</v>
      </c>
      <c r="N62" s="77"/>
      <c r="X62" s="77"/>
      <c r="Z62" s="197"/>
      <c r="AA62" s="197"/>
      <c r="AB62" s="197"/>
      <c r="AC62" s="197"/>
      <c r="AD62" s="197"/>
      <c r="AE62" s="199"/>
      <c r="AF62" s="199"/>
      <c r="AG62" s="199"/>
      <c r="AH62" s="199"/>
      <c r="AI62" s="199"/>
    </row>
    <row r="63" spans="2:63" hidden="1" x14ac:dyDescent="0.3">
      <c r="B63" s="234" t="s">
        <v>323</v>
      </c>
      <c r="C63" s="234">
        <f>MAX(0,C34-C35-C36)</f>
        <v>0</v>
      </c>
      <c r="D63" s="77">
        <f>D58</f>
        <v>0</v>
      </c>
      <c r="E63" s="77"/>
      <c r="F63" s="240">
        <f>MAX(0,F34-F35-F36)</f>
        <v>0</v>
      </c>
      <c r="G63" s="77">
        <f>G58</f>
        <v>0</v>
      </c>
      <c r="H63" s="77"/>
      <c r="I63" s="240">
        <f>MAX(0,I34-I35-I36)</f>
        <v>0</v>
      </c>
      <c r="J63" s="77">
        <f>J58</f>
        <v>0</v>
      </c>
      <c r="K63" s="77"/>
      <c r="L63" s="240">
        <f>MAX(0,L34-L35-L36)</f>
        <v>0</v>
      </c>
      <c r="M63" s="77">
        <f>M58</f>
        <v>0</v>
      </c>
      <c r="N63" s="77"/>
      <c r="Q63" s="3" t="str">
        <f>R29</f>
        <v/>
      </c>
      <c r="R63" s="69" t="str">
        <f>S29</f>
        <v/>
      </c>
      <c r="S63" s="69" t="str">
        <f>T29</f>
        <v/>
      </c>
      <c r="T63" s="69" t="str">
        <f>U29</f>
        <v/>
      </c>
      <c r="U63" s="69" t="str">
        <f>R30</f>
        <v/>
      </c>
      <c r="V63" s="69" t="str">
        <f>S30</f>
        <v/>
      </c>
      <c r="W63" s="69" t="str">
        <f>T30</f>
        <v/>
      </c>
      <c r="X63" s="69" t="str">
        <f>U30</f>
        <v/>
      </c>
    </row>
    <row r="64" spans="2:63" hidden="1" x14ac:dyDescent="0.3">
      <c r="B64" s="77" t="s">
        <v>324</v>
      </c>
      <c r="C64" s="3">
        <f>MAX(0,C63+C62-C35-C36)</f>
        <v>0</v>
      </c>
      <c r="D64" s="77">
        <f>D59</f>
        <v>0</v>
      </c>
      <c r="E64" s="77"/>
      <c r="F64" s="240">
        <f>MAX(0,F63+F62-F35-F36)</f>
        <v>0</v>
      </c>
      <c r="G64" s="77">
        <f>G59</f>
        <v>0</v>
      </c>
      <c r="H64" s="77"/>
      <c r="I64" s="240">
        <f>MAX(0,I63+I62-I35-I36)</f>
        <v>0</v>
      </c>
      <c r="J64" s="77">
        <f>J59</f>
        <v>0</v>
      </c>
      <c r="K64" s="77"/>
      <c r="L64" s="240">
        <f>MAX(0,L63+L62-L35-L36)</f>
        <v>0</v>
      </c>
      <c r="M64" s="77">
        <f>M59</f>
        <v>0</v>
      </c>
      <c r="Q64" s="3">
        <f>C83</f>
        <v>0</v>
      </c>
      <c r="R64" s="214">
        <f>D83</f>
        <v>0</v>
      </c>
      <c r="S64" s="214">
        <f>E83</f>
        <v>0</v>
      </c>
      <c r="T64" s="214">
        <f>F83</f>
        <v>0</v>
      </c>
      <c r="U64" s="3">
        <f>C84</f>
        <v>0</v>
      </c>
      <c r="V64" s="214">
        <f>D84</f>
        <v>0</v>
      </c>
      <c r="W64" s="214">
        <f>E84</f>
        <v>0</v>
      </c>
      <c r="X64" s="214">
        <f>F84</f>
        <v>0</v>
      </c>
    </row>
    <row r="65" spans="2:63" hidden="1" x14ac:dyDescent="0.3">
      <c r="D65" s="240"/>
      <c r="F65" s="240"/>
      <c r="G65" s="240"/>
      <c r="I65" s="240"/>
      <c r="J65" s="240"/>
      <c r="L65" s="240"/>
      <c r="M65" s="240"/>
      <c r="Q65" s="3">
        <f>C33</f>
        <v>0</v>
      </c>
      <c r="R65" s="163">
        <f>D33</f>
        <v>0</v>
      </c>
      <c r="S65" s="163">
        <f>F33</f>
        <v>0</v>
      </c>
      <c r="T65" s="163">
        <f>G33</f>
        <v>0</v>
      </c>
      <c r="U65" s="163">
        <f>I33</f>
        <v>0</v>
      </c>
      <c r="V65" s="163">
        <f>J33</f>
        <v>0</v>
      </c>
      <c r="W65" s="163">
        <f>L33</f>
        <v>0</v>
      </c>
      <c r="X65" s="163">
        <f>M33</f>
        <v>0</v>
      </c>
    </row>
    <row r="66" spans="2:63" s="359" customFormat="1" hidden="1" x14ac:dyDescent="0.3">
      <c r="B66" s="359" t="s">
        <v>432</v>
      </c>
      <c r="C66" s="359">
        <f>C14</f>
        <v>0</v>
      </c>
      <c r="D66" s="359">
        <f>D62</f>
        <v>1</v>
      </c>
      <c r="F66" s="359">
        <f>F14</f>
        <v>0</v>
      </c>
      <c r="G66" s="359">
        <f>G62</f>
        <v>1</v>
      </c>
      <c r="I66" s="359">
        <f>I14</f>
        <v>0</v>
      </c>
      <c r="J66" s="359">
        <f>J62</f>
        <v>1</v>
      </c>
      <c r="L66" s="359">
        <f>L14</f>
        <v>0</v>
      </c>
      <c r="M66" s="359">
        <f>M62</f>
        <v>1</v>
      </c>
      <c r="P66" s="360"/>
      <c r="AE66" s="361"/>
      <c r="AF66" s="361"/>
      <c r="AG66" s="361"/>
      <c r="AH66" s="361"/>
      <c r="AI66" s="361"/>
      <c r="AJ66" s="361"/>
      <c r="AK66" s="360"/>
      <c r="AL66" s="360"/>
      <c r="AM66" s="360"/>
      <c r="AN66" s="360"/>
      <c r="AO66" s="360"/>
      <c r="AP66" s="360"/>
      <c r="AQ66" s="360"/>
      <c r="AR66" s="360"/>
      <c r="AS66" s="360"/>
      <c r="AT66" s="360"/>
      <c r="AU66" s="360"/>
      <c r="AV66" s="360"/>
      <c r="BK66" s="418"/>
    </row>
    <row r="67" spans="2:63" s="359" customFormat="1" hidden="1" x14ac:dyDescent="0.3">
      <c r="B67" s="359" t="s">
        <v>433</v>
      </c>
      <c r="C67" s="359">
        <f>C11</f>
        <v>0</v>
      </c>
      <c r="D67" s="359">
        <f>D63</f>
        <v>0</v>
      </c>
      <c r="F67" s="359">
        <f>F11</f>
        <v>0</v>
      </c>
      <c r="G67" s="359">
        <f>G63</f>
        <v>0</v>
      </c>
      <c r="I67" s="359">
        <f>I11</f>
        <v>0</v>
      </c>
      <c r="J67" s="359">
        <f>J63</f>
        <v>0</v>
      </c>
      <c r="L67" s="359">
        <f>L11</f>
        <v>0</v>
      </c>
      <c r="M67" s="359">
        <f>M63</f>
        <v>0</v>
      </c>
      <c r="P67" s="360"/>
      <c r="AE67" s="361"/>
      <c r="AF67" s="361"/>
      <c r="AG67" s="361"/>
      <c r="AH67" s="361"/>
      <c r="AI67" s="361"/>
      <c r="AJ67" s="361"/>
      <c r="AK67" s="360"/>
      <c r="AL67" s="360"/>
      <c r="AM67" s="360"/>
      <c r="AN67" s="360"/>
      <c r="AO67" s="360"/>
      <c r="AP67" s="360"/>
      <c r="AQ67" s="360"/>
      <c r="AR67" s="360"/>
      <c r="AS67" s="360"/>
      <c r="AT67" s="360"/>
      <c r="AU67" s="360"/>
      <c r="AV67" s="360"/>
      <c r="BK67" s="418"/>
    </row>
    <row r="68" spans="2:63" s="359" customFormat="1" hidden="1" x14ac:dyDescent="0.3">
      <c r="B68" s="359" t="s">
        <v>434</v>
      </c>
      <c r="C68" s="337">
        <f>IF(C64=0,0,(C67*C63+C66*C62)/C64)</f>
        <v>0</v>
      </c>
      <c r="D68" s="359">
        <f>D64</f>
        <v>0</v>
      </c>
      <c r="F68" s="337">
        <f>IF(F64=0,0,(F67*F63+F66*F62)/F64)</f>
        <v>0</v>
      </c>
      <c r="G68" s="359">
        <f>G64</f>
        <v>0</v>
      </c>
      <c r="I68" s="337">
        <f>IF(I64=0,0,(I67*I63+I66*I62)/I64)</f>
        <v>0</v>
      </c>
      <c r="J68" s="359">
        <f>J64</f>
        <v>0</v>
      </c>
      <c r="L68" s="337">
        <f>IF(L64=0,0,(L67*L63+L66*L62)/L64)</f>
        <v>0</v>
      </c>
      <c r="M68" s="359">
        <f>M64</f>
        <v>0</v>
      </c>
      <c r="P68" s="360"/>
      <c r="AE68" s="361"/>
      <c r="AF68" s="361"/>
      <c r="AG68" s="361"/>
      <c r="AH68" s="361"/>
      <c r="AI68" s="361"/>
      <c r="AJ68" s="361"/>
      <c r="AK68" s="360"/>
      <c r="AL68" s="360"/>
      <c r="AM68" s="360"/>
      <c r="AN68" s="360"/>
      <c r="AO68" s="360"/>
      <c r="AP68" s="360"/>
      <c r="AQ68" s="360"/>
      <c r="AR68" s="360"/>
      <c r="AS68" s="360"/>
      <c r="AT68" s="360"/>
      <c r="AU68" s="360"/>
      <c r="AV68" s="360"/>
      <c r="BK68" s="418"/>
    </row>
    <row r="69" spans="2:63" hidden="1" x14ac:dyDescent="0.3">
      <c r="Q69" s="77">
        <f>IF(Q65=0,0,MATCH(Q65,$Q$63:$X$63,0))</f>
        <v>0</v>
      </c>
      <c r="R69" s="77">
        <f t="shared" ref="R69:X69" si="22">IF(R65=0,0,MATCH(R65,$Q$63:$X$63,0))</f>
        <v>0</v>
      </c>
      <c r="S69" s="77">
        <f t="shared" si="22"/>
        <v>0</v>
      </c>
      <c r="T69" s="77">
        <f t="shared" si="22"/>
        <v>0</v>
      </c>
      <c r="U69" s="77">
        <f t="shared" si="22"/>
        <v>0</v>
      </c>
      <c r="V69" s="77">
        <f t="shared" si="22"/>
        <v>0</v>
      </c>
      <c r="W69" s="77">
        <f t="shared" si="22"/>
        <v>0</v>
      </c>
      <c r="X69" s="77">
        <f t="shared" si="22"/>
        <v>0</v>
      </c>
    </row>
    <row r="70" spans="2:63" s="240" customFormat="1" hidden="1" x14ac:dyDescent="0.3">
      <c r="C70" s="240" t="s">
        <v>13</v>
      </c>
      <c r="D70" s="3"/>
      <c r="E70" s="236"/>
      <c r="F70" s="240" t="s">
        <v>18</v>
      </c>
      <c r="G70" s="3"/>
      <c r="H70" s="236"/>
      <c r="I70" s="240" t="s">
        <v>3</v>
      </c>
      <c r="J70" s="3"/>
      <c r="K70" s="236"/>
      <c r="L70" s="240" t="s">
        <v>8</v>
      </c>
      <c r="P70" s="282"/>
      <c r="Q70" s="282"/>
      <c r="R70" s="282"/>
      <c r="S70" s="282"/>
      <c r="T70" s="282"/>
      <c r="U70" s="282"/>
      <c r="V70" s="282"/>
      <c r="W70" s="282"/>
      <c r="X70" s="282"/>
      <c r="AE70" s="245"/>
      <c r="AF70" s="245"/>
      <c r="AG70" s="245"/>
      <c r="AH70" s="245"/>
      <c r="AI70" s="245"/>
      <c r="AJ70" s="245"/>
      <c r="AK70" s="282"/>
      <c r="AL70" s="282"/>
      <c r="AM70" s="282"/>
      <c r="AN70" s="282"/>
      <c r="AO70" s="282"/>
      <c r="AP70" s="282"/>
      <c r="AQ70" s="282"/>
      <c r="AR70" s="282"/>
      <c r="AS70" s="282"/>
      <c r="AT70" s="282"/>
      <c r="AU70" s="282"/>
      <c r="AV70" s="282"/>
      <c r="BK70" s="418"/>
    </row>
    <row r="71" spans="2:63" s="240" customFormat="1" hidden="1" x14ac:dyDescent="0.3">
      <c r="B71" s="240" t="s">
        <v>333</v>
      </c>
      <c r="C71" s="240">
        <f>IF(C34&lt;F34,MAX(0,MIN(C34+G34-F34-D35-D36,G34-D35-D36-G37)),G34-D35-D36-G37)</f>
        <v>0</v>
      </c>
      <c r="F71" s="240">
        <f>IF(F34&lt;C34,MAX(0,MIN(F34+D34-C34-G35-G36,D34-G35-G36-D37)),D34-G35-G36-D37)</f>
        <v>0</v>
      </c>
      <c r="I71" s="240">
        <f>IF(I34&lt;L34,MAX(0,MIN(I34+M34-L34-J35-J36,M34-J35-J36-M37)),M34-J35-J36-M37)</f>
        <v>0</v>
      </c>
      <c r="L71" s="240">
        <f>IF(L34&lt;I34,MAX(0,MIN(L34+J34-I34-M35-M36,J34-M35-M36-J37)),J34-M35-M36-J37)</f>
        <v>0</v>
      </c>
      <c r="P71" s="282"/>
      <c r="Q71" s="282"/>
      <c r="R71" s="282"/>
      <c r="S71" s="282"/>
      <c r="T71" s="282"/>
      <c r="U71" s="282"/>
      <c r="V71" s="282"/>
      <c r="W71" s="282"/>
      <c r="X71" s="282"/>
      <c r="AE71" s="245"/>
      <c r="AF71" s="245"/>
      <c r="AG71" s="245"/>
      <c r="AH71" s="245"/>
      <c r="AI71" s="245"/>
      <c r="AJ71" s="245"/>
      <c r="AK71" s="282"/>
      <c r="AL71" s="282"/>
      <c r="AM71" s="282"/>
      <c r="AN71" s="282"/>
      <c r="AO71" s="282"/>
      <c r="AP71" s="282"/>
      <c r="AQ71" s="282"/>
      <c r="AR71" s="282"/>
      <c r="AS71" s="282"/>
      <c r="AT71" s="282"/>
      <c r="AU71" s="282"/>
      <c r="AV71" s="282"/>
      <c r="BK71" s="418"/>
    </row>
    <row r="72" spans="2:63" s="240" customFormat="1" hidden="1" x14ac:dyDescent="0.3">
      <c r="B72" s="240" t="s">
        <v>334</v>
      </c>
      <c r="C72" s="240">
        <f>IF(C34&lt;F34,MAX(0,MIN(C34+G34-F34-D35-D36,G34-D35-D36)),G34-D35-D36)</f>
        <v>0</v>
      </c>
      <c r="F72" s="240">
        <f>IF(F34&lt;C34,MAX(0,MIN(F34+D34-C34-G35-G36,D34-G35-G36)),D34-G35-G36)</f>
        <v>0</v>
      </c>
      <c r="I72" s="240">
        <f>IF(I34&lt;L34,MAX(0,MIN(I34+M34-L34-J35-J36,M34-J35-J36)),M34-J35-J36)</f>
        <v>0</v>
      </c>
      <c r="L72" s="240">
        <f>IF(L34&lt;I34,MAX(0,MIN(L34+J34-I34-M35-M36,J34-M35-M36)),J34-M35-M36)</f>
        <v>0</v>
      </c>
      <c r="P72" s="282"/>
      <c r="Q72" s="282"/>
      <c r="R72" s="282"/>
      <c r="S72" s="282"/>
      <c r="T72" s="282"/>
      <c r="U72" s="282"/>
      <c r="V72" s="282"/>
      <c r="W72" s="282"/>
      <c r="X72" s="282"/>
      <c r="AE72" s="245"/>
      <c r="AF72" s="245"/>
      <c r="AG72" s="245"/>
      <c r="AH72" s="245"/>
      <c r="AI72" s="245"/>
      <c r="AJ72" s="245"/>
      <c r="AK72" s="282"/>
      <c r="AL72" s="282"/>
      <c r="AM72" s="282"/>
      <c r="AN72" s="282"/>
      <c r="AO72" s="282"/>
      <c r="AP72" s="282"/>
      <c r="AQ72" s="282"/>
      <c r="AR72" s="282"/>
      <c r="AS72" s="282"/>
      <c r="AT72" s="282"/>
      <c r="AU72" s="282"/>
      <c r="AV72" s="282"/>
      <c r="BK72" s="418"/>
    </row>
    <row r="73" spans="2:63" s="240" customFormat="1" hidden="1" x14ac:dyDescent="0.3">
      <c r="B73" s="240" t="s">
        <v>337</v>
      </c>
      <c r="C73" s="240">
        <f>IF(F34&gt;(C34-C35-C36),MIN(C74,F34-(C34-C35-C36)+C74-C75),0)</f>
        <v>0</v>
      </c>
      <c r="F73" s="240">
        <f>IF(C34&gt;(F34-F35-F36),MIN(F74,C34-(F34-F35-F36)+F74-F75),0)</f>
        <v>0</v>
      </c>
      <c r="I73" s="240">
        <f>IF(L34&gt;(I34-I35-I36),MIN(I74,L34-(I34-I35-I36)+I74-I75),0)</f>
        <v>0</v>
      </c>
      <c r="L73" s="240">
        <f>IF(I34&gt;(L34-L35-L36),MIN(L74,I34-(L34-L35-L36)+L74-L75),0)</f>
        <v>0</v>
      </c>
      <c r="P73" s="282"/>
      <c r="Q73" s="282"/>
      <c r="R73" s="282"/>
      <c r="S73" s="282"/>
      <c r="T73" s="282"/>
      <c r="U73" s="282"/>
      <c r="V73" s="282"/>
      <c r="W73" s="282"/>
      <c r="X73" s="282"/>
      <c r="AE73" s="245"/>
      <c r="AF73" s="245"/>
      <c r="AG73" s="245"/>
      <c r="AH73" s="245"/>
      <c r="AI73" s="245"/>
      <c r="AJ73" s="245"/>
      <c r="AK73" s="282"/>
      <c r="AL73" s="282"/>
      <c r="AM73" s="282"/>
      <c r="AN73" s="282"/>
      <c r="AO73" s="282"/>
      <c r="AP73" s="282"/>
      <c r="AQ73" s="282"/>
      <c r="AR73" s="282"/>
      <c r="AS73" s="282"/>
      <c r="AT73" s="282"/>
      <c r="AU73" s="282"/>
      <c r="AV73" s="282"/>
      <c r="BK73" s="418"/>
    </row>
    <row r="74" spans="2:63" s="240" customFormat="1" hidden="1" x14ac:dyDescent="0.3">
      <c r="B74" s="240" t="s">
        <v>339</v>
      </c>
      <c r="C74" s="240">
        <v>2</v>
      </c>
      <c r="F74" s="240">
        <v>2</v>
      </c>
      <c r="I74" s="240">
        <v>2</v>
      </c>
      <c r="L74" s="240">
        <v>2</v>
      </c>
      <c r="P74" s="282"/>
      <c r="Q74" s="282"/>
      <c r="R74" s="282"/>
      <c r="S74" s="282"/>
      <c r="T74" s="282"/>
      <c r="U74" s="282"/>
      <c r="V74" s="282"/>
      <c r="W74" s="282"/>
      <c r="X74" s="282"/>
      <c r="AE74" s="245"/>
      <c r="AF74" s="245"/>
      <c r="AG74" s="245"/>
      <c r="AH74" s="245"/>
      <c r="AI74" s="245"/>
      <c r="AJ74" s="245"/>
      <c r="AK74" s="282"/>
      <c r="AL74" s="282"/>
      <c r="AM74" s="282"/>
      <c r="AN74" s="282"/>
      <c r="AO74" s="282"/>
      <c r="AP74" s="282"/>
      <c r="AQ74" s="282"/>
      <c r="AR74" s="282"/>
      <c r="AS74" s="282"/>
      <c r="AT74" s="282"/>
      <c r="AU74" s="282"/>
      <c r="AV74" s="282"/>
      <c r="BK74" s="418"/>
    </row>
    <row r="75" spans="2:63" s="240" customFormat="1" hidden="1" x14ac:dyDescent="0.3">
      <c r="B75" s="240" t="s">
        <v>338</v>
      </c>
      <c r="C75" s="240" t="str">
        <f>Phasing!O27</f>
        <v/>
      </c>
      <c r="F75" s="240" t="str">
        <f>Phasing!Q27</f>
        <v/>
      </c>
      <c r="I75" s="240" t="str">
        <f>Phasing!S27</f>
        <v/>
      </c>
      <c r="L75" s="240" t="str">
        <f>Phasing!U27</f>
        <v/>
      </c>
      <c r="P75" s="282"/>
      <c r="Q75" s="282"/>
      <c r="R75" s="282"/>
      <c r="S75" s="282"/>
      <c r="T75" s="282"/>
      <c r="U75" s="282"/>
      <c r="V75" s="282"/>
      <c r="W75" s="282"/>
      <c r="X75" s="282"/>
      <c r="AE75" s="245"/>
      <c r="AF75" s="245"/>
      <c r="AG75" s="245"/>
      <c r="AH75" s="245"/>
      <c r="AI75" s="245"/>
      <c r="AJ75" s="245"/>
      <c r="AK75" s="282"/>
      <c r="AL75" s="282"/>
      <c r="AM75" s="282"/>
      <c r="AN75" s="282"/>
      <c r="AO75" s="282"/>
      <c r="AP75" s="282"/>
      <c r="AQ75" s="282"/>
      <c r="AR75" s="282"/>
      <c r="AS75" s="282"/>
      <c r="AT75" s="282"/>
      <c r="AU75" s="282"/>
      <c r="AV75" s="282"/>
      <c r="BK75" s="418"/>
    </row>
    <row r="76" spans="2:63" s="240" customFormat="1" hidden="1" x14ac:dyDescent="0.3">
      <c r="B76" s="240" t="s">
        <v>335</v>
      </c>
      <c r="C76" s="240" t="e">
        <f>MIN(C71+C75,C77)</f>
        <v>#VALUE!</v>
      </c>
      <c r="F76" s="240" t="e">
        <f>MIN(F71+F75,F77)</f>
        <v>#VALUE!</v>
      </c>
      <c r="I76" s="240" t="e">
        <f>MIN(I71+I75,I77)</f>
        <v>#VALUE!</v>
      </c>
      <c r="L76" s="240" t="e">
        <f>MIN(L71+L75,L77)</f>
        <v>#VALUE!</v>
      </c>
      <c r="P76" s="282"/>
      <c r="Q76" s="282"/>
      <c r="R76" s="282"/>
      <c r="S76" s="282"/>
      <c r="T76" s="282"/>
      <c r="U76" s="282"/>
      <c r="V76" s="282"/>
      <c r="W76" s="282"/>
      <c r="X76" s="282"/>
      <c r="AE76" s="245"/>
      <c r="AF76" s="245"/>
      <c r="AG76" s="245"/>
      <c r="AH76" s="245"/>
      <c r="AI76" s="245"/>
      <c r="AJ76" s="245"/>
      <c r="AK76" s="282"/>
      <c r="AL76" s="282"/>
      <c r="AM76" s="282"/>
      <c r="AN76" s="282"/>
      <c r="AO76" s="282"/>
      <c r="AP76" s="282"/>
      <c r="AQ76" s="282"/>
      <c r="AR76" s="282"/>
      <c r="AS76" s="282"/>
      <c r="AT76" s="282"/>
      <c r="AU76" s="282"/>
      <c r="AV76" s="282"/>
      <c r="BK76" s="418"/>
    </row>
    <row r="77" spans="2:63" s="240" customFormat="1" hidden="1" x14ac:dyDescent="0.3">
      <c r="B77" s="240" t="s">
        <v>336</v>
      </c>
      <c r="C77" s="240" t="e">
        <f>MAX(0,C72-C73+C75)</f>
        <v>#VALUE!</v>
      </c>
      <c r="F77" s="240" t="e">
        <f>MAX(0,F72-F73+F75)</f>
        <v>#VALUE!</v>
      </c>
      <c r="I77" s="240" t="e">
        <f>MAX(0,I72-I73+I75)</f>
        <v>#VALUE!</v>
      </c>
      <c r="L77" s="240" t="e">
        <f>MAX(0,L72-L73+L75)</f>
        <v>#VALUE!</v>
      </c>
      <c r="P77" s="282"/>
      <c r="Q77" s="282"/>
      <c r="R77" s="282"/>
      <c r="S77" s="282"/>
      <c r="T77" s="282"/>
      <c r="U77" s="282"/>
      <c r="V77" s="282"/>
      <c r="W77" s="282"/>
      <c r="X77" s="282"/>
      <c r="AE77" s="245"/>
      <c r="AF77" s="245"/>
      <c r="AG77" s="245"/>
      <c r="AH77" s="245"/>
      <c r="AI77" s="245"/>
      <c r="AJ77" s="245"/>
      <c r="AK77" s="282"/>
      <c r="AL77" s="282"/>
      <c r="AM77" s="282"/>
      <c r="AN77" s="282"/>
      <c r="AO77" s="282"/>
      <c r="AP77" s="282"/>
      <c r="AQ77" s="282"/>
      <c r="AR77" s="282"/>
      <c r="AS77" s="282"/>
      <c r="AT77" s="282"/>
      <c r="AU77" s="282"/>
      <c r="AV77" s="282"/>
      <c r="BK77" s="418"/>
    </row>
    <row r="78" spans="2:63" s="240" customFormat="1" hidden="1" x14ac:dyDescent="0.3">
      <c r="P78" s="282"/>
      <c r="Q78" s="282"/>
      <c r="R78" s="282"/>
      <c r="S78" s="282"/>
      <c r="T78" s="282"/>
      <c r="U78" s="282"/>
      <c r="V78" s="282"/>
      <c r="W78" s="282"/>
      <c r="X78" s="282"/>
      <c r="AE78" s="245"/>
      <c r="AF78" s="245"/>
      <c r="AG78" s="245"/>
      <c r="AH78" s="245"/>
      <c r="AI78" s="245"/>
      <c r="AJ78" s="245"/>
      <c r="AK78" s="282"/>
      <c r="AL78" s="282"/>
      <c r="AM78" s="282"/>
      <c r="AN78" s="282"/>
      <c r="AO78" s="282"/>
      <c r="AP78" s="282"/>
      <c r="AQ78" s="282"/>
      <c r="AR78" s="282"/>
      <c r="AS78" s="282"/>
      <c r="AT78" s="282"/>
      <c r="AU78" s="282"/>
      <c r="AV78" s="282"/>
      <c r="BK78" s="418"/>
    </row>
    <row r="79" spans="2:63" s="240" customFormat="1" hidden="1" x14ac:dyDescent="0.3">
      <c r="P79" s="282"/>
      <c r="Q79" s="282"/>
      <c r="R79" s="282"/>
      <c r="S79" s="282"/>
      <c r="T79" s="282"/>
      <c r="U79" s="282"/>
      <c r="V79" s="282"/>
      <c r="W79" s="282"/>
      <c r="X79" s="282"/>
      <c r="AE79" s="245"/>
      <c r="AF79" s="245"/>
      <c r="AG79" s="245"/>
      <c r="AH79" s="245"/>
      <c r="AI79" s="245"/>
      <c r="AJ79" s="245"/>
      <c r="AK79" s="282"/>
      <c r="AL79" s="282"/>
      <c r="AM79" s="282"/>
      <c r="AN79" s="282"/>
      <c r="AO79" s="282"/>
      <c r="AP79" s="282"/>
      <c r="AQ79" s="282"/>
      <c r="AR79" s="282"/>
      <c r="AS79" s="282"/>
      <c r="AT79" s="282"/>
      <c r="AU79" s="282"/>
      <c r="AV79" s="282"/>
      <c r="BK79" s="418"/>
    </row>
    <row r="80" spans="2:63" s="240" customFormat="1" hidden="1" x14ac:dyDescent="0.3">
      <c r="P80" s="282"/>
      <c r="Q80" s="282"/>
      <c r="R80" s="282"/>
      <c r="S80" s="282"/>
      <c r="T80" s="282"/>
      <c r="U80" s="282"/>
      <c r="V80" s="282"/>
      <c r="W80" s="282"/>
      <c r="X80" s="282"/>
      <c r="AE80" s="245"/>
      <c r="AF80" s="245"/>
      <c r="AG80" s="245"/>
      <c r="AH80" s="245"/>
      <c r="AI80" s="245"/>
      <c r="AJ80" s="245"/>
      <c r="AK80" s="282"/>
      <c r="AL80" s="282"/>
      <c r="AM80" s="282"/>
      <c r="AN80" s="282"/>
      <c r="AO80" s="282"/>
      <c r="AP80" s="282"/>
      <c r="AQ80" s="282"/>
      <c r="AR80" s="282"/>
      <c r="AS80" s="282"/>
      <c r="AT80" s="282"/>
      <c r="AU80" s="282"/>
      <c r="AV80" s="282"/>
      <c r="BK80" s="418"/>
    </row>
    <row r="81" spans="2:63" hidden="1" x14ac:dyDescent="0.3">
      <c r="B81" s="282"/>
      <c r="C81" s="282"/>
      <c r="Q81" s="88"/>
      <c r="R81" s="88"/>
      <c r="S81" s="88"/>
      <c r="T81" s="88"/>
      <c r="U81" s="88"/>
      <c r="V81" s="77"/>
      <c r="W81" s="77"/>
    </row>
    <row r="82" spans="2:63" x14ac:dyDescent="0.3">
      <c r="B82" s="168"/>
      <c r="C82" s="189" t="str">
        <f>R28</f>
        <v/>
      </c>
      <c r="D82" s="189" t="str">
        <f>S28</f>
        <v>b</v>
      </c>
      <c r="E82" s="189"/>
      <c r="F82" s="189" t="str">
        <f>T28</f>
        <v/>
      </c>
      <c r="G82" s="167" t="s">
        <v>132</v>
      </c>
      <c r="H82" s="170" t="s">
        <v>241</v>
      </c>
      <c r="I82" s="170" t="s">
        <v>242</v>
      </c>
      <c r="Q82" s="62"/>
      <c r="R82" s="87"/>
      <c r="S82" s="87"/>
      <c r="T82" s="312" t="str">
        <f>IF($C$25=0,"CHECK INPUT DATA",ROUND(O17/(1700*O4*'Input sheet'!W7*(1-C23/C25)),2))</f>
        <v>CHECK INPUT DATA</v>
      </c>
      <c r="U82" s="87"/>
      <c r="V82" s="77"/>
      <c r="W82" s="77"/>
    </row>
    <row r="83" spans="2:63" x14ac:dyDescent="0.3">
      <c r="B83" s="188" t="s">
        <v>105</v>
      </c>
      <c r="C83" s="188">
        <f>IFERROR(INDEX($C$34:$N$34,1,MATCH(1,$C$33:$N$33,0)),0)</f>
        <v>0</v>
      </c>
      <c r="D83" s="188">
        <f>IFERROR(INDEX($C$34:$N$34,1,MATCH(2,$C$33:$N$33,0)),0)</f>
        <v>0</v>
      </c>
      <c r="E83" s="188">
        <f>IFERROR(INDEX($C$34:$N$34,1,MATCH(3,$C$33:$N$33,0)),0)</f>
        <v>0</v>
      </c>
      <c r="F83" s="188">
        <f>IFERROR(INDEX($C$34:$N$34,1,MATCH(4,$C$33:$N$33,0)),0)</f>
        <v>0</v>
      </c>
      <c r="G83" s="190">
        <f>SUM(C83:F83)</f>
        <v>0</v>
      </c>
      <c r="H83" s="191">
        <f>C83+D83</f>
        <v>0</v>
      </c>
      <c r="I83" s="191">
        <f>E83+F83</f>
        <v>0</v>
      </c>
      <c r="Q83" s="47"/>
      <c r="R83" s="87"/>
      <c r="S83" s="87"/>
      <c r="T83" s="87"/>
      <c r="U83" s="87"/>
      <c r="V83" s="77"/>
      <c r="W83" s="77"/>
    </row>
    <row r="84" spans="2:63" x14ac:dyDescent="0.3">
      <c r="B84" s="188" t="s">
        <v>106</v>
      </c>
      <c r="C84" s="188">
        <f>IFERROR(INDEX($C$34:$N$34,1,MATCH(5,$C$33:$N$33,0)),0)</f>
        <v>0</v>
      </c>
      <c r="D84" s="188">
        <f>IFERROR(INDEX($C$34:$N$34,1,MATCH(6,$C$33:$N$33,0)),0)</f>
        <v>0</v>
      </c>
      <c r="E84" s="188">
        <f>IFERROR(INDEX($C$34:$N$34,1,MATCH(7,$C$33:$N$33,0)),0)</f>
        <v>0</v>
      </c>
      <c r="F84" s="188">
        <f>IFERROR(INDEX($C$34:$N$34,1,MATCH(8,$C$33:$N$33,0)),0)</f>
        <v>0</v>
      </c>
      <c r="G84" s="190">
        <f>SUM(C84:F84)</f>
        <v>0</v>
      </c>
      <c r="H84" s="191">
        <f>C84+D84</f>
        <v>0</v>
      </c>
      <c r="I84" s="191">
        <f>E84+F84</f>
        <v>0</v>
      </c>
      <c r="T84" s="246" t="str">
        <f>IF($C$25=0,"CHECK INPUT DATA",IF(OR(SUM(C9:H9)=0,SUM(I9:N9)=0),0,ROUND(SUMPRODUCT(C9:N9,C44:N44)/O9,2)))</f>
        <v>CHECK INPUT DATA</v>
      </c>
      <c r="U84" s="158" t="str">
        <f>IF($C$25=0,"CHECK INPUT DATA",IF(T84=0,"N/A",VLOOKUP(T84,'LOS table'!$B$3:$D$8,3)))</f>
        <v>CHECK INPUT DATA</v>
      </c>
    </row>
    <row r="85" spans="2:63" hidden="1" x14ac:dyDescent="0.3"/>
    <row r="86" spans="2:63" hidden="1" x14ac:dyDescent="0.3">
      <c r="C86" s="3">
        <f>IF(C83&lt;Y44,1,0)</f>
        <v>0</v>
      </c>
      <c r="D86" s="209">
        <f>IF(D83&lt;Z44,1,0)</f>
        <v>0</v>
      </c>
      <c r="F86" s="209">
        <f>IF(E83&lt;AA44,1,0)</f>
        <v>0</v>
      </c>
      <c r="G86" s="209">
        <f>IF(F83&lt;AB44,1,0)</f>
        <v>0</v>
      </c>
    </row>
    <row r="87" spans="2:63" hidden="1" x14ac:dyDescent="0.3">
      <c r="C87" s="209">
        <f>IF(C84&lt;Y45,1,0)</f>
        <v>0</v>
      </c>
      <c r="D87" s="209">
        <f>IF(D84&lt;Z45,1,0)</f>
        <v>0</v>
      </c>
      <c r="F87" s="209">
        <f>IF(E84&lt;AA45,1,0)</f>
        <v>0</v>
      </c>
      <c r="G87" s="209">
        <f>IF(F84&lt;AB45,1,0)</f>
        <v>0</v>
      </c>
    </row>
    <row r="88" spans="2:63" hidden="1" x14ac:dyDescent="0.3"/>
    <row r="89" spans="2:63" hidden="1" x14ac:dyDescent="0.3">
      <c r="B89" s="247" t="s">
        <v>73</v>
      </c>
      <c r="C89" s="251" t="s">
        <v>13</v>
      </c>
      <c r="D89" s="251" t="s">
        <v>14</v>
      </c>
      <c r="E89" s="251" t="s">
        <v>15</v>
      </c>
      <c r="F89" s="251" t="s">
        <v>18</v>
      </c>
      <c r="G89" s="251" t="s">
        <v>19</v>
      </c>
      <c r="H89" s="251" t="s">
        <v>20</v>
      </c>
      <c r="I89" s="251" t="s">
        <v>3</v>
      </c>
      <c r="J89" s="251" t="s">
        <v>4</v>
      </c>
      <c r="K89" s="251" t="s">
        <v>5</v>
      </c>
      <c r="L89" s="251" t="s">
        <v>8</v>
      </c>
      <c r="M89" s="251" t="s">
        <v>9</v>
      </c>
      <c r="N89" s="251" t="s">
        <v>10</v>
      </c>
    </row>
    <row r="90" spans="2:63" s="224" customFormat="1" hidden="1" x14ac:dyDescent="0.3">
      <c r="B90" s="289" t="s">
        <v>321</v>
      </c>
      <c r="C90" s="289">
        <f>C38</f>
        <v>0</v>
      </c>
      <c r="D90" s="289">
        <f t="shared" ref="D90:N90" si="23">D38</f>
        <v>0</v>
      </c>
      <c r="E90" s="289">
        <f t="shared" si="23"/>
        <v>0</v>
      </c>
      <c r="F90" s="289">
        <f t="shared" si="23"/>
        <v>0</v>
      </c>
      <c r="G90" s="289">
        <f t="shared" si="23"/>
        <v>0</v>
      </c>
      <c r="H90" s="289">
        <f t="shared" si="23"/>
        <v>0</v>
      </c>
      <c r="I90" s="289">
        <f t="shared" si="23"/>
        <v>0</v>
      </c>
      <c r="J90" s="289">
        <f t="shared" si="23"/>
        <v>0</v>
      </c>
      <c r="K90" s="289">
        <f t="shared" si="23"/>
        <v>0</v>
      </c>
      <c r="L90" s="289">
        <f t="shared" si="23"/>
        <v>0</v>
      </c>
      <c r="M90" s="289">
        <f t="shared" si="23"/>
        <v>0</v>
      </c>
      <c r="N90" s="289">
        <f t="shared" si="23"/>
        <v>0</v>
      </c>
      <c r="P90" s="290"/>
      <c r="AE90" s="291"/>
      <c r="AF90" s="291"/>
      <c r="AG90" s="291"/>
      <c r="AH90" s="291"/>
      <c r="AI90" s="291"/>
      <c r="AJ90" s="291"/>
      <c r="AK90" s="290"/>
      <c r="AL90" s="290"/>
      <c r="AM90" s="290"/>
      <c r="AN90" s="290"/>
      <c r="AO90" s="290"/>
      <c r="AP90" s="290"/>
      <c r="AQ90" s="290"/>
      <c r="AR90" s="290"/>
      <c r="AS90" s="290"/>
      <c r="AT90" s="290"/>
      <c r="AU90" s="290"/>
      <c r="AV90" s="290"/>
    </row>
    <row r="91" spans="2:63" hidden="1" x14ac:dyDescent="0.3">
      <c r="B91" s="240" t="s">
        <v>342</v>
      </c>
      <c r="C91" s="3">
        <f>C3*$C$25/3600</f>
        <v>0</v>
      </c>
      <c r="E91" s="240"/>
      <c r="F91" s="240">
        <f>F3*$C$25/3600</f>
        <v>0</v>
      </c>
      <c r="G91" s="240"/>
      <c r="I91" s="240">
        <f>I3*$C$25/3600</f>
        <v>0</v>
      </c>
      <c r="L91" s="240">
        <f>L3*$C$25/3600</f>
        <v>0</v>
      </c>
    </row>
    <row r="92" spans="2:63" hidden="1" x14ac:dyDescent="0.3">
      <c r="B92" s="240" t="s">
        <v>341</v>
      </c>
      <c r="C92" s="3">
        <f>MAX(C90*EXP(-0.86*(C91^0.629)-C73),0)</f>
        <v>0</v>
      </c>
      <c r="F92" s="240">
        <f>MAX(F90*EXP(-0.86*(F91^0.629)-F73),0)</f>
        <v>0</v>
      </c>
      <c r="I92" s="240">
        <f>MAX(I90*EXP(-0.86*(I91^0.629)-I73),0)</f>
        <v>0</v>
      </c>
      <c r="L92" s="240">
        <f>MAX(L90*EXP(-0.86*(L91^0.629)-L73),0)</f>
        <v>0</v>
      </c>
    </row>
    <row r="93" spans="2:63" hidden="1" x14ac:dyDescent="0.3">
      <c r="B93" s="240" t="s">
        <v>343</v>
      </c>
      <c r="C93" s="240">
        <f>MAX(C90*EXP(-0.882*(C91^0.717)-C73),0)</f>
        <v>0</v>
      </c>
      <c r="F93" s="240">
        <f>MAX(F90*EXP(-0.882*(F91^0.717)-F73),0)</f>
        <v>0</v>
      </c>
      <c r="I93" s="240">
        <f>MAX(I90*EXP(-0.882*(I91^0.717)-I73),0)</f>
        <v>0</v>
      </c>
      <c r="L93" s="240">
        <f>MAX(L90*EXP(-0.882*(L91^0.717)-L73),0)</f>
        <v>0</v>
      </c>
    </row>
    <row r="94" spans="2:63" hidden="1" x14ac:dyDescent="0.3">
      <c r="B94" s="240" t="s">
        <v>340</v>
      </c>
      <c r="C94" s="3">
        <f>IF(SUM(C6:E6)=1,C92,C93)</f>
        <v>0</v>
      </c>
      <c r="F94" s="240">
        <f>IF(SUM(F6:H6)=1,F92,F93)</f>
        <v>0</v>
      </c>
      <c r="I94" s="240">
        <f>IF(SUM(I6:K6)=1,I92,I93)</f>
        <v>0</v>
      </c>
      <c r="L94" s="240">
        <f>IF(SUM(L6:N6)=1,L92,L93)</f>
        <v>0</v>
      </c>
    </row>
    <row r="95" spans="2:63" hidden="1" x14ac:dyDescent="0.3"/>
    <row r="96" spans="2:63" s="240" customFormat="1" hidden="1" x14ac:dyDescent="0.3">
      <c r="B96" s="250" t="s">
        <v>349</v>
      </c>
      <c r="C96" s="250" t="e">
        <f>MAX(0,ROUND(C6*(C63+C35-1)*C11/$C$25,0))</f>
        <v>#DIV/0!</v>
      </c>
      <c r="D96" s="250"/>
      <c r="E96" s="250"/>
      <c r="F96" s="250" t="e">
        <f>MAX(0,ROUND(F6*(F63+F35-1)*F11/$C$25,0))</f>
        <v>#DIV/0!</v>
      </c>
      <c r="G96" s="250"/>
      <c r="H96" s="250"/>
      <c r="I96" s="250" t="e">
        <f>MAX(0,ROUND(I6*(I63+I35-1)*I11/$C$25,0))</f>
        <v>#DIV/0!</v>
      </c>
      <c r="J96" s="250"/>
      <c r="K96" s="250"/>
      <c r="L96" s="250" t="e">
        <f>MAX(0,ROUND(L6*(L63+L35-1)*L11/$C$25,0))</f>
        <v>#DIV/0!</v>
      </c>
      <c r="P96" s="282"/>
      <c r="AE96" s="245"/>
      <c r="AF96" s="245"/>
      <c r="AG96" s="245"/>
      <c r="AH96" s="245"/>
      <c r="AI96" s="245"/>
      <c r="AJ96" s="245"/>
      <c r="AK96" s="282"/>
      <c r="AL96" s="282"/>
      <c r="AM96" s="282"/>
      <c r="AN96" s="282"/>
      <c r="AO96" s="282"/>
      <c r="AP96" s="282"/>
      <c r="AQ96" s="282"/>
      <c r="AR96" s="282"/>
      <c r="AS96" s="282"/>
      <c r="AT96" s="282"/>
      <c r="AU96" s="282"/>
      <c r="AV96" s="282"/>
      <c r="BK96" s="418"/>
    </row>
    <row r="97" spans="1:13" hidden="1" x14ac:dyDescent="0.3">
      <c r="B97" s="250" t="s">
        <v>344</v>
      </c>
      <c r="C97" s="250" t="e">
        <f>ROUND(((MIN(C77-C94,C76)*C14+7200)/$C$25)*C6,0)</f>
        <v>#VALUE!</v>
      </c>
      <c r="D97" s="250"/>
      <c r="E97" s="250"/>
      <c r="F97" s="250" t="e">
        <f>ROUND(((MIN(F77-F94,F76)*F14+7200)/$C$25)*F6,0)</f>
        <v>#VALUE!</v>
      </c>
      <c r="G97" s="250"/>
      <c r="H97" s="250"/>
      <c r="I97" s="250" t="e">
        <f>ROUND(((MIN(I77-I94,I76)*I14+7200)/$C$25)*I6,0)</f>
        <v>#VALUE!</v>
      </c>
      <c r="J97" s="250"/>
      <c r="K97" s="250"/>
      <c r="L97" s="250" t="e">
        <f>ROUND(((MIN(L77-L94,L76)*L14+7200)/$C$25)*L6,0)</f>
        <v>#VALUE!</v>
      </c>
    </row>
    <row r="98" spans="1:13" hidden="1" x14ac:dyDescent="0.3">
      <c r="B98" s="240" t="s">
        <v>345</v>
      </c>
      <c r="C98" s="3">
        <f>IF(C14=0,0,$S$2/C14)</f>
        <v>0</v>
      </c>
      <c r="F98" s="240">
        <f>IF(F14=0,0,$S$2/F14)</f>
        <v>0</v>
      </c>
      <c r="I98" s="240">
        <f>IF(I14=0,0,$S$2/I14)</f>
        <v>0</v>
      </c>
      <c r="L98" s="240">
        <f>IF(L14=0,0,$S$2/L14)</f>
        <v>0</v>
      </c>
    </row>
    <row r="99" spans="1:13" hidden="1" x14ac:dyDescent="0.3">
      <c r="B99" s="240" t="s">
        <v>346</v>
      </c>
      <c r="C99" s="3" t="e">
        <f>MAX(0,0.5*(C77-C76-C94))</f>
        <v>#VALUE!</v>
      </c>
      <c r="F99" s="240" t="e">
        <f>MAX(0,0.5*(F77-F76-F94))</f>
        <v>#VALUE!</v>
      </c>
      <c r="I99" s="240" t="e">
        <f>MAX(0,0.5*(I77-I76-I94))</f>
        <v>#VALUE!</v>
      </c>
      <c r="L99" s="240" t="e">
        <f>MAX(0,0.5*(L77-L76-L94))</f>
        <v>#VALUE!</v>
      </c>
    </row>
    <row r="100" spans="1:13" hidden="1" x14ac:dyDescent="0.3">
      <c r="B100" s="240" t="s">
        <v>348</v>
      </c>
      <c r="C100" s="3">
        <f>IF(SUM(F3:H3)=0,0,F3/SUM(F3:H3))</f>
        <v>0</v>
      </c>
      <c r="F100" s="240">
        <f>IF(SUM(C3:E3)=0,0,C3/SUM(C3:E3))</f>
        <v>0</v>
      </c>
      <c r="I100" s="240">
        <f>IF(SUM(L3:N3)=0,0,L3/SUM(L3:N3))</f>
        <v>0</v>
      </c>
      <c r="L100" s="240">
        <f>IF(SUM(I3:K3)=0,0,I3/SUM(I3:K3))</f>
        <v>0</v>
      </c>
    </row>
    <row r="101" spans="1:13" hidden="1" x14ac:dyDescent="0.3">
      <c r="B101" s="240" t="s">
        <v>347</v>
      </c>
      <c r="C101" s="3">
        <f>IF(C100=0,0,MAX(1,(1-(1-C100)^C99)/C100))</f>
        <v>0</v>
      </c>
      <c r="F101" s="240">
        <f>IF(F100=0,0,MAX(1,(1-(1-F100)^F99)/F100))</f>
        <v>0</v>
      </c>
      <c r="I101" s="240">
        <f>IF(I100=0,0,MAX(1,(1-(1-I100)^I99)/I100))</f>
        <v>0</v>
      </c>
      <c r="L101" s="240">
        <f>IF(L100=0,0,MAX(1,(1-(1-L100)^L99)/L100))</f>
        <v>0</v>
      </c>
    </row>
    <row r="102" spans="1:13" hidden="1" x14ac:dyDescent="0.3">
      <c r="B102" s="240" t="s">
        <v>351</v>
      </c>
      <c r="C102" s="3">
        <f>IF(SUM(C3:E3)=0,0,C3/SUM(C3:E3))</f>
        <v>0</v>
      </c>
      <c r="F102" s="240">
        <f>IF(SUM(F3:H3)=0,0,F3/SUM(F3:H3))</f>
        <v>0</v>
      </c>
      <c r="I102" s="240">
        <f>IF(SUM(I3:K3)=0,0,I3/SUM(I3:K3))</f>
        <v>0</v>
      </c>
      <c r="L102" s="240">
        <f>IF(SUM(L3:N3)=0,0,L3/SUM(L3:N3))</f>
        <v>0</v>
      </c>
    </row>
    <row r="103" spans="1:13" hidden="1" x14ac:dyDescent="0.3">
      <c r="B103" s="250" t="s">
        <v>350</v>
      </c>
      <c r="C103" s="250" t="e">
        <f>ROUND((C77*C14+3600*(1+C102))/$C$25,0)</f>
        <v>#VALUE!</v>
      </c>
      <c r="D103" s="250"/>
      <c r="E103" s="250"/>
      <c r="F103" s="250" t="e">
        <f>ROUND((F77*F14+3600*(1+F102))/$C$25,0)</f>
        <v>#VALUE!</v>
      </c>
      <c r="G103" s="250"/>
      <c r="H103" s="250"/>
      <c r="I103" s="250" t="e">
        <f>ROUND((I77*I14+3600*(1+I102))/$C$25,0)</f>
        <v>#VALUE!</v>
      </c>
      <c r="J103" s="250"/>
      <c r="K103" s="250"/>
      <c r="L103" s="250" t="e">
        <f>ROUND((L77*L14+3600*(1+L102))/$C$25,0)</f>
        <v>#VALUE!</v>
      </c>
    </row>
    <row r="104" spans="1:13" hidden="1" x14ac:dyDescent="0.3">
      <c r="B104" s="250" t="s">
        <v>352</v>
      </c>
      <c r="C104" s="250" t="e">
        <f>MAX(0,ROUND(((C63+C35-1)*C11/$C$25+(MIN(C77-C94,C76)*C14+7200)/$C$25)*C6,0))</f>
        <v>#DIV/0!</v>
      </c>
      <c r="D104" s="250"/>
      <c r="E104" s="250"/>
      <c r="F104" s="250" t="e">
        <f>MAX(0,ROUND(((F63+F35-1)*F11/$C$25+(MIN(F77-F94,F76)*F14+7200)/$C$25)*F6,0))</f>
        <v>#DIV/0!</v>
      </c>
      <c r="G104" s="250"/>
      <c r="H104" s="250"/>
      <c r="I104" s="250" t="e">
        <f>MAX(0,ROUND(((I63+I35-1)*I11/$C$25+(MIN(I77-I94,I76)*I14+7200)/$C$25)*I6,0))</f>
        <v>#DIV/0!</v>
      </c>
      <c r="J104" s="250"/>
      <c r="K104" s="250"/>
      <c r="L104" s="250" t="e">
        <f>MAX(0,ROUND(((L63+L35-1)*L11/$C$25+(MIN(L77-L94,L76)*L14+7200)/$C$25)*L6,0))</f>
        <v>#DIV/0!</v>
      </c>
    </row>
    <row r="105" spans="1:13" hidden="1" x14ac:dyDescent="0.3"/>
    <row r="106" spans="1:13" hidden="1" x14ac:dyDescent="0.3">
      <c r="A106" s="550" t="s">
        <v>479</v>
      </c>
      <c r="B106" s="322" t="s">
        <v>73</v>
      </c>
      <c r="C106" s="322"/>
      <c r="D106" s="322" t="s">
        <v>14</v>
      </c>
      <c r="E106" s="322"/>
      <c r="F106" s="322"/>
      <c r="G106" s="322" t="s">
        <v>19</v>
      </c>
      <c r="H106" s="322"/>
      <c r="I106" s="322"/>
      <c r="J106" s="322" t="s">
        <v>4</v>
      </c>
      <c r="K106" s="322"/>
      <c r="L106" s="322"/>
      <c r="M106" s="426" t="s">
        <v>9</v>
      </c>
    </row>
    <row r="107" spans="1:13" hidden="1" x14ac:dyDescent="0.3">
      <c r="A107" s="551"/>
      <c r="B107" s="168" t="s">
        <v>470</v>
      </c>
      <c r="C107" s="168"/>
      <c r="D107" s="168" t="e">
        <f>D37-Phasing!P19</f>
        <v>#VALUE!</v>
      </c>
      <c r="E107" s="168"/>
      <c r="F107" s="168"/>
      <c r="G107" s="168" t="e">
        <f>G37-Phasing!R19</f>
        <v>#VALUE!</v>
      </c>
      <c r="H107" s="168"/>
      <c r="I107" s="168"/>
      <c r="J107" s="168" t="e">
        <f>J37-Phasing!T19</f>
        <v>#VALUE!</v>
      </c>
      <c r="K107" s="168"/>
      <c r="L107" s="168"/>
      <c r="M107" s="427" t="e">
        <f>M37-Phasing!V19</f>
        <v>#VALUE!</v>
      </c>
    </row>
    <row r="108" spans="1:13" hidden="1" x14ac:dyDescent="0.3">
      <c r="A108" s="551"/>
      <c r="B108" s="168" t="s">
        <v>471</v>
      </c>
      <c r="C108" s="168"/>
      <c r="D108" s="168" t="e">
        <f>D107+4</f>
        <v>#VALUE!</v>
      </c>
      <c r="E108" s="168"/>
      <c r="F108" s="168"/>
      <c r="G108" s="168" t="e">
        <f>G107+4</f>
        <v>#VALUE!</v>
      </c>
      <c r="H108" s="168"/>
      <c r="I108" s="168"/>
      <c r="J108" s="168" t="e">
        <f>J107+4</f>
        <v>#VALUE!</v>
      </c>
      <c r="K108" s="168"/>
      <c r="L108" s="168"/>
      <c r="M108" s="427" t="e">
        <f>M107+4</f>
        <v>#VALUE!</v>
      </c>
    </row>
    <row r="109" spans="1:13" hidden="1" x14ac:dyDescent="0.3">
      <c r="A109" s="551"/>
      <c r="B109" s="168" t="s">
        <v>472</v>
      </c>
      <c r="C109" s="428"/>
      <c r="D109" s="428" t="e">
        <f>(($C$25-D108)^2)/(2*$C$25)</f>
        <v>#VALUE!</v>
      </c>
      <c r="E109" s="428"/>
      <c r="F109" s="428"/>
      <c r="G109" s="428" t="e">
        <f>(($C$25-G108)^2)/(2*$C$25)</f>
        <v>#VALUE!</v>
      </c>
      <c r="H109" s="428"/>
      <c r="I109" s="428"/>
      <c r="J109" s="428" t="e">
        <f>(($C$25-J108)^2)/(2*$C$25)</f>
        <v>#VALUE!</v>
      </c>
      <c r="K109" s="428"/>
      <c r="L109" s="428"/>
      <c r="M109" s="429" t="e">
        <f>(($C$25-M108)^2)/(2*$C$25)</f>
        <v>#VALUE!</v>
      </c>
    </row>
    <row r="110" spans="1:13" hidden="1" x14ac:dyDescent="0.3">
      <c r="A110" s="551"/>
      <c r="B110" s="168" t="s">
        <v>476</v>
      </c>
      <c r="C110" s="168"/>
      <c r="D110" s="168">
        <f>'Input sheet'!E17</f>
        <v>0</v>
      </c>
      <c r="E110" s="168"/>
      <c r="F110" s="168"/>
      <c r="G110" s="168">
        <f>'Input sheet'!Q17</f>
        <v>0</v>
      </c>
      <c r="H110" s="168"/>
      <c r="I110" s="168"/>
      <c r="J110" s="168">
        <f>'Input sheet'!O21</f>
        <v>0</v>
      </c>
      <c r="K110" s="168"/>
      <c r="L110" s="168"/>
      <c r="M110" s="427">
        <f>'Input sheet'!M6</f>
        <v>0</v>
      </c>
    </row>
    <row r="111" spans="1:13" hidden="1" x14ac:dyDescent="0.3">
      <c r="A111" s="551"/>
      <c r="B111" s="168" t="s">
        <v>478</v>
      </c>
      <c r="C111" s="168"/>
      <c r="D111" s="430" t="e">
        <f>D109*D110/3600</f>
        <v>#VALUE!</v>
      </c>
      <c r="E111" s="430"/>
      <c r="F111" s="430"/>
      <c r="G111" s="430" t="e">
        <f>G109*G110/3600</f>
        <v>#VALUE!</v>
      </c>
      <c r="H111" s="430"/>
      <c r="I111" s="430"/>
      <c r="J111" s="430" t="e">
        <f>J109*J110/3600</f>
        <v>#VALUE!</v>
      </c>
      <c r="K111" s="430"/>
      <c r="L111" s="430"/>
      <c r="M111" s="431" t="e">
        <f>M109*M110/3600</f>
        <v>#VALUE!</v>
      </c>
    </row>
    <row r="112" spans="1:13" hidden="1" x14ac:dyDescent="0.3">
      <c r="A112" s="551"/>
      <c r="B112" s="168" t="s">
        <v>477</v>
      </c>
      <c r="C112" s="168"/>
      <c r="D112" s="430" t="e">
        <f>D111+G111+J111+M111</f>
        <v>#VALUE!</v>
      </c>
      <c r="E112" s="430"/>
      <c r="F112" s="430"/>
      <c r="G112" s="430"/>
      <c r="H112" s="430"/>
      <c r="I112" s="430"/>
      <c r="J112" s="430"/>
      <c r="K112" s="430"/>
      <c r="L112" s="430"/>
      <c r="M112" s="431"/>
    </row>
    <row r="113" spans="1:58" s="420" customFormat="1" hidden="1" x14ac:dyDescent="0.3">
      <c r="A113" s="551"/>
      <c r="B113" s="168" t="s">
        <v>486</v>
      </c>
      <c r="C113" s="168"/>
      <c r="D113" s="433">
        <f>Phasing!P3</f>
        <v>0</v>
      </c>
      <c r="E113" s="433"/>
      <c r="F113" s="433"/>
      <c r="G113" s="433">
        <f>Phasing!R3</f>
        <v>0</v>
      </c>
      <c r="H113" s="433"/>
      <c r="I113" s="433"/>
      <c r="J113" s="433">
        <f>Phasing!T3</f>
        <v>0</v>
      </c>
      <c r="K113" s="433"/>
      <c r="L113" s="433"/>
      <c r="M113" s="434">
        <f>Phasing!V3</f>
        <v>0</v>
      </c>
      <c r="P113" s="421"/>
      <c r="AE113" s="422"/>
      <c r="AF113" s="422"/>
      <c r="AG113" s="422"/>
      <c r="AH113" s="422"/>
      <c r="AI113" s="422"/>
      <c r="AJ113" s="422"/>
      <c r="AK113" s="421"/>
      <c r="AL113" s="421"/>
      <c r="AM113" s="421"/>
      <c r="AN113" s="421"/>
      <c r="AO113" s="421"/>
      <c r="AP113" s="421"/>
      <c r="AQ113" s="421"/>
      <c r="AR113" s="421"/>
      <c r="AS113" s="421"/>
      <c r="AT113" s="421"/>
      <c r="AU113" s="421"/>
      <c r="AV113" s="421"/>
    </row>
    <row r="114" spans="1:58" s="420" customFormat="1" hidden="1" x14ac:dyDescent="0.3">
      <c r="A114" s="552"/>
      <c r="B114" s="325" t="s">
        <v>487</v>
      </c>
      <c r="C114" s="325"/>
      <c r="D114" s="436">
        <f>MAX(D113:M113)</f>
        <v>0</v>
      </c>
      <c r="E114" s="436"/>
      <c r="F114" s="436"/>
      <c r="G114" s="436"/>
      <c r="H114" s="436"/>
      <c r="I114" s="436"/>
      <c r="J114" s="436"/>
      <c r="K114" s="436"/>
      <c r="L114" s="436"/>
      <c r="M114" s="437"/>
      <c r="P114" s="421"/>
      <c r="AE114" s="422"/>
      <c r="AF114" s="422"/>
      <c r="AG114" s="422"/>
      <c r="AH114" s="422"/>
      <c r="AI114" s="422"/>
      <c r="AJ114" s="422"/>
      <c r="AK114" s="421"/>
      <c r="AL114" s="421"/>
      <c r="AM114" s="421"/>
      <c r="AN114" s="421"/>
      <c r="AO114" s="421"/>
      <c r="AP114" s="421"/>
      <c r="AQ114" s="421"/>
      <c r="AR114" s="421"/>
      <c r="AS114" s="421"/>
      <c r="AT114" s="421"/>
      <c r="AU114" s="421"/>
      <c r="AV114" s="421"/>
    </row>
    <row r="115" spans="1:58" hidden="1" x14ac:dyDescent="0.3"/>
    <row r="116" spans="1:58" hidden="1" x14ac:dyDescent="0.3">
      <c r="A116" s="550" t="s">
        <v>485</v>
      </c>
      <c r="B116" s="322" t="s">
        <v>73</v>
      </c>
      <c r="C116" s="322"/>
      <c r="D116" s="322" t="s">
        <v>14</v>
      </c>
      <c r="E116" s="322"/>
      <c r="F116" s="322"/>
      <c r="G116" s="322" t="s">
        <v>19</v>
      </c>
      <c r="H116" s="322"/>
      <c r="I116" s="322"/>
      <c r="J116" s="322" t="s">
        <v>4</v>
      </c>
      <c r="K116" s="322"/>
      <c r="L116" s="322"/>
      <c r="M116" s="426" t="s">
        <v>9</v>
      </c>
    </row>
    <row r="117" spans="1:58" hidden="1" x14ac:dyDescent="0.3">
      <c r="A117" s="551"/>
      <c r="B117" s="168" t="s">
        <v>480</v>
      </c>
      <c r="C117" s="168"/>
      <c r="D117" s="433" t="e">
        <f>2000*D38/$C$25</f>
        <v>#DIV/0!</v>
      </c>
      <c r="E117" s="433"/>
      <c r="F117" s="433"/>
      <c r="G117" s="433" t="e">
        <f>2000*G38/$C$25</f>
        <v>#DIV/0!</v>
      </c>
      <c r="H117" s="433"/>
      <c r="I117" s="433"/>
      <c r="J117" s="433" t="e">
        <f>2000*J38/$C$25</f>
        <v>#DIV/0!</v>
      </c>
      <c r="K117" s="433"/>
      <c r="L117" s="433"/>
      <c r="M117" s="434" t="e">
        <f>2000*M38/$C$25</f>
        <v>#DIV/0!</v>
      </c>
    </row>
    <row r="118" spans="1:58" s="420" customFormat="1" hidden="1" x14ac:dyDescent="0.3">
      <c r="A118" s="551"/>
      <c r="B118" s="168" t="s">
        <v>482</v>
      </c>
      <c r="C118" s="168"/>
      <c r="D118" s="433">
        <f>'Input sheet'!E18</f>
        <v>0</v>
      </c>
      <c r="E118" s="433"/>
      <c r="F118" s="433"/>
      <c r="G118" s="433">
        <f>'Input sheet'!Q18</f>
        <v>0</v>
      </c>
      <c r="H118" s="433"/>
      <c r="I118" s="433"/>
      <c r="J118" s="433">
        <f>'Input sheet'!P21</f>
        <v>0</v>
      </c>
      <c r="K118" s="433"/>
      <c r="L118" s="433"/>
      <c r="M118" s="434">
        <f>'Input sheet'!N6</f>
        <v>0</v>
      </c>
      <c r="P118" s="421"/>
      <c r="AE118" s="422"/>
      <c r="AF118" s="422"/>
      <c r="AG118" s="422"/>
      <c r="AH118" s="422"/>
      <c r="AI118" s="422"/>
      <c r="AJ118" s="422"/>
      <c r="AK118" s="421"/>
      <c r="AL118" s="421"/>
      <c r="AM118" s="421"/>
      <c r="AN118" s="421"/>
      <c r="AO118" s="421"/>
      <c r="AP118" s="421"/>
      <c r="AQ118" s="421"/>
      <c r="AR118" s="421"/>
      <c r="AS118" s="421"/>
      <c r="AT118" s="421"/>
      <c r="AU118" s="421"/>
      <c r="AV118" s="421"/>
    </row>
    <row r="119" spans="1:58" s="420" customFormat="1" hidden="1" x14ac:dyDescent="0.3">
      <c r="A119" s="551"/>
      <c r="B119" s="168" t="s">
        <v>483</v>
      </c>
      <c r="C119" s="168"/>
      <c r="D119" s="433">
        <f>D38</f>
        <v>0</v>
      </c>
      <c r="E119" s="433"/>
      <c r="F119" s="433"/>
      <c r="G119" s="433">
        <f>G38</f>
        <v>0</v>
      </c>
      <c r="H119" s="433"/>
      <c r="I119" s="433"/>
      <c r="J119" s="433">
        <f>J38</f>
        <v>0</v>
      </c>
      <c r="K119" s="433"/>
      <c r="L119" s="433"/>
      <c r="M119" s="434">
        <f>M38</f>
        <v>0</v>
      </c>
      <c r="P119" s="421"/>
      <c r="AE119" s="422"/>
      <c r="AF119" s="422"/>
      <c r="AG119" s="422"/>
      <c r="AH119" s="422"/>
      <c r="AI119" s="422"/>
      <c r="AJ119" s="422"/>
      <c r="AK119" s="421"/>
      <c r="AL119" s="421"/>
      <c r="AM119" s="421"/>
      <c r="AN119" s="421"/>
      <c r="AO119" s="421"/>
      <c r="AP119" s="421"/>
      <c r="AQ119" s="421"/>
      <c r="AR119" s="421"/>
      <c r="AS119" s="421"/>
      <c r="AT119" s="421"/>
      <c r="AU119" s="421"/>
      <c r="AV119" s="421"/>
    </row>
    <row r="120" spans="1:58" hidden="1" x14ac:dyDescent="0.3">
      <c r="A120" s="551"/>
      <c r="B120" s="168" t="s">
        <v>481</v>
      </c>
      <c r="C120" s="168"/>
      <c r="D120" s="428" t="e">
        <f>(0.5*$C$25*(1-D119/$C$25)^2)/(1-(D118/D117)*(D119/$C$25))</f>
        <v>#DIV/0!</v>
      </c>
      <c r="E120" s="428"/>
      <c r="F120" s="428"/>
      <c r="G120" s="428" t="e">
        <f>(0.5*$C$25*(1-G119/$C$25)^2)/(1-(G118/G117)*(G119/$C$25))</f>
        <v>#DIV/0!</v>
      </c>
      <c r="H120" s="428"/>
      <c r="I120" s="428"/>
      <c r="J120" s="428" t="e">
        <f>(0.5*$C$25*(1-J119/$C$25)^2)/(1-(J118/J117)*(J119/$C$25))</f>
        <v>#DIV/0!</v>
      </c>
      <c r="K120" s="428"/>
      <c r="L120" s="428"/>
      <c r="M120" s="429" t="e">
        <f>(0.5*$C$25*(1-M119/$C$25)^2)/(1-(M118/M117)*(M119/$C$25))</f>
        <v>#DIV/0!</v>
      </c>
    </row>
    <row r="121" spans="1:58" hidden="1" x14ac:dyDescent="0.3">
      <c r="A121" s="552"/>
      <c r="B121" s="325" t="s">
        <v>484</v>
      </c>
      <c r="C121" s="325"/>
      <c r="D121" s="432" t="e">
        <f>(D118*D120+G118*G120+J118*J120+M118*M120)/3600</f>
        <v>#DIV/0!</v>
      </c>
      <c r="E121" s="325"/>
      <c r="F121" s="325"/>
      <c r="G121" s="325"/>
      <c r="H121" s="325"/>
      <c r="I121" s="325"/>
      <c r="J121" s="325"/>
      <c r="K121" s="325"/>
      <c r="L121" s="325"/>
      <c r="M121" s="435"/>
    </row>
    <row r="122" spans="1:58" hidden="1" x14ac:dyDescent="0.3"/>
    <row r="123" spans="1:58" hidden="1" x14ac:dyDescent="0.3">
      <c r="A123" s="550" t="s">
        <v>496</v>
      </c>
      <c r="B123" s="322" t="s">
        <v>492</v>
      </c>
      <c r="C123" s="271" t="s">
        <v>13</v>
      </c>
      <c r="D123" s="271" t="s">
        <v>14</v>
      </c>
      <c r="E123" s="378" t="s">
        <v>15</v>
      </c>
      <c r="F123" s="271" t="s">
        <v>18</v>
      </c>
      <c r="G123" s="271" t="s">
        <v>19</v>
      </c>
      <c r="H123" s="378" t="s">
        <v>20</v>
      </c>
      <c r="I123" s="271" t="s">
        <v>3</v>
      </c>
      <c r="J123" s="271" t="s">
        <v>4</v>
      </c>
      <c r="K123" s="378" t="s">
        <v>5</v>
      </c>
      <c r="L123" s="271" t="s">
        <v>8</v>
      </c>
      <c r="M123" s="271" t="s">
        <v>9</v>
      </c>
      <c r="N123" s="378" t="s">
        <v>10</v>
      </c>
      <c r="O123" s="322"/>
      <c r="P123" s="378"/>
      <c r="Q123" s="322"/>
      <c r="R123" s="322"/>
      <c r="S123" s="322"/>
      <c r="T123" s="322"/>
      <c r="U123" s="322"/>
      <c r="V123" s="322"/>
      <c r="W123" s="322"/>
      <c r="X123" s="322"/>
      <c r="Y123" s="322"/>
      <c r="Z123" s="322"/>
      <c r="AA123" s="322"/>
      <c r="AB123" s="322"/>
      <c r="AC123" s="322"/>
      <c r="AD123" s="322"/>
      <c r="AE123" s="378"/>
      <c r="AF123" s="378"/>
      <c r="AG123" s="378"/>
      <c r="AH123" s="378"/>
      <c r="AI123" s="378"/>
      <c r="AJ123" s="378"/>
      <c r="AK123" s="378"/>
      <c r="AL123" s="378"/>
      <c r="AM123" s="378"/>
      <c r="AN123" s="378"/>
      <c r="AO123" s="378"/>
      <c r="AP123" s="378"/>
      <c r="AQ123" s="378"/>
      <c r="AR123" s="378"/>
      <c r="AS123" s="378"/>
      <c r="AT123" s="378"/>
      <c r="AU123" s="378"/>
      <c r="AV123" s="378"/>
      <c r="AW123" s="322"/>
      <c r="AX123" s="322"/>
      <c r="AY123" s="322"/>
      <c r="AZ123" s="322"/>
      <c r="BA123" s="322"/>
      <c r="BB123" s="322"/>
      <c r="BC123" s="322"/>
      <c r="BD123" s="322"/>
      <c r="BE123" s="322"/>
      <c r="BF123" s="426" t="s">
        <v>494</v>
      </c>
    </row>
    <row r="124" spans="1:58" hidden="1" x14ac:dyDescent="0.3">
      <c r="A124" s="551"/>
      <c r="B124" s="168" t="s">
        <v>489</v>
      </c>
      <c r="C124" s="430">
        <f>(((100-'Input sheet'!$B$4)/100)*'Phase calculation'!C3*'Phase calculation'!C44*'Input sheet'!$B$2)/3600</f>
        <v>0</v>
      </c>
      <c r="D124" s="430">
        <f>(((100-'Input sheet'!$B$4)/100)*'Phase calculation'!D3*'Phase calculation'!D44*'Input sheet'!$B$2)/3600</f>
        <v>0</v>
      </c>
      <c r="E124" s="430">
        <f>(((100-'Input sheet'!$B$4)/100)*'Phase calculation'!E3*'Phase calculation'!E44*'Input sheet'!$B$2)/3600</f>
        <v>0</v>
      </c>
      <c r="F124" s="430">
        <f>(((100-'Input sheet'!$B$4)/100)*'Phase calculation'!F3*'Phase calculation'!F44*'Input sheet'!$B$2)/3600</f>
        <v>0</v>
      </c>
      <c r="G124" s="430">
        <f>(((100-'Input sheet'!$B$4)/100)*'Phase calculation'!G3*'Phase calculation'!G44*'Input sheet'!$B$2)/3600</f>
        <v>0</v>
      </c>
      <c r="H124" s="430">
        <f>(((100-'Input sheet'!$B$4)/100)*'Phase calculation'!H3*'Phase calculation'!H44*'Input sheet'!$B$2)/3600</f>
        <v>0</v>
      </c>
      <c r="I124" s="430">
        <f>(((100-'Input sheet'!$B$4)/100)*'Phase calculation'!I3*'Phase calculation'!I44*'Input sheet'!$B$2)/3600</f>
        <v>0</v>
      </c>
      <c r="J124" s="430">
        <f>(((100-'Input sheet'!$B$4)/100)*'Phase calculation'!J3*'Phase calculation'!J44*'Input sheet'!$B$2)/3600</f>
        <v>0</v>
      </c>
      <c r="K124" s="430">
        <f>(((100-'Input sheet'!$B$4)/100)*'Phase calculation'!K3*'Phase calculation'!K44*'Input sheet'!$B$2)/3600</f>
        <v>0</v>
      </c>
      <c r="L124" s="430">
        <f>(((100-'Input sheet'!$B$4)/100)*'Phase calculation'!L3*'Phase calculation'!L44*'Input sheet'!$B$2)/3600</f>
        <v>0</v>
      </c>
      <c r="M124" s="430">
        <f>(((100-'Input sheet'!$B$4)/100)*'Phase calculation'!M3*'Phase calculation'!M44*'Input sheet'!$B$2)/3600</f>
        <v>0</v>
      </c>
      <c r="N124" s="430">
        <f>(((100-'Input sheet'!$B$4)/100)*'Phase calculation'!N3*'Phase calculation'!N44*'Input sheet'!$B$2)/3600</f>
        <v>0</v>
      </c>
      <c r="O124" s="168"/>
      <c r="P124" s="422"/>
      <c r="Q124" s="168"/>
      <c r="R124" s="168"/>
      <c r="S124" s="168"/>
      <c r="T124" s="168"/>
      <c r="U124" s="168"/>
      <c r="V124" s="168"/>
      <c r="W124" s="168"/>
      <c r="X124" s="168"/>
      <c r="Y124" s="168"/>
      <c r="Z124" s="168"/>
      <c r="AA124" s="168"/>
      <c r="AB124" s="168"/>
      <c r="AC124" s="168"/>
      <c r="AD124" s="168"/>
      <c r="AE124" s="422"/>
      <c r="AF124" s="422"/>
      <c r="AG124" s="422"/>
      <c r="AH124" s="422"/>
      <c r="AI124" s="422"/>
      <c r="AJ124" s="422"/>
      <c r="AK124" s="422"/>
      <c r="AL124" s="422"/>
      <c r="AM124" s="422"/>
      <c r="AN124" s="422"/>
      <c r="AO124" s="422"/>
      <c r="AP124" s="422"/>
      <c r="AQ124" s="422"/>
      <c r="AR124" s="422"/>
      <c r="AS124" s="422"/>
      <c r="AT124" s="422"/>
      <c r="AU124" s="422"/>
      <c r="AV124" s="422"/>
      <c r="AW124" s="168"/>
      <c r="AX124" s="168"/>
      <c r="AY124" s="168"/>
      <c r="AZ124" s="168"/>
      <c r="BA124" s="168"/>
      <c r="BB124" s="168"/>
      <c r="BC124" s="168"/>
      <c r="BD124" s="168"/>
      <c r="BE124" s="168"/>
      <c r="BF124" s="431">
        <f>SUM(C124:N124)</f>
        <v>0</v>
      </c>
    </row>
    <row r="125" spans="1:58" hidden="1" x14ac:dyDescent="0.3">
      <c r="A125" s="551"/>
      <c r="B125" s="168" t="s">
        <v>490</v>
      </c>
      <c r="C125" s="430">
        <f>(('Input sheet'!$B$4/100)*'Phase calculation'!C3*'Phase calculation'!C44*'Input sheet'!$B$3)/3600</f>
        <v>0</v>
      </c>
      <c r="D125" s="430">
        <f>(('Input sheet'!$B$4/100)*'Phase calculation'!D3*'Phase calculation'!D44*'Input sheet'!$B$3)/3600</f>
        <v>0</v>
      </c>
      <c r="E125" s="430">
        <f>(('Input sheet'!$B$4/100)*'Phase calculation'!E3*'Phase calculation'!E44*'Input sheet'!$B$3)/3600</f>
        <v>0</v>
      </c>
      <c r="F125" s="430">
        <f>(('Input sheet'!$B$4/100)*'Phase calculation'!F3*'Phase calculation'!F44*'Input sheet'!$B$3)/3600</f>
        <v>0</v>
      </c>
      <c r="G125" s="430">
        <f>(('Input sheet'!$B$4/100)*'Phase calculation'!G3*'Phase calculation'!G44*'Input sheet'!$B$3)/3600</f>
        <v>0</v>
      </c>
      <c r="H125" s="430">
        <f>(('Input sheet'!$B$4/100)*'Phase calculation'!H3*'Phase calculation'!H44*'Input sheet'!$B$3)/3600</f>
        <v>0</v>
      </c>
      <c r="I125" s="430">
        <f>(('Input sheet'!$B$4/100)*'Phase calculation'!I3*'Phase calculation'!I44*'Input sheet'!$B$3)/3600</f>
        <v>0</v>
      </c>
      <c r="J125" s="430">
        <f>(('Input sheet'!$B$4/100)*'Phase calculation'!J3*'Phase calculation'!J44*'Input sheet'!$B$3)/3600</f>
        <v>0</v>
      </c>
      <c r="K125" s="430">
        <f>(('Input sheet'!$B$4/100)*'Phase calculation'!K3*'Phase calculation'!K44*'Input sheet'!$B$3)/3600</f>
        <v>0</v>
      </c>
      <c r="L125" s="430">
        <f>(('Input sheet'!$B$4/100)*'Phase calculation'!L3*'Phase calculation'!L44*'Input sheet'!$B$3)/3600</f>
        <v>0</v>
      </c>
      <c r="M125" s="430">
        <f>(('Input sheet'!$B$4/100)*'Phase calculation'!M3*'Phase calculation'!M44*'Input sheet'!$B$3)/3600</f>
        <v>0</v>
      </c>
      <c r="N125" s="430">
        <f>(('Input sheet'!$B$4/100)*'Phase calculation'!N3*'Phase calculation'!N44*'Input sheet'!$B$3)/3600</f>
        <v>0</v>
      </c>
      <c r="O125" s="430">
        <f>(('Input sheet'!$B$4/100)*'Phase calculation'!O3*'Phase calculation'!O44*'Input sheet'!$B$3)/3600</f>
        <v>0</v>
      </c>
      <c r="P125" s="430">
        <f>(('Input sheet'!$B$4/100)*'Phase calculation'!P3*'Phase calculation'!P44*'Input sheet'!$B$3)/3600</f>
        <v>0</v>
      </c>
      <c r="Q125" s="430" t="e">
        <f>(('Input sheet'!$B$4/100)*'Phase calculation'!Q3*'Phase calculation'!Q44*'Input sheet'!$B$3)/3600</f>
        <v>#VALUE!</v>
      </c>
      <c r="R125" s="430" t="e">
        <f>(('Input sheet'!$B$4/100)*'Phase calculation'!R3*'Phase calculation'!R44*'Input sheet'!$B$3)/3600</f>
        <v>#VALUE!</v>
      </c>
      <c r="S125" s="430" t="e">
        <f>(('Input sheet'!$B$4/100)*'Phase calculation'!S3*'Phase calculation'!S44*'Input sheet'!$B$3)/3600</f>
        <v>#N/A</v>
      </c>
      <c r="T125" s="430" t="e">
        <f>(('Input sheet'!$B$4/100)*'Phase calculation'!T3*'Phase calculation'!T44*'Input sheet'!$B$3)/3600</f>
        <v>#N/A</v>
      </c>
      <c r="U125" s="430" t="e">
        <f>(('Input sheet'!$B$4/100)*'Phase calculation'!U3*'Phase calculation'!U44*'Input sheet'!$B$3)/3600</f>
        <v>#N/A</v>
      </c>
      <c r="V125" s="430" t="e">
        <f>(('Input sheet'!$B$4/100)*'Phase calculation'!V3*'Phase calculation'!V44*'Input sheet'!$B$3)/3600</f>
        <v>#N/A</v>
      </c>
      <c r="W125" s="430">
        <f>(('Input sheet'!$B$4/100)*'Phase calculation'!W3*'Phase calculation'!W44*'Input sheet'!$B$3)/3600</f>
        <v>0</v>
      </c>
      <c r="X125" s="430" t="e">
        <f>(('Input sheet'!$B$4/100)*'Phase calculation'!X3*'Phase calculation'!X44*'Input sheet'!$B$3)/3600</f>
        <v>#VALUE!</v>
      </c>
      <c r="Y125" s="430" t="e">
        <f>(('Input sheet'!$B$4/100)*'Phase calculation'!Y3*'Phase calculation'!Y44*'Input sheet'!$B$3)/3600</f>
        <v>#VALUE!</v>
      </c>
      <c r="Z125" s="430" t="e">
        <f>(('Input sheet'!$B$4/100)*'Phase calculation'!Z3*'Phase calculation'!Z44*'Input sheet'!$B$3)/3600</f>
        <v>#VALUE!</v>
      </c>
      <c r="AA125" s="430" t="e">
        <f>(('Input sheet'!$B$4/100)*'Phase calculation'!AA3*'Phase calculation'!AA44*'Input sheet'!$B$3)/3600</f>
        <v>#VALUE!</v>
      </c>
      <c r="AB125" s="430" t="e">
        <f>(('Input sheet'!$B$4/100)*'Phase calculation'!AB3*'Phase calculation'!AB44*'Input sheet'!$B$3)/3600</f>
        <v>#VALUE!</v>
      </c>
      <c r="AC125" s="430" t="e">
        <f>(('Input sheet'!$B$4/100)*'Phase calculation'!AC3*'Phase calculation'!AC44*'Input sheet'!$B$3)/3600</f>
        <v>#VALUE!</v>
      </c>
      <c r="AD125" s="430" t="e">
        <f>(('Input sheet'!$B$4/100)*'Phase calculation'!AD3*'Phase calculation'!AD44*'Input sheet'!$B$3)/3600</f>
        <v>#VALUE!</v>
      </c>
      <c r="AE125" s="430" t="e">
        <f>(('Input sheet'!$B$4/100)*'Phase calculation'!AE3*'Phase calculation'!AE44*'Input sheet'!$B$3)/3600</f>
        <v>#VALUE!</v>
      </c>
      <c r="AF125" s="430" t="e">
        <f>(('Input sheet'!$B$4/100)*'Phase calculation'!AF3*'Phase calculation'!AF44*'Input sheet'!$B$3)/3600</f>
        <v>#VALUE!</v>
      </c>
      <c r="AG125" s="430">
        <f>(('Input sheet'!$B$4/100)*'Phase calculation'!AG3*'Phase calculation'!AG44*'Input sheet'!$B$3)/3600</f>
        <v>0</v>
      </c>
      <c r="AH125" s="430" t="e">
        <f>(('Input sheet'!$B$4/100)*'Phase calculation'!AH3*'Phase calculation'!AH44*'Input sheet'!$B$3)/3600</f>
        <v>#VALUE!</v>
      </c>
      <c r="AI125" s="430" t="e">
        <f>(('Input sheet'!$B$4/100)*'Phase calculation'!AI3*'Phase calculation'!AI44*'Input sheet'!$B$3)/3600</f>
        <v>#VALUE!</v>
      </c>
      <c r="AJ125" s="430">
        <f>(('Input sheet'!$B$4/100)*'Phase calculation'!AJ3*'Phase calculation'!AJ44*'Input sheet'!$B$3)/3600</f>
        <v>0</v>
      </c>
      <c r="AK125" s="430">
        <f>(('Input sheet'!$B$4/100)*'Phase calculation'!AK3*'Phase calculation'!AK44*'Input sheet'!$B$3)/3600</f>
        <v>0</v>
      </c>
      <c r="AL125" s="430">
        <f>(('Input sheet'!$B$4/100)*'Phase calculation'!AL3*'Phase calculation'!AL44*'Input sheet'!$B$3)/3600</f>
        <v>0</v>
      </c>
      <c r="AM125" s="430">
        <f>(('Input sheet'!$B$4/100)*'Phase calculation'!AM3*'Phase calculation'!AM44*'Input sheet'!$B$3)/3600</f>
        <v>0</v>
      </c>
      <c r="AN125" s="430" t="e">
        <f>(('Input sheet'!$B$4/100)*'Phase calculation'!AN3*'Phase calculation'!AN44*'Input sheet'!$B$3)/3600</f>
        <v>#VALUE!</v>
      </c>
      <c r="AO125" s="430">
        <f>(('Input sheet'!$B$4/100)*'Phase calculation'!AO3*'Phase calculation'!AO44*'Input sheet'!$B$3)/3600</f>
        <v>0</v>
      </c>
      <c r="AP125" s="430" t="e">
        <f>(('Input sheet'!$B$4/100)*'Phase calculation'!AP3*'Phase calculation'!AP44*'Input sheet'!$B$3)/3600</f>
        <v>#VALUE!</v>
      </c>
      <c r="AQ125" s="430">
        <f>(('Input sheet'!$B$4/100)*'Phase calculation'!AQ3*'Phase calculation'!AQ44*'Input sheet'!$B$3)/3600</f>
        <v>0</v>
      </c>
      <c r="AR125" s="430">
        <f>(('Input sheet'!$B$4/100)*'Phase calculation'!AR3*'Phase calculation'!AR44*'Input sheet'!$B$3)/3600</f>
        <v>0</v>
      </c>
      <c r="AS125" s="430" t="e">
        <f>(('Input sheet'!$B$4/100)*'Phase calculation'!AS3*'Phase calculation'!AS44*'Input sheet'!$B$3)/3600</f>
        <v>#VALUE!</v>
      </c>
      <c r="AT125" s="430">
        <f>(('Input sheet'!$B$4/100)*'Phase calculation'!AT3*'Phase calculation'!AT44*'Input sheet'!$B$3)/3600</f>
        <v>0</v>
      </c>
      <c r="AU125" s="430">
        <f>(('Input sheet'!$B$4/100)*'Phase calculation'!AU3*'Phase calculation'!AU44*'Input sheet'!$B$3)/3600</f>
        <v>0</v>
      </c>
      <c r="AV125" s="430">
        <f>(('Input sheet'!$B$4/100)*'Phase calculation'!AV3*'Phase calculation'!AV44*'Input sheet'!$B$3)/3600</f>
        <v>0</v>
      </c>
      <c r="AW125" s="430">
        <f>(('Input sheet'!$B$4/100)*'Phase calculation'!AW3*'Phase calculation'!AW44*'Input sheet'!$B$3)/3600</f>
        <v>0</v>
      </c>
      <c r="AX125" s="430">
        <f>(('Input sheet'!$B$4/100)*'Phase calculation'!AX3*'Phase calculation'!AX44*'Input sheet'!$B$3)/3600</f>
        <v>0</v>
      </c>
      <c r="AY125" s="430">
        <f>(('Input sheet'!$B$4/100)*'Phase calculation'!AY3*'Phase calculation'!AY44*'Input sheet'!$B$3)/3600</f>
        <v>0</v>
      </c>
      <c r="AZ125" s="430">
        <f>(('Input sheet'!$B$4/100)*'Phase calculation'!AZ3*'Phase calculation'!AZ44*'Input sheet'!$B$3)/3600</f>
        <v>0</v>
      </c>
      <c r="BA125" s="430">
        <f>(('Input sheet'!$B$4/100)*'Phase calculation'!BA3*'Phase calculation'!BA44*'Input sheet'!$B$3)/3600</f>
        <v>0</v>
      </c>
      <c r="BB125" s="430">
        <f>(('Input sheet'!$B$4/100)*'Phase calculation'!BB3*'Phase calculation'!BB44*'Input sheet'!$B$3)/3600</f>
        <v>0</v>
      </c>
      <c r="BC125" s="430">
        <f>(('Input sheet'!$B$4/100)*'Phase calculation'!BC3*'Phase calculation'!BC44*'Input sheet'!$B$3)/3600</f>
        <v>0</v>
      </c>
      <c r="BD125" s="430">
        <f>(('Input sheet'!$B$4/100)*'Phase calculation'!BD3*'Phase calculation'!BD44*'Input sheet'!$B$3)/3600</f>
        <v>0</v>
      </c>
      <c r="BE125" s="430">
        <f>(('Input sheet'!$B$4/100)*'Phase calculation'!BE3*'Phase calculation'!BE44*'Input sheet'!$B$3)/3600</f>
        <v>0</v>
      </c>
      <c r="BF125" s="431">
        <f>SUM(C125:N125)</f>
        <v>0</v>
      </c>
    </row>
    <row r="126" spans="1:58" hidden="1" x14ac:dyDescent="0.3">
      <c r="A126" s="551"/>
      <c r="B126" s="168" t="s">
        <v>54</v>
      </c>
      <c r="C126" s="168"/>
      <c r="D126" s="430" t="e">
        <f>D111*'Input sheet'!$B$2</f>
        <v>#VALUE!</v>
      </c>
      <c r="E126" s="168"/>
      <c r="F126" s="168"/>
      <c r="G126" s="430" t="e">
        <f>G111*'Input sheet'!$B$2</f>
        <v>#VALUE!</v>
      </c>
      <c r="H126" s="168"/>
      <c r="I126" s="168"/>
      <c r="J126" s="430" t="e">
        <f>J111*'Input sheet'!$B$2</f>
        <v>#VALUE!</v>
      </c>
      <c r="K126" s="168"/>
      <c r="L126" s="168"/>
      <c r="M126" s="430" t="e">
        <f>M111*'Input sheet'!$B$2</f>
        <v>#VALUE!</v>
      </c>
      <c r="N126" s="168"/>
      <c r="O126" s="168"/>
      <c r="P126" s="422"/>
      <c r="Q126" s="168"/>
      <c r="R126" s="168"/>
      <c r="S126" s="168"/>
      <c r="T126" s="168"/>
      <c r="U126" s="168"/>
      <c r="V126" s="168"/>
      <c r="W126" s="168"/>
      <c r="X126" s="168"/>
      <c r="Y126" s="168"/>
      <c r="Z126" s="168"/>
      <c r="AA126" s="168"/>
      <c r="AB126" s="168"/>
      <c r="AC126" s="168"/>
      <c r="AD126" s="168"/>
      <c r="AE126" s="422"/>
      <c r="AF126" s="422"/>
      <c r="AG126" s="422"/>
      <c r="AH126" s="422"/>
      <c r="AI126" s="422"/>
      <c r="AJ126" s="422"/>
      <c r="AK126" s="422"/>
      <c r="AL126" s="422"/>
      <c r="AM126" s="422"/>
      <c r="AN126" s="422"/>
      <c r="AO126" s="422"/>
      <c r="AP126" s="422"/>
      <c r="AQ126" s="422"/>
      <c r="AR126" s="422"/>
      <c r="AS126" s="422"/>
      <c r="AT126" s="422"/>
      <c r="AU126" s="422"/>
      <c r="AV126" s="422"/>
      <c r="AW126" s="168"/>
      <c r="AX126" s="168"/>
      <c r="AY126" s="168"/>
      <c r="AZ126" s="168"/>
      <c r="BA126" s="168"/>
      <c r="BB126" s="168"/>
      <c r="BC126" s="168"/>
      <c r="BD126" s="168"/>
      <c r="BE126" s="168"/>
      <c r="BF126" s="431" t="e">
        <f>SUM(C126:N126)</f>
        <v>#VALUE!</v>
      </c>
    </row>
    <row r="127" spans="1:58" hidden="1" x14ac:dyDescent="0.3">
      <c r="A127" s="551"/>
      <c r="B127" s="168" t="s">
        <v>493</v>
      </c>
      <c r="C127" s="168"/>
      <c r="D127" s="430" t="e">
        <f>(D118*D120/3600)*'Input sheet'!$B$2</f>
        <v>#DIV/0!</v>
      </c>
      <c r="E127" s="168"/>
      <c r="F127" s="168"/>
      <c r="G127" s="430" t="e">
        <f>(G118*G120/3600)*'Input sheet'!$B$2</f>
        <v>#DIV/0!</v>
      </c>
      <c r="H127" s="168"/>
      <c r="I127" s="168"/>
      <c r="J127" s="430" t="e">
        <f>(J118*J120/3600)*'Input sheet'!$B$2</f>
        <v>#DIV/0!</v>
      </c>
      <c r="K127" s="168"/>
      <c r="L127" s="168"/>
      <c r="M127" s="430" t="e">
        <f>(M118*M120/3600)*'Input sheet'!$B$2</f>
        <v>#DIV/0!</v>
      </c>
      <c r="N127" s="168"/>
      <c r="O127" s="168"/>
      <c r="P127" s="422"/>
      <c r="Q127" s="168"/>
      <c r="R127" s="168"/>
      <c r="S127" s="168"/>
      <c r="T127" s="168"/>
      <c r="U127" s="168"/>
      <c r="V127" s="168"/>
      <c r="W127" s="168"/>
      <c r="X127" s="168"/>
      <c r="Y127" s="168"/>
      <c r="Z127" s="168"/>
      <c r="AA127" s="168"/>
      <c r="AB127" s="168"/>
      <c r="AC127" s="168"/>
      <c r="AD127" s="168"/>
      <c r="AE127" s="422"/>
      <c r="AF127" s="422"/>
      <c r="AG127" s="422"/>
      <c r="AH127" s="422"/>
      <c r="AI127" s="422"/>
      <c r="AJ127" s="422"/>
      <c r="AK127" s="422"/>
      <c r="AL127" s="422"/>
      <c r="AM127" s="422"/>
      <c r="AN127" s="422"/>
      <c r="AO127" s="422"/>
      <c r="AP127" s="422"/>
      <c r="AQ127" s="422"/>
      <c r="AR127" s="422"/>
      <c r="AS127" s="422"/>
      <c r="AT127" s="422"/>
      <c r="AU127" s="422"/>
      <c r="AV127" s="422"/>
      <c r="AW127" s="168"/>
      <c r="AX127" s="168"/>
      <c r="AY127" s="168"/>
      <c r="AZ127" s="168"/>
      <c r="BA127" s="168"/>
      <c r="BB127" s="168"/>
      <c r="BC127" s="168"/>
      <c r="BD127" s="168"/>
      <c r="BE127" s="168"/>
      <c r="BF127" s="431" t="e">
        <f>SUM(C127:N127)</f>
        <v>#DIV/0!</v>
      </c>
    </row>
    <row r="128" spans="1:58" hidden="1" x14ac:dyDescent="0.3">
      <c r="A128" s="552"/>
      <c r="B128" s="448" t="s">
        <v>495</v>
      </c>
      <c r="C128" s="449" t="e">
        <f>SUM(BF124:BF127)</f>
        <v>#VALUE!</v>
      </c>
      <c r="D128" s="325"/>
      <c r="E128" s="325"/>
      <c r="F128" s="325"/>
      <c r="G128" s="325"/>
      <c r="H128" s="325"/>
      <c r="I128" s="325"/>
      <c r="J128" s="325"/>
      <c r="K128" s="325"/>
      <c r="L128" s="325"/>
      <c r="M128" s="325"/>
      <c r="N128" s="325"/>
      <c r="O128" s="325"/>
      <c r="P128" s="379"/>
      <c r="Q128" s="325"/>
      <c r="R128" s="325"/>
      <c r="S128" s="325"/>
      <c r="T128" s="325"/>
      <c r="U128" s="325"/>
      <c r="V128" s="325"/>
      <c r="W128" s="325"/>
      <c r="X128" s="325"/>
      <c r="Y128" s="325"/>
      <c r="Z128" s="325"/>
      <c r="AA128" s="325"/>
      <c r="AB128" s="325"/>
      <c r="AC128" s="325"/>
      <c r="AD128" s="325"/>
      <c r="AE128" s="379"/>
      <c r="AF128" s="379"/>
      <c r="AG128" s="379"/>
      <c r="AH128" s="379"/>
      <c r="AI128" s="379"/>
      <c r="AJ128" s="379"/>
      <c r="AK128" s="379"/>
      <c r="AL128" s="379"/>
      <c r="AM128" s="379"/>
      <c r="AN128" s="379"/>
      <c r="AO128" s="379"/>
      <c r="AP128" s="379"/>
      <c r="AQ128" s="379"/>
      <c r="AR128" s="379"/>
      <c r="AS128" s="379"/>
      <c r="AT128" s="379"/>
      <c r="AU128" s="379"/>
      <c r="AV128" s="379"/>
      <c r="AW128" s="325"/>
      <c r="AX128" s="325"/>
      <c r="AY128" s="325"/>
      <c r="AZ128" s="325"/>
      <c r="BA128" s="325"/>
      <c r="BB128" s="325"/>
      <c r="BC128" s="325"/>
      <c r="BD128" s="325"/>
      <c r="BE128" s="325"/>
      <c r="BF128" s="435"/>
    </row>
    <row r="129" spans="1:63" hidden="1" x14ac:dyDescent="0.3"/>
    <row r="130" spans="1:63" hidden="1" x14ac:dyDescent="0.3"/>
    <row r="131" spans="1:63" hidden="1" x14ac:dyDescent="0.3">
      <c r="B131" s="450"/>
      <c r="C131" s="322" t="s">
        <v>498</v>
      </c>
      <c r="D131" s="322" t="s">
        <v>499</v>
      </c>
      <c r="E131" s="322" t="s">
        <v>500</v>
      </c>
      <c r="F131" s="322" t="s">
        <v>501</v>
      </c>
      <c r="G131" s="426"/>
      <c r="BI131" s="420" t="s">
        <v>502</v>
      </c>
      <c r="BJ131" s="420" t="s">
        <v>503</v>
      </c>
      <c r="BK131" s="420" t="s">
        <v>504</v>
      </c>
    </row>
    <row r="132" spans="1:63" hidden="1" x14ac:dyDescent="0.3">
      <c r="B132" s="323" t="s">
        <v>497</v>
      </c>
      <c r="C132" s="168">
        <f>Phasing!P3</f>
        <v>0</v>
      </c>
      <c r="D132" s="168">
        <f>Phasing!R3</f>
        <v>0</v>
      </c>
      <c r="E132" s="168">
        <f>Phasing!T3</f>
        <v>0</v>
      </c>
      <c r="F132" s="168">
        <f>Phasing!V3</f>
        <v>0</v>
      </c>
      <c r="G132" s="427"/>
      <c r="BI132" s="420">
        <v>8</v>
      </c>
      <c r="BJ132" s="420" t="s">
        <v>508</v>
      </c>
      <c r="BK132" s="420">
        <v>300</v>
      </c>
    </row>
    <row r="133" spans="1:63" hidden="1" x14ac:dyDescent="0.3">
      <c r="B133" s="323" t="s">
        <v>42</v>
      </c>
      <c r="C133" s="168">
        <f>'Input sheet'!D13</f>
        <v>20</v>
      </c>
      <c r="D133" s="168">
        <f>'Input sheet'!P13</f>
        <v>20</v>
      </c>
      <c r="E133" s="168">
        <f>'Input sheet'!J24</f>
        <v>20</v>
      </c>
      <c r="F133" s="168">
        <f>'Input sheet'!J4</f>
        <v>20</v>
      </c>
      <c r="G133" s="427"/>
      <c r="BI133" s="420">
        <v>6</v>
      </c>
      <c r="BJ133" s="420" t="s">
        <v>507</v>
      </c>
      <c r="BK133" s="420">
        <v>350</v>
      </c>
    </row>
    <row r="134" spans="1:63" hidden="1" x14ac:dyDescent="0.3">
      <c r="B134" s="323" t="s">
        <v>509</v>
      </c>
      <c r="C134" s="168" t="e">
        <f>VLOOKUP(C133,#REF!,3)</f>
        <v>#REF!</v>
      </c>
      <c r="D134" s="168" t="e">
        <f>VLOOKUP(D133,#REF!,3)</f>
        <v>#REF!</v>
      </c>
      <c r="E134" s="168" t="e">
        <f>VLOOKUP(E133,#REF!,3)</f>
        <v>#REF!</v>
      </c>
      <c r="F134" s="168" t="e">
        <f>VLOOKUP(F133,#REF!,3)</f>
        <v>#REF!</v>
      </c>
      <c r="G134" s="427"/>
      <c r="BI134" s="420">
        <v>5</v>
      </c>
      <c r="BJ134" s="420" t="s">
        <v>506</v>
      </c>
      <c r="BK134" s="420">
        <v>660</v>
      </c>
    </row>
    <row r="135" spans="1:63" hidden="1" x14ac:dyDescent="0.3">
      <c r="B135" s="323" t="s">
        <v>504</v>
      </c>
      <c r="C135" s="168" t="e">
        <f>INDEX($BK$132:$BK$134,MATCH(C134,$BJ$132:$BJ$134,0))</f>
        <v>#REF!</v>
      </c>
      <c r="D135" s="168" t="e">
        <f t="shared" ref="D135:F135" si="24">INDEX($BK$132:$BK$134,MATCH(D134,$BJ$132:$BJ$134,0))</f>
        <v>#REF!</v>
      </c>
      <c r="E135" s="168" t="e">
        <f t="shared" si="24"/>
        <v>#REF!</v>
      </c>
      <c r="F135" s="168" t="e">
        <f t="shared" si="24"/>
        <v>#REF!</v>
      </c>
      <c r="G135" s="427"/>
    </row>
    <row r="136" spans="1:63" hidden="1" x14ac:dyDescent="0.3">
      <c r="B136" s="323" t="s">
        <v>505</v>
      </c>
      <c r="C136" s="168" t="e">
        <f>INDEX(#REF!,MATCH(C134,$BJ$132:$BJ$134,0))</f>
        <v>#REF!</v>
      </c>
      <c r="D136" s="168" t="e">
        <f>INDEX(#REF!,MATCH(D134,$BJ$132:$BJ$134,0))</f>
        <v>#REF!</v>
      </c>
      <c r="E136" s="168" t="e">
        <f>INDEX(#REF!,MATCH(E134,$BJ$132:$BJ$134,0))</f>
        <v>#REF!</v>
      </c>
      <c r="F136" s="168" t="e">
        <f>INDEX(#REF!,MATCH(F134,$BJ$132:$BJ$134,0))</f>
        <v>#REF!</v>
      </c>
      <c r="G136" s="427"/>
    </row>
    <row r="137" spans="1:63" hidden="1" x14ac:dyDescent="0.3">
      <c r="B137" s="323" t="s">
        <v>512</v>
      </c>
      <c r="C137" s="168" t="e">
        <f>INDEX(#REF!,MATCH(C134,$BJ$132:$BJ$134,0))</f>
        <v>#REF!</v>
      </c>
      <c r="D137" s="168" t="e">
        <f>INDEX(#REF!,MATCH(D134,$BJ$132:$BJ$134,0))</f>
        <v>#REF!</v>
      </c>
      <c r="E137" s="168" t="e">
        <f>INDEX(#REF!,MATCH(E134,$BJ$132:$BJ$134,0))</f>
        <v>#REF!</v>
      </c>
      <c r="F137" s="168" t="e">
        <f>INDEX(#REF!,MATCH(F134,$BJ$132:$BJ$134,0))</f>
        <v>#REF!</v>
      </c>
      <c r="G137" s="452" t="s">
        <v>494</v>
      </c>
    </row>
    <row r="138" spans="1:63" hidden="1" x14ac:dyDescent="0.3">
      <c r="B138" s="323" t="s">
        <v>510</v>
      </c>
      <c r="C138" s="428" t="e">
        <f>(C137-C132)/C135</f>
        <v>#REF!</v>
      </c>
      <c r="D138" s="428" t="e">
        <f t="shared" ref="D138:F138" si="25">(D137-D132)/D135</f>
        <v>#REF!</v>
      </c>
      <c r="E138" s="428" t="e">
        <f t="shared" si="25"/>
        <v>#REF!</v>
      </c>
      <c r="F138" s="428" t="e">
        <f t="shared" si="25"/>
        <v>#REF!</v>
      </c>
      <c r="G138" s="453" t="e">
        <f>SUM(C138:F138)</f>
        <v>#REF!</v>
      </c>
    </row>
    <row r="139" spans="1:63" hidden="1" x14ac:dyDescent="0.3">
      <c r="B139" s="324" t="s">
        <v>511</v>
      </c>
      <c r="C139" s="451" t="e">
        <f>(C137-C132)/C136</f>
        <v>#REF!</v>
      </c>
      <c r="D139" s="451" t="e">
        <f t="shared" ref="D139:F139" si="26">(D137-D132)/D136</f>
        <v>#REF!</v>
      </c>
      <c r="E139" s="451" t="e">
        <f t="shared" si="26"/>
        <v>#REF!</v>
      </c>
      <c r="F139" s="451" t="e">
        <f t="shared" si="26"/>
        <v>#REF!</v>
      </c>
      <c r="G139" s="454" t="e">
        <f>SUM(C139:F139)</f>
        <v>#REF!</v>
      </c>
    </row>
    <row r="140" spans="1:63" hidden="1" x14ac:dyDescent="0.3"/>
    <row r="141" spans="1:63" hidden="1" x14ac:dyDescent="0.3"/>
    <row r="142" spans="1:63" hidden="1" x14ac:dyDescent="0.3">
      <c r="A142" s="553" t="s">
        <v>520</v>
      </c>
      <c r="B142" s="322" t="s">
        <v>73</v>
      </c>
      <c r="C142" s="322"/>
      <c r="D142" s="322" t="s">
        <v>14</v>
      </c>
      <c r="E142" s="322"/>
      <c r="F142" s="322"/>
      <c r="G142" s="322" t="s">
        <v>19</v>
      </c>
      <c r="H142" s="322"/>
      <c r="I142" s="322"/>
      <c r="J142" s="322" t="s">
        <v>4</v>
      </c>
      <c r="K142" s="322"/>
      <c r="L142" s="322"/>
      <c r="M142" s="426" t="s">
        <v>9</v>
      </c>
    </row>
    <row r="143" spans="1:63" hidden="1" x14ac:dyDescent="0.3">
      <c r="A143" s="554"/>
      <c r="B143" s="168" t="s">
        <v>521</v>
      </c>
      <c r="C143" s="168"/>
      <c r="D143" s="433">
        <f>'Input sheet'!A15</f>
        <v>0</v>
      </c>
      <c r="E143" s="433"/>
      <c r="F143" s="433"/>
      <c r="G143" s="433">
        <f>'Input sheet'!R15</f>
        <v>0</v>
      </c>
      <c r="H143" s="433"/>
      <c r="I143" s="433"/>
      <c r="J143" s="433">
        <f>'Input sheet'!M26</f>
        <v>0</v>
      </c>
      <c r="K143" s="433"/>
      <c r="L143" s="433"/>
      <c r="M143" s="434">
        <f>'Input sheet'!M2</f>
        <v>0</v>
      </c>
    </row>
    <row r="144" spans="1:63" hidden="1" x14ac:dyDescent="0.3">
      <c r="A144" s="554"/>
      <c r="B144" s="168" t="s">
        <v>522</v>
      </c>
      <c r="C144" s="168"/>
      <c r="D144" s="433">
        <f>D38</f>
        <v>0</v>
      </c>
      <c r="E144" s="433"/>
      <c r="F144" s="433"/>
      <c r="G144" s="433">
        <f>G38</f>
        <v>0</v>
      </c>
      <c r="H144" s="433"/>
      <c r="I144" s="433"/>
      <c r="J144" s="433">
        <f>J38</f>
        <v>0</v>
      </c>
      <c r="K144" s="433"/>
      <c r="L144" s="433"/>
      <c r="M144" s="434">
        <f>M38</f>
        <v>0</v>
      </c>
    </row>
    <row r="145" spans="1:64" hidden="1" x14ac:dyDescent="0.3">
      <c r="A145" s="554"/>
      <c r="B145" s="168" t="s">
        <v>523</v>
      </c>
      <c r="C145" s="168"/>
      <c r="D145" s="428">
        <f>D44</f>
        <v>0</v>
      </c>
      <c r="E145" s="428"/>
      <c r="F145" s="428"/>
      <c r="G145" s="428">
        <f>G44</f>
        <v>0</v>
      </c>
      <c r="H145" s="428"/>
      <c r="I145" s="428"/>
      <c r="J145" s="428">
        <f>J44</f>
        <v>0</v>
      </c>
      <c r="K145" s="428"/>
      <c r="L145" s="428"/>
      <c r="M145" s="429">
        <f>M44</f>
        <v>0</v>
      </c>
    </row>
    <row r="146" spans="1:64" hidden="1" x14ac:dyDescent="0.3">
      <c r="A146" s="555"/>
      <c r="B146" s="325" t="s">
        <v>524</v>
      </c>
      <c r="C146" s="325"/>
      <c r="D146" s="432">
        <f>(D143*D145+G143*G145+J143*J145+M143*M145)/3600</f>
        <v>0</v>
      </c>
      <c r="E146" s="325"/>
      <c r="F146" s="325"/>
      <c r="G146" s="325"/>
      <c r="H146" s="325"/>
      <c r="I146" s="325"/>
      <c r="J146" s="325"/>
      <c r="K146" s="325"/>
      <c r="L146" s="325"/>
      <c r="M146" s="435"/>
    </row>
    <row r="147" spans="1:64" hidden="1" x14ac:dyDescent="0.3"/>
    <row r="149" spans="1:64" x14ac:dyDescent="0.3">
      <c r="B149" s="491" t="s">
        <v>575</v>
      </c>
      <c r="C149" s="491" t="str">
        <f>IF(C33=0,D33&amp;"2",C33)</f>
        <v>02</v>
      </c>
      <c r="D149" s="491">
        <f>D33</f>
        <v>0</v>
      </c>
      <c r="E149" s="491" t="str">
        <f>E33&amp;"1"</f>
        <v>01</v>
      </c>
      <c r="F149" s="491" t="str">
        <f>IF(F33=0,G33&amp;"2",F33)</f>
        <v>02</v>
      </c>
      <c r="G149" s="491">
        <f>G33</f>
        <v>0</v>
      </c>
      <c r="H149" s="491" t="str">
        <f>H33&amp;"1"</f>
        <v>01</v>
      </c>
      <c r="I149" s="491" t="str">
        <f>IF(I33=0,J33&amp;"2",I33)</f>
        <v>02</v>
      </c>
      <c r="J149" s="491">
        <f>J33</f>
        <v>0</v>
      </c>
      <c r="K149" s="491" t="str">
        <f>K33&amp;"1"</f>
        <v>01</v>
      </c>
      <c r="L149" s="491" t="str">
        <f>IF(L33=0,M33&amp;"2",L33)</f>
        <v>02</v>
      </c>
      <c r="M149" s="491">
        <f>M33</f>
        <v>0</v>
      </c>
      <c r="N149" s="491" t="str">
        <f>N33&amp;"1"</f>
        <v>01</v>
      </c>
      <c r="O149" s="491"/>
      <c r="P149" s="492"/>
      <c r="Q149" s="491"/>
      <c r="R149" s="491"/>
      <c r="S149" s="491"/>
      <c r="T149" s="491"/>
      <c r="U149" s="491"/>
      <c r="V149" s="491"/>
      <c r="W149" s="491"/>
      <c r="X149" s="491"/>
      <c r="Y149" s="491"/>
      <c r="Z149" s="491"/>
      <c r="AA149" s="491"/>
      <c r="AB149" s="491"/>
      <c r="AC149" s="491"/>
      <c r="AD149" s="491"/>
      <c r="AE149" s="493"/>
      <c r="AF149" s="493"/>
      <c r="AG149" s="493"/>
      <c r="AH149" s="493"/>
      <c r="AI149" s="493"/>
      <c r="AJ149" s="493"/>
      <c r="AK149" s="492"/>
      <c r="AL149" s="492"/>
      <c r="AM149" s="492"/>
      <c r="AN149" s="492"/>
      <c r="AO149" s="492"/>
      <c r="AP149" s="492"/>
      <c r="AQ149" s="492"/>
      <c r="AR149" s="492"/>
      <c r="AS149" s="492"/>
      <c r="AT149" s="492"/>
      <c r="AU149" s="492"/>
      <c r="AV149" s="492"/>
      <c r="AW149" s="491"/>
      <c r="AX149" s="491"/>
      <c r="AY149" s="491"/>
      <c r="AZ149" s="491"/>
      <c r="BA149" s="491"/>
      <c r="BB149" s="491"/>
      <c r="BC149" s="491"/>
      <c r="BD149" s="491"/>
      <c r="BE149" s="491"/>
      <c r="BF149" s="491"/>
      <c r="BG149" s="491"/>
      <c r="BH149" s="491"/>
      <c r="BI149" s="491"/>
      <c r="BJ149" s="491"/>
      <c r="BK149" s="491" t="s">
        <v>82</v>
      </c>
      <c r="BL149" s="491" t="s">
        <v>82</v>
      </c>
    </row>
    <row r="150" spans="1:64" x14ac:dyDescent="0.3">
      <c r="B150" s="491" t="s">
        <v>576</v>
      </c>
      <c r="C150" s="491">
        <f>IF(C33=0,D33,C33)</f>
        <v>0</v>
      </c>
      <c r="D150" s="491">
        <f>D33</f>
        <v>0</v>
      </c>
      <c r="E150" s="491">
        <f>E33</f>
        <v>0</v>
      </c>
      <c r="F150" s="491">
        <f>IF(F33=0,G33,F33)</f>
        <v>0</v>
      </c>
      <c r="G150" s="491">
        <f>G33</f>
        <v>0</v>
      </c>
      <c r="H150" s="491">
        <f>H33</f>
        <v>0</v>
      </c>
      <c r="I150" s="491">
        <f>IF(I33=0,J33,I33)</f>
        <v>0</v>
      </c>
      <c r="J150" s="491">
        <f>J33</f>
        <v>0</v>
      </c>
      <c r="K150" s="491">
        <f>K33</f>
        <v>0</v>
      </c>
      <c r="L150" s="491">
        <f>IF(L33=0,M33,L33)</f>
        <v>0</v>
      </c>
      <c r="M150" s="491">
        <f>M33</f>
        <v>0</v>
      </c>
      <c r="N150" s="491">
        <f>N33</f>
        <v>0</v>
      </c>
      <c r="O150" s="491"/>
      <c r="P150" s="492"/>
      <c r="Q150" s="491"/>
      <c r="R150" s="491"/>
      <c r="S150" s="491"/>
      <c r="T150" s="491"/>
      <c r="U150" s="491"/>
      <c r="V150" s="491"/>
      <c r="W150" s="491"/>
      <c r="X150" s="491"/>
      <c r="Y150" s="491"/>
      <c r="Z150" s="491"/>
      <c r="AA150" s="491"/>
      <c r="AB150" s="491"/>
      <c r="AC150" s="491"/>
      <c r="AD150" s="491"/>
      <c r="AE150" s="493"/>
      <c r="AF150" s="493"/>
      <c r="AG150" s="493"/>
      <c r="AH150" s="493"/>
      <c r="AI150" s="493"/>
      <c r="AJ150" s="493"/>
      <c r="AK150" s="492"/>
      <c r="AL150" s="492"/>
      <c r="AM150" s="492"/>
      <c r="AN150" s="492"/>
      <c r="AO150" s="492"/>
      <c r="AP150" s="492"/>
      <c r="AQ150" s="492"/>
      <c r="AR150" s="492"/>
      <c r="AS150" s="492"/>
      <c r="AT150" s="492"/>
      <c r="AU150" s="492"/>
      <c r="AV150" s="492"/>
      <c r="AW150" s="491"/>
      <c r="AX150" s="491"/>
      <c r="AY150" s="491"/>
      <c r="AZ150" s="491"/>
      <c r="BA150" s="491"/>
      <c r="BB150" s="491"/>
      <c r="BC150" s="491"/>
      <c r="BD150" s="491"/>
      <c r="BE150" s="491"/>
      <c r="BF150" s="491"/>
      <c r="BG150" s="491"/>
      <c r="BH150" s="491"/>
      <c r="BI150" s="491"/>
      <c r="BJ150" s="491"/>
      <c r="BK150" s="491" t="s">
        <v>83</v>
      </c>
      <c r="BL150" s="491" t="s">
        <v>577</v>
      </c>
    </row>
    <row r="151" spans="1:64" x14ac:dyDescent="0.3">
      <c r="B151" s="491" t="s">
        <v>578</v>
      </c>
      <c r="C151" s="491" t="str">
        <f>'Phase designation'!B23</f>
        <v>Permitted</v>
      </c>
      <c r="D151" s="491"/>
      <c r="E151" s="491"/>
      <c r="F151" s="491" t="str">
        <f>'Phase designation'!D23</f>
        <v>Permitted</v>
      </c>
      <c r="G151" s="491"/>
      <c r="H151" s="491"/>
      <c r="I151" s="491" t="str">
        <f>'Phase designation'!F23</f>
        <v>Permitted</v>
      </c>
      <c r="J151" s="491"/>
      <c r="K151" s="491"/>
      <c r="L151" s="491" t="str">
        <f>'Phase designation'!H23</f>
        <v>Permitted</v>
      </c>
      <c r="M151" s="491"/>
      <c r="N151" s="491"/>
      <c r="O151" s="491"/>
      <c r="P151" s="492"/>
      <c r="Q151" s="491"/>
      <c r="R151" s="491"/>
      <c r="S151" s="491"/>
      <c r="T151" s="491"/>
      <c r="U151" s="491"/>
      <c r="V151" s="491"/>
      <c r="W151" s="491"/>
      <c r="X151" s="491"/>
      <c r="Y151" s="491"/>
      <c r="Z151" s="491"/>
      <c r="AA151" s="491"/>
      <c r="AB151" s="491"/>
      <c r="AC151" s="491"/>
      <c r="AD151" s="491"/>
      <c r="AE151" s="493"/>
      <c r="AF151" s="493"/>
      <c r="AG151" s="493"/>
      <c r="AH151" s="493"/>
      <c r="AI151" s="493"/>
      <c r="AJ151" s="493"/>
      <c r="AK151" s="492"/>
      <c r="AL151" s="492"/>
      <c r="AM151" s="492"/>
      <c r="AN151" s="492"/>
      <c r="AO151" s="492"/>
      <c r="AP151" s="492"/>
      <c r="AQ151" s="492"/>
      <c r="AR151" s="492"/>
      <c r="AS151" s="492"/>
      <c r="AT151" s="492"/>
      <c r="AU151" s="492"/>
      <c r="AV151" s="492"/>
      <c r="AW151" s="491"/>
      <c r="AX151" s="491"/>
      <c r="AY151" s="491"/>
      <c r="AZ151" s="491"/>
      <c r="BA151" s="491"/>
      <c r="BB151" s="491"/>
      <c r="BC151" s="491"/>
      <c r="BD151" s="491"/>
      <c r="BE151" s="491"/>
      <c r="BF151" s="491"/>
      <c r="BG151" s="491"/>
      <c r="BH151" s="491"/>
      <c r="BI151" s="491"/>
      <c r="BJ151" s="491"/>
      <c r="BK151" s="491" t="s">
        <v>84</v>
      </c>
      <c r="BL151" s="491" t="s">
        <v>579</v>
      </c>
    </row>
    <row r="152" spans="1:64" x14ac:dyDescent="0.3">
      <c r="B152" s="491" t="s">
        <v>580</v>
      </c>
      <c r="C152" s="491" t="str">
        <f>IFERROR(IF(C150=0,"",INDEX($BL$149:$BL$151,MATCH(C151,$BK$149:$BK$151,0))),"")</f>
        <v/>
      </c>
      <c r="D152" s="491" t="str">
        <f>IFERROR(IF(D150=0,"","Protected"),"")</f>
        <v/>
      </c>
      <c r="E152" s="491" t="str">
        <f>IFERROR(IF(E150=0,"","RTOR"),"")</f>
        <v/>
      </c>
      <c r="F152" s="491" t="str">
        <f>IFERROR(IF(F150=0,"",INDEX($BL$149:$BL$151,MATCH(F151,$BK$149:$BK$151,0))),"")</f>
        <v/>
      </c>
      <c r="G152" s="491" t="str">
        <f>IFERROR(IF(G150=0,"","Protected"),"")</f>
        <v/>
      </c>
      <c r="H152" s="491" t="str">
        <f>IFERROR(IF(H150=0,"","RTOR"),"")</f>
        <v/>
      </c>
      <c r="I152" s="491" t="str">
        <f>IFERROR(IF(I150=0,"",INDEX($BL$149:$BL$151,MATCH(I151,$BK$149:$BK$151,0))),"")</f>
        <v/>
      </c>
      <c r="J152" s="491" t="str">
        <f>IFERROR(IF(J150=0,"","Protected"),"")</f>
        <v/>
      </c>
      <c r="K152" s="491" t="str">
        <f>IFERROR(IF(K150=0,"","RTOR"),"")</f>
        <v/>
      </c>
      <c r="L152" s="491" t="str">
        <f>IFERROR(IF(L150=0,"",INDEX($BL$149:$BL$151,MATCH(L151,$BK$149:$BK$151,0))),"")</f>
        <v/>
      </c>
      <c r="M152" s="491" t="str">
        <f>IFERROR(IF(M150=0,"","Protected"),"")</f>
        <v/>
      </c>
      <c r="N152" s="491" t="str">
        <f>IFERROR(IF(N150=0,"","RTOR"),"")</f>
        <v/>
      </c>
      <c r="O152" s="491"/>
      <c r="P152" s="492"/>
      <c r="Q152" s="491"/>
      <c r="R152" s="491"/>
      <c r="S152" s="491"/>
      <c r="T152" s="491"/>
      <c r="U152" s="491"/>
      <c r="V152" s="491"/>
      <c r="W152" s="491"/>
      <c r="X152" s="491"/>
      <c r="Y152" s="491"/>
      <c r="Z152" s="491"/>
      <c r="AA152" s="491"/>
      <c r="AB152" s="491"/>
      <c r="AC152" s="491"/>
      <c r="AD152" s="491"/>
      <c r="AE152" s="493"/>
      <c r="AF152" s="493"/>
      <c r="AG152" s="493"/>
      <c r="AH152" s="493"/>
      <c r="AI152" s="493"/>
      <c r="AJ152" s="493"/>
      <c r="AK152" s="492"/>
      <c r="AL152" s="492"/>
      <c r="AM152" s="492"/>
      <c r="AN152" s="492"/>
      <c r="AO152" s="492"/>
      <c r="AP152" s="492"/>
      <c r="AQ152" s="492"/>
      <c r="AR152" s="492"/>
      <c r="AS152" s="492"/>
      <c r="AT152" s="492"/>
      <c r="AU152" s="492"/>
      <c r="AV152" s="492"/>
      <c r="AW152" s="491"/>
      <c r="AX152" s="491"/>
      <c r="AY152" s="491"/>
      <c r="AZ152" s="491"/>
      <c r="BA152" s="491"/>
      <c r="BB152" s="491"/>
      <c r="BC152" s="491"/>
      <c r="BD152" s="491"/>
      <c r="BE152" s="491"/>
      <c r="BF152" s="491"/>
      <c r="BG152" s="491"/>
      <c r="BH152" s="491"/>
      <c r="BI152" s="491"/>
      <c r="BJ152" s="491"/>
      <c r="BK152" s="491"/>
      <c r="BL152" s="491"/>
    </row>
    <row r="153" spans="1:64" x14ac:dyDescent="0.3">
      <c r="B153" s="491"/>
      <c r="C153" s="491"/>
      <c r="D153" s="491"/>
      <c r="E153" s="491"/>
      <c r="F153" s="491"/>
      <c r="G153" s="491"/>
      <c r="H153" s="491"/>
      <c r="I153" s="491"/>
      <c r="J153" s="491"/>
      <c r="K153" s="491"/>
      <c r="L153" s="491"/>
      <c r="M153" s="491"/>
      <c r="N153" s="491"/>
      <c r="O153" s="491"/>
      <c r="P153" s="492"/>
      <c r="Q153" s="491"/>
      <c r="R153" s="491"/>
      <c r="S153" s="491"/>
      <c r="T153" s="491"/>
      <c r="U153" s="491"/>
      <c r="V153" s="491"/>
      <c r="W153" s="491"/>
      <c r="X153" s="491"/>
      <c r="Y153" s="491"/>
      <c r="Z153" s="491"/>
      <c r="AA153" s="491"/>
      <c r="AB153" s="491"/>
      <c r="AC153" s="491"/>
      <c r="AD153" s="491"/>
      <c r="AE153" s="493"/>
      <c r="AF153" s="493"/>
      <c r="AG153" s="493"/>
      <c r="AH153" s="493"/>
      <c r="AI153" s="493"/>
      <c r="AJ153" s="493"/>
      <c r="AK153" s="492"/>
      <c r="AL153" s="492"/>
      <c r="AM153" s="492"/>
      <c r="AN153" s="492"/>
      <c r="AO153" s="492"/>
      <c r="AP153" s="492"/>
      <c r="AQ153" s="492"/>
      <c r="AR153" s="492"/>
      <c r="AS153" s="492"/>
      <c r="AT153" s="492"/>
      <c r="AU153" s="492"/>
      <c r="AV153" s="492"/>
      <c r="AW153" s="491"/>
      <c r="AX153" s="491"/>
      <c r="AY153" s="491"/>
      <c r="AZ153" s="491"/>
      <c r="BA153" s="491"/>
      <c r="BB153" s="491"/>
      <c r="BC153" s="491"/>
      <c r="BD153" s="491"/>
      <c r="BE153" s="491"/>
      <c r="BF153" s="491"/>
      <c r="BG153" s="491"/>
      <c r="BH153" s="491"/>
      <c r="BI153" s="491"/>
      <c r="BJ153" s="491"/>
      <c r="BK153" s="491"/>
      <c r="BL153" s="491"/>
    </row>
    <row r="154" spans="1:64" x14ac:dyDescent="0.3">
      <c r="B154" s="491" t="s">
        <v>581</v>
      </c>
      <c r="C154" s="491"/>
      <c r="D154" s="491"/>
      <c r="E154" s="491"/>
      <c r="F154" s="491"/>
      <c r="G154" s="491"/>
      <c r="H154" s="491"/>
      <c r="I154" s="491"/>
      <c r="J154" s="491"/>
      <c r="K154" s="491"/>
      <c r="L154" s="491"/>
      <c r="M154" s="491"/>
      <c r="N154" s="491"/>
      <c r="O154" s="491"/>
      <c r="P154" s="492"/>
      <c r="Q154" s="491"/>
      <c r="R154" s="491"/>
      <c r="S154" s="491"/>
      <c r="T154" s="491"/>
      <c r="U154" s="491"/>
      <c r="V154" s="491"/>
      <c r="W154" s="491"/>
      <c r="X154" s="491"/>
      <c r="Y154" s="491"/>
      <c r="Z154" s="491"/>
      <c r="AA154" s="491"/>
      <c r="AB154" s="491"/>
      <c r="AC154" s="491"/>
      <c r="AD154" s="491"/>
      <c r="AE154" s="493"/>
      <c r="AF154" s="493"/>
      <c r="AG154" s="493"/>
      <c r="AH154" s="493"/>
      <c r="AI154" s="493"/>
      <c r="AJ154" s="493"/>
      <c r="AK154" s="492"/>
      <c r="AL154" s="492"/>
      <c r="AM154" s="492"/>
      <c r="AN154" s="492"/>
      <c r="AO154" s="492"/>
      <c r="AP154" s="492"/>
      <c r="AQ154" s="492"/>
      <c r="AR154" s="492"/>
      <c r="AS154" s="492"/>
      <c r="AT154" s="492"/>
      <c r="AU154" s="492"/>
      <c r="AV154" s="492"/>
      <c r="AW154" s="491"/>
      <c r="AX154" s="491"/>
      <c r="AY154" s="491"/>
      <c r="AZ154" s="491"/>
      <c r="BA154" s="491"/>
      <c r="BB154" s="491"/>
      <c r="BC154" s="491"/>
      <c r="BD154" s="491"/>
      <c r="BE154" s="491"/>
      <c r="BF154" s="491"/>
      <c r="BG154" s="491"/>
      <c r="BH154" s="491"/>
      <c r="BI154" s="491"/>
      <c r="BJ154" s="491"/>
      <c r="BK154" s="491"/>
      <c r="BL154" s="491"/>
    </row>
    <row r="155" spans="1:64" x14ac:dyDescent="0.3">
      <c r="B155" s="333" t="s">
        <v>582</v>
      </c>
      <c r="C155" s="491" t="str">
        <f>IF(C150=0,"",Sheet1!$B$2)</f>
        <v/>
      </c>
      <c r="D155" s="491" t="str">
        <f>IF(D150=0,"",Sheet1!$B$2)</f>
        <v/>
      </c>
      <c r="E155" s="491" t="str">
        <f>IF(E150=0,"",Sheet1!$B$2)</f>
        <v/>
      </c>
      <c r="F155" s="491" t="str">
        <f>IF(F150=0,"",Sheet1!$B$2)</f>
        <v/>
      </c>
      <c r="G155" s="491" t="str">
        <f>IF(G150=0,"",Sheet1!$B$2)</f>
        <v/>
      </c>
      <c r="H155" s="491" t="str">
        <f>IF(H150=0,"",Sheet1!$B$2)</f>
        <v/>
      </c>
      <c r="I155" s="491" t="str">
        <f>IF(I150=0,"",Sheet1!$B$2)</f>
        <v/>
      </c>
      <c r="J155" s="491" t="str">
        <f>IF(J150=0,"",Sheet1!$B$2)</f>
        <v/>
      </c>
      <c r="K155" s="491" t="str">
        <f>IF(K150=0,"",Sheet1!$B$2)</f>
        <v/>
      </c>
      <c r="L155" s="491" t="str">
        <f>IF(L150=0,"",Sheet1!$B$2)</f>
        <v/>
      </c>
      <c r="M155" s="491" t="str">
        <f>IF(M150=0,"",Sheet1!$B$2)</f>
        <v/>
      </c>
      <c r="N155" s="491" t="str">
        <f>IF(N150=0,"",Sheet1!$B$2)</f>
        <v/>
      </c>
      <c r="O155" s="491"/>
      <c r="P155" s="492"/>
      <c r="Q155" s="491"/>
      <c r="R155" s="491"/>
      <c r="S155" s="491"/>
      <c r="T155" s="491"/>
      <c r="U155" s="491"/>
      <c r="V155" s="491"/>
      <c r="W155" s="491"/>
      <c r="X155" s="491"/>
      <c r="Y155" s="491"/>
      <c r="Z155" s="491"/>
      <c r="AA155" s="491"/>
      <c r="AB155" s="491"/>
      <c r="AC155" s="491"/>
      <c r="AD155" s="491"/>
      <c r="AE155" s="493"/>
      <c r="AF155" s="493"/>
      <c r="AG155" s="493"/>
      <c r="AH155" s="493"/>
      <c r="AI155" s="493"/>
      <c r="AJ155" s="493"/>
      <c r="AK155" s="492"/>
      <c r="AL155" s="492"/>
      <c r="AM155" s="492"/>
      <c r="AN155" s="492"/>
      <c r="AO155" s="492"/>
      <c r="AP155" s="492"/>
      <c r="AQ155" s="492"/>
      <c r="AR155" s="492"/>
      <c r="AS155" s="492"/>
      <c r="AT155" s="492"/>
      <c r="AU155" s="492"/>
      <c r="AV155" s="492"/>
      <c r="AW155" s="491"/>
      <c r="AX155" s="491"/>
      <c r="AY155" s="491"/>
      <c r="AZ155" s="491"/>
      <c r="BA155" s="491"/>
      <c r="BB155" s="491"/>
      <c r="BC155" s="491"/>
      <c r="BD155" s="491"/>
      <c r="BE155" s="491"/>
      <c r="BF155" s="491"/>
      <c r="BG155" s="491"/>
      <c r="BH155" s="491"/>
      <c r="BI155" s="491"/>
      <c r="BJ155" s="491"/>
      <c r="BK155" s="491"/>
      <c r="BL155" s="491"/>
    </row>
    <row r="156" spans="1:64" x14ac:dyDescent="0.3">
      <c r="B156" s="333" t="s">
        <v>583</v>
      </c>
      <c r="C156" s="491" t="str">
        <f>IF(C150=0,"",C149)</f>
        <v/>
      </c>
      <c r="D156" s="491" t="str">
        <f t="shared" ref="D156:N156" si="27">IF(D150=0,"",D149)</f>
        <v/>
      </c>
      <c r="E156" s="491" t="str">
        <f t="shared" si="27"/>
        <v/>
      </c>
      <c r="F156" s="491" t="str">
        <f t="shared" si="27"/>
        <v/>
      </c>
      <c r="G156" s="491" t="str">
        <f t="shared" si="27"/>
        <v/>
      </c>
      <c r="H156" s="491" t="str">
        <f t="shared" si="27"/>
        <v/>
      </c>
      <c r="I156" s="491" t="str">
        <f t="shared" si="27"/>
        <v/>
      </c>
      <c r="J156" s="491" t="str">
        <f t="shared" si="27"/>
        <v/>
      </c>
      <c r="K156" s="491" t="str">
        <f t="shared" si="27"/>
        <v/>
      </c>
      <c r="L156" s="491" t="str">
        <f t="shared" si="27"/>
        <v/>
      </c>
      <c r="M156" s="491" t="str">
        <f t="shared" si="27"/>
        <v/>
      </c>
      <c r="N156" s="491" t="str">
        <f t="shared" si="27"/>
        <v/>
      </c>
      <c r="O156" s="491"/>
      <c r="P156" s="492"/>
      <c r="Q156" s="491"/>
      <c r="R156" s="491"/>
      <c r="S156" s="491"/>
      <c r="T156" s="491"/>
      <c r="U156" s="491"/>
      <c r="V156" s="491"/>
      <c r="W156" s="491"/>
      <c r="X156" s="491"/>
      <c r="Y156" s="491"/>
      <c r="Z156" s="491"/>
      <c r="AA156" s="491"/>
      <c r="AB156" s="491"/>
      <c r="AC156" s="491"/>
      <c r="AD156" s="491"/>
      <c r="AE156" s="493"/>
      <c r="AF156" s="493"/>
      <c r="AG156" s="493"/>
      <c r="AH156" s="493"/>
      <c r="AI156" s="493"/>
      <c r="AJ156" s="493"/>
      <c r="AK156" s="492"/>
      <c r="AL156" s="492"/>
      <c r="AM156" s="492"/>
      <c r="AN156" s="492"/>
      <c r="AO156" s="492"/>
      <c r="AP156" s="492"/>
      <c r="AQ156" s="492"/>
      <c r="AR156" s="492"/>
      <c r="AS156" s="492"/>
      <c r="AT156" s="492"/>
      <c r="AU156" s="492"/>
      <c r="AV156" s="492"/>
      <c r="AW156" s="491"/>
      <c r="AX156" s="491"/>
      <c r="AY156" s="491"/>
      <c r="AZ156" s="491"/>
      <c r="BA156" s="491"/>
      <c r="BB156" s="491"/>
      <c r="BC156" s="491"/>
      <c r="BD156" s="491"/>
      <c r="BE156" s="491"/>
      <c r="BF156" s="491"/>
      <c r="BG156" s="491"/>
      <c r="BH156" s="491"/>
      <c r="BI156" s="491"/>
      <c r="BJ156" s="491"/>
      <c r="BK156" s="491"/>
      <c r="BL156" s="491"/>
    </row>
    <row r="157" spans="1:64" x14ac:dyDescent="0.3">
      <c r="B157" s="333" t="s">
        <v>584</v>
      </c>
      <c r="C157" s="491"/>
      <c r="D157" s="491"/>
      <c r="E157" s="491"/>
      <c r="F157" s="491"/>
      <c r="G157" s="491"/>
      <c r="H157" s="491"/>
      <c r="I157" s="491"/>
      <c r="J157" s="491"/>
      <c r="K157" s="491"/>
      <c r="L157" s="491"/>
      <c r="M157" s="491"/>
      <c r="N157" s="491"/>
      <c r="O157" s="491"/>
      <c r="P157" s="492"/>
      <c r="Q157" s="491"/>
      <c r="R157" s="491"/>
      <c r="S157" s="491"/>
      <c r="T157" s="491"/>
      <c r="U157" s="491"/>
      <c r="V157" s="491"/>
      <c r="W157" s="491"/>
      <c r="X157" s="491"/>
      <c r="Y157" s="491"/>
      <c r="Z157" s="491"/>
      <c r="AA157" s="491"/>
      <c r="AB157" s="491"/>
      <c r="AC157" s="491"/>
      <c r="AD157" s="491"/>
      <c r="AE157" s="493"/>
      <c r="AF157" s="493"/>
      <c r="AG157" s="493"/>
      <c r="AH157" s="493"/>
      <c r="AI157" s="493"/>
      <c r="AJ157" s="493"/>
      <c r="AK157" s="492"/>
      <c r="AL157" s="492"/>
      <c r="AM157" s="492"/>
      <c r="AN157" s="492"/>
      <c r="AO157" s="492"/>
      <c r="AP157" s="492"/>
      <c r="AQ157" s="492"/>
      <c r="AR157" s="492"/>
      <c r="AS157" s="492"/>
      <c r="AT157" s="492"/>
      <c r="AU157" s="492"/>
      <c r="AV157" s="492"/>
      <c r="AW157" s="491"/>
      <c r="AX157" s="491"/>
      <c r="AY157" s="491"/>
      <c r="AZ157" s="491"/>
      <c r="BA157" s="491"/>
      <c r="BB157" s="491"/>
      <c r="BC157" s="491"/>
      <c r="BD157" s="491"/>
      <c r="BE157" s="491"/>
      <c r="BF157" s="491"/>
      <c r="BG157" s="491"/>
      <c r="BH157" s="491"/>
      <c r="BI157" s="491"/>
      <c r="BJ157" s="491"/>
      <c r="BK157" s="491"/>
      <c r="BL157" s="491"/>
    </row>
    <row r="158" spans="1:64" x14ac:dyDescent="0.3">
      <c r="B158" s="333" t="s">
        <v>585</v>
      </c>
      <c r="C158" s="491" t="str">
        <f>IF(C150=0,"",C150)</f>
        <v/>
      </c>
      <c r="D158" s="491" t="str">
        <f t="shared" ref="D158:N158" si="28">IF(D150=0,"",D150)</f>
        <v/>
      </c>
      <c r="E158" s="491" t="str">
        <f t="shared" si="28"/>
        <v/>
      </c>
      <c r="F158" s="491" t="str">
        <f t="shared" si="28"/>
        <v/>
      </c>
      <c r="G158" s="491" t="str">
        <f t="shared" si="28"/>
        <v/>
      </c>
      <c r="H158" s="491" t="str">
        <f t="shared" si="28"/>
        <v/>
      </c>
      <c r="I158" s="491" t="str">
        <f t="shared" si="28"/>
        <v/>
      </c>
      <c r="J158" s="491" t="str">
        <f t="shared" si="28"/>
        <v/>
      </c>
      <c r="K158" s="491" t="str">
        <f t="shared" si="28"/>
        <v/>
      </c>
      <c r="L158" s="491" t="str">
        <f t="shared" si="28"/>
        <v/>
      </c>
      <c r="M158" s="491" t="str">
        <f t="shared" si="28"/>
        <v/>
      </c>
      <c r="N158" s="491" t="str">
        <f t="shared" si="28"/>
        <v/>
      </c>
      <c r="O158" s="491"/>
      <c r="P158" s="492"/>
      <c r="Q158" s="491"/>
      <c r="R158" s="491"/>
      <c r="S158" s="491"/>
      <c r="T158" s="491"/>
      <c r="U158" s="491"/>
      <c r="V158" s="491"/>
      <c r="W158" s="491"/>
      <c r="X158" s="491"/>
      <c r="Y158" s="491"/>
      <c r="Z158" s="491"/>
      <c r="AA158" s="491"/>
      <c r="AB158" s="491"/>
      <c r="AC158" s="491"/>
      <c r="AD158" s="491"/>
      <c r="AE158" s="493"/>
      <c r="AF158" s="493"/>
      <c r="AG158" s="493"/>
      <c r="AH158" s="493"/>
      <c r="AI158" s="493"/>
      <c r="AJ158" s="493"/>
      <c r="AK158" s="492"/>
      <c r="AL158" s="492"/>
      <c r="AM158" s="492"/>
      <c r="AN158" s="492"/>
      <c r="AO158" s="492"/>
      <c r="AP158" s="492"/>
      <c r="AQ158" s="492"/>
      <c r="AR158" s="492"/>
      <c r="AS158" s="492"/>
      <c r="AT158" s="492"/>
      <c r="AU158" s="492"/>
      <c r="AV158" s="492"/>
      <c r="AW158" s="491"/>
      <c r="AX158" s="491"/>
      <c r="AY158" s="491"/>
      <c r="AZ158" s="491"/>
      <c r="BA158" s="491"/>
      <c r="BB158" s="491"/>
      <c r="BC158" s="491"/>
      <c r="BD158" s="491"/>
      <c r="BE158" s="491"/>
      <c r="BF158" s="491"/>
      <c r="BG158" s="491"/>
      <c r="BH158" s="491"/>
      <c r="BI158" s="491"/>
      <c r="BJ158" s="491"/>
      <c r="BK158" s="491"/>
      <c r="BL158" s="491"/>
    </row>
    <row r="159" spans="1:64" x14ac:dyDescent="0.3">
      <c r="B159" s="333" t="s">
        <v>586</v>
      </c>
      <c r="C159" s="491" t="str">
        <f>C152</f>
        <v/>
      </c>
      <c r="D159" s="491" t="str">
        <f t="shared" ref="D159:N159" si="29">D152</f>
        <v/>
      </c>
      <c r="E159" s="491" t="str">
        <f t="shared" si="29"/>
        <v/>
      </c>
      <c r="F159" s="491" t="str">
        <f t="shared" si="29"/>
        <v/>
      </c>
      <c r="G159" s="491" t="str">
        <f t="shared" si="29"/>
        <v/>
      </c>
      <c r="H159" s="491" t="str">
        <f t="shared" si="29"/>
        <v/>
      </c>
      <c r="I159" s="491" t="str">
        <f t="shared" si="29"/>
        <v/>
      </c>
      <c r="J159" s="491" t="str">
        <f t="shared" si="29"/>
        <v/>
      </c>
      <c r="K159" s="491" t="str">
        <f t="shared" si="29"/>
        <v/>
      </c>
      <c r="L159" s="491" t="str">
        <f t="shared" si="29"/>
        <v/>
      </c>
      <c r="M159" s="491" t="str">
        <f t="shared" si="29"/>
        <v/>
      </c>
      <c r="N159" s="491" t="str">
        <f t="shared" si="29"/>
        <v/>
      </c>
      <c r="O159" s="491"/>
      <c r="P159" s="492"/>
      <c r="Q159" s="491"/>
      <c r="R159" s="491"/>
      <c r="S159" s="491"/>
      <c r="T159" s="491"/>
      <c r="U159" s="491"/>
      <c r="V159" s="491"/>
      <c r="W159" s="491"/>
      <c r="X159" s="491"/>
      <c r="Y159" s="491"/>
      <c r="Z159" s="491"/>
      <c r="AA159" s="491"/>
      <c r="AB159" s="491"/>
      <c r="AC159" s="491"/>
      <c r="AD159" s="491"/>
      <c r="AE159" s="493"/>
      <c r="AF159" s="493"/>
      <c r="AG159" s="493"/>
      <c r="AH159" s="493"/>
      <c r="AI159" s="493"/>
      <c r="AJ159" s="493"/>
      <c r="AK159" s="492"/>
      <c r="AL159" s="492"/>
      <c r="AM159" s="492"/>
      <c r="AN159" s="492"/>
      <c r="AO159" s="492"/>
      <c r="AP159" s="492"/>
      <c r="AQ159" s="492"/>
      <c r="AR159" s="492"/>
      <c r="AS159" s="492"/>
      <c r="AT159" s="492"/>
      <c r="AU159" s="492"/>
      <c r="AV159" s="492"/>
      <c r="AW159" s="491"/>
      <c r="AX159" s="491"/>
      <c r="AY159" s="491"/>
      <c r="AZ159" s="491"/>
      <c r="BA159" s="491"/>
      <c r="BB159" s="491"/>
      <c r="BC159" s="491"/>
      <c r="BD159" s="491"/>
      <c r="BE159" s="491"/>
      <c r="BF159" s="491"/>
      <c r="BG159" s="491"/>
      <c r="BH159" s="491"/>
      <c r="BI159" s="491"/>
      <c r="BJ159" s="491"/>
      <c r="BK159" s="491"/>
      <c r="BL159" s="491"/>
    </row>
    <row r="160" spans="1:64" x14ac:dyDescent="0.3">
      <c r="B160" s="333" t="s">
        <v>587</v>
      </c>
      <c r="C160" s="66" t="str">
        <f>C32</f>
        <v>EBL</v>
      </c>
      <c r="D160" s="66" t="str">
        <f t="shared" ref="D160:N160" si="30">D32</f>
        <v>EBT</v>
      </c>
      <c r="E160" s="66" t="str">
        <f t="shared" si="30"/>
        <v>EBR</v>
      </c>
      <c r="F160" s="66" t="str">
        <f t="shared" si="30"/>
        <v>WBL</v>
      </c>
      <c r="G160" s="66" t="str">
        <f t="shared" si="30"/>
        <v>WBT</v>
      </c>
      <c r="H160" s="66" t="str">
        <f t="shared" si="30"/>
        <v>WBR</v>
      </c>
      <c r="I160" s="66" t="str">
        <f t="shared" si="30"/>
        <v>NBL</v>
      </c>
      <c r="J160" s="66" t="str">
        <f t="shared" si="30"/>
        <v>NBT</v>
      </c>
      <c r="K160" s="66" t="str">
        <f t="shared" si="30"/>
        <v>NBR</v>
      </c>
      <c r="L160" s="66" t="str">
        <f t="shared" si="30"/>
        <v>SBL</v>
      </c>
      <c r="M160" s="66" t="str">
        <f t="shared" si="30"/>
        <v>SBT</v>
      </c>
      <c r="N160" s="66" t="str">
        <f t="shared" si="30"/>
        <v>SBR</v>
      </c>
      <c r="O160" s="491"/>
      <c r="P160" s="492"/>
      <c r="Q160" s="491"/>
      <c r="R160" s="491"/>
      <c r="S160" s="491"/>
      <c r="T160" s="491"/>
      <c r="U160" s="491"/>
      <c r="V160" s="491"/>
      <c r="W160" s="491"/>
      <c r="X160" s="491"/>
      <c r="Y160" s="491"/>
      <c r="Z160" s="491"/>
      <c r="AA160" s="491"/>
      <c r="AB160" s="491"/>
      <c r="AC160" s="491"/>
      <c r="AD160" s="491"/>
      <c r="AE160" s="493"/>
      <c r="AF160" s="493"/>
      <c r="AG160" s="493"/>
      <c r="AH160" s="493"/>
      <c r="AI160" s="493"/>
      <c r="AJ160" s="493"/>
      <c r="AK160" s="492"/>
      <c r="AL160" s="492"/>
      <c r="AM160" s="492"/>
      <c r="AN160" s="492"/>
      <c r="AO160" s="492"/>
      <c r="AP160" s="492"/>
      <c r="AQ160" s="492"/>
      <c r="AR160" s="492"/>
      <c r="AS160" s="492"/>
      <c r="AT160" s="492"/>
      <c r="AU160" s="492"/>
      <c r="AV160" s="492"/>
      <c r="AW160" s="491"/>
      <c r="AX160" s="491"/>
      <c r="AY160" s="491"/>
      <c r="AZ160" s="491"/>
      <c r="BA160" s="491"/>
      <c r="BB160" s="491"/>
      <c r="BC160" s="491"/>
      <c r="BD160" s="491"/>
      <c r="BE160" s="491"/>
      <c r="BF160" s="491"/>
      <c r="BG160" s="491"/>
      <c r="BH160" s="491"/>
      <c r="BI160" s="491"/>
      <c r="BJ160" s="491"/>
      <c r="BK160" s="491"/>
      <c r="BL160" s="491"/>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137160</xdr:rowOff>
                  </from>
                  <to>
                    <xdr:col>65</xdr:col>
                    <xdr:colOff>594360</xdr:colOff>
                    <xdr:row>22</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4.4" x14ac:dyDescent="0.3"/>
  <cols>
    <col min="2" max="2" width="9.109375" style="3"/>
    <col min="3" max="3" width="9.109375" style="308"/>
  </cols>
  <sheetData>
    <row r="3" spans="1:14" x14ac:dyDescent="0.3">
      <c r="D3" s="520" t="s">
        <v>116</v>
      </c>
      <c r="E3" s="520"/>
      <c r="F3" s="520"/>
      <c r="G3" s="520"/>
      <c r="H3" s="520"/>
      <c r="I3" s="520"/>
      <c r="J3" s="520"/>
      <c r="K3" s="520"/>
      <c r="L3" s="520" t="s">
        <v>117</v>
      </c>
      <c r="M3" s="520"/>
      <c r="N3" s="520"/>
    </row>
    <row r="4" spans="1:14" x14ac:dyDescent="0.3">
      <c r="D4" s="520" t="s">
        <v>118</v>
      </c>
      <c r="E4" s="520"/>
      <c r="F4" s="520"/>
      <c r="G4" s="520"/>
      <c r="H4" s="520"/>
      <c r="I4" s="520"/>
      <c r="J4" s="520"/>
      <c r="K4" s="520"/>
    </row>
    <row r="5" spans="1:14" ht="43.2" x14ac:dyDescent="0.3">
      <c r="B5" s="63" t="s">
        <v>119</v>
      </c>
      <c r="C5" s="335">
        <v>40</v>
      </c>
      <c r="D5" s="64">
        <v>50</v>
      </c>
      <c r="E5" s="64">
        <v>60</v>
      </c>
      <c r="F5" s="64">
        <v>70</v>
      </c>
      <c r="G5" s="64">
        <v>80</v>
      </c>
      <c r="H5" s="64">
        <v>90</v>
      </c>
      <c r="I5" s="64">
        <v>100</v>
      </c>
      <c r="J5" s="64">
        <v>110</v>
      </c>
      <c r="K5" s="64">
        <v>120</v>
      </c>
      <c r="L5" s="64">
        <v>130</v>
      </c>
      <c r="M5" s="64">
        <v>140</v>
      </c>
      <c r="N5" s="64">
        <v>150</v>
      </c>
    </row>
    <row r="6" spans="1:14" x14ac:dyDescent="0.3">
      <c r="B6" s="3" t="s">
        <v>120</v>
      </c>
      <c r="D6" s="520" t="s">
        <v>121</v>
      </c>
      <c r="E6" s="520"/>
      <c r="F6" s="520"/>
      <c r="G6" s="520"/>
      <c r="H6" s="520"/>
      <c r="I6" s="520"/>
      <c r="J6" s="520"/>
      <c r="K6" s="520"/>
    </row>
    <row r="7" spans="1:14" x14ac:dyDescent="0.3">
      <c r="A7" s="524" t="s">
        <v>133</v>
      </c>
      <c r="B7" s="65">
        <v>0</v>
      </c>
      <c r="C7" s="65">
        <v>5</v>
      </c>
      <c r="D7" s="65">
        <v>5</v>
      </c>
      <c r="E7" s="65">
        <v>5</v>
      </c>
      <c r="F7" s="65">
        <v>5</v>
      </c>
      <c r="G7" s="65">
        <v>5</v>
      </c>
      <c r="H7" s="65">
        <v>5</v>
      </c>
      <c r="I7" s="65">
        <v>5</v>
      </c>
      <c r="J7" s="65">
        <v>5</v>
      </c>
      <c r="K7" s="65">
        <v>5</v>
      </c>
      <c r="L7" s="65">
        <v>5</v>
      </c>
      <c r="M7" s="65">
        <v>5</v>
      </c>
      <c r="N7" s="65">
        <v>5</v>
      </c>
    </row>
    <row r="8" spans="1:14" x14ac:dyDescent="0.3">
      <c r="A8" s="524"/>
      <c r="B8" s="65">
        <v>50</v>
      </c>
      <c r="C8" s="65">
        <v>7</v>
      </c>
      <c r="D8" s="65">
        <v>7</v>
      </c>
      <c r="E8" s="65">
        <v>7</v>
      </c>
      <c r="F8" s="65">
        <v>7</v>
      </c>
      <c r="G8" s="65">
        <v>7</v>
      </c>
      <c r="H8" s="65">
        <v>7</v>
      </c>
      <c r="I8" s="65">
        <v>7</v>
      </c>
      <c r="J8" s="65">
        <v>7</v>
      </c>
      <c r="K8" s="65">
        <v>7</v>
      </c>
      <c r="L8" s="65">
        <v>7</v>
      </c>
      <c r="M8" s="65">
        <v>7</v>
      </c>
      <c r="N8" s="65">
        <v>7</v>
      </c>
    </row>
    <row r="9" spans="1:14" x14ac:dyDescent="0.3">
      <c r="B9" s="3">
        <v>100</v>
      </c>
      <c r="C9" s="308">
        <v>15</v>
      </c>
      <c r="D9" s="3">
        <v>15</v>
      </c>
      <c r="E9" s="3">
        <v>15</v>
      </c>
      <c r="F9" s="3">
        <v>15</v>
      </c>
      <c r="G9" s="3">
        <v>15</v>
      </c>
      <c r="H9" s="3">
        <v>15</v>
      </c>
      <c r="I9" s="3">
        <v>15</v>
      </c>
      <c r="J9" s="3">
        <v>15</v>
      </c>
      <c r="K9" s="3">
        <v>15</v>
      </c>
      <c r="L9" s="3">
        <v>15</v>
      </c>
      <c r="M9" s="3">
        <v>15</v>
      </c>
      <c r="N9" s="3">
        <v>15</v>
      </c>
    </row>
    <row r="10" spans="1:14" x14ac:dyDescent="0.3">
      <c r="B10" s="3">
        <v>200</v>
      </c>
      <c r="C10" s="308">
        <v>15</v>
      </c>
      <c r="D10" s="3">
        <v>15</v>
      </c>
      <c r="E10" s="3">
        <v>15</v>
      </c>
      <c r="F10" s="3">
        <v>15</v>
      </c>
      <c r="G10" s="3">
        <v>15</v>
      </c>
      <c r="H10" s="3">
        <v>16</v>
      </c>
      <c r="I10" s="3">
        <v>18</v>
      </c>
      <c r="J10" s="3">
        <v>19</v>
      </c>
      <c r="K10" s="3">
        <v>21</v>
      </c>
      <c r="L10" s="3">
        <f>ROUND(0.18*L5,0)</f>
        <v>23</v>
      </c>
      <c r="M10" s="3">
        <f>ROUND(0.18*M5,0)</f>
        <v>25</v>
      </c>
      <c r="N10" s="3">
        <f>ROUND(0.18*N5,0)</f>
        <v>27</v>
      </c>
    </row>
    <row r="11" spans="1:14" x14ac:dyDescent="0.3">
      <c r="B11" s="3">
        <v>300</v>
      </c>
      <c r="C11" s="308">
        <v>15</v>
      </c>
      <c r="D11" s="3">
        <v>15</v>
      </c>
      <c r="E11" s="3">
        <v>16</v>
      </c>
      <c r="F11" s="3">
        <v>19</v>
      </c>
      <c r="G11" s="3">
        <v>21</v>
      </c>
      <c r="H11" s="3">
        <v>24</v>
      </c>
      <c r="I11" s="3">
        <v>26</v>
      </c>
      <c r="J11" s="3">
        <v>29</v>
      </c>
      <c r="K11" s="3">
        <v>31</v>
      </c>
      <c r="L11" s="3">
        <f>ROUND(0.26*L5,0)</f>
        <v>34</v>
      </c>
      <c r="M11" s="3">
        <f>ROUND(0.26*M5,0)</f>
        <v>36</v>
      </c>
      <c r="N11" s="3">
        <f>ROUND(0.26*N5,0)</f>
        <v>39</v>
      </c>
    </row>
    <row r="12" spans="1:14" x14ac:dyDescent="0.3">
      <c r="B12" s="3">
        <v>400</v>
      </c>
      <c r="C12" s="308">
        <v>17</v>
      </c>
      <c r="D12" s="3">
        <v>18</v>
      </c>
      <c r="E12" s="3">
        <v>21</v>
      </c>
      <c r="F12" s="3">
        <v>24</v>
      </c>
      <c r="G12" s="3">
        <v>28</v>
      </c>
      <c r="H12" s="3">
        <v>31</v>
      </c>
      <c r="I12" s="3">
        <v>34</v>
      </c>
      <c r="J12" s="3">
        <v>38</v>
      </c>
      <c r="K12" s="3">
        <v>41</v>
      </c>
      <c r="L12" s="3">
        <f>ROUND(0.34*L5,0)</f>
        <v>44</v>
      </c>
      <c r="M12" s="3">
        <f>ROUND(0.34*M5,0)</f>
        <v>48</v>
      </c>
      <c r="N12" s="3">
        <f>ROUND(0.34*N5,0)</f>
        <v>51</v>
      </c>
    </row>
    <row r="13" spans="1:14" x14ac:dyDescent="0.3">
      <c r="B13" s="3">
        <v>500</v>
      </c>
      <c r="C13" s="308">
        <v>19</v>
      </c>
      <c r="D13" s="3">
        <v>22</v>
      </c>
      <c r="E13" s="3">
        <v>26</v>
      </c>
      <c r="F13" s="3">
        <v>30</v>
      </c>
      <c r="G13" s="3">
        <v>34</v>
      </c>
      <c r="H13" s="3">
        <v>39</v>
      </c>
      <c r="I13" s="3">
        <v>43</v>
      </c>
      <c r="J13" s="3">
        <v>47</v>
      </c>
      <c r="K13" s="3">
        <v>51</v>
      </c>
      <c r="L13" s="3">
        <f>ROUND(0.43*L5,0)</f>
        <v>56</v>
      </c>
      <c r="M13" s="3">
        <f>ROUND(0.43*M5,0)</f>
        <v>60</v>
      </c>
      <c r="N13" s="3">
        <f>ROUND(0.43*N5,0)</f>
        <v>65</v>
      </c>
    </row>
    <row r="14" spans="1:14" x14ac:dyDescent="0.3">
      <c r="B14" s="3">
        <v>600</v>
      </c>
      <c r="C14" s="308">
        <v>23</v>
      </c>
      <c r="D14" s="3">
        <v>26</v>
      </c>
      <c r="E14" s="3">
        <v>31</v>
      </c>
      <c r="F14" s="3">
        <v>36</v>
      </c>
      <c r="G14" s="3">
        <v>41</v>
      </c>
      <c r="H14" s="3">
        <v>46</v>
      </c>
      <c r="I14" s="3">
        <v>51</v>
      </c>
      <c r="J14" s="3">
        <v>56</v>
      </c>
      <c r="K14" s="3">
        <v>61</v>
      </c>
      <c r="L14" s="3">
        <f>ROUND(0.51*L5,0)</f>
        <v>66</v>
      </c>
      <c r="M14" s="3">
        <f>ROUND(0.51*M5,0)</f>
        <v>71</v>
      </c>
      <c r="N14" s="3">
        <f>ROUND(0.51*N5,0)</f>
        <v>77</v>
      </c>
    </row>
    <row r="15" spans="1:14" x14ac:dyDescent="0.3">
      <c r="B15" s="3">
        <v>700</v>
      </c>
      <c r="C15" s="308">
        <v>27</v>
      </c>
      <c r="D15" s="3">
        <v>30</v>
      </c>
      <c r="E15" s="3">
        <v>36</v>
      </c>
      <c r="F15" s="3">
        <v>42</v>
      </c>
      <c r="G15" s="3">
        <v>48</v>
      </c>
      <c r="H15" s="3">
        <v>54</v>
      </c>
      <c r="I15" s="3">
        <v>59</v>
      </c>
      <c r="J15" s="3">
        <v>65</v>
      </c>
      <c r="K15" s="3">
        <v>71</v>
      </c>
      <c r="L15" s="3">
        <f>ROUND(0.6*L5,0)</f>
        <v>78</v>
      </c>
      <c r="M15" s="3">
        <f>ROUND(0.6*M5,0)</f>
        <v>84</v>
      </c>
      <c r="N15" s="3">
        <f>ROUND(0.6*N5,0)</f>
        <v>90</v>
      </c>
    </row>
    <row r="16" spans="1:14" x14ac:dyDescent="0.3">
      <c r="B16" s="3">
        <v>800</v>
      </c>
      <c r="C16" s="308">
        <v>30</v>
      </c>
      <c r="D16" s="3">
        <v>34</v>
      </c>
      <c r="E16" s="3">
        <v>41</v>
      </c>
      <c r="F16" s="3">
        <v>48</v>
      </c>
      <c r="G16" s="3">
        <v>54</v>
      </c>
      <c r="H16" s="3">
        <v>61</v>
      </c>
      <c r="I16" s="3">
        <v>68</v>
      </c>
      <c r="J16" s="3">
        <v>74</v>
      </c>
      <c r="K16" s="3">
        <v>81</v>
      </c>
      <c r="L16" s="3">
        <f>ROUND(0.68*L5,0)</f>
        <v>88</v>
      </c>
      <c r="M16" s="3">
        <f>ROUND(0.68*M5,0)</f>
        <v>95</v>
      </c>
      <c r="N16" s="3">
        <f>ROUND(0.68*N5,0)</f>
        <v>102</v>
      </c>
    </row>
    <row r="18" spans="3:14" x14ac:dyDescent="0.3">
      <c r="C18" s="3">
        <v>1</v>
      </c>
      <c r="D18" s="3">
        <v>2</v>
      </c>
      <c r="E18" s="3">
        <v>3</v>
      </c>
      <c r="F18" s="3">
        <v>4</v>
      </c>
      <c r="G18" s="3">
        <v>5</v>
      </c>
      <c r="H18" s="3">
        <v>6</v>
      </c>
      <c r="I18" s="3">
        <v>7</v>
      </c>
      <c r="J18" s="3">
        <v>8</v>
      </c>
      <c r="K18" s="3">
        <v>9</v>
      </c>
      <c r="L18" s="3">
        <v>10</v>
      </c>
      <c r="M18" s="3">
        <v>11</v>
      </c>
      <c r="N18" s="308">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4.4" x14ac:dyDescent="0.3"/>
  <sheetData>
    <row r="2" spans="2:4" x14ac:dyDescent="0.3">
      <c r="B2" s="89" t="s">
        <v>140</v>
      </c>
      <c r="C2" s="89" t="s">
        <v>141</v>
      </c>
      <c r="D2" s="89" t="s">
        <v>139</v>
      </c>
    </row>
    <row r="3" spans="2:4" x14ac:dyDescent="0.3">
      <c r="B3" s="74">
        <v>0</v>
      </c>
      <c r="C3" s="74">
        <v>10</v>
      </c>
      <c r="D3" s="89" t="s">
        <v>142</v>
      </c>
    </row>
    <row r="4" spans="2:4" x14ac:dyDescent="0.3">
      <c r="B4" s="74">
        <v>10.1</v>
      </c>
      <c r="C4" s="74">
        <v>20</v>
      </c>
      <c r="D4" s="89" t="s">
        <v>143</v>
      </c>
    </row>
    <row r="5" spans="2:4" x14ac:dyDescent="0.3">
      <c r="B5" s="74">
        <v>20.100000000000001</v>
      </c>
      <c r="C5" s="74">
        <v>35</v>
      </c>
      <c r="D5" s="89" t="s">
        <v>144</v>
      </c>
    </row>
    <row r="6" spans="2:4" x14ac:dyDescent="0.3">
      <c r="B6" s="74">
        <v>35.1</v>
      </c>
      <c r="C6" s="74">
        <v>55</v>
      </c>
      <c r="D6" s="89" t="s">
        <v>145</v>
      </c>
    </row>
    <row r="7" spans="2:4" x14ac:dyDescent="0.3">
      <c r="B7" s="74">
        <v>55.1</v>
      </c>
      <c r="C7" s="74">
        <v>80</v>
      </c>
      <c r="D7" s="89" t="s">
        <v>146</v>
      </c>
    </row>
    <row r="8" spans="2:4" x14ac:dyDescent="0.3">
      <c r="B8" s="74">
        <v>80.099999999999994</v>
      </c>
      <c r="C8" s="74">
        <v>2000</v>
      </c>
      <c r="D8" s="89"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09375" defaultRowHeight="14.4" x14ac:dyDescent="0.3"/>
  <cols>
    <col min="1" max="1" width="9.109375" style="200"/>
    <col min="2" max="2" width="18.33203125" style="200" bestFit="1" customWidth="1"/>
    <col min="3" max="11" width="9.109375" style="200"/>
    <col min="12" max="13" width="9.109375" style="200" customWidth="1"/>
    <col min="14" max="14" width="15.5546875" style="200" customWidth="1"/>
    <col min="15" max="26" width="9.109375" style="200" customWidth="1"/>
    <col min="27" max="27" width="9.109375" style="365" customWidth="1"/>
    <col min="28" max="28" width="9.109375" style="200" customWidth="1"/>
    <col min="29" max="31" width="9.109375" style="200"/>
    <col min="32" max="32" width="13" style="200" bestFit="1" customWidth="1"/>
    <col min="33" max="16384" width="9.109375" style="200"/>
  </cols>
  <sheetData>
    <row r="1" spans="2:27" s="201" customFormat="1" x14ac:dyDescent="0.3">
      <c r="B1" s="201" t="s">
        <v>638</v>
      </c>
      <c r="D1" s="201">
        <f>D30</f>
        <v>0</v>
      </c>
      <c r="E1" s="503">
        <f t="shared" ref="E1:K1" si="0">E30</f>
        <v>0</v>
      </c>
      <c r="F1" s="503">
        <f t="shared" si="0"/>
        <v>0</v>
      </c>
      <c r="G1" s="503">
        <f t="shared" si="0"/>
        <v>0</v>
      </c>
      <c r="H1" s="503">
        <f t="shared" si="0"/>
        <v>0</v>
      </c>
      <c r="I1" s="503">
        <f t="shared" si="0"/>
        <v>0</v>
      </c>
      <c r="J1" s="503">
        <f t="shared" si="0"/>
        <v>0</v>
      </c>
      <c r="K1" s="503">
        <f t="shared" si="0"/>
        <v>0</v>
      </c>
      <c r="AA1" s="365"/>
    </row>
    <row r="2" spans="2:27" x14ac:dyDescent="0.3">
      <c r="B2" s="202" t="s">
        <v>124</v>
      </c>
      <c r="D2" s="200">
        <v>1</v>
      </c>
      <c r="E2" s="200">
        <v>2</v>
      </c>
      <c r="F2" s="200">
        <v>3</v>
      </c>
      <c r="G2" s="200">
        <v>4</v>
      </c>
      <c r="H2" s="200">
        <v>5</v>
      </c>
      <c r="I2" s="200">
        <v>6</v>
      </c>
      <c r="J2" s="200">
        <v>7</v>
      </c>
      <c r="K2" s="200">
        <v>8</v>
      </c>
      <c r="N2" s="200" t="s">
        <v>278</v>
      </c>
      <c r="O2" s="66" t="s">
        <v>13</v>
      </c>
      <c r="P2" s="66" t="s">
        <v>14</v>
      </c>
      <c r="Q2" s="66" t="s">
        <v>18</v>
      </c>
      <c r="R2" s="66" t="s">
        <v>19</v>
      </c>
      <c r="S2" s="66" t="s">
        <v>3</v>
      </c>
      <c r="T2" s="66" t="s">
        <v>4</v>
      </c>
      <c r="U2" s="66" t="s">
        <v>8</v>
      </c>
      <c r="V2" s="66" t="s">
        <v>9</v>
      </c>
    </row>
    <row r="3" spans="2:27" x14ac:dyDescent="0.3">
      <c r="B3" s="200" t="s">
        <v>277</v>
      </c>
      <c r="D3" s="200">
        <f>'Phase calculation'!C83</f>
        <v>0</v>
      </c>
      <c r="E3" s="212">
        <f>'Phase calculation'!D83</f>
        <v>0</v>
      </c>
      <c r="F3" s="212">
        <f>'Phase calculation'!E83</f>
        <v>0</v>
      </c>
      <c r="G3" s="212">
        <f>'Phase calculation'!F83</f>
        <v>0</v>
      </c>
      <c r="H3" s="200">
        <f>'Phase calculation'!C84</f>
        <v>0</v>
      </c>
      <c r="I3" s="212">
        <f>'Phase calculation'!D84</f>
        <v>0</v>
      </c>
      <c r="J3" s="212">
        <f>'Phase calculation'!E84</f>
        <v>0</v>
      </c>
      <c r="K3" s="212">
        <f>'Phase calculation'!F84</f>
        <v>0</v>
      </c>
      <c r="N3" s="200" t="s">
        <v>279</v>
      </c>
      <c r="P3" s="200">
        <f>IF('Summary sheet'!T15=0,0,MAX(30,12*'Summary sheet'!T15+12))</f>
        <v>0</v>
      </c>
      <c r="R3" s="200">
        <f>IF('Summary sheet'!Z15=0,0,MAX(30,12*'Summary sheet'!Z15+12))</f>
        <v>0</v>
      </c>
      <c r="T3" s="200">
        <f>IF('Summary sheet'!Y17=0,0,MAX(30,12*'Summary sheet'!Y17+12))</f>
        <v>0</v>
      </c>
      <c r="V3" s="200">
        <f>IF('Summary sheet'!Y4=0,0,MAX(30,12*'Summary sheet'!Y4+12))</f>
        <v>0</v>
      </c>
    </row>
    <row r="4" spans="2:27" x14ac:dyDescent="0.3">
      <c r="B4" s="200" t="s">
        <v>73</v>
      </c>
      <c r="D4" s="200" t="str">
        <f>'Phase designation'!K41</f>
        <v/>
      </c>
      <c r="E4" s="200" t="str">
        <f>'Phase designation'!L41</f>
        <v/>
      </c>
      <c r="F4" s="200" t="str">
        <f>'Phase designation'!M41</f>
        <v/>
      </c>
      <c r="G4" s="200" t="str">
        <f>'Phase designation'!N41</f>
        <v/>
      </c>
      <c r="H4" s="200" t="str">
        <f>'Phase designation'!K42</f>
        <v/>
      </c>
      <c r="I4" s="200" t="str">
        <f>'Phase designation'!L42</f>
        <v/>
      </c>
      <c r="J4" s="200" t="str">
        <f>'Phase designation'!M42</f>
        <v/>
      </c>
      <c r="K4" s="200" t="str">
        <f>'Phase designation'!N42</f>
        <v/>
      </c>
      <c r="N4" s="203" t="s">
        <v>289</v>
      </c>
      <c r="P4" s="200">
        <f>MAX(Sheet1!N11:P11)</f>
        <v>20</v>
      </c>
      <c r="R4" s="200">
        <f>MAX(Sheet1!S11:U11)</f>
        <v>20</v>
      </c>
      <c r="T4" s="200">
        <f>MAX(Sheet1!C11:F11,Sheet1!W11:AB11)</f>
        <v>20</v>
      </c>
      <c r="V4" s="200">
        <f>MAX(Sheet1!I11:K11,Sheet1!AC11:AH11)</f>
        <v>20</v>
      </c>
    </row>
    <row r="5" spans="2:27" s="209" customFormat="1" x14ac:dyDescent="0.3">
      <c r="B5" s="209" t="s">
        <v>42</v>
      </c>
      <c r="E5" s="209">
        <f>IF(E4="",0,INDEX($O$6:$V$6,1,E6))</f>
        <v>0</v>
      </c>
      <c r="G5" s="209">
        <f>IF(G4="",0,INDEX($O$6:$V$6,1,G6))</f>
        <v>0</v>
      </c>
      <c r="I5" s="209">
        <f>IF(I4="",0,INDEX($O$6:$V$6,1,I6))</f>
        <v>0</v>
      </c>
      <c r="K5" s="209">
        <f>IF(K4="",0,INDEX($O$6:$V$6,1,K6))</f>
        <v>0</v>
      </c>
      <c r="N5" s="504" t="s">
        <v>124</v>
      </c>
      <c r="O5" s="504">
        <f>'Phase calculation'!C18</f>
        <v>0</v>
      </c>
      <c r="P5" s="504">
        <f>'Phase calculation'!D18</f>
        <v>0</v>
      </c>
      <c r="Q5" s="504">
        <f>'Phase calculation'!F18</f>
        <v>0</v>
      </c>
      <c r="R5" s="504">
        <f>'Phase calculation'!G18</f>
        <v>0</v>
      </c>
      <c r="S5" s="504">
        <f>'Phase calculation'!I18</f>
        <v>0</v>
      </c>
      <c r="T5" s="504">
        <f>'Phase calculation'!J18</f>
        <v>0</v>
      </c>
      <c r="U5" s="504">
        <f>'Phase calculation'!L18</f>
        <v>0</v>
      </c>
      <c r="V5" s="504">
        <f>'Phase calculation'!M18</f>
        <v>0</v>
      </c>
      <c r="AA5" s="365"/>
    </row>
    <row r="6" spans="2:27" x14ac:dyDescent="0.3">
      <c r="B6" s="209" t="s">
        <v>296</v>
      </c>
      <c r="D6" s="200">
        <f t="shared" ref="D6:K6" si="1">IF(D4="",0,MATCH(D4,$O$2:$V$2,0))</f>
        <v>0</v>
      </c>
      <c r="E6" s="200">
        <f t="shared" si="1"/>
        <v>0</v>
      </c>
      <c r="F6" s="200">
        <f t="shared" si="1"/>
        <v>0</v>
      </c>
      <c r="G6" s="200">
        <f t="shared" si="1"/>
        <v>0</v>
      </c>
      <c r="H6" s="200">
        <f t="shared" si="1"/>
        <v>0</v>
      </c>
      <c r="I6" s="200">
        <f t="shared" si="1"/>
        <v>0</v>
      </c>
      <c r="J6" s="200">
        <f t="shared" si="1"/>
        <v>0</v>
      </c>
      <c r="K6" s="200">
        <f t="shared" si="1"/>
        <v>0</v>
      </c>
      <c r="N6" s="203" t="s">
        <v>290</v>
      </c>
      <c r="P6" s="200">
        <f>IF(P4&lt;25,25,ROUNDDOWN(P4/5,0)*5)</f>
        <v>25</v>
      </c>
      <c r="R6" s="203">
        <f>IF(R4&lt;25,25,ROUNDDOWN(R4/5,0)*5)</f>
        <v>25</v>
      </c>
      <c r="T6" s="203">
        <f>IF(T4&lt;25,25,ROUNDDOWN(T4/5,0)*5)</f>
        <v>25</v>
      </c>
      <c r="V6" s="203">
        <f>IF(V4&lt;25,25,ROUNDDOWN(V4/5,0)*5)</f>
        <v>25</v>
      </c>
    </row>
    <row r="7" spans="2:27" x14ac:dyDescent="0.3">
      <c r="B7" s="200" t="s">
        <v>261</v>
      </c>
      <c r="D7" s="200">
        <f>D37</f>
        <v>0</v>
      </c>
      <c r="E7" s="485">
        <f t="shared" ref="E7:K7" si="2">E37</f>
        <v>0</v>
      </c>
      <c r="F7" s="485">
        <f t="shared" si="2"/>
        <v>0</v>
      </c>
      <c r="G7" s="485">
        <f t="shared" si="2"/>
        <v>0</v>
      </c>
      <c r="H7" s="485">
        <f t="shared" si="2"/>
        <v>0</v>
      </c>
      <c r="I7" s="485">
        <f t="shared" si="2"/>
        <v>0</v>
      </c>
      <c r="J7" s="485">
        <f t="shared" si="2"/>
        <v>0</v>
      </c>
      <c r="K7" s="485">
        <f t="shared" si="2"/>
        <v>0</v>
      </c>
      <c r="N7" s="200" t="s">
        <v>282</v>
      </c>
    </row>
    <row r="8" spans="2:27" x14ac:dyDescent="0.3">
      <c r="B8" s="200" t="s">
        <v>283</v>
      </c>
      <c r="D8" s="200">
        <f>D38</f>
        <v>0</v>
      </c>
      <c r="E8" s="485">
        <f t="shared" ref="E8:K8" si="3">E38</f>
        <v>0</v>
      </c>
      <c r="F8" s="485">
        <f t="shared" si="3"/>
        <v>0</v>
      </c>
      <c r="G8" s="485">
        <f t="shared" si="3"/>
        <v>0</v>
      </c>
      <c r="H8" s="485">
        <f t="shared" si="3"/>
        <v>0</v>
      </c>
      <c r="I8" s="485">
        <f t="shared" si="3"/>
        <v>0</v>
      </c>
      <c r="J8" s="485">
        <f t="shared" si="3"/>
        <v>0</v>
      </c>
      <c r="K8" s="485">
        <f t="shared" si="3"/>
        <v>0</v>
      </c>
      <c r="N8" s="506" t="s">
        <v>261</v>
      </c>
      <c r="O8" s="506">
        <f>IFERROR(INDEX($D$7:$K$7,1,MATCH(O5,$D$2:$K$2,0)),0)</f>
        <v>0</v>
      </c>
      <c r="P8" s="506">
        <f t="shared" ref="P8:V8" si="4">IFERROR(INDEX($D$7:$K$7,1,MATCH(P5,$D$2:$K$2,0)),0)</f>
        <v>0</v>
      </c>
      <c r="Q8" s="506">
        <f t="shared" si="4"/>
        <v>0</v>
      </c>
      <c r="R8" s="506">
        <f t="shared" si="4"/>
        <v>0</v>
      </c>
      <c r="S8" s="506">
        <f t="shared" si="4"/>
        <v>0</v>
      </c>
      <c r="T8" s="506">
        <f t="shared" si="4"/>
        <v>0</v>
      </c>
      <c r="U8" s="506">
        <f t="shared" si="4"/>
        <v>0</v>
      </c>
      <c r="V8" s="506">
        <f t="shared" si="4"/>
        <v>0</v>
      </c>
    </row>
    <row r="9" spans="2:27" x14ac:dyDescent="0.3">
      <c r="B9" s="200" t="s">
        <v>264</v>
      </c>
      <c r="D9" s="200">
        <f>D40</f>
        <v>0</v>
      </c>
      <c r="E9" s="485">
        <f t="shared" ref="E9:K9" si="5">E40</f>
        <v>0</v>
      </c>
      <c r="F9" s="485">
        <f t="shared" si="5"/>
        <v>0</v>
      </c>
      <c r="G9" s="485">
        <f t="shared" si="5"/>
        <v>0</v>
      </c>
      <c r="H9" s="485">
        <f t="shared" si="5"/>
        <v>0</v>
      </c>
      <c r="I9" s="485">
        <f t="shared" si="5"/>
        <v>0</v>
      </c>
      <c r="J9" s="485">
        <f t="shared" si="5"/>
        <v>0</v>
      </c>
      <c r="K9" s="485">
        <f t="shared" si="5"/>
        <v>0</v>
      </c>
    </row>
    <row r="10" spans="2:27" x14ac:dyDescent="0.3">
      <c r="B10" s="200" t="s">
        <v>284</v>
      </c>
      <c r="D10" s="501">
        <f>D41</f>
        <v>0</v>
      </c>
      <c r="E10" s="501">
        <f t="shared" ref="E10:K10" si="6">E41</f>
        <v>0</v>
      </c>
      <c r="F10" s="501">
        <f t="shared" si="6"/>
        <v>0</v>
      </c>
      <c r="G10" s="501">
        <f t="shared" si="6"/>
        <v>0</v>
      </c>
      <c r="H10" s="501">
        <f t="shared" si="6"/>
        <v>0</v>
      </c>
      <c r="I10" s="501">
        <f t="shared" si="6"/>
        <v>0</v>
      </c>
      <c r="J10" s="501">
        <f t="shared" si="6"/>
        <v>0</v>
      </c>
      <c r="K10" s="501">
        <f t="shared" si="6"/>
        <v>0</v>
      </c>
    </row>
    <row r="11" spans="2:27" x14ac:dyDescent="0.3">
      <c r="B11" s="200" t="s">
        <v>285</v>
      </c>
      <c r="D11" s="200">
        <f>D31</f>
        <v>0</v>
      </c>
      <c r="E11" s="485">
        <f t="shared" ref="E11:K11" si="7">E31</f>
        <v>0</v>
      </c>
      <c r="F11" s="485">
        <f t="shared" si="7"/>
        <v>0</v>
      </c>
      <c r="G11" s="485">
        <f t="shared" si="7"/>
        <v>0</v>
      </c>
      <c r="H11" s="485">
        <f t="shared" si="7"/>
        <v>0</v>
      </c>
      <c r="I11" s="485">
        <f t="shared" si="7"/>
        <v>0</v>
      </c>
      <c r="J11" s="485">
        <f t="shared" si="7"/>
        <v>0</v>
      </c>
      <c r="K11" s="485">
        <f t="shared" si="7"/>
        <v>0</v>
      </c>
      <c r="N11" s="76" t="s">
        <v>262</v>
      </c>
      <c r="O11" s="505">
        <f>IFERROR(INDEX($D$8:$K$8,1,MATCH(O5,$D$2:$K$2,0)),0)</f>
        <v>0</v>
      </c>
      <c r="P11" s="505">
        <f t="shared" ref="P11:V11" si="8">IFERROR(INDEX($D$8:$K$8,1,MATCH(P5,$D$2:$K$2,0)),0)</f>
        <v>0</v>
      </c>
      <c r="Q11" s="505">
        <f t="shared" si="8"/>
        <v>0</v>
      </c>
      <c r="R11" s="505">
        <f t="shared" si="8"/>
        <v>0</v>
      </c>
      <c r="S11" s="505">
        <f t="shared" si="8"/>
        <v>0</v>
      </c>
      <c r="T11" s="505">
        <f t="shared" si="8"/>
        <v>0</v>
      </c>
      <c r="U11" s="505">
        <f t="shared" si="8"/>
        <v>0</v>
      </c>
      <c r="V11" s="505">
        <f t="shared" si="8"/>
        <v>0</v>
      </c>
    </row>
    <row r="12" spans="2:27" x14ac:dyDescent="0.3">
      <c r="B12" s="200" t="s">
        <v>286</v>
      </c>
      <c r="D12" s="77">
        <f>D32</f>
        <v>0</v>
      </c>
      <c r="E12" s="487">
        <f t="shared" ref="E12:K12" si="9">E32</f>
        <v>0</v>
      </c>
      <c r="F12" s="487">
        <f t="shared" si="9"/>
        <v>0</v>
      </c>
      <c r="G12" s="487">
        <f t="shared" si="9"/>
        <v>0</v>
      </c>
      <c r="H12" s="487">
        <f t="shared" si="9"/>
        <v>0</v>
      </c>
      <c r="I12" s="487">
        <f t="shared" si="9"/>
        <v>0</v>
      </c>
      <c r="J12" s="487">
        <f t="shared" si="9"/>
        <v>0</v>
      </c>
      <c r="K12" s="487">
        <f t="shared" si="9"/>
        <v>0</v>
      </c>
      <c r="L12" s="77"/>
      <c r="N12" s="200" t="s">
        <v>255</v>
      </c>
      <c r="O12" s="503" t="str">
        <f>IFERROR(INDEX($D$11:$K$11,MATCH(O5,$D$2:$K$2,0)),"")</f>
        <v/>
      </c>
      <c r="P12" s="503" t="str">
        <f t="shared" ref="P12:V12" si="10">IFERROR(INDEX($D$11:$K$11,MATCH(P5,$D$2:$K$2,0)),"")</f>
        <v/>
      </c>
      <c r="Q12" s="503" t="str">
        <f t="shared" si="10"/>
        <v/>
      </c>
      <c r="R12" s="503" t="str">
        <f t="shared" si="10"/>
        <v/>
      </c>
      <c r="S12" s="503" t="str">
        <f t="shared" si="10"/>
        <v/>
      </c>
      <c r="T12" s="503" t="str">
        <f t="shared" si="10"/>
        <v/>
      </c>
      <c r="U12" s="503" t="str">
        <f t="shared" si="10"/>
        <v/>
      </c>
      <c r="V12" s="503" t="str">
        <f t="shared" si="10"/>
        <v/>
      </c>
    </row>
    <row r="13" spans="2:27" x14ac:dyDescent="0.3">
      <c r="B13" s="503" t="s">
        <v>567</v>
      </c>
      <c r="C13" s="503"/>
      <c r="D13" s="503">
        <f>D53</f>
        <v>0</v>
      </c>
      <c r="E13" s="503">
        <f t="shared" ref="E13:K13" si="11">E53</f>
        <v>0</v>
      </c>
      <c r="F13" s="503">
        <f t="shared" si="11"/>
        <v>0</v>
      </c>
      <c r="G13" s="503">
        <f t="shared" si="11"/>
        <v>0</v>
      </c>
      <c r="H13" s="503">
        <f t="shared" si="11"/>
        <v>0</v>
      </c>
      <c r="I13" s="503">
        <f t="shared" si="11"/>
        <v>0</v>
      </c>
      <c r="J13" s="503">
        <f t="shared" si="11"/>
        <v>0</v>
      </c>
      <c r="K13" s="503">
        <f t="shared" si="11"/>
        <v>0</v>
      </c>
      <c r="N13" s="200" t="s">
        <v>256</v>
      </c>
      <c r="O13" s="503" t="str">
        <f>IFERROR(INDEX($D$12:$K$12,MATCH(O5,$D$2:$K$2,0)),"")</f>
        <v/>
      </c>
      <c r="P13" s="503" t="str">
        <f t="shared" ref="P13:V13" si="12">IFERROR(INDEX($D$12:$K$12,MATCH(P5,$D$2:$K$2,0)),"")</f>
        <v/>
      </c>
      <c r="Q13" s="503" t="str">
        <f t="shared" si="12"/>
        <v/>
      </c>
      <c r="R13" s="503" t="str">
        <f t="shared" si="12"/>
        <v/>
      </c>
      <c r="S13" s="503" t="str">
        <f t="shared" si="12"/>
        <v/>
      </c>
      <c r="T13" s="503" t="str">
        <f t="shared" si="12"/>
        <v/>
      </c>
      <c r="U13" s="503" t="str">
        <f t="shared" si="12"/>
        <v/>
      </c>
      <c r="V13" s="503" t="str">
        <f t="shared" si="12"/>
        <v/>
      </c>
    </row>
    <row r="14" spans="2:27" x14ac:dyDescent="0.3">
      <c r="B14" s="200" t="s">
        <v>258</v>
      </c>
      <c r="D14" s="200">
        <f>D34</f>
        <v>0</v>
      </c>
      <c r="E14" s="485">
        <f t="shared" ref="E14:K14" si="13">E34</f>
        <v>0</v>
      </c>
      <c r="F14" s="485">
        <f t="shared" si="13"/>
        <v>0</v>
      </c>
      <c r="G14" s="485">
        <f t="shared" si="13"/>
        <v>0</v>
      </c>
      <c r="H14" s="485">
        <f t="shared" si="13"/>
        <v>0</v>
      </c>
      <c r="I14" s="485">
        <f t="shared" si="13"/>
        <v>0</v>
      </c>
      <c r="J14" s="485">
        <f t="shared" si="13"/>
        <v>0</v>
      </c>
      <c r="K14" s="485">
        <f t="shared" si="13"/>
        <v>0</v>
      </c>
      <c r="N14" s="200" t="s">
        <v>259</v>
      </c>
      <c r="O14" s="503" t="str">
        <f>IFERROR(INDEX($D$15:$K$15,MATCH(O5,$D$2:$K$2,0)),"")</f>
        <v/>
      </c>
      <c r="P14" s="503" t="str">
        <f t="shared" ref="P14:V14" si="14">IFERROR(INDEX($D$15:$K$15,MATCH(P5,$D$2:$K$2,0)),"")</f>
        <v/>
      </c>
      <c r="Q14" s="503" t="str">
        <f t="shared" si="14"/>
        <v/>
      </c>
      <c r="R14" s="503" t="str">
        <f t="shared" si="14"/>
        <v/>
      </c>
      <c r="S14" s="503" t="str">
        <f t="shared" si="14"/>
        <v/>
      </c>
      <c r="T14" s="503" t="str">
        <f t="shared" si="14"/>
        <v/>
      </c>
      <c r="U14" s="503" t="str">
        <f t="shared" si="14"/>
        <v/>
      </c>
      <c r="V14" s="503" t="str">
        <f t="shared" si="14"/>
        <v/>
      </c>
    </row>
    <row r="15" spans="2:27" x14ac:dyDescent="0.3">
      <c r="B15" s="200" t="s">
        <v>259</v>
      </c>
      <c r="D15" s="485">
        <f t="shared" ref="D15:K15" si="15">D35</f>
        <v>0</v>
      </c>
      <c r="E15" s="485">
        <f t="shared" si="15"/>
        <v>0</v>
      </c>
      <c r="F15" s="485">
        <f t="shared" si="15"/>
        <v>0</v>
      </c>
      <c r="G15" s="485">
        <f t="shared" si="15"/>
        <v>0</v>
      </c>
      <c r="H15" s="485">
        <f t="shared" si="15"/>
        <v>0</v>
      </c>
      <c r="I15" s="485">
        <f t="shared" si="15"/>
        <v>0</v>
      </c>
      <c r="J15" s="485">
        <f t="shared" si="15"/>
        <v>0</v>
      </c>
      <c r="K15" s="485">
        <f t="shared" si="15"/>
        <v>0</v>
      </c>
    </row>
    <row r="16" spans="2:27" x14ac:dyDescent="0.3">
      <c r="B16" s="200" t="s">
        <v>287</v>
      </c>
      <c r="D16" s="485">
        <f>D36</f>
        <v>0</v>
      </c>
      <c r="E16" s="485">
        <f t="shared" ref="E16:K16" si="16">E36</f>
        <v>0</v>
      </c>
      <c r="F16" s="485">
        <f t="shared" si="16"/>
        <v>0</v>
      </c>
      <c r="G16" s="485">
        <f t="shared" si="16"/>
        <v>0</v>
      </c>
      <c r="H16" s="485">
        <f t="shared" si="16"/>
        <v>0</v>
      </c>
      <c r="I16" s="485">
        <f t="shared" si="16"/>
        <v>0</v>
      </c>
      <c r="J16" s="485">
        <f t="shared" si="16"/>
        <v>0</v>
      </c>
      <c r="K16" s="485">
        <f t="shared" si="16"/>
        <v>0</v>
      </c>
      <c r="O16" s="337"/>
      <c r="P16" s="337"/>
      <c r="Q16" s="337"/>
      <c r="R16" s="337"/>
      <c r="S16" s="337"/>
      <c r="T16" s="337"/>
      <c r="U16" s="337"/>
      <c r="V16" s="337"/>
    </row>
    <row r="17" spans="1:32" x14ac:dyDescent="0.3">
      <c r="B17" s="200" t="s">
        <v>257</v>
      </c>
      <c r="D17" s="200">
        <f>D33</f>
        <v>0</v>
      </c>
      <c r="E17" s="485">
        <f t="shared" ref="E17:K17" si="17">E33</f>
        <v>0</v>
      </c>
      <c r="F17" s="485">
        <f t="shared" si="17"/>
        <v>0</v>
      </c>
      <c r="G17" s="485">
        <f t="shared" si="17"/>
        <v>0</v>
      </c>
      <c r="H17" s="485">
        <f t="shared" si="17"/>
        <v>0</v>
      </c>
      <c r="I17" s="485">
        <f t="shared" si="17"/>
        <v>0</v>
      </c>
      <c r="J17" s="485">
        <f t="shared" si="17"/>
        <v>0</v>
      </c>
      <c r="K17" s="485">
        <f t="shared" si="17"/>
        <v>0</v>
      </c>
      <c r="P17" s="202"/>
      <c r="Q17" s="202"/>
      <c r="R17" s="202"/>
      <c r="S17" s="202"/>
      <c r="T17" s="202"/>
      <c r="U17" s="202"/>
      <c r="V17" s="202"/>
    </row>
    <row r="18" spans="1:32" x14ac:dyDescent="0.3">
      <c r="B18" s="200" t="s">
        <v>267</v>
      </c>
      <c r="D18" s="200">
        <f>D43</f>
        <v>0</v>
      </c>
      <c r="E18" s="485">
        <f t="shared" ref="E18:K18" si="18">E43</f>
        <v>0</v>
      </c>
      <c r="F18" s="485">
        <f t="shared" si="18"/>
        <v>0</v>
      </c>
      <c r="G18" s="485">
        <f t="shared" si="18"/>
        <v>0</v>
      </c>
      <c r="H18" s="485">
        <f t="shared" si="18"/>
        <v>0</v>
      </c>
      <c r="I18" s="485">
        <f t="shared" si="18"/>
        <v>0</v>
      </c>
      <c r="J18" s="485">
        <f t="shared" si="18"/>
        <v>0</v>
      </c>
      <c r="K18" s="485">
        <f t="shared" si="18"/>
        <v>0</v>
      </c>
      <c r="N18" s="202"/>
      <c r="P18" s="202"/>
      <c r="Q18" s="202"/>
      <c r="R18" s="202"/>
      <c r="S18" s="202"/>
      <c r="T18" s="202"/>
      <c r="U18" s="202"/>
      <c r="V18" s="202"/>
    </row>
    <row r="19" spans="1:32" x14ac:dyDescent="0.3">
      <c r="B19" s="200" t="s">
        <v>270</v>
      </c>
      <c r="D19" s="200">
        <f>D46</f>
        <v>0</v>
      </c>
      <c r="E19" s="485">
        <f t="shared" ref="E19:K19" si="19">E46</f>
        <v>0</v>
      </c>
      <c r="F19" s="485">
        <f t="shared" si="19"/>
        <v>0</v>
      </c>
      <c r="G19" s="485">
        <f t="shared" si="19"/>
        <v>0</v>
      </c>
      <c r="H19" s="485">
        <f t="shared" si="19"/>
        <v>0</v>
      </c>
      <c r="I19" s="485">
        <f t="shared" si="19"/>
        <v>0</v>
      </c>
      <c r="J19" s="485">
        <f t="shared" si="19"/>
        <v>0</v>
      </c>
      <c r="K19" s="485">
        <f t="shared" si="19"/>
        <v>0</v>
      </c>
      <c r="N19" s="500" t="s">
        <v>265</v>
      </c>
      <c r="O19" s="500"/>
      <c r="P19" s="500" t="str">
        <f>IFERROR(INDEX($D$10:$K$10,1,MATCH(P5,$D$2:$K$2,0)),"")</f>
        <v/>
      </c>
      <c r="Q19" s="500"/>
      <c r="R19" s="500" t="str">
        <f>IFERROR(INDEX($D$10:$K$10,1,MATCH(R5,$D$2:$K$2,0)),"")</f>
        <v/>
      </c>
      <c r="S19" s="500"/>
      <c r="T19" s="500" t="str">
        <f>IFERROR(INDEX($D$10:$K$10,1,MATCH(T5,$D$2:$K$2,0)),"")</f>
        <v/>
      </c>
      <c r="U19" s="500"/>
      <c r="V19" s="500" t="str">
        <f>IFERROR(INDEX($D$10:$K$10,1,MATCH(V5,$D$2:$K$2,0)),"")</f>
        <v/>
      </c>
    </row>
    <row r="20" spans="1:32" x14ac:dyDescent="0.3">
      <c r="B20" s="200" t="s">
        <v>271</v>
      </c>
      <c r="D20" s="200">
        <f>D47</f>
        <v>0</v>
      </c>
      <c r="E20" s="485">
        <f t="shared" ref="E20:K20" si="20">E47</f>
        <v>0</v>
      </c>
      <c r="F20" s="485">
        <f t="shared" si="20"/>
        <v>0</v>
      </c>
      <c r="G20" s="485">
        <f t="shared" si="20"/>
        <v>0</v>
      </c>
      <c r="H20" s="485">
        <f t="shared" si="20"/>
        <v>0</v>
      </c>
      <c r="I20" s="485">
        <f t="shared" si="20"/>
        <v>0</v>
      </c>
      <c r="J20" s="485">
        <f t="shared" si="20"/>
        <v>0</v>
      </c>
      <c r="K20" s="485">
        <f t="shared" si="20"/>
        <v>0</v>
      </c>
      <c r="N20" s="202"/>
    </row>
    <row r="21" spans="1:32" x14ac:dyDescent="0.3">
      <c r="B21" s="200" t="s">
        <v>272</v>
      </c>
      <c r="D21" s="200">
        <f>D48</f>
        <v>0</v>
      </c>
      <c r="E21" s="485">
        <f t="shared" ref="E21:K21" si="21">E48</f>
        <v>0</v>
      </c>
      <c r="F21" s="485">
        <f t="shared" si="21"/>
        <v>0</v>
      </c>
      <c r="G21" s="485">
        <f t="shared" si="21"/>
        <v>0</v>
      </c>
      <c r="H21" s="485">
        <f t="shared" si="21"/>
        <v>0</v>
      </c>
      <c r="I21" s="485">
        <f t="shared" si="21"/>
        <v>0</v>
      </c>
      <c r="J21" s="485">
        <f t="shared" si="21"/>
        <v>0</v>
      </c>
      <c r="K21" s="485">
        <f t="shared" si="21"/>
        <v>0</v>
      </c>
      <c r="N21" s="202" t="s">
        <v>288</v>
      </c>
      <c r="O21" s="503"/>
      <c r="P21" s="503">
        <f>IFERROR(P22+P19+P11+P8,0)</f>
        <v>0</v>
      </c>
      <c r="Q21" s="503"/>
      <c r="R21" s="503">
        <f>IFERROR(R22+R19+R11+R8,0)</f>
        <v>0</v>
      </c>
      <c r="S21" s="503"/>
      <c r="T21" s="503">
        <f>IFERROR(T22+T19+T11+T8,0)</f>
        <v>0</v>
      </c>
      <c r="U21" s="503"/>
      <c r="V21" s="503">
        <f>IFERROR(V22+V19+V11+V8,0)</f>
        <v>0</v>
      </c>
    </row>
    <row r="22" spans="1:32" x14ac:dyDescent="0.3">
      <c r="B22" s="200" t="s">
        <v>273</v>
      </c>
      <c r="D22" s="485">
        <f t="shared" ref="D22:K22" si="22">D49</f>
        <v>0</v>
      </c>
      <c r="E22" s="485">
        <f t="shared" si="22"/>
        <v>0</v>
      </c>
      <c r="F22" s="485">
        <f t="shared" si="22"/>
        <v>0</v>
      </c>
      <c r="G22" s="485">
        <f t="shared" si="22"/>
        <v>0</v>
      </c>
      <c r="H22" s="485">
        <f t="shared" si="22"/>
        <v>0</v>
      </c>
      <c r="I22" s="485">
        <f t="shared" si="22"/>
        <v>0</v>
      </c>
      <c r="J22" s="485">
        <f t="shared" si="22"/>
        <v>0</v>
      </c>
      <c r="K22" s="485">
        <f t="shared" si="22"/>
        <v>0</v>
      </c>
      <c r="N22" s="370" t="s">
        <v>264</v>
      </c>
      <c r="O22" s="370"/>
      <c r="P22" s="370" t="str">
        <f>IFERROR(INDEX($D$9:$K$9,1,MATCH(P5,$D$2:$K$2,0)),"")</f>
        <v/>
      </c>
      <c r="Q22" s="370"/>
      <c r="R22" s="370" t="str">
        <f>IFERROR(INDEX($D$9:$K$9,1,MATCH(R5,$D$2:$K$2,0)),"")</f>
        <v/>
      </c>
      <c r="S22" s="370"/>
      <c r="T22" s="370" t="str">
        <f>IFERROR(INDEX($D$9:$K$9,1,MATCH(T5,$D$2:$K$2,0)),"")</f>
        <v/>
      </c>
      <c r="U22" s="370"/>
      <c r="V22" s="370" t="str">
        <f>IFERROR(INDEX($D$9:$K$9,1,MATCH(V5,$D$2:$K$2,0)),"")</f>
        <v/>
      </c>
    </row>
    <row r="23" spans="1:32" x14ac:dyDescent="0.3">
      <c r="B23" s="200" t="s">
        <v>274</v>
      </c>
      <c r="D23" s="485">
        <f t="shared" ref="D23:K23" si="23">D50</f>
        <v>0</v>
      </c>
      <c r="E23" s="485">
        <f t="shared" si="23"/>
        <v>0</v>
      </c>
      <c r="F23" s="485">
        <f t="shared" si="23"/>
        <v>0</v>
      </c>
      <c r="G23" s="485">
        <f t="shared" si="23"/>
        <v>0</v>
      </c>
      <c r="H23" s="485">
        <f t="shared" si="23"/>
        <v>0</v>
      </c>
      <c r="I23" s="485">
        <f t="shared" si="23"/>
        <v>0</v>
      </c>
      <c r="J23" s="485">
        <f t="shared" si="23"/>
        <v>0</v>
      </c>
      <c r="K23" s="485">
        <f t="shared" si="23"/>
        <v>0</v>
      </c>
      <c r="N23" s="220" t="s">
        <v>304</v>
      </c>
      <c r="P23" s="200">
        <f>IF(P6&lt;=25,3,3.5)</f>
        <v>3</v>
      </c>
      <c r="Q23" s="209"/>
      <c r="R23" s="220">
        <f>IF(R6&lt;=25,3,3.5)</f>
        <v>3</v>
      </c>
      <c r="S23" s="209"/>
      <c r="T23" s="220">
        <f>IF(T6&lt;=25,3,3.5)</f>
        <v>3</v>
      </c>
      <c r="U23" s="209"/>
      <c r="V23" s="220">
        <f>IF(V6&lt;=25,3,3.5)</f>
        <v>3</v>
      </c>
    </row>
    <row r="24" spans="1:32" x14ac:dyDescent="0.3">
      <c r="B24" s="200" t="s">
        <v>275</v>
      </c>
      <c r="D24" s="485">
        <f t="shared" ref="D24:K24" si="24">D51</f>
        <v>0</v>
      </c>
      <c r="E24" s="485">
        <f t="shared" si="24"/>
        <v>0</v>
      </c>
      <c r="F24" s="485">
        <f t="shared" si="24"/>
        <v>0</v>
      </c>
      <c r="G24" s="485">
        <f t="shared" si="24"/>
        <v>0</v>
      </c>
      <c r="H24" s="485">
        <f t="shared" si="24"/>
        <v>0</v>
      </c>
      <c r="I24" s="485">
        <f t="shared" si="24"/>
        <v>0</v>
      </c>
      <c r="J24" s="485">
        <f t="shared" si="24"/>
        <v>0</v>
      </c>
      <c r="K24" s="485">
        <f t="shared" si="24"/>
        <v>0</v>
      </c>
      <c r="N24" s="209" t="s">
        <v>294</v>
      </c>
      <c r="P24" s="200">
        <f>VLOOKUP(P6,DetZone!$G$4:$H$10,2,FALSE)</f>
        <v>60</v>
      </c>
      <c r="Q24" s="209"/>
      <c r="R24" s="220">
        <f>VLOOKUP(R6,DetZone!$G$4:$H$10,2,FALSE)</f>
        <v>60</v>
      </c>
      <c r="S24" s="209"/>
      <c r="T24" s="220">
        <f>VLOOKUP(T6,DetZone!$G$4:$H$10,2,FALSE)</f>
        <v>60</v>
      </c>
      <c r="U24" s="209"/>
      <c r="V24" s="220">
        <f>VLOOKUP(V6,DetZone!$G$4:$H$10,2,FALSE)</f>
        <v>60</v>
      </c>
    </row>
    <row r="25" spans="1:32" x14ac:dyDescent="0.3">
      <c r="B25" s="200" t="s">
        <v>276</v>
      </c>
      <c r="D25" s="485">
        <f t="shared" ref="D25:K25" si="25">D52</f>
        <v>0</v>
      </c>
      <c r="E25" s="485">
        <f t="shared" si="25"/>
        <v>0</v>
      </c>
      <c r="F25" s="485">
        <f t="shared" si="25"/>
        <v>0</v>
      </c>
      <c r="G25" s="485">
        <f t="shared" si="25"/>
        <v>0</v>
      </c>
      <c r="H25" s="485">
        <f t="shared" si="25"/>
        <v>0</v>
      </c>
      <c r="I25" s="485">
        <f t="shared" si="25"/>
        <v>0</v>
      </c>
      <c r="J25" s="485">
        <f t="shared" si="25"/>
        <v>0</v>
      </c>
      <c r="K25" s="485">
        <f t="shared" si="25"/>
        <v>0</v>
      </c>
      <c r="N25" s="220" t="s">
        <v>311</v>
      </c>
      <c r="P25" s="200">
        <f>MATCH(P24,DetZone!$B$18:$B$22,0)</f>
        <v>2</v>
      </c>
      <c r="R25" s="220">
        <f>MATCH(R24,DetZone!$B$18:$B$22,0)</f>
        <v>2</v>
      </c>
      <c r="T25" s="220">
        <f>MATCH(T24,DetZone!$B$18:$B$22,0)</f>
        <v>2</v>
      </c>
      <c r="V25" s="220">
        <f>MATCH(V24,DetZone!$B$18:$B$22,0)</f>
        <v>2</v>
      </c>
    </row>
    <row r="26" spans="1:32" x14ac:dyDescent="0.3">
      <c r="G26" s="65" t="s">
        <v>298</v>
      </c>
      <c r="K26" s="65" t="s">
        <v>299</v>
      </c>
      <c r="L26" s="211" t="s">
        <v>297</v>
      </c>
      <c r="N26" s="220" t="s">
        <v>312</v>
      </c>
      <c r="P26" s="200">
        <f>MATCH(P6,DetZone!$C$17:$I$17,0)</f>
        <v>1</v>
      </c>
      <c r="R26" s="220">
        <f>MATCH(R6,DetZone!$C$17:$I$17,0)</f>
        <v>1</v>
      </c>
      <c r="T26" s="220">
        <f>MATCH(T6,DetZone!$C$17:$I$17,0)</f>
        <v>1</v>
      </c>
      <c r="V26" s="220">
        <f>MATCH(V6,DetZone!$C$17:$I$17,0)</f>
        <v>1</v>
      </c>
    </row>
    <row r="27" spans="1:32" s="209" customFormat="1" x14ac:dyDescent="0.3">
      <c r="G27" s="65">
        <f>MAX(D43+E43,H43+I43)</f>
        <v>0</v>
      </c>
      <c r="K27" s="65">
        <f>MAX(F43+G43,J43+K43)</f>
        <v>0</v>
      </c>
      <c r="L27" s="211">
        <f>G27+K27</f>
        <v>0</v>
      </c>
      <c r="N27" s="122" t="s">
        <v>257</v>
      </c>
      <c r="O27" s="122" t="str">
        <f>IFERROR(INDEX($D$17:$K$17,1,MATCH(O2,$D$4:$K$4,0)),"")</f>
        <v/>
      </c>
      <c r="P27" s="122" t="str">
        <f>IFERROR(INDEX($D$17:$K$17,1,MATCH(P5,$D$2:$K$2,0)),"")</f>
        <v/>
      </c>
      <c r="Q27" s="122" t="str">
        <f t="shared" ref="Q27:U27" si="26">IFERROR(INDEX($D$17:$K$17,1,MATCH(Q2,$D$4:$K$4,0)),"")</f>
        <v/>
      </c>
      <c r="R27" s="122" t="str">
        <f>IFERROR(INDEX($D$17:$K$17,1,MATCH(R5,$D$2:$K$2,0)),"")</f>
        <v/>
      </c>
      <c r="S27" s="122" t="str">
        <f t="shared" si="26"/>
        <v/>
      </c>
      <c r="T27" s="122" t="str">
        <f>IFERROR(INDEX($D$17:$K$17,1,MATCH(T5,$D$2:$K$2,0)),"")</f>
        <v/>
      </c>
      <c r="U27" s="122" t="str">
        <f t="shared" si="26"/>
        <v/>
      </c>
      <c r="V27" s="122" t="str">
        <f>IFERROR(INDEX($D$17:$K$17,1,MATCH(V5,$D$2:$K$2,0)),"")</f>
        <v/>
      </c>
      <c r="AA27" s="365"/>
    </row>
    <row r="28" spans="1:32" x14ac:dyDescent="0.3">
      <c r="A28" s="541" t="s">
        <v>204</v>
      </c>
      <c r="B28" s="541"/>
      <c r="C28" s="541"/>
      <c r="N28" s="222" t="s">
        <v>314</v>
      </c>
      <c r="O28" s="222" t="str">
        <f>IFERROR(INDEX($D$16:$K$16,1,MATCH(O2,$D$4:$K$4,0)),"")</f>
        <v/>
      </c>
      <c r="P28" s="222" t="str">
        <f>IFERROR(INDEX($D$16:$K$16,1,MATCH(P5,$D$2:$K$2,0)),"")</f>
        <v/>
      </c>
      <c r="Q28" s="222" t="str">
        <f t="shared" ref="Q28:U28" si="27">IFERROR(INDEX($D$16:$K$16,1,MATCH(Q2,$D$4:$K$4,0)),"")</f>
        <v/>
      </c>
      <c r="R28" s="222" t="str">
        <f>IFERROR(INDEX($D$16:$K$16,1,MATCH(R5,$D$2:$K$2,0)),"")</f>
        <v/>
      </c>
      <c r="S28" s="222" t="str">
        <f t="shared" si="27"/>
        <v/>
      </c>
      <c r="T28" s="222" t="str">
        <f>IFERROR(INDEX($D$16:$K$16,1,MATCH(T5,$D$2:$K$2,0)),"")</f>
        <v/>
      </c>
      <c r="U28" s="222" t="str">
        <f t="shared" si="27"/>
        <v/>
      </c>
      <c r="V28" s="222" t="str">
        <f>IFERROR(INDEX($D$16:$K$16,1,MATCH(V5,$D$2:$K$2,0)),"")</f>
        <v/>
      </c>
    </row>
    <row r="29" spans="1:32" x14ac:dyDescent="0.3">
      <c r="B29" s="250" t="s">
        <v>0</v>
      </c>
      <c r="C29" s="250" t="s">
        <v>1</v>
      </c>
      <c r="D29" s="250" t="s">
        <v>246</v>
      </c>
      <c r="E29" s="250" t="s">
        <v>247</v>
      </c>
      <c r="F29" s="250" t="s">
        <v>248</v>
      </c>
      <c r="G29" s="250" t="s">
        <v>249</v>
      </c>
      <c r="H29" s="250" t="s">
        <v>250</v>
      </c>
      <c r="I29" s="250" t="s">
        <v>251</v>
      </c>
      <c r="J29" s="250" t="s">
        <v>252</v>
      </c>
      <c r="K29" s="250" t="s">
        <v>253</v>
      </c>
      <c r="N29" s="200" t="s">
        <v>567</v>
      </c>
      <c r="O29" s="503" t="str">
        <f>IFERROR(INDEX($D$13:$K$13,1,MATCH(O5,$D$2:$K$2,0)),"")</f>
        <v/>
      </c>
      <c r="P29" s="503" t="str">
        <f t="shared" ref="P29:V29" si="28">IFERROR(INDEX($D$13:$K$13,1,MATCH(P5,$D$2:$K$2,0)),"")</f>
        <v/>
      </c>
      <c r="Q29" s="503" t="str">
        <f t="shared" si="28"/>
        <v/>
      </c>
      <c r="R29" s="503" t="str">
        <f t="shared" si="28"/>
        <v/>
      </c>
      <c r="S29" s="503" t="str">
        <f t="shared" si="28"/>
        <v/>
      </c>
      <c r="T29" s="503" t="str">
        <f t="shared" si="28"/>
        <v/>
      </c>
      <c r="U29" s="503" t="str">
        <f t="shared" si="28"/>
        <v/>
      </c>
      <c r="V29" s="503" t="str">
        <f t="shared" si="28"/>
        <v/>
      </c>
    </row>
    <row r="30" spans="1:32" x14ac:dyDescent="0.3">
      <c r="B30" s="200" t="s">
        <v>254</v>
      </c>
      <c r="C30" s="200">
        <f>UTDF_input!B100</f>
        <v>0</v>
      </c>
      <c r="D30" s="485">
        <f>UTDF_input!C100</f>
        <v>0</v>
      </c>
      <c r="E30" s="485">
        <f>UTDF_input!D100</f>
        <v>0</v>
      </c>
      <c r="F30" s="485">
        <f>UTDF_input!E100</f>
        <v>0</v>
      </c>
      <c r="G30" s="485">
        <f>UTDF_input!F100</f>
        <v>0</v>
      </c>
      <c r="H30" s="485">
        <f>UTDF_input!G100</f>
        <v>0</v>
      </c>
      <c r="I30" s="485">
        <f>UTDF_input!H100</f>
        <v>0</v>
      </c>
      <c r="J30" s="485">
        <f>UTDF_input!I100</f>
        <v>0</v>
      </c>
      <c r="K30" s="485">
        <f>UTDF_input!J100</f>
        <v>0</v>
      </c>
      <c r="N30" s="65" t="s">
        <v>316</v>
      </c>
      <c r="O30" s="65">
        <f>IFERROR(O29+O11+O8,0)</f>
        <v>0</v>
      </c>
      <c r="P30" s="65">
        <f t="shared" ref="P30:V30" si="29">IFERROR(P29+P11+P8,0)</f>
        <v>0</v>
      </c>
      <c r="Q30" s="65">
        <f t="shared" si="29"/>
        <v>0</v>
      </c>
      <c r="R30" s="65">
        <f t="shared" si="29"/>
        <v>0</v>
      </c>
      <c r="S30" s="65">
        <f t="shared" si="29"/>
        <v>0</v>
      </c>
      <c r="T30" s="65">
        <f t="shared" si="29"/>
        <v>0</v>
      </c>
      <c r="U30" s="65">
        <f t="shared" si="29"/>
        <v>0</v>
      </c>
      <c r="V30" s="65">
        <f t="shared" si="29"/>
        <v>0</v>
      </c>
    </row>
    <row r="31" spans="1:32" x14ac:dyDescent="0.3">
      <c r="B31" s="250" t="s">
        <v>255</v>
      </c>
      <c r="C31" s="250">
        <f>UTDF_input!B101</f>
        <v>0</v>
      </c>
      <c r="D31" s="250">
        <f>UTDF_input!C101</f>
        <v>0</v>
      </c>
      <c r="E31" s="250">
        <f>UTDF_input!D101</f>
        <v>0</v>
      </c>
      <c r="F31" s="250">
        <f>UTDF_input!E101</f>
        <v>0</v>
      </c>
      <c r="G31" s="250">
        <f>UTDF_input!F101</f>
        <v>0</v>
      </c>
      <c r="H31" s="250">
        <f>UTDF_input!G101</f>
        <v>0</v>
      </c>
      <c r="I31" s="250">
        <f>UTDF_input!H101</f>
        <v>0</v>
      </c>
      <c r="J31" s="250">
        <f>UTDF_input!I101</f>
        <v>0</v>
      </c>
      <c r="K31" s="250">
        <f>UTDF_input!J101</f>
        <v>0</v>
      </c>
      <c r="W31" s="520" t="s">
        <v>456</v>
      </c>
      <c r="X31" s="520"/>
      <c r="Y31" s="520"/>
      <c r="Z31" s="520"/>
      <c r="AA31" s="520"/>
      <c r="AB31" s="520"/>
      <c r="AC31" s="520"/>
      <c r="AD31" s="520"/>
      <c r="AE31" s="520"/>
      <c r="AF31" s="520"/>
    </row>
    <row r="32" spans="1:32" x14ac:dyDescent="0.3">
      <c r="B32" s="200" t="s">
        <v>256</v>
      </c>
      <c r="C32" s="485">
        <f>UTDF_input!B102</f>
        <v>0</v>
      </c>
      <c r="D32" s="485">
        <f>UTDF_input!C102</f>
        <v>0</v>
      </c>
      <c r="E32" s="485">
        <f>UTDF_input!D102</f>
        <v>0</v>
      </c>
      <c r="F32" s="485">
        <f>UTDF_input!E102</f>
        <v>0</v>
      </c>
      <c r="G32" s="485">
        <f>UTDF_input!F102</f>
        <v>0</v>
      </c>
      <c r="H32" s="485">
        <f>UTDF_input!G102</f>
        <v>0</v>
      </c>
      <c r="I32" s="485">
        <f>UTDF_input!H102</f>
        <v>0</v>
      </c>
      <c r="J32" s="485">
        <f>UTDF_input!I102</f>
        <v>0</v>
      </c>
      <c r="K32" s="485">
        <f>UTDF_input!J102</f>
        <v>0</v>
      </c>
      <c r="W32" s="365" t="s">
        <v>124</v>
      </c>
      <c r="X32" s="365" t="s">
        <v>446</v>
      </c>
      <c r="Y32" s="365" t="s">
        <v>261</v>
      </c>
      <c r="Z32" s="365" t="s">
        <v>451</v>
      </c>
      <c r="AA32" s="365" t="s">
        <v>283</v>
      </c>
      <c r="AB32" s="365" t="s">
        <v>124</v>
      </c>
      <c r="AC32" s="365" t="s">
        <v>452</v>
      </c>
      <c r="AD32" s="365" t="s">
        <v>453</v>
      </c>
      <c r="AE32" s="365" t="s">
        <v>454</v>
      </c>
      <c r="AF32" s="365" t="s">
        <v>455</v>
      </c>
    </row>
    <row r="33" spans="2:32" x14ac:dyDescent="0.3">
      <c r="B33" s="250" t="s">
        <v>257</v>
      </c>
      <c r="C33" s="250">
        <f>UTDF_input!B103</f>
        <v>0</v>
      </c>
      <c r="D33" s="250">
        <f>UTDF_input!C103</f>
        <v>0</v>
      </c>
      <c r="E33" s="250">
        <f>UTDF_input!D103</f>
        <v>0</v>
      </c>
      <c r="F33" s="250">
        <f>UTDF_input!E103</f>
        <v>0</v>
      </c>
      <c r="G33" s="250">
        <f>UTDF_input!F103</f>
        <v>0</v>
      </c>
      <c r="H33" s="250">
        <f>UTDF_input!G103</f>
        <v>0</v>
      </c>
      <c r="I33" s="250">
        <f>UTDF_input!H103</f>
        <v>0</v>
      </c>
      <c r="J33" s="250">
        <f>UTDF_input!I103</f>
        <v>0</v>
      </c>
      <c r="K33" s="250">
        <f>UTDF_input!J103</f>
        <v>0</v>
      </c>
      <c r="W33" s="200">
        <v>8</v>
      </c>
      <c r="X33" s="294">
        <f>K58</f>
        <v>0</v>
      </c>
      <c r="Y33" s="364">
        <f>K56</f>
        <v>0</v>
      </c>
      <c r="Z33" s="366">
        <f>K59</f>
        <v>0</v>
      </c>
      <c r="AA33" s="65">
        <f>K57</f>
        <v>0</v>
      </c>
      <c r="AB33" s="365">
        <v>8</v>
      </c>
      <c r="AC33" s="200">
        <f>K62</f>
        <v>0</v>
      </c>
      <c r="AD33" s="200">
        <f>X33</f>
        <v>0</v>
      </c>
      <c r="AE33" s="200">
        <f>Y33</f>
        <v>0</v>
      </c>
      <c r="AF33" s="371">
        <f>$C$62-AE33-AD33-AC33</f>
        <v>0</v>
      </c>
    </row>
    <row r="34" spans="2:32" x14ac:dyDescent="0.3">
      <c r="B34" s="200" t="s">
        <v>258</v>
      </c>
      <c r="C34" s="485">
        <f>UTDF_input!B104</f>
        <v>0</v>
      </c>
      <c r="D34" s="485">
        <f>UTDF_input!C104</f>
        <v>0</v>
      </c>
      <c r="E34" s="485">
        <f>UTDF_input!D104</f>
        <v>0</v>
      </c>
      <c r="F34" s="485">
        <f>UTDF_input!E104</f>
        <v>0</v>
      </c>
      <c r="G34" s="485">
        <f>UTDF_input!F104</f>
        <v>0</v>
      </c>
      <c r="H34" s="485">
        <f>UTDF_input!G104</f>
        <v>0</v>
      </c>
      <c r="I34" s="485">
        <f>UTDF_input!H104</f>
        <v>0</v>
      </c>
      <c r="J34" s="485">
        <f>UTDF_input!I104</f>
        <v>0</v>
      </c>
      <c r="K34" s="485">
        <f>UTDF_input!J104</f>
        <v>0</v>
      </c>
      <c r="W34" s="200">
        <v>7</v>
      </c>
      <c r="X34" s="294">
        <f>J58</f>
        <v>0</v>
      </c>
      <c r="Y34" s="364">
        <f>J56</f>
        <v>0</v>
      </c>
      <c r="Z34" s="366">
        <f>J59</f>
        <v>0</v>
      </c>
      <c r="AA34" s="65">
        <f>J57</f>
        <v>0</v>
      </c>
      <c r="AB34" s="365">
        <v>7</v>
      </c>
      <c r="AC34" s="200">
        <f>J62</f>
        <v>0</v>
      </c>
      <c r="AD34" s="365">
        <f t="shared" ref="AD34:AD40" si="30">X34</f>
        <v>0</v>
      </c>
      <c r="AE34" s="365">
        <f t="shared" ref="AE34:AE40" si="31">Y34</f>
        <v>0</v>
      </c>
      <c r="AF34" s="371">
        <f t="shared" ref="AF34:AF40" si="32">$C$62-AE34-AD34-AC34</f>
        <v>0</v>
      </c>
    </row>
    <row r="35" spans="2:32" x14ac:dyDescent="0.3">
      <c r="B35" s="250" t="s">
        <v>259</v>
      </c>
      <c r="C35" s="250">
        <f>UTDF_input!B105</f>
        <v>0</v>
      </c>
      <c r="D35" s="250">
        <f>UTDF_input!C105</f>
        <v>0</v>
      </c>
      <c r="E35" s="250">
        <f>UTDF_input!D105</f>
        <v>0</v>
      </c>
      <c r="F35" s="250">
        <f>UTDF_input!E105</f>
        <v>0</v>
      </c>
      <c r="G35" s="250">
        <f>UTDF_input!F105</f>
        <v>0</v>
      </c>
      <c r="H35" s="250">
        <f>UTDF_input!G105</f>
        <v>0</v>
      </c>
      <c r="I35" s="250">
        <f>UTDF_input!H105</f>
        <v>0</v>
      </c>
      <c r="J35" s="250">
        <f>UTDF_input!I105</f>
        <v>0</v>
      </c>
      <c r="K35" s="250">
        <f>UTDF_input!J105</f>
        <v>0</v>
      </c>
      <c r="W35" s="200">
        <v>6</v>
      </c>
      <c r="X35" s="294">
        <f>I58</f>
        <v>0</v>
      </c>
      <c r="Y35" s="364">
        <f>I56</f>
        <v>0</v>
      </c>
      <c r="Z35" s="366">
        <f>I59</f>
        <v>0</v>
      </c>
      <c r="AA35" s="65">
        <f>I57</f>
        <v>0</v>
      </c>
      <c r="AB35" s="365">
        <v>6</v>
      </c>
      <c r="AC35" s="200">
        <f>I62</f>
        <v>0</v>
      </c>
      <c r="AD35" s="365">
        <f t="shared" si="30"/>
        <v>0</v>
      </c>
      <c r="AE35" s="365">
        <f t="shared" si="31"/>
        <v>0</v>
      </c>
      <c r="AF35" s="371">
        <f t="shared" si="32"/>
        <v>0</v>
      </c>
    </row>
    <row r="36" spans="2:32" x14ac:dyDescent="0.3">
      <c r="B36" s="200" t="s">
        <v>260</v>
      </c>
      <c r="C36" s="485">
        <f>UTDF_input!B106</f>
        <v>0</v>
      </c>
      <c r="D36" s="485">
        <f>UTDF_input!C106</f>
        <v>0</v>
      </c>
      <c r="E36" s="485">
        <f>UTDF_input!D106</f>
        <v>0</v>
      </c>
      <c r="F36" s="485">
        <f>UTDF_input!E106</f>
        <v>0</v>
      </c>
      <c r="G36" s="485">
        <f>UTDF_input!F106</f>
        <v>0</v>
      </c>
      <c r="H36" s="485">
        <f>UTDF_input!G106</f>
        <v>0</v>
      </c>
      <c r="I36" s="485">
        <f>UTDF_input!H106</f>
        <v>0</v>
      </c>
      <c r="J36" s="485">
        <f>UTDF_input!I106</f>
        <v>0</v>
      </c>
      <c r="K36" s="485">
        <f>UTDF_input!J106</f>
        <v>0</v>
      </c>
      <c r="W36" s="200">
        <v>5</v>
      </c>
      <c r="X36" s="294">
        <f>H58</f>
        <v>0</v>
      </c>
      <c r="Y36" s="364">
        <f>H56</f>
        <v>0</v>
      </c>
      <c r="Z36" s="366">
        <f>H59</f>
        <v>0</v>
      </c>
      <c r="AA36" s="65">
        <f>H57</f>
        <v>0</v>
      </c>
      <c r="AB36" s="365">
        <v>5</v>
      </c>
      <c r="AC36" s="200">
        <f>H62</f>
        <v>0</v>
      </c>
      <c r="AD36" s="365">
        <f t="shared" si="30"/>
        <v>0</v>
      </c>
      <c r="AE36" s="365">
        <f t="shared" si="31"/>
        <v>0</v>
      </c>
      <c r="AF36" s="371">
        <f t="shared" si="32"/>
        <v>0</v>
      </c>
    </row>
    <row r="37" spans="2:32" x14ac:dyDescent="0.3">
      <c r="B37" s="250" t="s">
        <v>261</v>
      </c>
      <c r="C37" s="250">
        <f>UTDF_input!B107</f>
        <v>0</v>
      </c>
      <c r="D37" s="250">
        <f>UTDF_input!C107</f>
        <v>0</v>
      </c>
      <c r="E37" s="250">
        <f>UTDF_input!D107</f>
        <v>0</v>
      </c>
      <c r="F37" s="250">
        <f>UTDF_input!E107</f>
        <v>0</v>
      </c>
      <c r="G37" s="250">
        <f>UTDF_input!F107</f>
        <v>0</v>
      </c>
      <c r="H37" s="250">
        <f>UTDF_input!G107</f>
        <v>0</v>
      </c>
      <c r="I37" s="250">
        <f>UTDF_input!H107</f>
        <v>0</v>
      </c>
      <c r="J37" s="250">
        <f>UTDF_input!I107</f>
        <v>0</v>
      </c>
      <c r="K37" s="250">
        <f>UTDF_input!J107</f>
        <v>0</v>
      </c>
      <c r="W37" s="200">
        <v>4</v>
      </c>
      <c r="X37" s="294">
        <f>G58</f>
        <v>0</v>
      </c>
      <c r="Y37" s="364">
        <f>G56</f>
        <v>0</v>
      </c>
      <c r="Z37" s="366">
        <f>G59</f>
        <v>0</v>
      </c>
      <c r="AA37" s="65">
        <f>G57</f>
        <v>0</v>
      </c>
      <c r="AB37" s="365">
        <v>4</v>
      </c>
      <c r="AC37" s="200">
        <f>G62</f>
        <v>0</v>
      </c>
      <c r="AD37" s="365">
        <f t="shared" si="30"/>
        <v>0</v>
      </c>
      <c r="AE37" s="365">
        <f t="shared" si="31"/>
        <v>0</v>
      </c>
      <c r="AF37" s="371">
        <f t="shared" si="32"/>
        <v>0</v>
      </c>
    </row>
    <row r="38" spans="2:32" x14ac:dyDescent="0.3">
      <c r="B38" s="200" t="s">
        <v>262</v>
      </c>
      <c r="C38" s="485">
        <f>UTDF_input!B108</f>
        <v>0</v>
      </c>
      <c r="D38" s="485">
        <f>UTDF_input!C108</f>
        <v>0</v>
      </c>
      <c r="E38" s="485">
        <f>UTDF_input!D108</f>
        <v>0</v>
      </c>
      <c r="F38" s="485">
        <f>UTDF_input!E108</f>
        <v>0</v>
      </c>
      <c r="G38" s="485">
        <f>UTDF_input!F108</f>
        <v>0</v>
      </c>
      <c r="H38" s="485">
        <f>UTDF_input!G108</f>
        <v>0</v>
      </c>
      <c r="I38" s="485">
        <f>UTDF_input!H108</f>
        <v>0</v>
      </c>
      <c r="J38" s="485">
        <f>UTDF_input!I108</f>
        <v>0</v>
      </c>
      <c r="K38" s="485">
        <f>UTDF_input!J108</f>
        <v>0</v>
      </c>
      <c r="W38" s="200">
        <v>3</v>
      </c>
      <c r="X38" s="294">
        <f>F58</f>
        <v>0</v>
      </c>
      <c r="Y38" s="364">
        <f>F56</f>
        <v>0</v>
      </c>
      <c r="Z38" s="366">
        <f>F59</f>
        <v>0</v>
      </c>
      <c r="AA38" s="65">
        <f>F57</f>
        <v>0</v>
      </c>
      <c r="AB38" s="365">
        <v>3</v>
      </c>
      <c r="AC38" s="200">
        <f>F62</f>
        <v>0</v>
      </c>
      <c r="AD38" s="365">
        <f t="shared" si="30"/>
        <v>0</v>
      </c>
      <c r="AE38" s="365">
        <f t="shared" si="31"/>
        <v>0</v>
      </c>
      <c r="AF38" s="371">
        <f t="shared" si="32"/>
        <v>0</v>
      </c>
    </row>
    <row r="39" spans="2:32" x14ac:dyDescent="0.3">
      <c r="B39" s="250" t="s">
        <v>263</v>
      </c>
      <c r="C39" s="250">
        <f>UTDF_input!B109</f>
        <v>0</v>
      </c>
      <c r="D39" s="250">
        <f>UTDF_input!C109</f>
        <v>0</v>
      </c>
      <c r="E39" s="250">
        <f>UTDF_input!D109</f>
        <v>0</v>
      </c>
      <c r="F39" s="250">
        <f>UTDF_input!E109</f>
        <v>0</v>
      </c>
      <c r="G39" s="250">
        <f>UTDF_input!F109</f>
        <v>0</v>
      </c>
      <c r="H39" s="250">
        <f>UTDF_input!G109</f>
        <v>0</v>
      </c>
      <c r="I39" s="250">
        <f>UTDF_input!H109</f>
        <v>0</v>
      </c>
      <c r="J39" s="250">
        <f>UTDF_input!I109</f>
        <v>0</v>
      </c>
      <c r="K39" s="250">
        <f>UTDF_input!J109</f>
        <v>0</v>
      </c>
      <c r="W39" s="200">
        <v>2</v>
      </c>
      <c r="X39" s="294">
        <f>E58</f>
        <v>0</v>
      </c>
      <c r="Y39" s="364">
        <f>E56</f>
        <v>0</v>
      </c>
      <c r="Z39" s="366">
        <f>E59</f>
        <v>0</v>
      </c>
      <c r="AA39" s="65">
        <f>E57</f>
        <v>0</v>
      </c>
      <c r="AB39" s="365">
        <v>2</v>
      </c>
      <c r="AC39" s="200">
        <f>E62</f>
        <v>0</v>
      </c>
      <c r="AD39" s="365">
        <f t="shared" si="30"/>
        <v>0</v>
      </c>
      <c r="AE39" s="365">
        <f t="shared" si="31"/>
        <v>0</v>
      </c>
      <c r="AF39" s="371">
        <f t="shared" si="32"/>
        <v>0</v>
      </c>
    </row>
    <row r="40" spans="2:32" x14ac:dyDescent="0.3">
      <c r="B40" s="200" t="s">
        <v>264</v>
      </c>
      <c r="C40" s="485">
        <f>UTDF_input!B110</f>
        <v>0</v>
      </c>
      <c r="D40" s="485">
        <f>UTDF_input!C110</f>
        <v>0</v>
      </c>
      <c r="E40" s="485">
        <f>UTDF_input!D110</f>
        <v>0</v>
      </c>
      <c r="F40" s="485">
        <f>UTDF_input!E110</f>
        <v>0</v>
      </c>
      <c r="G40" s="485">
        <f>UTDF_input!F110</f>
        <v>0</v>
      </c>
      <c r="H40" s="485">
        <f>UTDF_input!G110</f>
        <v>0</v>
      </c>
      <c r="I40" s="485">
        <f>UTDF_input!H110</f>
        <v>0</v>
      </c>
      <c r="J40" s="485">
        <f>UTDF_input!I110</f>
        <v>0</v>
      </c>
      <c r="K40" s="485">
        <f>UTDF_input!J110</f>
        <v>0</v>
      </c>
      <c r="W40" s="200">
        <v>1</v>
      </c>
      <c r="X40" s="294">
        <f>D58</f>
        <v>0</v>
      </c>
      <c r="Y40" s="364">
        <f>D56</f>
        <v>0</v>
      </c>
      <c r="Z40" s="366">
        <f>D59</f>
        <v>0</v>
      </c>
      <c r="AA40" s="65">
        <f>D57</f>
        <v>0</v>
      </c>
      <c r="AB40" s="365">
        <v>1</v>
      </c>
      <c r="AC40" s="200">
        <f>D62</f>
        <v>0</v>
      </c>
      <c r="AD40" s="365">
        <f t="shared" si="30"/>
        <v>0</v>
      </c>
      <c r="AE40" s="365">
        <f t="shared" si="31"/>
        <v>0</v>
      </c>
      <c r="AF40" s="371">
        <f t="shared" si="32"/>
        <v>0</v>
      </c>
    </row>
    <row r="41" spans="2:32" x14ac:dyDescent="0.3">
      <c r="B41" s="250" t="s">
        <v>265</v>
      </c>
      <c r="C41" s="250">
        <f>UTDF_input!B111</f>
        <v>0</v>
      </c>
      <c r="D41" s="250">
        <f>UTDF_input!C111</f>
        <v>0</v>
      </c>
      <c r="E41" s="250">
        <f>UTDF_input!D111</f>
        <v>0</v>
      </c>
      <c r="F41" s="250">
        <f>UTDF_input!E111</f>
        <v>0</v>
      </c>
      <c r="G41" s="250">
        <f>UTDF_input!F111</f>
        <v>0</v>
      </c>
      <c r="H41" s="250">
        <f>UTDF_input!G111</f>
        <v>0</v>
      </c>
      <c r="I41" s="250">
        <f>UTDF_input!H111</f>
        <v>0</v>
      </c>
      <c r="J41" s="250">
        <f>UTDF_input!I111</f>
        <v>0</v>
      </c>
      <c r="K41" s="250">
        <f>UTDF_input!J111</f>
        <v>0</v>
      </c>
    </row>
    <row r="42" spans="2:32" x14ac:dyDescent="0.3">
      <c r="B42" s="200" t="s">
        <v>266</v>
      </c>
      <c r="C42" s="485">
        <f>UTDF_input!B112</f>
        <v>0</v>
      </c>
      <c r="D42" s="485">
        <f>UTDF_input!C112</f>
        <v>0</v>
      </c>
      <c r="E42" s="485">
        <f>UTDF_input!D112</f>
        <v>0</v>
      </c>
      <c r="F42" s="485">
        <f>UTDF_input!E112</f>
        <v>0</v>
      </c>
      <c r="G42" s="485">
        <f>UTDF_input!F112</f>
        <v>0</v>
      </c>
      <c r="H42" s="485">
        <f>UTDF_input!G112</f>
        <v>0</v>
      </c>
      <c r="I42" s="485">
        <f>UTDF_input!H112</f>
        <v>0</v>
      </c>
      <c r="J42" s="485">
        <f>UTDF_input!I112</f>
        <v>0</v>
      </c>
      <c r="K42" s="485">
        <f>UTDF_input!J112</f>
        <v>0</v>
      </c>
      <c r="AD42" s="365"/>
      <c r="AE42" s="365"/>
      <c r="AF42" s="371"/>
    </row>
    <row r="43" spans="2:32" x14ac:dyDescent="0.3">
      <c r="B43" s="250" t="s">
        <v>267</v>
      </c>
      <c r="C43" s="250">
        <f>UTDF_input!B113</f>
        <v>0</v>
      </c>
      <c r="D43" s="250">
        <f>UTDF_input!C113</f>
        <v>0</v>
      </c>
      <c r="E43" s="250">
        <f>UTDF_input!D113</f>
        <v>0</v>
      </c>
      <c r="F43" s="250">
        <f>UTDF_input!E113</f>
        <v>0</v>
      </c>
      <c r="G43" s="250">
        <f>UTDF_input!F113</f>
        <v>0</v>
      </c>
      <c r="H43" s="250">
        <f>UTDF_input!G113</f>
        <v>0</v>
      </c>
      <c r="I43" s="250">
        <f>UTDF_input!H113</f>
        <v>0</v>
      </c>
      <c r="J43" s="250">
        <f>UTDF_input!I113</f>
        <v>0</v>
      </c>
      <c r="K43" s="250">
        <f>UTDF_input!J113</f>
        <v>0</v>
      </c>
      <c r="AD43" s="365"/>
      <c r="AE43" s="365"/>
      <c r="AF43" s="371"/>
    </row>
    <row r="44" spans="2:32" x14ac:dyDescent="0.3">
      <c r="B44" s="200" t="s">
        <v>268</v>
      </c>
      <c r="C44" s="485">
        <f>UTDF_input!B114</f>
        <v>0</v>
      </c>
      <c r="D44" s="485">
        <f>UTDF_input!C114</f>
        <v>0</v>
      </c>
      <c r="E44" s="485">
        <f>UTDF_input!D114</f>
        <v>0</v>
      </c>
      <c r="F44" s="485">
        <f>UTDF_input!E114</f>
        <v>0</v>
      </c>
      <c r="G44" s="485">
        <f>UTDF_input!F114</f>
        <v>0</v>
      </c>
      <c r="H44" s="485">
        <f>UTDF_input!G114</f>
        <v>0</v>
      </c>
      <c r="I44" s="485">
        <f>UTDF_input!H114</f>
        <v>0</v>
      </c>
      <c r="J44" s="485">
        <f>UTDF_input!I114</f>
        <v>0</v>
      </c>
      <c r="K44" s="485">
        <f>UTDF_input!J114</f>
        <v>0</v>
      </c>
      <c r="AD44" s="365"/>
      <c r="AE44" s="365"/>
      <c r="AF44" s="371"/>
    </row>
    <row r="45" spans="2:32" x14ac:dyDescent="0.3">
      <c r="B45" s="250" t="s">
        <v>269</v>
      </c>
      <c r="C45" s="250">
        <f>UTDF_input!B115</f>
        <v>0</v>
      </c>
      <c r="D45" s="250">
        <f>UTDF_input!C115</f>
        <v>0</v>
      </c>
      <c r="E45" s="250">
        <f>UTDF_input!D115</f>
        <v>0</v>
      </c>
      <c r="F45" s="250">
        <f>UTDF_input!E115</f>
        <v>0</v>
      </c>
      <c r="G45" s="250">
        <f>UTDF_input!F115</f>
        <v>0</v>
      </c>
      <c r="H45" s="250">
        <f>UTDF_input!G115</f>
        <v>0</v>
      </c>
      <c r="I45" s="250">
        <f>UTDF_input!H115</f>
        <v>0</v>
      </c>
      <c r="J45" s="250">
        <f>UTDF_input!I115</f>
        <v>0</v>
      </c>
      <c r="K45" s="250">
        <f>UTDF_input!J115</f>
        <v>0</v>
      </c>
      <c r="AD45" s="365"/>
      <c r="AE45" s="365"/>
      <c r="AF45" s="371"/>
    </row>
    <row r="46" spans="2:32" x14ac:dyDescent="0.3">
      <c r="B46" s="200" t="s">
        <v>270</v>
      </c>
      <c r="C46" s="485">
        <f>UTDF_input!B116</f>
        <v>0</v>
      </c>
      <c r="D46" s="485">
        <f>UTDF_input!C116</f>
        <v>0</v>
      </c>
      <c r="E46" s="485">
        <f>UTDF_input!D116</f>
        <v>0</v>
      </c>
      <c r="F46" s="485">
        <f>UTDF_input!E116</f>
        <v>0</v>
      </c>
      <c r="G46" s="485">
        <f>UTDF_input!F116</f>
        <v>0</v>
      </c>
      <c r="H46" s="485">
        <f>UTDF_input!G116</f>
        <v>0</v>
      </c>
      <c r="I46" s="485">
        <f>UTDF_input!H116</f>
        <v>0</v>
      </c>
      <c r="J46" s="485">
        <f>UTDF_input!I116</f>
        <v>0</v>
      </c>
      <c r="K46" s="485">
        <f>UTDF_input!J116</f>
        <v>0</v>
      </c>
      <c r="AD46" s="365"/>
      <c r="AE46" s="365"/>
      <c r="AF46" s="371"/>
    </row>
    <row r="47" spans="2:32" x14ac:dyDescent="0.3">
      <c r="B47" s="250" t="s">
        <v>271</v>
      </c>
      <c r="C47" s="250">
        <f>UTDF_input!B117</f>
        <v>0</v>
      </c>
      <c r="D47" s="250">
        <f>UTDF_input!C117</f>
        <v>0</v>
      </c>
      <c r="E47" s="250">
        <f>UTDF_input!D117</f>
        <v>0</v>
      </c>
      <c r="F47" s="250">
        <f>UTDF_input!E117</f>
        <v>0</v>
      </c>
      <c r="G47" s="250">
        <f>UTDF_input!F117</f>
        <v>0</v>
      </c>
      <c r="H47" s="250">
        <f>UTDF_input!G117</f>
        <v>0</v>
      </c>
      <c r="I47" s="250">
        <f>UTDF_input!H117</f>
        <v>0</v>
      </c>
      <c r="J47" s="250">
        <f>UTDF_input!I117</f>
        <v>0</v>
      </c>
      <c r="K47" s="250">
        <f>UTDF_input!J117</f>
        <v>0</v>
      </c>
      <c r="AD47" s="365"/>
      <c r="AE47" s="365"/>
      <c r="AF47" s="371"/>
    </row>
    <row r="48" spans="2:32" x14ac:dyDescent="0.3">
      <c r="B48" s="200" t="s">
        <v>272</v>
      </c>
      <c r="C48" s="485">
        <f>UTDF_input!B118</f>
        <v>0</v>
      </c>
      <c r="D48" s="485">
        <f>UTDF_input!C118</f>
        <v>0</v>
      </c>
      <c r="E48" s="485">
        <f>UTDF_input!D118</f>
        <v>0</v>
      </c>
      <c r="F48" s="485">
        <f>UTDF_input!E118</f>
        <v>0</v>
      </c>
      <c r="G48" s="485">
        <f>UTDF_input!F118</f>
        <v>0</v>
      </c>
      <c r="H48" s="485">
        <f>UTDF_input!G118</f>
        <v>0</v>
      </c>
      <c r="I48" s="485">
        <f>UTDF_input!H118</f>
        <v>0</v>
      </c>
      <c r="J48" s="485">
        <f>UTDF_input!I118</f>
        <v>0</v>
      </c>
      <c r="K48" s="485">
        <f>UTDF_input!J118</f>
        <v>0</v>
      </c>
      <c r="AD48" s="365"/>
      <c r="AE48" s="365"/>
      <c r="AF48" s="371"/>
    </row>
    <row r="49" spans="2:32" x14ac:dyDescent="0.3">
      <c r="B49" s="250" t="s">
        <v>273</v>
      </c>
      <c r="C49" s="250">
        <f>UTDF_input!B119</f>
        <v>0</v>
      </c>
      <c r="D49" s="250">
        <f>UTDF_input!C119</f>
        <v>0</v>
      </c>
      <c r="E49" s="250">
        <f>UTDF_input!D119</f>
        <v>0</v>
      </c>
      <c r="F49" s="250">
        <f>UTDF_input!E119</f>
        <v>0</v>
      </c>
      <c r="G49" s="250">
        <f>UTDF_input!F119</f>
        <v>0</v>
      </c>
      <c r="H49" s="250">
        <f>UTDF_input!G119</f>
        <v>0</v>
      </c>
      <c r="I49" s="250">
        <f>UTDF_input!H119</f>
        <v>0</v>
      </c>
      <c r="J49" s="250">
        <f>UTDF_input!I119</f>
        <v>0</v>
      </c>
      <c r="K49" s="250">
        <f>UTDF_input!J119</f>
        <v>0</v>
      </c>
      <c r="AD49" s="365"/>
      <c r="AE49" s="365"/>
      <c r="AF49" s="371"/>
    </row>
    <row r="50" spans="2:32" x14ac:dyDescent="0.3">
      <c r="B50" s="200" t="s">
        <v>274</v>
      </c>
      <c r="C50" s="485">
        <f>UTDF_input!B120</f>
        <v>0</v>
      </c>
      <c r="D50" s="485">
        <f>UTDF_input!C120</f>
        <v>0</v>
      </c>
      <c r="E50" s="485">
        <f>UTDF_input!D120</f>
        <v>0</v>
      </c>
      <c r="F50" s="485">
        <f>UTDF_input!E120</f>
        <v>0</v>
      </c>
      <c r="G50" s="485">
        <f>UTDF_input!F120</f>
        <v>0</v>
      </c>
      <c r="H50" s="485">
        <f>UTDF_input!G120</f>
        <v>0</v>
      </c>
      <c r="I50" s="485">
        <f>UTDF_input!H120</f>
        <v>0</v>
      </c>
      <c r="J50" s="485">
        <f>UTDF_input!I120</f>
        <v>0</v>
      </c>
      <c r="K50" s="485">
        <f>UTDF_input!J120</f>
        <v>0</v>
      </c>
    </row>
    <row r="51" spans="2:32" x14ac:dyDescent="0.3">
      <c r="B51" s="250" t="s">
        <v>275</v>
      </c>
      <c r="C51" s="250">
        <f>UTDF_input!B121</f>
        <v>0</v>
      </c>
      <c r="D51" s="250">
        <f>UTDF_input!C121</f>
        <v>0</v>
      </c>
      <c r="E51" s="250">
        <f>UTDF_input!D121</f>
        <v>0</v>
      </c>
      <c r="F51" s="250">
        <f>UTDF_input!E121</f>
        <v>0</v>
      </c>
      <c r="G51" s="250">
        <f>UTDF_input!F121</f>
        <v>0</v>
      </c>
      <c r="H51" s="250">
        <f>UTDF_input!G121</f>
        <v>0</v>
      </c>
      <c r="I51" s="250">
        <f>UTDF_input!H121</f>
        <v>0</v>
      </c>
      <c r="J51" s="250">
        <f>UTDF_input!I121</f>
        <v>0</v>
      </c>
      <c r="K51" s="250">
        <f>UTDF_input!J121</f>
        <v>0</v>
      </c>
    </row>
    <row r="52" spans="2:32" x14ac:dyDescent="0.3">
      <c r="B52" s="200" t="s">
        <v>276</v>
      </c>
      <c r="C52" s="485">
        <f>UTDF_input!B122</f>
        <v>0</v>
      </c>
      <c r="D52" s="485">
        <f>UTDF_input!C122</f>
        <v>0</v>
      </c>
      <c r="E52" s="485">
        <f>UTDF_input!D122</f>
        <v>0</v>
      </c>
      <c r="F52" s="485">
        <f>UTDF_input!E122</f>
        <v>0</v>
      </c>
      <c r="G52" s="485">
        <f>UTDF_input!F122</f>
        <v>0</v>
      </c>
      <c r="H52" s="485">
        <f>UTDF_input!G122</f>
        <v>0</v>
      </c>
      <c r="I52" s="485">
        <f>UTDF_input!H122</f>
        <v>0</v>
      </c>
      <c r="J52" s="485">
        <f>UTDF_input!I122</f>
        <v>0</v>
      </c>
      <c r="K52" s="485">
        <f>UTDF_input!J122</f>
        <v>0</v>
      </c>
    </row>
    <row r="53" spans="2:32" x14ac:dyDescent="0.3">
      <c r="B53" s="250" t="s">
        <v>567</v>
      </c>
      <c r="C53" s="250">
        <f>UTDF_input!B123</f>
        <v>0</v>
      </c>
      <c r="D53" s="250">
        <f>UTDF_input!C123</f>
        <v>0</v>
      </c>
      <c r="E53" s="250">
        <f>UTDF_input!D123</f>
        <v>0</v>
      </c>
      <c r="F53" s="250">
        <f>UTDF_input!E123</f>
        <v>0</v>
      </c>
      <c r="G53" s="250">
        <f>UTDF_input!F123</f>
        <v>0</v>
      </c>
      <c r="H53" s="250">
        <f>UTDF_input!G123</f>
        <v>0</v>
      </c>
      <c r="I53" s="250">
        <f>UTDF_input!H123</f>
        <v>0</v>
      </c>
      <c r="J53" s="250">
        <f>UTDF_input!I123</f>
        <v>0</v>
      </c>
      <c r="K53" s="250">
        <f>UTDF_input!J123</f>
        <v>0</v>
      </c>
    </row>
    <row r="54" spans="2:32" x14ac:dyDescent="0.3">
      <c r="D54" s="200">
        <v>1</v>
      </c>
      <c r="E54" s="200">
        <v>2</v>
      </c>
      <c r="F54" s="200">
        <v>3</v>
      </c>
      <c r="G54" s="200">
        <v>4</v>
      </c>
      <c r="H54" s="200">
        <v>5</v>
      </c>
      <c r="I54" s="200">
        <v>6</v>
      </c>
      <c r="J54" s="200">
        <v>7</v>
      </c>
      <c r="K54" s="200">
        <v>8</v>
      </c>
    </row>
    <row r="55" spans="2:32" x14ac:dyDescent="0.3">
      <c r="B55" s="250" t="s">
        <v>316</v>
      </c>
      <c r="C55" s="250"/>
      <c r="D55" s="250">
        <f>D3</f>
        <v>0</v>
      </c>
      <c r="E55" s="250">
        <f t="shared" ref="E55:K55" si="33">E3</f>
        <v>0</v>
      </c>
      <c r="F55" s="250">
        <f t="shared" si="33"/>
        <v>0</v>
      </c>
      <c r="G55" s="250">
        <f t="shared" si="33"/>
        <v>0</v>
      </c>
      <c r="H55" s="250">
        <f t="shared" si="33"/>
        <v>0</v>
      </c>
      <c r="I55" s="250">
        <f t="shared" si="33"/>
        <v>0</v>
      </c>
      <c r="J55" s="250">
        <f t="shared" si="33"/>
        <v>0</v>
      </c>
      <c r="K55" s="250">
        <f t="shared" si="33"/>
        <v>0</v>
      </c>
    </row>
    <row r="56" spans="2:32" x14ac:dyDescent="0.3">
      <c r="B56" s="362" t="s">
        <v>261</v>
      </c>
      <c r="D56" s="364">
        <f>D7</f>
        <v>0</v>
      </c>
      <c r="E56" s="364">
        <f t="shared" ref="E56:K56" si="34">E7</f>
        <v>0</v>
      </c>
      <c r="F56" s="364">
        <f t="shared" si="34"/>
        <v>0</v>
      </c>
      <c r="G56" s="364">
        <f t="shared" si="34"/>
        <v>0</v>
      </c>
      <c r="H56" s="364">
        <f t="shared" si="34"/>
        <v>0</v>
      </c>
      <c r="I56" s="364">
        <f t="shared" si="34"/>
        <v>0</v>
      </c>
      <c r="J56" s="364">
        <f t="shared" si="34"/>
        <v>0</v>
      </c>
      <c r="K56" s="364">
        <f t="shared" si="34"/>
        <v>0</v>
      </c>
    </row>
    <row r="57" spans="2:32" x14ac:dyDescent="0.3">
      <c r="B57" s="250" t="s">
        <v>283</v>
      </c>
      <c r="C57" s="250"/>
      <c r="D57" s="250">
        <f>D8</f>
        <v>0</v>
      </c>
      <c r="E57" s="250">
        <f t="shared" ref="E57:K57" si="35">E8</f>
        <v>0</v>
      </c>
      <c r="F57" s="250">
        <f t="shared" si="35"/>
        <v>0</v>
      </c>
      <c r="G57" s="250">
        <f t="shared" si="35"/>
        <v>0</v>
      </c>
      <c r="H57" s="250">
        <f t="shared" si="35"/>
        <v>0</v>
      </c>
      <c r="I57" s="250">
        <f t="shared" si="35"/>
        <v>0</v>
      </c>
      <c r="J57" s="250">
        <f t="shared" si="35"/>
        <v>0</v>
      </c>
      <c r="K57" s="250">
        <f t="shared" si="35"/>
        <v>0</v>
      </c>
    </row>
    <row r="58" spans="2:32" x14ac:dyDescent="0.3">
      <c r="B58" s="362" t="s">
        <v>446</v>
      </c>
      <c r="D58" s="294">
        <f>D55-D56-D57</f>
        <v>0</v>
      </c>
      <c r="E58" s="294">
        <f t="shared" ref="E58:K58" si="36">E55-E56-E57</f>
        <v>0</v>
      </c>
      <c r="F58" s="294">
        <f t="shared" si="36"/>
        <v>0</v>
      </c>
      <c r="G58" s="294">
        <f t="shared" si="36"/>
        <v>0</v>
      </c>
      <c r="H58" s="294">
        <f t="shared" si="36"/>
        <v>0</v>
      </c>
      <c r="I58" s="294">
        <f t="shared" si="36"/>
        <v>0</v>
      </c>
      <c r="J58" s="294">
        <f t="shared" si="36"/>
        <v>0</v>
      </c>
      <c r="K58" s="294">
        <f t="shared" si="36"/>
        <v>0</v>
      </c>
    </row>
    <row r="59" spans="2:32" s="362" customFormat="1" x14ac:dyDescent="0.3">
      <c r="B59" s="365" t="s">
        <v>451</v>
      </c>
      <c r="D59" s="362">
        <f>$C$62-D55+D57</f>
        <v>0</v>
      </c>
      <c r="E59" s="365">
        <f t="shared" ref="E59:K59" si="37">$C$62-E55+E57</f>
        <v>0</v>
      </c>
      <c r="F59" s="365">
        <f t="shared" si="37"/>
        <v>0</v>
      </c>
      <c r="G59" s="365">
        <f t="shared" si="37"/>
        <v>0</v>
      </c>
      <c r="H59" s="365">
        <f t="shared" si="37"/>
        <v>0</v>
      </c>
      <c r="I59" s="365">
        <f t="shared" si="37"/>
        <v>0</v>
      </c>
      <c r="J59" s="365">
        <f t="shared" si="37"/>
        <v>0</v>
      </c>
      <c r="K59" s="365">
        <f t="shared" si="37"/>
        <v>0</v>
      </c>
      <c r="AA59" s="365"/>
    </row>
    <row r="60" spans="2:32" s="365" customFormat="1" x14ac:dyDescent="0.3"/>
    <row r="61" spans="2:32" x14ac:dyDescent="0.3">
      <c r="C61" s="365" t="s">
        <v>144</v>
      </c>
      <c r="D61" s="325">
        <v>1</v>
      </c>
      <c r="E61" s="325">
        <v>2</v>
      </c>
      <c r="F61" s="325">
        <v>3</v>
      </c>
      <c r="G61" s="325">
        <v>4</v>
      </c>
      <c r="H61" s="324">
        <v>5</v>
      </c>
      <c r="I61" s="325">
        <v>6</v>
      </c>
      <c r="J61" s="325">
        <v>7</v>
      </c>
      <c r="K61" s="325">
        <v>8</v>
      </c>
    </row>
    <row r="62" spans="2:32" x14ac:dyDescent="0.3">
      <c r="B62" s="250" t="s">
        <v>447</v>
      </c>
      <c r="C62" s="370">
        <f>'Phase calculation'!C25</f>
        <v>0</v>
      </c>
      <c r="D62" s="294">
        <v>0</v>
      </c>
      <c r="E62" s="294">
        <f>D65</f>
        <v>0</v>
      </c>
      <c r="F62" s="294">
        <f>E65</f>
        <v>0</v>
      </c>
      <c r="G62" s="294">
        <f>F65</f>
        <v>0</v>
      </c>
      <c r="H62" s="367">
        <v>0</v>
      </c>
      <c r="I62" s="332">
        <f>H65</f>
        <v>0</v>
      </c>
      <c r="J62" s="332">
        <f>I65</f>
        <v>0</v>
      </c>
      <c r="K62" s="332">
        <f>J65</f>
        <v>0</v>
      </c>
    </row>
    <row r="63" spans="2:32" x14ac:dyDescent="0.3">
      <c r="B63" s="362" t="s">
        <v>448</v>
      </c>
      <c r="D63" s="364">
        <f t="shared" ref="D63:K63" si="38">D62+D58</f>
        <v>0</v>
      </c>
      <c r="E63" s="364">
        <f t="shared" si="38"/>
        <v>0</v>
      </c>
      <c r="F63" s="364">
        <f t="shared" si="38"/>
        <v>0</v>
      </c>
      <c r="G63" s="364">
        <f t="shared" si="38"/>
        <v>0</v>
      </c>
      <c r="H63" s="368">
        <f t="shared" si="38"/>
        <v>0</v>
      </c>
      <c r="I63" s="167">
        <f t="shared" si="38"/>
        <v>0</v>
      </c>
      <c r="J63" s="167">
        <f t="shared" si="38"/>
        <v>0</v>
      </c>
      <c r="K63" s="167">
        <f t="shared" si="38"/>
        <v>0</v>
      </c>
    </row>
    <row r="64" spans="2:32" x14ac:dyDescent="0.3">
      <c r="B64" s="250" t="s">
        <v>449</v>
      </c>
      <c r="C64" s="250"/>
      <c r="D64" s="366">
        <f t="shared" ref="D64:K65" si="39">D63+D56</f>
        <v>0</v>
      </c>
      <c r="E64" s="366">
        <f t="shared" si="39"/>
        <v>0</v>
      </c>
      <c r="F64" s="366">
        <f t="shared" si="39"/>
        <v>0</v>
      </c>
      <c r="G64" s="366">
        <f t="shared" si="39"/>
        <v>0</v>
      </c>
      <c r="H64" s="369">
        <f t="shared" si="39"/>
        <v>0</v>
      </c>
      <c r="I64" s="217">
        <f t="shared" si="39"/>
        <v>0</v>
      </c>
      <c r="J64" s="217">
        <f t="shared" si="39"/>
        <v>0</v>
      </c>
      <c r="K64" s="217">
        <f t="shared" si="39"/>
        <v>0</v>
      </c>
    </row>
    <row r="65" spans="2:11" x14ac:dyDescent="0.3">
      <c r="B65" s="362" t="s">
        <v>450</v>
      </c>
      <c r="D65" s="200">
        <f t="shared" si="39"/>
        <v>0</v>
      </c>
      <c r="E65" s="200">
        <f t="shared" si="39"/>
        <v>0</v>
      </c>
      <c r="F65" s="200">
        <f t="shared" si="39"/>
        <v>0</v>
      </c>
      <c r="G65" s="200">
        <f t="shared" si="39"/>
        <v>0</v>
      </c>
      <c r="H65" s="323">
        <f t="shared" si="39"/>
        <v>0</v>
      </c>
      <c r="I65" s="168">
        <f t="shared" si="39"/>
        <v>0</v>
      </c>
      <c r="J65" s="168">
        <f t="shared" si="39"/>
        <v>0</v>
      </c>
      <c r="K65" s="168">
        <f t="shared" si="39"/>
        <v>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13" zoomScale="70" zoomScaleNormal="70" workbookViewId="0">
      <selection activeCell="L27" sqref="L27"/>
    </sheetView>
  </sheetViews>
  <sheetFormatPr defaultRowHeight="14.4" x14ac:dyDescent="0.3"/>
  <cols>
    <col min="1" max="5" width="10.6640625" customWidth="1"/>
    <col min="6" max="6" width="13.88671875" bestFit="1" customWidth="1"/>
    <col min="7" max="18" width="10.6640625" customWidth="1"/>
    <col min="19" max="27" width="9.109375" customWidth="1"/>
    <col min="29" max="36" width="0" hidden="1" customWidth="1"/>
    <col min="48" max="49" width="0" hidden="1" customWidth="1"/>
  </cols>
  <sheetData>
    <row r="1" spans="1:36" x14ac:dyDescent="0.3">
      <c r="AC1" s="91" t="str">
        <f>'Phase designation'!B26</f>
        <v>EBL</v>
      </c>
      <c r="AD1" s="91" t="str">
        <f>'Phase designation'!C26</f>
        <v>EBT</v>
      </c>
      <c r="AE1" s="91" t="str">
        <f>'Phase designation'!D26</f>
        <v>WBL</v>
      </c>
      <c r="AF1" s="91" t="str">
        <f>'Phase designation'!E26</f>
        <v>WBT</v>
      </c>
      <c r="AG1" s="91" t="str">
        <f>'Phase designation'!F26</f>
        <v>NBL</v>
      </c>
      <c r="AH1" s="91" t="str">
        <f>'Phase designation'!G26</f>
        <v>NBT</v>
      </c>
      <c r="AI1" s="91" t="str">
        <f>'Phase designation'!H26</f>
        <v>SBL</v>
      </c>
      <c r="AJ1" s="91" t="str">
        <f>'Phase designation'!I26</f>
        <v>SBT</v>
      </c>
    </row>
    <row r="2" spans="1:36" x14ac:dyDescent="0.3">
      <c r="B2" s="571" t="s">
        <v>216</v>
      </c>
      <c r="C2" s="571"/>
      <c r="D2" s="571"/>
      <c r="E2" s="571"/>
      <c r="F2" s="571"/>
      <c r="G2" s="571"/>
      <c r="H2" s="571"/>
      <c r="I2" s="116"/>
      <c r="L2" s="572" t="s">
        <v>217</v>
      </c>
      <c r="M2" s="572"/>
      <c r="N2" s="572"/>
      <c r="O2" s="572"/>
      <c r="P2" s="572"/>
      <c r="Q2" s="572"/>
      <c r="R2" s="116"/>
      <c r="T2" s="571" t="s">
        <v>240</v>
      </c>
      <c r="U2" s="571"/>
      <c r="V2" s="571"/>
      <c r="W2" s="571"/>
      <c r="X2" s="571"/>
      <c r="Y2" s="571"/>
      <c r="Z2" s="571"/>
      <c r="AC2" s="91">
        <f>'Phase designation'!B27</f>
        <v>0</v>
      </c>
      <c r="AD2" s="91">
        <f>'Phase designation'!C27</f>
        <v>0</v>
      </c>
      <c r="AE2" s="91">
        <f>'Phase designation'!D27</f>
        <v>0</v>
      </c>
      <c r="AF2" s="91">
        <f>'Phase designation'!E27</f>
        <v>0</v>
      </c>
      <c r="AG2" s="91">
        <f>'Phase designation'!F27</f>
        <v>0</v>
      </c>
      <c r="AH2" s="91">
        <f>'Phase designation'!G27</f>
        <v>0</v>
      </c>
      <c r="AI2" s="91">
        <f>'Phase designation'!H27</f>
        <v>0</v>
      </c>
      <c r="AJ2" s="91">
        <f>'Phase designation'!I27</f>
        <v>0</v>
      </c>
    </row>
    <row r="3" spans="1:36" x14ac:dyDescent="0.3">
      <c r="D3" s="563">
        <f>Sheet1!J38</f>
        <v>0</v>
      </c>
      <c r="E3" s="563"/>
      <c r="F3" s="563"/>
      <c r="N3" s="563">
        <f>D3</f>
        <v>0</v>
      </c>
      <c r="O3" s="563"/>
      <c r="P3" s="563"/>
      <c r="AC3" s="91">
        <f>'Phase designation'!B28</f>
        <v>0</v>
      </c>
      <c r="AD3" s="91">
        <f>'Phase designation'!C28</f>
        <v>0</v>
      </c>
      <c r="AE3" s="91">
        <f>'Phase designation'!D28</f>
        <v>0</v>
      </c>
      <c r="AF3" s="91">
        <f>'Phase designation'!E28</f>
        <v>0</v>
      </c>
      <c r="AG3" s="91">
        <f>'Phase designation'!F28</f>
        <v>0</v>
      </c>
      <c r="AH3" s="91">
        <f>'Phase designation'!G28</f>
        <v>0</v>
      </c>
      <c r="AI3" s="91">
        <f>'Phase designation'!H28</f>
        <v>0</v>
      </c>
      <c r="AJ3" s="91">
        <f>'Phase designation'!I28</f>
        <v>0</v>
      </c>
    </row>
    <row r="4" spans="1:36" x14ac:dyDescent="0.3">
      <c r="C4" s="5"/>
      <c r="D4" s="117">
        <f>IF(Y4=0,0,Sheet1!K4+Sheet1!AE4+Sheet1!AH4)</f>
        <v>0</v>
      </c>
      <c r="E4" s="117">
        <f>IF(Y4=0,0,Sheet1!J4+Sheet1!AD4+Sheet1!AG4)</f>
        <v>0</v>
      </c>
      <c r="F4" s="117">
        <f>IF(Y4=0,0,Sheet1!I4+Sheet1!AC4+Sheet1!AF4)</f>
        <v>0</v>
      </c>
      <c r="G4" s="5"/>
      <c r="H4" s="5"/>
      <c r="I4" s="5"/>
      <c r="L4" s="5"/>
      <c r="M4" s="5"/>
      <c r="N4" s="297">
        <f>'Phase calculation'!N33</f>
        <v>0</v>
      </c>
      <c r="O4" s="130" t="str">
        <f>IF(W4=0,"N/A",AJ5)</f>
        <v>N/A</v>
      </c>
      <c r="P4" s="130" t="str">
        <f>IF(X4=0,"N/A",AI5)</f>
        <v>N/A</v>
      </c>
      <c r="Q4" s="5"/>
      <c r="R4" s="5"/>
      <c r="U4" s="5"/>
      <c r="V4" s="117">
        <f>Sheet1!K5+Sheet1!AE5+Sheet1!AH5</f>
        <v>0</v>
      </c>
      <c r="W4" s="117">
        <f>Sheet1!J5+Sheet1!AD5+Sheet1!AG5</f>
        <v>0</v>
      </c>
      <c r="X4" s="117">
        <f>Sheet1!I5+Sheet1!AC5+Sheet1!AF5</f>
        <v>0</v>
      </c>
      <c r="Y4" s="186">
        <f>SUM(V4:X4)+W17</f>
        <v>0</v>
      </c>
      <c r="Z4" s="5"/>
    </row>
    <row r="5" spans="1:36" x14ac:dyDescent="0.3">
      <c r="C5" s="5"/>
      <c r="D5" s="5"/>
      <c r="E5" s="5"/>
      <c r="F5" s="5"/>
      <c r="G5" s="5"/>
      <c r="H5" s="5"/>
      <c r="I5" s="5"/>
      <c r="L5" s="5"/>
      <c r="M5" s="5"/>
      <c r="N5" s="5"/>
      <c r="O5" s="5"/>
      <c r="P5" s="5"/>
      <c r="Q5" s="5"/>
      <c r="R5" s="5"/>
      <c r="S5" s="236"/>
      <c r="U5" s="5"/>
      <c r="V5" s="5"/>
      <c r="W5" s="5"/>
      <c r="X5" s="5"/>
      <c r="Y5" s="5"/>
      <c r="Z5" s="5"/>
      <c r="AC5" s="91">
        <f>IF(AC2=0,AC3,AC2&amp;"+"&amp;AC3)</f>
        <v>0</v>
      </c>
      <c r="AD5" s="91">
        <f>AD2</f>
        <v>0</v>
      </c>
      <c r="AE5" s="91">
        <f>IF(AE2=0,AE3,AE2&amp;"+"&amp;AE3)</f>
        <v>0</v>
      </c>
      <c r="AF5" s="91">
        <f>AF2</f>
        <v>0</v>
      </c>
      <c r="AG5" s="91">
        <f>IF(AG2=0,AG3,AG2&amp;"+"&amp;AG3)</f>
        <v>0</v>
      </c>
      <c r="AH5" s="91">
        <f>AH2</f>
        <v>0</v>
      </c>
      <c r="AI5" s="91">
        <f>IF(AI2=0,AI3,AI2&amp;"+"&amp;AI3)</f>
        <v>0</v>
      </c>
      <c r="AJ5" s="91">
        <f>AJ2</f>
        <v>0</v>
      </c>
    </row>
    <row r="6" spans="1:36" x14ac:dyDescent="0.3">
      <c r="C6" s="5"/>
      <c r="D6" s="5"/>
      <c r="E6" s="5"/>
      <c r="F6" s="5"/>
      <c r="G6" s="5"/>
      <c r="H6" s="5"/>
      <c r="I6" s="17" t="s">
        <v>76</v>
      </c>
      <c r="L6" s="5"/>
      <c r="M6" s="5"/>
      <c r="N6" s="5"/>
      <c r="O6" s="5"/>
      <c r="P6" s="5"/>
      <c r="Q6" s="5"/>
      <c r="S6" s="236"/>
      <c r="U6" s="5"/>
      <c r="V6" s="5"/>
      <c r="W6" s="5"/>
      <c r="X6" s="5"/>
      <c r="Y6" s="5"/>
      <c r="Z6" s="5"/>
    </row>
    <row r="7" spans="1:36" x14ac:dyDescent="0.3">
      <c r="C7" s="5"/>
      <c r="D7" s="5"/>
      <c r="E7" s="5"/>
      <c r="F7" s="5"/>
      <c r="G7" s="5"/>
      <c r="H7" s="5"/>
      <c r="I7" s="5"/>
      <c r="L7" s="5"/>
      <c r="M7" s="5"/>
      <c r="N7" s="5"/>
      <c r="O7" s="5"/>
      <c r="P7" s="5"/>
      <c r="Q7" s="5"/>
      <c r="R7" s="5"/>
      <c r="S7" s="236"/>
      <c r="U7" s="5"/>
      <c r="V7" s="5"/>
      <c r="W7" s="5"/>
      <c r="X7" s="5"/>
      <c r="Y7" s="5"/>
      <c r="Z7" s="5"/>
    </row>
    <row r="8" spans="1:36" x14ac:dyDescent="0.3">
      <c r="C8" s="5"/>
      <c r="D8" s="5"/>
      <c r="E8" s="5"/>
      <c r="F8" s="5"/>
      <c r="G8" s="5"/>
      <c r="H8" s="5"/>
      <c r="I8" s="5"/>
      <c r="L8" s="5"/>
      <c r="M8" s="5"/>
      <c r="N8" s="5"/>
      <c r="O8" s="5"/>
      <c r="P8" s="5"/>
      <c r="Q8" s="5"/>
      <c r="R8" s="5"/>
      <c r="U8" s="5"/>
      <c r="V8" s="5"/>
      <c r="W8" s="5"/>
      <c r="X8" s="5"/>
      <c r="Y8" s="5"/>
      <c r="Z8" s="5"/>
    </row>
    <row r="9" spans="1:36" x14ac:dyDescent="0.3">
      <c r="B9" s="94">
        <f>IF(T15=0,0,Sheet1!N4)</f>
        <v>0</v>
      </c>
      <c r="C9" s="83"/>
      <c r="D9" s="5"/>
      <c r="E9" s="5"/>
      <c r="F9" s="5"/>
      <c r="G9" s="5"/>
      <c r="H9" s="118">
        <f>IF(Z15=0,0,Sheet1!U4)</f>
        <v>0</v>
      </c>
      <c r="I9" s="5"/>
      <c r="L9" s="131" t="str">
        <f>IF(T9=0,"N/A",AC5)</f>
        <v>N/A</v>
      </c>
      <c r="M9" s="5"/>
      <c r="N9" s="5"/>
      <c r="O9" s="5"/>
      <c r="P9" s="5"/>
      <c r="R9" s="296">
        <f>'Phase calculation'!H33</f>
        <v>0</v>
      </c>
      <c r="S9" s="236"/>
      <c r="T9" s="94">
        <f>Sheet1!N5</f>
        <v>0</v>
      </c>
      <c r="U9" s="83"/>
      <c r="V9" s="5"/>
      <c r="W9" s="5"/>
      <c r="X9" s="5"/>
      <c r="Y9" s="5"/>
      <c r="Z9" s="118">
        <f>Sheet1!U5</f>
        <v>0</v>
      </c>
    </row>
    <row r="10" spans="1:36" x14ac:dyDescent="0.3">
      <c r="C10" s="81"/>
      <c r="D10" s="11"/>
      <c r="E10" s="11"/>
      <c r="F10" s="11"/>
      <c r="G10" s="11"/>
      <c r="H10" s="103"/>
      <c r="I10" s="10"/>
      <c r="L10" s="5"/>
      <c r="M10" s="11"/>
      <c r="N10" s="11"/>
      <c r="O10" s="11"/>
      <c r="P10" s="11"/>
      <c r="U10" s="81"/>
      <c r="V10" s="11"/>
      <c r="W10" s="11"/>
      <c r="X10" s="11"/>
      <c r="Y10" s="11"/>
      <c r="Z10" s="103"/>
    </row>
    <row r="11" spans="1:36" x14ac:dyDescent="0.3">
      <c r="A11" s="205">
        <f>Sheet1!O38</f>
        <v>0</v>
      </c>
      <c r="B11" s="94">
        <f>IF(T15=0,0,Sheet1!O4)</f>
        <v>0</v>
      </c>
      <c r="C11" s="81"/>
      <c r="D11" s="26"/>
      <c r="E11" s="12" t="str">
        <f>Sheet1!B2</f>
        <v>0 &amp; 0</v>
      </c>
      <c r="F11" s="11"/>
      <c r="G11" s="11"/>
      <c r="H11" s="119">
        <f>IF(Z15=0,0,Sheet1!T4)</f>
        <v>0</v>
      </c>
      <c r="I11" s="204">
        <f>Sheet1!T38</f>
        <v>0</v>
      </c>
      <c r="K11" s="205">
        <f>A11</f>
        <v>0</v>
      </c>
      <c r="L11" s="131" t="str">
        <f>IF(T11=0,"N/A",AD5)</f>
        <v>N/A</v>
      </c>
      <c r="M11" s="26"/>
      <c r="N11" s="11"/>
      <c r="O11" s="11"/>
      <c r="P11" s="11"/>
      <c r="R11" s="134" t="str">
        <f>IF(Z11=0,"N/A",AF5)</f>
        <v>N/A</v>
      </c>
      <c r="T11" s="94">
        <f>Sheet1!O5</f>
        <v>0</v>
      </c>
      <c r="U11" s="81"/>
      <c r="V11" s="26"/>
      <c r="W11" s="11"/>
      <c r="X11" s="11"/>
      <c r="Y11" s="11"/>
      <c r="Z11" s="119">
        <f>Sheet1!T5</f>
        <v>0</v>
      </c>
    </row>
    <row r="12" spans="1:36" x14ac:dyDescent="0.3">
      <c r="C12" s="5"/>
      <c r="D12" s="30"/>
      <c r="E12" s="15"/>
      <c r="F12" s="15"/>
      <c r="G12" s="15"/>
      <c r="H12" s="120"/>
      <c r="I12" s="14"/>
      <c r="L12" s="5"/>
      <c r="M12" s="30"/>
      <c r="N12" s="15"/>
      <c r="O12" s="15"/>
      <c r="P12" s="15"/>
      <c r="R12" s="24"/>
      <c r="U12" s="5"/>
      <c r="V12" s="30"/>
      <c r="W12" s="15"/>
      <c r="X12" s="15"/>
      <c r="Y12" s="15"/>
      <c r="Z12" s="120"/>
    </row>
    <row r="13" spans="1:36" x14ac:dyDescent="0.3">
      <c r="B13" s="94">
        <f>IF(T15=0,0,Sheet1!P4)</f>
        <v>0</v>
      </c>
      <c r="C13" s="5"/>
      <c r="D13" s="31"/>
      <c r="E13" s="32"/>
      <c r="F13" s="32"/>
      <c r="G13" s="33"/>
      <c r="H13" s="121">
        <f>IF(Z15=0,0,Sheet1!S4)</f>
        <v>0</v>
      </c>
      <c r="I13" s="16"/>
      <c r="L13" s="295">
        <f>'Phase calculation'!E33</f>
        <v>0</v>
      </c>
      <c r="M13" s="31"/>
      <c r="N13" s="32"/>
      <c r="O13" s="32"/>
      <c r="P13" s="33"/>
      <c r="R13" s="135" t="str">
        <f>IF(Z13=0,"N/A",AE5)</f>
        <v>N/A</v>
      </c>
      <c r="T13" s="94">
        <f>Sheet1!P5</f>
        <v>0</v>
      </c>
      <c r="U13" s="5"/>
      <c r="V13" s="31"/>
      <c r="W13" s="32"/>
      <c r="X13" s="32"/>
      <c r="Y13" s="33"/>
      <c r="Z13" s="121">
        <f>Sheet1!S5</f>
        <v>0</v>
      </c>
    </row>
    <row r="14" spans="1:36" x14ac:dyDescent="0.3">
      <c r="C14" s="5"/>
      <c r="D14" s="34"/>
      <c r="E14" s="15"/>
      <c r="F14" s="15"/>
      <c r="G14" s="15"/>
      <c r="H14" s="90"/>
      <c r="I14" s="90"/>
      <c r="L14" s="5"/>
      <c r="M14" s="34"/>
      <c r="N14" s="15"/>
      <c r="O14" s="15"/>
      <c r="P14" s="15"/>
      <c r="Q14" s="90"/>
      <c r="R14" s="90"/>
      <c r="U14" s="5"/>
      <c r="V14" s="34"/>
      <c r="W14" s="15"/>
      <c r="X14" s="15"/>
      <c r="Y14" s="15"/>
      <c r="Z14" s="165"/>
    </row>
    <row r="15" spans="1:36" x14ac:dyDescent="0.3">
      <c r="C15" s="5"/>
      <c r="D15" s="35"/>
      <c r="E15" s="15"/>
      <c r="F15" s="15" t="s">
        <v>77</v>
      </c>
      <c r="G15" s="15"/>
      <c r="H15" s="15"/>
      <c r="I15" s="15"/>
      <c r="L15" s="5"/>
      <c r="M15" s="35"/>
      <c r="N15" s="15"/>
      <c r="O15" s="15" t="s">
        <v>77</v>
      </c>
      <c r="P15" s="15"/>
      <c r="Q15" s="15"/>
      <c r="R15" s="15"/>
      <c r="T15" s="185">
        <f>SUM(T9:T13)+Z11</f>
        <v>0</v>
      </c>
      <c r="U15" s="5"/>
      <c r="V15" s="35"/>
      <c r="W15" s="15"/>
      <c r="X15" s="15" t="s">
        <v>77</v>
      </c>
      <c r="Y15" s="15"/>
      <c r="Z15" s="187">
        <f>SUM(Z9:Z13)+T11</f>
        <v>0</v>
      </c>
    </row>
    <row r="16" spans="1:36" x14ac:dyDescent="0.3">
      <c r="C16" s="5"/>
      <c r="D16" s="23"/>
      <c r="E16" s="25"/>
      <c r="F16" s="29"/>
      <c r="G16" s="15"/>
      <c r="H16" s="15"/>
      <c r="I16" s="15"/>
      <c r="L16" s="5"/>
      <c r="M16" s="23"/>
      <c r="P16" s="15"/>
      <c r="Q16" s="15"/>
      <c r="R16" s="15"/>
      <c r="U16" s="5"/>
      <c r="V16" s="23"/>
      <c r="W16" s="25"/>
      <c r="X16" s="29"/>
      <c r="Y16" s="15"/>
      <c r="Z16" s="15"/>
    </row>
    <row r="17" spans="1:25" x14ac:dyDescent="0.3">
      <c r="D17" s="122">
        <f>IF(Y17=0,0,Sheet1!D4+Sheet1!Z4+Sheet1!W4)</f>
        <v>0</v>
      </c>
      <c r="E17" s="122">
        <f>IF(Y17=0,0,Sheet1!E4+Sheet1!X4+Sheet1!AA4)</f>
        <v>0</v>
      </c>
      <c r="F17" s="122">
        <f>IF(Y17=0,0,Sheet1!F4+Sheet1!Y4+Sheet1!AB4)</f>
        <v>0</v>
      </c>
      <c r="N17" s="132" t="str">
        <f>IF(V17=0,"N/A",AG5)</f>
        <v>N/A</v>
      </c>
      <c r="O17" s="133" t="str">
        <f>IF(W17=0,"N/A",AH5)</f>
        <v>N/A</v>
      </c>
      <c r="P17" s="297">
        <f>'Phase calculation'!K33</f>
        <v>0</v>
      </c>
      <c r="V17" s="122">
        <f>Sheet1!D5+Sheet1!W5+Sheet1!Z5</f>
        <v>0</v>
      </c>
      <c r="W17" s="122">
        <f>Sheet1!E5+Sheet1!X5+Sheet1!AA5</f>
        <v>0</v>
      </c>
      <c r="X17" s="122">
        <f>Sheet1!F5+Sheet1!Y5+Sheet1!AB5</f>
        <v>0</v>
      </c>
      <c r="Y17" s="185">
        <f>SUM(V17:X17)+W4</f>
        <v>0</v>
      </c>
    </row>
    <row r="18" spans="1:25" x14ac:dyDescent="0.3">
      <c r="D18" s="563">
        <f>Sheet1!E38</f>
        <v>0</v>
      </c>
      <c r="E18" s="563"/>
      <c r="F18" s="563"/>
      <c r="N18" s="563">
        <f>D18</f>
        <v>0</v>
      </c>
      <c r="O18" s="563"/>
      <c r="P18" s="563"/>
    </row>
    <row r="20" spans="1:25" x14ac:dyDescent="0.3">
      <c r="B20" s="573" t="s">
        <v>215</v>
      </c>
      <c r="C20" s="573"/>
      <c r="D20" s="573"/>
      <c r="E20" s="573"/>
      <c r="F20" s="573"/>
      <c r="G20" s="573"/>
      <c r="H20" s="116"/>
      <c r="L20" s="519" t="s">
        <v>214</v>
      </c>
      <c r="M20" s="519"/>
      <c r="N20" s="519"/>
      <c r="O20" s="519"/>
      <c r="P20" s="519"/>
      <c r="Q20" s="519"/>
    </row>
    <row r="21" spans="1:25" x14ac:dyDescent="0.3">
      <c r="D21" s="563">
        <f>D3</f>
        <v>0</v>
      </c>
      <c r="E21" s="563"/>
      <c r="F21" s="563"/>
      <c r="N21" s="563">
        <f>D3</f>
        <v>0</v>
      </c>
      <c r="O21" s="563"/>
      <c r="P21" s="563"/>
    </row>
    <row r="22" spans="1:25" x14ac:dyDescent="0.3">
      <c r="B22" s="5"/>
      <c r="C22" s="5"/>
      <c r="D22" s="294">
        <f>'Phase calculation'!N34</f>
        <v>0</v>
      </c>
      <c r="E22" s="79">
        <f>IF(W4=0,0,'Phase calculation'!M34)</f>
        <v>0</v>
      </c>
      <c r="F22" s="79">
        <f>IF(Y17=0,'Phase calculation'!M34,'Phase calculation'!L34)</f>
        <v>0</v>
      </c>
      <c r="G22" s="5"/>
      <c r="H22" s="5"/>
      <c r="I22" s="5"/>
      <c r="L22" s="5"/>
      <c r="M22" s="5"/>
      <c r="N22" s="239">
        <f>'Phase calculation'!N41</f>
        <v>0</v>
      </c>
      <c r="O22" s="92">
        <f>IF(W4=0,0,'Phase calculation'!M41)</f>
        <v>0</v>
      </c>
      <c r="P22" s="92">
        <f>IF(X4=0,0,'Phase calculation'!L41)</f>
        <v>0</v>
      </c>
      <c r="Q22" s="5"/>
    </row>
    <row r="23" spans="1:25" x14ac:dyDescent="0.3">
      <c r="B23" s="5"/>
      <c r="C23" s="5"/>
      <c r="D23" s="5"/>
      <c r="E23" s="5"/>
      <c r="G23" s="5"/>
      <c r="H23" s="5"/>
      <c r="I23" s="5"/>
      <c r="L23" s="5"/>
      <c r="M23" s="5"/>
      <c r="N23" s="5"/>
      <c r="O23" s="5"/>
      <c r="P23" s="5"/>
      <c r="Q23" s="5"/>
    </row>
    <row r="24" spans="1:25" x14ac:dyDescent="0.3">
      <c r="B24" s="5"/>
      <c r="C24" s="5"/>
      <c r="D24" s="5"/>
      <c r="E24" s="5"/>
      <c r="G24" s="5"/>
      <c r="H24" s="5"/>
      <c r="I24" s="17" t="s">
        <v>76</v>
      </c>
      <c r="L24" s="5"/>
      <c r="M24" s="5"/>
      <c r="N24" s="5"/>
      <c r="O24" s="5"/>
      <c r="P24" s="5"/>
      <c r="Q24" s="5"/>
    </row>
    <row r="25" spans="1:25" x14ac:dyDescent="0.3">
      <c r="B25" s="5"/>
      <c r="C25" s="5"/>
      <c r="D25" s="5"/>
      <c r="E25" s="5"/>
      <c r="G25" s="5"/>
      <c r="H25" s="5"/>
      <c r="I25" s="5"/>
      <c r="L25" s="5"/>
      <c r="M25" s="5"/>
      <c r="N25" s="5"/>
      <c r="O25" s="5"/>
      <c r="P25" s="5"/>
      <c r="Q25" s="5"/>
    </row>
    <row r="26" spans="1:25" x14ac:dyDescent="0.3">
      <c r="B26" s="5"/>
      <c r="C26" s="5"/>
      <c r="D26" s="5"/>
      <c r="E26" s="5"/>
      <c r="G26" s="5"/>
      <c r="H26" s="5"/>
      <c r="I26" s="5"/>
      <c r="L26" s="5"/>
      <c r="M26" s="5"/>
      <c r="N26" s="5"/>
      <c r="O26" s="5"/>
      <c r="P26" s="5"/>
      <c r="Q26" s="5"/>
    </row>
    <row r="27" spans="1:25" x14ac:dyDescent="0.3">
      <c r="B27" s="123">
        <f>IF(Z15=0,'Phase calculation'!D34,'Phase calculation'!C34)</f>
        <v>0</v>
      </c>
      <c r="C27" s="5"/>
      <c r="E27" s="129"/>
      <c r="G27" s="5"/>
      <c r="H27" s="125">
        <f>'Phase calculation'!H34</f>
        <v>0</v>
      </c>
      <c r="L27" s="44">
        <f>IF(T9=0,0,'Phase calculation'!C41)</f>
        <v>0</v>
      </c>
      <c r="M27" s="5"/>
      <c r="N27" s="129"/>
      <c r="O27" s="129"/>
      <c r="P27" s="5"/>
      <c r="R27" s="298">
        <f>'Phase calculation'!H41</f>
        <v>0</v>
      </c>
    </row>
    <row r="28" spans="1:25" x14ac:dyDescent="0.3">
      <c r="B28" s="5"/>
      <c r="C28" s="11"/>
      <c r="D28" s="129"/>
      <c r="E28" s="575">
        <f>IF(E22+F22+H27+H29+E35+D35+B29+B27=0,0,"C = "&amp;'Phase calculation'!C25&amp;" s")</f>
        <v>0</v>
      </c>
      <c r="G28" s="11"/>
      <c r="H28" s="24"/>
      <c r="I28" s="10"/>
      <c r="L28" s="192"/>
      <c r="M28" s="11"/>
      <c r="N28" s="129"/>
      <c r="O28" s="129"/>
      <c r="P28" s="11"/>
    </row>
    <row r="29" spans="1:25" x14ac:dyDescent="0.3">
      <c r="A29" s="205">
        <f>A11</f>
        <v>0</v>
      </c>
      <c r="B29" s="124">
        <f>IF(T11=0,0,'Phase calculation'!D34)</f>
        <v>0</v>
      </c>
      <c r="C29" s="26"/>
      <c r="D29" s="11"/>
      <c r="E29" s="575"/>
      <c r="G29" s="11"/>
      <c r="H29" s="126">
        <f>IF(Z11=0,0,'Phase calculation'!G34)</f>
        <v>0</v>
      </c>
      <c r="I29" s="206">
        <f>I11</f>
        <v>0</v>
      </c>
      <c r="K29" s="205">
        <f>A11</f>
        <v>0</v>
      </c>
      <c r="L29" s="44">
        <f>IF(T11=0,0,'Phase calculation'!D41)</f>
        <v>0</v>
      </c>
      <c r="M29" s="26"/>
      <c r="N29" s="11"/>
      <c r="O29" s="11"/>
      <c r="P29" s="11"/>
      <c r="R29" s="9">
        <f>IF(Z11=0,0,'Phase calculation'!G41)</f>
        <v>0</v>
      </c>
    </row>
    <row r="30" spans="1:25" x14ac:dyDescent="0.3">
      <c r="B30" s="5"/>
      <c r="C30" s="30"/>
      <c r="D30" s="15"/>
      <c r="E30" s="575"/>
      <c r="G30" s="15"/>
      <c r="H30" s="26"/>
      <c r="I30" s="14"/>
      <c r="L30" s="5"/>
      <c r="M30" s="30"/>
      <c r="N30" s="15"/>
      <c r="O30" s="15"/>
      <c r="P30" s="15"/>
      <c r="Q30" s="26"/>
      <c r="R30" s="24"/>
    </row>
    <row r="31" spans="1:25" x14ac:dyDescent="0.3">
      <c r="B31" s="124">
        <f>'Phase calculation'!E34</f>
        <v>0</v>
      </c>
      <c r="C31" s="31"/>
      <c r="D31" s="32"/>
      <c r="E31" s="32"/>
      <c r="F31" s="33"/>
      <c r="G31" s="15"/>
      <c r="H31" s="293">
        <f>IF(T15=0,'Phase calculation'!G34,'Phase calculation'!F34)</f>
        <v>0</v>
      </c>
      <c r="L31" s="7">
        <f>'Phase calculation'!E41</f>
        <v>0</v>
      </c>
      <c r="M31" s="31"/>
      <c r="N31" s="32"/>
      <c r="O31" s="32"/>
      <c r="P31" s="33"/>
      <c r="Q31" s="15"/>
      <c r="R31" s="27">
        <f>IF(Z13=0,0,'Phase calculation'!F41)</f>
        <v>0</v>
      </c>
    </row>
    <row r="32" spans="1:25" x14ac:dyDescent="0.3">
      <c r="B32" s="5"/>
      <c r="C32" s="34"/>
      <c r="D32" s="15"/>
      <c r="E32" s="15"/>
      <c r="F32" s="15"/>
      <c r="G32" s="90"/>
      <c r="H32" s="90"/>
      <c r="L32" s="5"/>
      <c r="M32" s="34"/>
      <c r="N32" s="15"/>
      <c r="O32" s="15"/>
      <c r="P32" s="15"/>
      <c r="Q32" s="90"/>
    </row>
    <row r="33" spans="2:19" x14ac:dyDescent="0.3">
      <c r="B33" s="5"/>
      <c r="C33" s="35"/>
      <c r="D33" s="15"/>
      <c r="E33" s="15" t="s">
        <v>77</v>
      </c>
      <c r="F33" s="15"/>
      <c r="G33" s="15"/>
      <c r="H33" s="15"/>
      <c r="L33" s="5"/>
      <c r="M33" s="35"/>
      <c r="N33" s="15"/>
      <c r="O33" s="15" t="s">
        <v>77</v>
      </c>
      <c r="P33" s="15"/>
      <c r="Q33" s="15"/>
    </row>
    <row r="34" spans="2:19" x14ac:dyDescent="0.3">
      <c r="B34" s="5"/>
      <c r="C34" s="23"/>
      <c r="F34" s="15"/>
      <c r="G34" s="15"/>
      <c r="H34" s="15"/>
      <c r="L34" s="5"/>
      <c r="M34" s="23"/>
      <c r="P34" s="15"/>
      <c r="Q34" s="15"/>
    </row>
    <row r="35" spans="2:19" x14ac:dyDescent="0.3">
      <c r="D35" s="127">
        <f>IF(Y4=0,'Phase calculation'!J34,'Phase calculation'!I34)</f>
        <v>0</v>
      </c>
      <c r="E35" s="128">
        <f>IF(W17=0,0,'Phase calculation'!J34)</f>
        <v>0</v>
      </c>
      <c r="F35" s="294">
        <f>'Phase calculation'!K34</f>
        <v>0</v>
      </c>
      <c r="N35" s="36">
        <f>IF(V17=0,0,'Phase calculation'!I41)</f>
        <v>0</v>
      </c>
      <c r="O35" s="37">
        <f>IF(W17=0,0,'Phase calculation'!J41)</f>
        <v>0</v>
      </c>
      <c r="P35" s="239">
        <f>'Phase calculation'!K41</f>
        <v>0</v>
      </c>
    </row>
    <row r="36" spans="2:19" x14ac:dyDescent="0.3">
      <c r="D36" s="563">
        <f>D18</f>
        <v>0</v>
      </c>
      <c r="E36" s="563"/>
      <c r="F36" s="563"/>
      <c r="G36" s="62"/>
      <c r="H36" s="62"/>
      <c r="I36" s="62"/>
      <c r="J36" s="62"/>
      <c r="K36" s="62"/>
      <c r="L36" s="62"/>
      <c r="M36" s="62"/>
      <c r="N36" s="563">
        <f>D18</f>
        <v>0</v>
      </c>
      <c r="O36" s="563"/>
      <c r="P36" s="563"/>
    </row>
    <row r="37" spans="2:19" x14ac:dyDescent="0.3">
      <c r="D37" s="282"/>
      <c r="E37" s="282"/>
      <c r="F37" s="62"/>
      <c r="G37" s="62"/>
      <c r="H37" s="62"/>
      <c r="I37" s="62"/>
      <c r="J37" s="62"/>
      <c r="K37" s="62"/>
      <c r="L37" s="62"/>
      <c r="M37" s="62"/>
    </row>
    <row r="39" spans="2:19" x14ac:dyDescent="0.3">
      <c r="M39" s="565" t="s">
        <v>219</v>
      </c>
      <c r="N39" s="565"/>
      <c r="O39" s="565"/>
      <c r="P39" s="565"/>
      <c r="Q39" s="565"/>
      <c r="R39" s="565"/>
    </row>
    <row r="40" spans="2:19" x14ac:dyDescent="0.3">
      <c r="B40" s="568" t="s">
        <v>218</v>
      </c>
      <c r="C40" s="568"/>
      <c r="D40" s="568"/>
      <c r="E40" s="568"/>
      <c r="F40" s="568"/>
      <c r="G40" s="568"/>
      <c r="L40" s="312"/>
      <c r="M40" s="312"/>
      <c r="O40" s="563">
        <f>D3</f>
        <v>0</v>
      </c>
      <c r="P40" s="563"/>
      <c r="Q40" s="563"/>
    </row>
    <row r="41" spans="2:19" x14ac:dyDescent="0.3">
      <c r="D41" s="563">
        <f>D3</f>
        <v>0</v>
      </c>
      <c r="E41" s="563"/>
      <c r="F41" s="563"/>
      <c r="O41" s="566">
        <f>'Phase calculation'!L46</f>
        <v>0</v>
      </c>
      <c r="P41" s="566"/>
      <c r="Q41" s="566"/>
    </row>
    <row r="42" spans="2:19" x14ac:dyDescent="0.3">
      <c r="B42" s="136"/>
      <c r="C42" s="136"/>
      <c r="D42" s="301">
        <f>'Phase calculation'!N40</f>
        <v>0</v>
      </c>
      <c r="E42" s="137" t="str">
        <f>IF(W4=0,"N/A",'Phase calculation'!M40)</f>
        <v>N/A</v>
      </c>
      <c r="F42" s="137" t="str">
        <f>IF(X4=0,"N/A",'Phase calculation'!L40)</f>
        <v>N/A</v>
      </c>
      <c r="G42" s="136"/>
      <c r="M42" s="253"/>
      <c r="N42" s="253"/>
      <c r="O42" s="306">
        <f>'Phase calculation'!N44</f>
        <v>0</v>
      </c>
      <c r="P42" s="254" t="str">
        <f>IF(W4=0,"N/A",'Phase calculation'!M44)</f>
        <v>N/A</v>
      </c>
      <c r="Q42" s="254" t="str">
        <f>IF(X4=0,"N/A",'Phase calculation'!L44)</f>
        <v>N/A</v>
      </c>
      <c r="R42" s="253"/>
    </row>
    <row r="43" spans="2:19" x14ac:dyDescent="0.3">
      <c r="B43" s="136"/>
      <c r="C43" s="136"/>
      <c r="D43" s="136"/>
      <c r="E43" s="136"/>
      <c r="F43" s="136"/>
      <c r="G43" s="136"/>
      <c r="M43" s="253"/>
      <c r="N43" s="253"/>
      <c r="O43" s="253"/>
      <c r="P43" s="253"/>
      <c r="Q43" s="253"/>
      <c r="R43" s="253"/>
    </row>
    <row r="44" spans="2:19" x14ac:dyDescent="0.3">
      <c r="B44" s="136"/>
      <c r="C44" s="136"/>
      <c r="D44" s="136"/>
      <c r="E44" s="136"/>
      <c r="F44" s="136"/>
      <c r="G44" s="136"/>
      <c r="I44" s="17" t="s">
        <v>76</v>
      </c>
      <c r="M44" s="253"/>
      <c r="N44" s="253"/>
      <c r="O44" s="253"/>
      <c r="P44" s="253"/>
      <c r="Q44" s="253"/>
      <c r="R44" s="253"/>
      <c r="S44" s="17" t="s">
        <v>76</v>
      </c>
    </row>
    <row r="45" spans="2:19" x14ac:dyDescent="0.3">
      <c r="B45" s="136"/>
      <c r="C45" s="136"/>
      <c r="D45" s="136"/>
      <c r="E45" s="136"/>
      <c r="F45" s="136"/>
      <c r="G45" s="136"/>
      <c r="M45" s="253"/>
      <c r="N45" s="253"/>
      <c r="O45" s="253"/>
      <c r="P45" s="253"/>
      <c r="Q45" s="253"/>
      <c r="R45" s="253"/>
    </row>
    <row r="46" spans="2:19" x14ac:dyDescent="0.3">
      <c r="B46" s="136"/>
      <c r="C46" s="136"/>
      <c r="D46" s="136"/>
      <c r="E46" s="136"/>
      <c r="F46" s="136"/>
      <c r="G46" s="136"/>
      <c r="M46" s="253"/>
      <c r="N46" s="253"/>
      <c r="O46" s="253"/>
      <c r="P46" s="253"/>
      <c r="Q46" s="253"/>
      <c r="R46" s="253"/>
    </row>
    <row r="47" spans="2:19" x14ac:dyDescent="0.3">
      <c r="B47" s="138" t="str">
        <f>IF(T9=0,"N/A",'Phase calculation'!C40)</f>
        <v>N/A</v>
      </c>
      <c r="C47" s="136"/>
      <c r="H47" s="300">
        <f>'Phase calculation'!H40</f>
        <v>0</v>
      </c>
      <c r="M47" s="255" t="str">
        <f>IF(T9=0,"N/A",'Phase calculation'!C44)</f>
        <v>N/A</v>
      </c>
      <c r="N47" s="253"/>
      <c r="P47" s="303"/>
      <c r="Q47" s="253"/>
    </row>
    <row r="48" spans="2:19" x14ac:dyDescent="0.3">
      <c r="B48" s="136"/>
      <c r="C48" s="140"/>
      <c r="D48" s="564" t="str">
        <f>'Phase calculation'!T82</f>
        <v>CHECK INPUT DATA</v>
      </c>
      <c r="E48" s="564"/>
      <c r="F48" s="564"/>
      <c r="M48" s="253"/>
      <c r="N48" s="256"/>
      <c r="O48" s="574" t="str">
        <f>'Phase calculation'!T84</f>
        <v>CHECK INPUT DATA</v>
      </c>
      <c r="P48" s="574"/>
      <c r="Q48" s="574"/>
    </row>
    <row r="49" spans="1:20" x14ac:dyDescent="0.3">
      <c r="A49" s="205">
        <f>A11</f>
        <v>0</v>
      </c>
      <c r="B49" s="138" t="str">
        <f>IF(T11=0,"N/A",'Phase calculation'!D40)</f>
        <v>N/A</v>
      </c>
      <c r="C49" s="142"/>
      <c r="D49" s="564" t="str">
        <f>'Phase calculation'!C52</f>
        <v>CHECK INPUT DATA</v>
      </c>
      <c r="E49" s="564"/>
      <c r="F49" s="564"/>
      <c r="H49" s="139" t="str">
        <f>IF(Z11=0,"N/A",'Phase calculation'!G40)</f>
        <v>N/A</v>
      </c>
      <c r="I49" s="205">
        <f>I11</f>
        <v>0</v>
      </c>
      <c r="K49" s="205">
        <f>A11</f>
        <v>0</v>
      </c>
      <c r="L49" s="353">
        <f>'Phase calculation'!C46</f>
        <v>0</v>
      </c>
      <c r="M49" s="255" t="str">
        <f>IF(T11=0,"N/A",'Phase calculation'!D44)</f>
        <v>N/A</v>
      </c>
      <c r="N49" s="257"/>
      <c r="O49" s="574"/>
      <c r="P49" s="574"/>
      <c r="Q49" s="574"/>
      <c r="S49" s="353">
        <f>'Phase calculation'!F46</f>
        <v>0</v>
      </c>
      <c r="T49" s="205">
        <f>I11</f>
        <v>0</v>
      </c>
    </row>
    <row r="50" spans="1:20" x14ac:dyDescent="0.3">
      <c r="B50" s="136"/>
      <c r="C50" s="144"/>
      <c r="D50" s="145"/>
      <c r="E50" s="145"/>
      <c r="F50" s="145"/>
      <c r="G50" s="142"/>
      <c r="H50" s="141"/>
      <c r="M50" s="253"/>
      <c r="N50" s="258"/>
      <c r="O50" s="574"/>
      <c r="P50" s="574"/>
      <c r="Q50" s="574"/>
      <c r="R50" s="257"/>
    </row>
    <row r="51" spans="1:20" x14ac:dyDescent="0.3">
      <c r="B51" s="299">
        <f>'Phase calculation'!E40</f>
        <v>0</v>
      </c>
      <c r="C51" s="31"/>
      <c r="D51" s="146"/>
      <c r="E51" s="146"/>
      <c r="F51" s="147"/>
      <c r="G51" s="145"/>
      <c r="H51" s="143" t="str">
        <f>IF(Z13=0,"N/A",'Phase calculation'!F40)</f>
        <v>N/A</v>
      </c>
      <c r="M51" s="302">
        <f>'Phase calculation'!E44</f>
        <v>0</v>
      </c>
      <c r="N51" s="260"/>
      <c r="O51" s="261"/>
      <c r="P51" s="261"/>
      <c r="Q51" s="262"/>
      <c r="R51" s="259"/>
    </row>
    <row r="52" spans="1:20" x14ac:dyDescent="0.3">
      <c r="B52" s="136"/>
      <c r="C52" s="148"/>
      <c r="D52" s="145"/>
      <c r="E52" s="145"/>
      <c r="F52" s="145"/>
      <c r="G52" s="149"/>
      <c r="M52" s="253"/>
      <c r="N52" s="263"/>
      <c r="O52" s="259"/>
      <c r="P52" s="259"/>
      <c r="Q52" s="259"/>
      <c r="R52" s="264"/>
    </row>
    <row r="53" spans="1:20" x14ac:dyDescent="0.3">
      <c r="B53" s="136"/>
      <c r="C53" s="150"/>
      <c r="D53" s="145"/>
      <c r="E53" s="145" t="s">
        <v>77</v>
      </c>
      <c r="F53" s="145"/>
      <c r="G53" s="145"/>
      <c r="M53" s="253"/>
      <c r="N53" s="265"/>
      <c r="O53" s="259"/>
      <c r="P53" s="259" t="s">
        <v>77</v>
      </c>
      <c r="Q53" s="259"/>
      <c r="R53" s="259"/>
    </row>
    <row r="54" spans="1:20" x14ac:dyDescent="0.3">
      <c r="B54" s="136"/>
      <c r="C54" s="151"/>
      <c r="G54" s="145"/>
      <c r="M54" s="253"/>
      <c r="N54" s="266"/>
      <c r="Q54" s="259"/>
      <c r="R54" s="259"/>
    </row>
    <row r="55" spans="1:20" x14ac:dyDescent="0.3">
      <c r="D55" s="152" t="str">
        <f>IF(V17=0,"N/A",'Phase calculation'!I40)</f>
        <v>N/A</v>
      </c>
      <c r="E55" s="153" t="str">
        <f>IF(W17=0,"N/A",'Phase calculation'!J40)</f>
        <v>N/A</v>
      </c>
      <c r="F55" s="152">
        <f>'Phase calculation'!K40</f>
        <v>0</v>
      </c>
      <c r="O55" s="267" t="str">
        <f>IF(V17=0,"N/A",'Phase calculation'!I44)</f>
        <v>N/A</v>
      </c>
      <c r="P55" s="268" t="str">
        <f>IF(W17=0,"N/A",'Phase calculation'!J44)</f>
        <v>N/A</v>
      </c>
      <c r="Q55" s="306">
        <f>'Phase calculation'!K44</f>
        <v>0</v>
      </c>
    </row>
    <row r="56" spans="1:20" x14ac:dyDescent="0.3">
      <c r="D56" s="563">
        <f>D18</f>
        <v>0</v>
      </c>
      <c r="E56" s="563"/>
      <c r="F56" s="563"/>
      <c r="O56" s="566">
        <f>'Phase calculation'!I46</f>
        <v>0</v>
      </c>
      <c r="P56" s="566"/>
      <c r="Q56" s="566"/>
    </row>
    <row r="57" spans="1:20" x14ac:dyDescent="0.3">
      <c r="D57" s="88"/>
      <c r="E57" s="88"/>
      <c r="O57" s="563">
        <f>D18</f>
        <v>0</v>
      </c>
      <c r="P57" s="563"/>
      <c r="Q57" s="563"/>
    </row>
    <row r="58" spans="1:20" x14ac:dyDescent="0.3">
      <c r="G58" s="569" t="s">
        <v>220</v>
      </c>
      <c r="H58" s="569"/>
      <c r="I58" s="569"/>
      <c r="J58" s="569"/>
      <c r="K58" s="569"/>
      <c r="L58" s="569"/>
      <c r="M58" s="116"/>
    </row>
    <row r="59" spans="1:20" x14ac:dyDescent="0.3">
      <c r="I59" s="563">
        <f>D3</f>
        <v>0</v>
      </c>
      <c r="J59" s="563"/>
      <c r="K59" s="563"/>
    </row>
    <row r="60" spans="1:20" s="62" customFormat="1" x14ac:dyDescent="0.3">
      <c r="I60" s="313"/>
      <c r="J60" s="159" t="str">
        <f>'Phase calculation'!L47</f>
        <v>N/A</v>
      </c>
      <c r="K60" s="313"/>
    </row>
    <row r="61" spans="1:20" x14ac:dyDescent="0.3">
      <c r="G61" s="81"/>
      <c r="H61" s="81"/>
      <c r="I61" s="279" t="str">
        <f>'Phase calculation'!N45</f>
        <v>N/A</v>
      </c>
      <c r="J61" s="158" t="str">
        <f>'Phase calculation'!M45</f>
        <v>N/A</v>
      </c>
      <c r="K61" s="158" t="str">
        <f>'Phase calculation'!L45</f>
        <v>N/A</v>
      </c>
      <c r="L61" s="81"/>
      <c r="M61" s="5"/>
      <c r="P61" s="91" t="s">
        <v>139</v>
      </c>
      <c r="Q61" s="91" t="s">
        <v>221</v>
      </c>
    </row>
    <row r="62" spans="1:20" x14ac:dyDescent="0.3">
      <c r="G62" s="81"/>
      <c r="H62" s="81"/>
      <c r="I62" s="81"/>
      <c r="J62" s="81"/>
      <c r="K62" s="81"/>
      <c r="L62" s="81"/>
      <c r="M62" s="5"/>
      <c r="P62" s="91" t="s">
        <v>142</v>
      </c>
      <c r="Q62" s="67"/>
    </row>
    <row r="63" spans="1:20" x14ac:dyDescent="0.3">
      <c r="G63" s="81"/>
      <c r="H63" s="81"/>
      <c r="I63" s="81"/>
      <c r="J63" s="81"/>
      <c r="K63" s="81"/>
      <c r="L63" s="81"/>
      <c r="N63" s="17" t="s">
        <v>76</v>
      </c>
      <c r="P63" s="91" t="s">
        <v>143</v>
      </c>
      <c r="Q63" s="156"/>
    </row>
    <row r="64" spans="1:20" x14ac:dyDescent="0.3">
      <c r="G64" s="81"/>
      <c r="H64" s="81"/>
      <c r="I64" s="81"/>
      <c r="J64" s="81"/>
      <c r="K64" s="81"/>
      <c r="L64" s="81"/>
      <c r="M64" s="5"/>
      <c r="P64" s="91" t="s">
        <v>144</v>
      </c>
      <c r="Q64" s="157"/>
    </row>
    <row r="65" spans="5:17" x14ac:dyDescent="0.3">
      <c r="G65" s="81"/>
      <c r="H65" s="81"/>
      <c r="I65" s="81"/>
      <c r="J65" s="81"/>
      <c r="K65" s="81"/>
      <c r="L65" s="81"/>
      <c r="M65" s="5"/>
      <c r="P65" s="91" t="s">
        <v>145</v>
      </c>
      <c r="Q65" s="1"/>
    </row>
    <row r="66" spans="5:17" ht="15" customHeight="1" x14ac:dyDescent="0.3">
      <c r="G66" s="305" t="str">
        <f>'Phase calculation'!C45</f>
        <v>N/A</v>
      </c>
      <c r="H66" s="81"/>
      <c r="J66" s="304"/>
      <c r="K66" s="81"/>
      <c r="M66" s="161" t="str">
        <f>'Phase calculation'!H45</f>
        <v>N/A</v>
      </c>
      <c r="P66" s="91" t="s">
        <v>146</v>
      </c>
      <c r="Q66" s="155"/>
    </row>
    <row r="67" spans="5:17" ht="15" customHeight="1" x14ac:dyDescent="0.3">
      <c r="G67" s="82"/>
      <c r="H67" s="10"/>
      <c r="I67" s="570" t="str">
        <f>'Phase calculation'!U84</f>
        <v>CHECK INPUT DATA</v>
      </c>
      <c r="J67" s="570"/>
      <c r="K67" s="570"/>
      <c r="P67" s="91" t="s">
        <v>147</v>
      </c>
      <c r="Q67" s="59"/>
    </row>
    <row r="68" spans="5:17" ht="15" customHeight="1" x14ac:dyDescent="0.3">
      <c r="E68" s="205">
        <f>A11</f>
        <v>0</v>
      </c>
      <c r="F68" s="159" t="str">
        <f>'Phase calculation'!C47</f>
        <v>N/A</v>
      </c>
      <c r="G68" s="82" t="str">
        <f>'Phase calculation'!D45</f>
        <v>N/A</v>
      </c>
      <c r="H68" s="13"/>
      <c r="I68" s="570"/>
      <c r="J68" s="570"/>
      <c r="K68" s="570"/>
      <c r="M68" s="161" t="str">
        <f>'Phase calculation'!G45</f>
        <v>N/A</v>
      </c>
      <c r="N68" s="159" t="str">
        <f>'Phase calculation'!F47</f>
        <v>N/A</v>
      </c>
      <c r="O68" s="206">
        <f>I11</f>
        <v>0</v>
      </c>
    </row>
    <row r="69" spans="5:17" ht="15" customHeight="1" x14ac:dyDescent="0.3">
      <c r="G69" s="81"/>
      <c r="H69" s="104"/>
      <c r="I69" s="570"/>
      <c r="J69" s="570"/>
      <c r="K69" s="570"/>
      <c r="L69" s="13"/>
      <c r="M69" s="162"/>
      <c r="N69" s="10"/>
    </row>
    <row r="70" spans="5:17" x14ac:dyDescent="0.3">
      <c r="G70" s="82" t="str">
        <f>'Phase calculation'!E45</f>
        <v>N/A</v>
      </c>
      <c r="H70" s="31"/>
      <c r="I70" s="32"/>
      <c r="J70" s="32"/>
      <c r="K70" s="154"/>
      <c r="L70" s="16"/>
      <c r="M70" s="162" t="str">
        <f>'Phase calculation'!F45</f>
        <v>N/A</v>
      </c>
      <c r="N70" s="10"/>
    </row>
    <row r="71" spans="5:17" x14ac:dyDescent="0.3">
      <c r="G71" s="81"/>
      <c r="H71" s="35"/>
      <c r="I71" s="16"/>
      <c r="J71" s="16"/>
      <c r="K71" s="16"/>
      <c r="L71" s="105"/>
      <c r="M71" s="90"/>
    </row>
    <row r="72" spans="5:17" x14ac:dyDescent="0.3">
      <c r="G72" s="81"/>
      <c r="H72" s="35"/>
      <c r="I72" s="16"/>
      <c r="J72" s="16" t="s">
        <v>77</v>
      </c>
      <c r="K72" s="16"/>
      <c r="L72" s="16"/>
      <c r="M72" s="15"/>
    </row>
    <row r="73" spans="5:17" x14ac:dyDescent="0.3">
      <c r="G73" s="81"/>
      <c r="H73" s="23"/>
      <c r="K73" s="16"/>
      <c r="L73" s="16"/>
      <c r="M73" s="15"/>
    </row>
    <row r="74" spans="5:17" x14ac:dyDescent="0.3">
      <c r="I74" s="159" t="str">
        <f>'Phase calculation'!I45</f>
        <v>N/A</v>
      </c>
      <c r="J74" s="160" t="str">
        <f>'Phase calculation'!J45</f>
        <v>N/A</v>
      </c>
      <c r="K74" s="279" t="str">
        <f>'Phase calculation'!K45</f>
        <v>N/A</v>
      </c>
    </row>
    <row r="75" spans="5:17" x14ac:dyDescent="0.3">
      <c r="J75" s="159" t="str">
        <f>'Phase calculation'!I47</f>
        <v>N/A</v>
      </c>
    </row>
    <row r="76" spans="5:17" s="62" customFormat="1" x14ac:dyDescent="0.3">
      <c r="I76" s="563">
        <f>D18</f>
        <v>0</v>
      </c>
      <c r="J76" s="563"/>
      <c r="K76" s="563"/>
    </row>
    <row r="79" spans="5:17" s="223" customFormat="1" x14ac:dyDescent="0.3"/>
    <row r="80" spans="5:17" s="223" customFormat="1" x14ac:dyDescent="0.3"/>
    <row r="81" spans="6:19" s="223" customFormat="1" x14ac:dyDescent="0.3"/>
    <row r="82" spans="6:19" s="223" customFormat="1" x14ac:dyDescent="0.3">
      <c r="F82" s="224" t="s">
        <v>73</v>
      </c>
      <c r="G82" s="224" t="str">
        <f>'Phase calculation'!C32</f>
        <v>EBL</v>
      </c>
      <c r="H82" s="224" t="str">
        <f>'Phase calculation'!D32</f>
        <v>EBT</v>
      </c>
      <c r="I82" s="224" t="str">
        <f>'Phase calculation'!F32</f>
        <v>WBL</v>
      </c>
      <c r="J82" s="224" t="str">
        <f>'Phase calculation'!G32</f>
        <v>WBT</v>
      </c>
      <c r="K82" s="224" t="str">
        <f>'Phase calculation'!I32</f>
        <v>NBL</v>
      </c>
      <c r="L82" s="224" t="str">
        <f>'Phase calculation'!J32</f>
        <v>NBT</v>
      </c>
      <c r="M82" s="224" t="str">
        <f>'Phase calculation'!L32</f>
        <v>SBL</v>
      </c>
      <c r="N82" s="224" t="str">
        <f>'Phase calculation'!M32</f>
        <v>SBT</v>
      </c>
    </row>
    <row r="83" spans="6:19" s="223" customFormat="1" x14ac:dyDescent="0.3">
      <c r="F83" s="224" t="s">
        <v>124</v>
      </c>
      <c r="G83" s="224">
        <f>'Phase calculation'!C33</f>
        <v>0</v>
      </c>
      <c r="H83" s="224">
        <f>'Phase calculation'!D33</f>
        <v>0</v>
      </c>
      <c r="I83" s="224">
        <f>'Phase calculation'!F33</f>
        <v>0</v>
      </c>
      <c r="J83" s="224">
        <f>'Phase calculation'!G33</f>
        <v>0</v>
      </c>
      <c r="K83" s="224">
        <f>'Phase calculation'!I33</f>
        <v>0</v>
      </c>
      <c r="L83" s="224">
        <f>'Phase calculation'!J33</f>
        <v>0</v>
      </c>
      <c r="M83" s="224">
        <f>'Phase calculation'!L33</f>
        <v>0</v>
      </c>
      <c r="N83" s="224">
        <f>'Phase calculation'!M33</f>
        <v>0</v>
      </c>
    </row>
    <row r="84" spans="6:19" s="223" customFormat="1" x14ac:dyDescent="0.3">
      <c r="F84" s="224" t="s">
        <v>316</v>
      </c>
      <c r="G84" s="224">
        <f>'Phase calculation'!C34</f>
        <v>0</v>
      </c>
      <c r="H84" s="224">
        <f>'Phase calculation'!D34</f>
        <v>0</v>
      </c>
      <c r="I84" s="224">
        <f>'Phase calculation'!F34</f>
        <v>0</v>
      </c>
      <c r="J84" s="224">
        <f>'Phase calculation'!G34</f>
        <v>0</v>
      </c>
      <c r="K84" s="224">
        <f>'Phase calculation'!I34</f>
        <v>0</v>
      </c>
      <c r="L84" s="224">
        <f>'Phase calculation'!J34</f>
        <v>0</v>
      </c>
      <c r="M84" s="224">
        <f>'Phase calculation'!L34</f>
        <v>0</v>
      </c>
      <c r="N84" s="224">
        <f>'Phase calculation'!M34</f>
        <v>0</v>
      </c>
    </row>
    <row r="85" spans="6:19" s="223" customFormat="1" x14ac:dyDescent="0.3">
      <c r="F85" s="224" t="s">
        <v>149</v>
      </c>
      <c r="G85" s="224">
        <f>'Phase calculation'!C41</f>
        <v>0</v>
      </c>
      <c r="H85" s="224">
        <f>'Phase calculation'!D41</f>
        <v>0</v>
      </c>
      <c r="I85" s="224">
        <f>'Phase calculation'!F41</f>
        <v>0</v>
      </c>
      <c r="J85" s="224">
        <f>'Phase calculation'!G41</f>
        <v>0</v>
      </c>
      <c r="K85" s="224">
        <f>'Phase calculation'!I41</f>
        <v>0</v>
      </c>
      <c r="L85" s="224">
        <f>'Phase calculation'!J41</f>
        <v>0</v>
      </c>
      <c r="M85" s="224">
        <f>'Phase calculation'!L41</f>
        <v>0</v>
      </c>
      <c r="N85" s="224">
        <f>'Phase calculation'!M41</f>
        <v>0</v>
      </c>
    </row>
    <row r="86" spans="6:19" s="223" customFormat="1" x14ac:dyDescent="0.3">
      <c r="F86" s="224" t="s">
        <v>135</v>
      </c>
      <c r="G86" s="224">
        <f>'Phase calculation'!C40</f>
        <v>0</v>
      </c>
      <c r="H86" s="224">
        <f>'Phase calculation'!D40</f>
        <v>0</v>
      </c>
      <c r="I86" s="224">
        <f>'Phase calculation'!F40</f>
        <v>0</v>
      </c>
      <c r="J86" s="224">
        <f>'Phase calculation'!G40</f>
        <v>0</v>
      </c>
      <c r="K86" s="224">
        <f>'Phase calculation'!I40</f>
        <v>0</v>
      </c>
      <c r="L86" s="224">
        <f>'Phase calculation'!J40</f>
        <v>0</v>
      </c>
      <c r="M86" s="224">
        <f>'Phase calculation'!L40</f>
        <v>0</v>
      </c>
      <c r="N86" s="224">
        <f>'Phase calculation'!M40</f>
        <v>0</v>
      </c>
    </row>
    <row r="87" spans="6:19" s="223" customFormat="1" x14ac:dyDescent="0.3">
      <c r="F87" s="224" t="s">
        <v>150</v>
      </c>
      <c r="G87" s="224">
        <f>'Phase calculation'!C44</f>
        <v>0</v>
      </c>
      <c r="H87" s="224">
        <f>'Phase calculation'!D44</f>
        <v>0</v>
      </c>
      <c r="I87" s="224">
        <f>'Phase calculation'!F44</f>
        <v>0</v>
      </c>
      <c r="J87" s="224">
        <f>'Phase calculation'!G44</f>
        <v>0</v>
      </c>
      <c r="K87" s="224">
        <f>'Phase calculation'!I44</f>
        <v>0</v>
      </c>
      <c r="L87" s="224">
        <f>'Phase calculation'!J44</f>
        <v>0</v>
      </c>
      <c r="M87" s="224">
        <f>'Phase calculation'!L44</f>
        <v>0</v>
      </c>
      <c r="N87" s="224">
        <f>'Phase calculation'!M44</f>
        <v>0</v>
      </c>
    </row>
    <row r="88" spans="6:19" s="223" customFormat="1" x14ac:dyDescent="0.3">
      <c r="F88" s="224" t="s">
        <v>139</v>
      </c>
      <c r="G88" s="224" t="str">
        <f>'Phase calculation'!C45</f>
        <v>N/A</v>
      </c>
      <c r="H88" s="224" t="str">
        <f>'Phase calculation'!D45</f>
        <v>N/A</v>
      </c>
      <c r="I88" s="224" t="str">
        <f>'Phase calculation'!F45</f>
        <v>N/A</v>
      </c>
      <c r="J88" s="224" t="str">
        <f>'Phase calculation'!G45</f>
        <v>N/A</v>
      </c>
      <c r="K88" s="224" t="str">
        <f>'Phase calculation'!I45</f>
        <v>N/A</v>
      </c>
      <c r="L88" s="224" t="str">
        <f>'Phase calculation'!J45</f>
        <v>N/A</v>
      </c>
      <c r="M88" s="224" t="str">
        <f>'Phase calculation'!L45</f>
        <v>N/A</v>
      </c>
      <c r="N88" s="224" t="str">
        <f>'Phase calculation'!M45</f>
        <v>N/A</v>
      </c>
    </row>
    <row r="89" spans="6:19" s="223" customFormat="1" ht="21" thickBot="1" x14ac:dyDescent="0.4">
      <c r="G89" s="479" t="s">
        <v>560</v>
      </c>
      <c r="H89" s="479" t="s">
        <v>556</v>
      </c>
      <c r="I89" s="479" t="s">
        <v>561</v>
      </c>
      <c r="J89" s="479" t="s">
        <v>555</v>
      </c>
      <c r="K89" s="479" t="s">
        <v>559</v>
      </c>
      <c r="L89" s="479" t="s">
        <v>557</v>
      </c>
      <c r="M89" s="479">
        <v>9</v>
      </c>
      <c r="N89" s="479" t="s">
        <v>558</v>
      </c>
    </row>
    <row r="90" spans="6:19" s="224" customFormat="1" ht="20.399999999999999" x14ac:dyDescent="0.35">
      <c r="F90" s="225" t="s">
        <v>124</v>
      </c>
      <c r="G90" s="225">
        <v>1</v>
      </c>
      <c r="H90" s="226">
        <v>2</v>
      </c>
      <c r="I90" s="226">
        <v>3</v>
      </c>
      <c r="J90" s="226">
        <v>4</v>
      </c>
      <c r="K90" s="226">
        <v>5</v>
      </c>
      <c r="L90" s="226">
        <v>6</v>
      </c>
      <c r="M90" s="226">
        <v>7</v>
      </c>
      <c r="N90" s="227">
        <v>8</v>
      </c>
      <c r="P90" s="224">
        <v>8</v>
      </c>
      <c r="Q90" s="479" t="str">
        <f>INDEX($G$93:$N$93,1,P90)</f>
        <v/>
      </c>
      <c r="R90" s="479"/>
      <c r="S90" s="479"/>
    </row>
    <row r="91" spans="6:19" s="224" customFormat="1" ht="21" hidden="1" x14ac:dyDescent="0.4">
      <c r="F91" s="228" t="s">
        <v>315</v>
      </c>
      <c r="G91" s="228">
        <f>IFERROR(MATCH(G90,$G$83:$N$83,0),0)</f>
        <v>0</v>
      </c>
      <c r="H91" s="229">
        <f t="shared" ref="H91:N91" si="0">IFERROR(MATCH(H90,$G$83:$N$83,0),0)</f>
        <v>0</v>
      </c>
      <c r="I91" s="229">
        <f t="shared" si="0"/>
        <v>0</v>
      </c>
      <c r="J91" s="229">
        <f t="shared" si="0"/>
        <v>0</v>
      </c>
      <c r="K91" s="229">
        <f t="shared" si="0"/>
        <v>0</v>
      </c>
      <c r="L91" s="229">
        <f t="shared" si="0"/>
        <v>0</v>
      </c>
      <c r="M91" s="229">
        <f t="shared" si="0"/>
        <v>0</v>
      </c>
      <c r="N91" s="230">
        <f t="shared" si="0"/>
        <v>0</v>
      </c>
      <c r="Q91" s="480" t="e">
        <f t="shared" ref="Q91:Q98" si="1">INDEX($G$93:$N$93,1,P91)</f>
        <v>#VALUE!</v>
      </c>
      <c r="R91" s="480"/>
      <c r="S91" s="480"/>
    </row>
    <row r="92" spans="6:19" s="224" customFormat="1" ht="20.399999999999999" x14ac:dyDescent="0.35">
      <c r="F92" s="567" t="s">
        <v>73</v>
      </c>
      <c r="G92" s="228" t="str">
        <f>IF(G91=0,"Not used",INDEX($G$82:$N$82,G91))</f>
        <v>Not used</v>
      </c>
      <c r="H92" s="229" t="str">
        <f t="shared" ref="H92:N92" si="2">IF(H91=0,"Not used",INDEX($G$82:$N$82,H91))</f>
        <v>Not used</v>
      </c>
      <c r="I92" s="229" t="str">
        <f t="shared" si="2"/>
        <v>Not used</v>
      </c>
      <c r="J92" s="229" t="str">
        <f t="shared" si="2"/>
        <v>Not used</v>
      </c>
      <c r="K92" s="229" t="str">
        <f t="shared" si="2"/>
        <v>Not used</v>
      </c>
      <c r="L92" s="229" t="str">
        <f t="shared" si="2"/>
        <v>Not used</v>
      </c>
      <c r="M92" s="229" t="str">
        <f t="shared" si="2"/>
        <v>Not used</v>
      </c>
      <c r="N92" s="230" t="str">
        <f t="shared" si="2"/>
        <v>Not used</v>
      </c>
      <c r="P92" s="224">
        <v>7</v>
      </c>
      <c r="Q92" s="479" t="str">
        <f t="shared" si="1"/>
        <v/>
      </c>
      <c r="R92" s="479"/>
      <c r="S92" s="479"/>
    </row>
    <row r="93" spans="6:19" s="224" customFormat="1" ht="25.2" x14ac:dyDescent="0.45">
      <c r="F93" s="567"/>
      <c r="G93" s="481" t="str">
        <f t="shared" ref="G93:N93" si="3">IF(G91=0,"",INDEX($G$89:$N$89,G91))</f>
        <v/>
      </c>
      <c r="H93" s="482" t="str">
        <f t="shared" si="3"/>
        <v/>
      </c>
      <c r="I93" s="482" t="str">
        <f t="shared" si="3"/>
        <v/>
      </c>
      <c r="J93" s="482" t="str">
        <f t="shared" si="3"/>
        <v/>
      </c>
      <c r="K93" s="482" t="str">
        <f t="shared" si="3"/>
        <v/>
      </c>
      <c r="L93" s="482" t="str">
        <f t="shared" si="3"/>
        <v/>
      </c>
      <c r="M93" s="482" t="str">
        <f t="shared" si="3"/>
        <v/>
      </c>
      <c r="N93" s="483" t="str">
        <f t="shared" si="3"/>
        <v/>
      </c>
      <c r="P93" s="224">
        <v>6</v>
      </c>
      <c r="Q93" s="479" t="str">
        <f t="shared" si="1"/>
        <v/>
      </c>
      <c r="R93" s="479"/>
      <c r="S93" s="479"/>
    </row>
    <row r="94" spans="6:19" s="224" customFormat="1" ht="20.399999999999999" x14ac:dyDescent="0.35">
      <c r="F94" s="228" t="s">
        <v>317</v>
      </c>
      <c r="G94" s="228" t="str">
        <f>IF(G91=0,"Not used",INDEX($G$84:$N$84,G91))</f>
        <v>Not used</v>
      </c>
      <c r="H94" s="229" t="str">
        <f t="shared" ref="H94:N94" si="4">IF(H91=0,"Not used",INDEX($G$84:$N$84,H91))</f>
        <v>Not used</v>
      </c>
      <c r="I94" s="229" t="str">
        <f t="shared" si="4"/>
        <v>Not used</v>
      </c>
      <c r="J94" s="229" t="str">
        <f t="shared" si="4"/>
        <v>Not used</v>
      </c>
      <c r="K94" s="229" t="str">
        <f t="shared" si="4"/>
        <v>Not used</v>
      </c>
      <c r="L94" s="229" t="str">
        <f t="shared" si="4"/>
        <v>Not used</v>
      </c>
      <c r="M94" s="229" t="str">
        <f t="shared" si="4"/>
        <v>Not used</v>
      </c>
      <c r="N94" s="230" t="str">
        <f t="shared" si="4"/>
        <v>Not used</v>
      </c>
      <c r="P94" s="224">
        <v>5</v>
      </c>
      <c r="Q94" s="479" t="str">
        <f t="shared" si="1"/>
        <v/>
      </c>
      <c r="R94" s="479"/>
      <c r="S94" s="479"/>
    </row>
    <row r="95" spans="6:19" s="224" customFormat="1" ht="20.399999999999999" x14ac:dyDescent="0.35">
      <c r="F95" s="228" t="s">
        <v>318</v>
      </c>
      <c r="G95" s="228" t="str">
        <f>IF(G91=0,"Not used",INDEX($G$85:$N$85,G91))</f>
        <v>Not used</v>
      </c>
      <c r="H95" s="229" t="str">
        <f t="shared" ref="H95:N95" si="5">IF(H91=0,"Not used",INDEX($G$85:$N$85,H91))</f>
        <v>Not used</v>
      </c>
      <c r="I95" s="229" t="str">
        <f t="shared" si="5"/>
        <v>Not used</v>
      </c>
      <c r="J95" s="229" t="str">
        <f t="shared" si="5"/>
        <v>Not used</v>
      </c>
      <c r="K95" s="229" t="str">
        <f t="shared" si="5"/>
        <v>Not used</v>
      </c>
      <c r="L95" s="229" t="str">
        <f t="shared" si="5"/>
        <v>Not used</v>
      </c>
      <c r="M95" s="229" t="str">
        <f t="shared" si="5"/>
        <v>Not used</v>
      </c>
      <c r="N95" s="230" t="str">
        <f t="shared" si="5"/>
        <v>Not used</v>
      </c>
      <c r="P95" s="224">
        <v>4</v>
      </c>
      <c r="Q95" s="479" t="str">
        <f t="shared" si="1"/>
        <v/>
      </c>
      <c r="R95" s="479"/>
      <c r="S95" s="479"/>
    </row>
    <row r="96" spans="6:19" s="224" customFormat="1" ht="20.399999999999999" x14ac:dyDescent="0.35">
      <c r="F96" s="228" t="s">
        <v>135</v>
      </c>
      <c r="G96" s="228" t="str">
        <f>IF(G91=0,"Not used",INDEX($G$86:$N$86,G91))</f>
        <v>Not used</v>
      </c>
      <c r="H96" s="229" t="str">
        <f t="shared" ref="H96:N96" si="6">IF(H91=0,"Not used",INDEX($G$86:$N$86,H91))</f>
        <v>Not used</v>
      </c>
      <c r="I96" s="229" t="str">
        <f t="shared" si="6"/>
        <v>Not used</v>
      </c>
      <c r="J96" s="229" t="str">
        <f t="shared" si="6"/>
        <v>Not used</v>
      </c>
      <c r="K96" s="229" t="str">
        <f t="shared" si="6"/>
        <v>Not used</v>
      </c>
      <c r="L96" s="229" t="str">
        <f t="shared" si="6"/>
        <v>Not used</v>
      </c>
      <c r="M96" s="229" t="str">
        <f t="shared" si="6"/>
        <v>Not used</v>
      </c>
      <c r="N96" s="230" t="str">
        <f t="shared" si="6"/>
        <v>Not used</v>
      </c>
      <c r="P96" s="224">
        <v>3</v>
      </c>
      <c r="Q96" s="479" t="str">
        <f t="shared" si="1"/>
        <v/>
      </c>
      <c r="R96" s="479"/>
      <c r="S96" s="479"/>
    </row>
    <row r="97" spans="6:19" s="224" customFormat="1" ht="20.399999999999999" x14ac:dyDescent="0.35">
      <c r="F97" s="228" t="s">
        <v>319</v>
      </c>
      <c r="G97" s="228" t="str">
        <f>IF(G91=0,"Not used",INDEX($G$87:$N$87,G91))</f>
        <v>Not used</v>
      </c>
      <c r="H97" s="229" t="str">
        <f t="shared" ref="H97:N97" si="7">IF(H91=0,"Not used",INDEX($G$87:$N$87,H91))</f>
        <v>Not used</v>
      </c>
      <c r="I97" s="229" t="str">
        <f t="shared" si="7"/>
        <v>Not used</v>
      </c>
      <c r="J97" s="229" t="str">
        <f t="shared" si="7"/>
        <v>Not used</v>
      </c>
      <c r="K97" s="229" t="str">
        <f t="shared" si="7"/>
        <v>Not used</v>
      </c>
      <c r="L97" s="229" t="str">
        <f t="shared" si="7"/>
        <v>Not used</v>
      </c>
      <c r="M97" s="229" t="str">
        <f t="shared" si="7"/>
        <v>Not used</v>
      </c>
      <c r="N97" s="230" t="str">
        <f t="shared" si="7"/>
        <v>Not used</v>
      </c>
      <c r="P97" s="224">
        <v>2</v>
      </c>
      <c r="Q97" s="479" t="str">
        <f t="shared" si="1"/>
        <v/>
      </c>
      <c r="R97" s="479"/>
      <c r="S97" s="479"/>
    </row>
    <row r="98" spans="6:19" s="224" customFormat="1" ht="21" thickBot="1" x14ac:dyDescent="0.4">
      <c r="F98" s="231" t="s">
        <v>139</v>
      </c>
      <c r="G98" s="231" t="str">
        <f>IF(G91=0,"Not used",INDEX($G$88:$N$88,G91))</f>
        <v>Not used</v>
      </c>
      <c r="H98" s="232" t="str">
        <f t="shared" ref="H98:N98" si="8">IF(H91=0,"Not used",INDEX($G$88:$N$88,H91))</f>
        <v>Not used</v>
      </c>
      <c r="I98" s="232" t="str">
        <f t="shared" si="8"/>
        <v>Not used</v>
      </c>
      <c r="J98" s="232" t="str">
        <f t="shared" si="8"/>
        <v>Not used</v>
      </c>
      <c r="K98" s="232" t="str">
        <f t="shared" si="8"/>
        <v>Not used</v>
      </c>
      <c r="L98" s="232" t="str">
        <f t="shared" si="8"/>
        <v>Not used</v>
      </c>
      <c r="M98" s="232" t="str">
        <f t="shared" si="8"/>
        <v>Not used</v>
      </c>
      <c r="N98" s="233" t="str">
        <f t="shared" si="8"/>
        <v>Not used</v>
      </c>
      <c r="P98" s="224">
        <v>1</v>
      </c>
      <c r="Q98" s="479" t="str">
        <f t="shared" si="1"/>
        <v/>
      </c>
      <c r="R98" s="479"/>
      <c r="S98" s="479"/>
    </row>
    <row r="99" spans="6:19" s="224" customFormat="1" x14ac:dyDescent="0.3"/>
    <row r="100" spans="6:19" s="224" customFormat="1" x14ac:dyDescent="0.3"/>
    <row r="101" spans="6:19" s="224" customFormat="1" x14ac:dyDescent="0.3"/>
    <row r="102" spans="6:19" s="224" customFormat="1" x14ac:dyDescent="0.3"/>
    <row r="103" spans="6:19" s="224" customFormat="1" x14ac:dyDescent="0.3"/>
    <row r="104" spans="6:19" s="224" customFormat="1" x14ac:dyDescent="0.3"/>
    <row r="105" spans="6:19" s="224" customFormat="1" x14ac:dyDescent="0.3"/>
    <row r="106" spans="6:19" s="224" customFormat="1" x14ac:dyDescent="0.3"/>
    <row r="107" spans="6:19" s="224" customFormat="1" x14ac:dyDescent="0.3"/>
    <row r="108" spans="6:19" s="224" customFormat="1" x14ac:dyDescent="0.3"/>
    <row r="109" spans="6:19" s="224" customFormat="1" x14ac:dyDescent="0.3"/>
    <row r="110" spans="6:19" s="224" customFormat="1" x14ac:dyDescent="0.3"/>
    <row r="111" spans="6:19" s="224" customFormat="1" x14ac:dyDescent="0.3"/>
    <row r="112" spans="6:19" s="224" customFormat="1" x14ac:dyDescent="0.3"/>
    <row r="113" s="224" customFormat="1" x14ac:dyDescent="0.3"/>
    <row r="114" s="223" customFormat="1" x14ac:dyDescent="0.3"/>
    <row r="115" s="223" customFormat="1" x14ac:dyDescent="0.3"/>
    <row r="116" s="223" customFormat="1" x14ac:dyDescent="0.3"/>
    <row r="117" s="223" customFormat="1" x14ac:dyDescent="0.3"/>
    <row r="118" s="223" customFormat="1" x14ac:dyDescent="0.3"/>
    <row r="119" s="223" customFormat="1" x14ac:dyDescent="0.3"/>
    <row r="120" s="223" customFormat="1" x14ac:dyDescent="0.3"/>
    <row r="121" s="223" customFormat="1" x14ac:dyDescent="0.3"/>
    <row r="122" s="223" customFormat="1" x14ac:dyDescent="0.3"/>
    <row r="123" s="223" customFormat="1" x14ac:dyDescent="0.3"/>
    <row r="124" s="223" customFormat="1" x14ac:dyDescent="0.3"/>
    <row r="125" s="223" customFormat="1" x14ac:dyDescent="0.3"/>
    <row r="126" s="223" customFormat="1" x14ac:dyDescent="0.3"/>
    <row r="127" s="223" customFormat="1" x14ac:dyDescent="0.3"/>
    <row r="128" s="223" customFormat="1" x14ac:dyDescent="0.3"/>
    <row r="129" s="223" customFormat="1" x14ac:dyDescent="0.3"/>
    <row r="130" s="223" customFormat="1" x14ac:dyDescent="0.3"/>
    <row r="131" s="223" customFormat="1" x14ac:dyDescent="0.3"/>
    <row r="132" s="223" customFormat="1" x14ac:dyDescent="0.3"/>
    <row r="133" s="223" customFormat="1" x14ac:dyDescent="0.3"/>
    <row r="134" s="223" customFormat="1" x14ac:dyDescent="0.3"/>
    <row r="135" s="223" customFormat="1" x14ac:dyDescent="0.3"/>
    <row r="136" s="223" customFormat="1" x14ac:dyDescent="0.3"/>
    <row r="137" s="223" customFormat="1" x14ac:dyDescent="0.3"/>
    <row r="138" s="223" customFormat="1" x14ac:dyDescent="0.3"/>
    <row r="139" s="223" customFormat="1" x14ac:dyDescent="0.3"/>
    <row r="140" s="223" customFormat="1" x14ac:dyDescent="0.3"/>
    <row r="141" s="223" customFormat="1" x14ac:dyDescent="0.3"/>
    <row r="142" s="223" customFormat="1" x14ac:dyDescent="0.3"/>
    <row r="143" s="223" customFormat="1" x14ac:dyDescent="0.3"/>
    <row r="144" s="223" customFormat="1" x14ac:dyDescent="0.3"/>
    <row r="145" s="223" customFormat="1" x14ac:dyDescent="0.3"/>
    <row r="146" s="223" customFormat="1" x14ac:dyDescent="0.3"/>
    <row r="147" s="223" customFormat="1" x14ac:dyDescent="0.3"/>
    <row r="148" s="223" customFormat="1" x14ac:dyDescent="0.3"/>
    <row r="149" s="223" customFormat="1" x14ac:dyDescent="0.3"/>
    <row r="150" s="223" customFormat="1" x14ac:dyDescent="0.3"/>
    <row r="151" s="223" customFormat="1" x14ac:dyDescent="0.3"/>
    <row r="152" s="223" customFormat="1" x14ac:dyDescent="0.3"/>
    <row r="153" s="223" customFormat="1" x14ac:dyDescent="0.3"/>
    <row r="154" s="223" customFormat="1" x14ac:dyDescent="0.3"/>
    <row r="155" s="223" customFormat="1" x14ac:dyDescent="0.3"/>
    <row r="156" s="223" customFormat="1" x14ac:dyDescent="0.3"/>
    <row r="157" s="223" customFormat="1" x14ac:dyDescent="0.3"/>
    <row r="158" s="223" customFormat="1" x14ac:dyDescent="0.3"/>
    <row r="159" s="223" customFormat="1" x14ac:dyDescent="0.3"/>
    <row r="160" s="223" customFormat="1" x14ac:dyDescent="0.3"/>
    <row r="161" s="223" customFormat="1" x14ac:dyDescent="0.3"/>
    <row r="162" s="223" customFormat="1" x14ac:dyDescent="0.3"/>
    <row r="163" s="223" customFormat="1" x14ac:dyDescent="0.3"/>
    <row r="164" s="223" customFormat="1" x14ac:dyDescent="0.3"/>
    <row r="165" s="223" customFormat="1" x14ac:dyDescent="0.3"/>
    <row r="166" s="223" customFormat="1" x14ac:dyDescent="0.3"/>
    <row r="167" s="223" customFormat="1" x14ac:dyDescent="0.3"/>
    <row r="168" s="223" customFormat="1" x14ac:dyDescent="0.3"/>
    <row r="169" s="223" customFormat="1" x14ac:dyDescent="0.3"/>
    <row r="170" s="223" customFormat="1" x14ac:dyDescent="0.3"/>
    <row r="171" s="223" customFormat="1" x14ac:dyDescent="0.3"/>
    <row r="172" s="223" customFormat="1" x14ac:dyDescent="0.3"/>
    <row r="173" s="223" customFormat="1" x14ac:dyDescent="0.3"/>
    <row r="174" s="223" customFormat="1" x14ac:dyDescent="0.3"/>
    <row r="175" s="223" customFormat="1" x14ac:dyDescent="0.3"/>
    <row r="176" s="223" customFormat="1" x14ac:dyDescent="0.3"/>
    <row r="177" s="223" customFormat="1" x14ac:dyDescent="0.3"/>
    <row r="178" s="223" customFormat="1" x14ac:dyDescent="0.3"/>
    <row r="179" s="223" customFormat="1" x14ac:dyDescent="0.3"/>
    <row r="180" s="223" customFormat="1" x14ac:dyDescent="0.3"/>
    <row r="181" s="223" customFormat="1" x14ac:dyDescent="0.3"/>
    <row r="182" s="223" customFormat="1" x14ac:dyDescent="0.3"/>
    <row r="183" s="223" customFormat="1" x14ac:dyDescent="0.3"/>
    <row r="184" s="223" customFormat="1" x14ac:dyDescent="0.3"/>
    <row r="185" s="223" customFormat="1" x14ac:dyDescent="0.3"/>
    <row r="186" s="223" customFormat="1" x14ac:dyDescent="0.3"/>
    <row r="187" s="223" customFormat="1" x14ac:dyDescent="0.3"/>
    <row r="188" s="223" customFormat="1" x14ac:dyDescent="0.3"/>
    <row r="189" s="223" customFormat="1" x14ac:dyDescent="0.3"/>
    <row r="190" s="223" customFormat="1" x14ac:dyDescent="0.3"/>
    <row r="191" s="223" customFormat="1" x14ac:dyDescent="0.3"/>
    <row r="192" s="223" customFormat="1" x14ac:dyDescent="0.3"/>
    <row r="193" s="223" customFormat="1" x14ac:dyDescent="0.3"/>
    <row r="194" s="223" customFormat="1" x14ac:dyDescent="0.3"/>
    <row r="195" s="223" customFormat="1" x14ac:dyDescent="0.3"/>
    <row r="196" s="223" customFormat="1" x14ac:dyDescent="0.3"/>
    <row r="197" s="223" customFormat="1" x14ac:dyDescent="0.3"/>
    <row r="198" s="223" customFormat="1" x14ac:dyDescent="0.3"/>
    <row r="199" s="223" customFormat="1" x14ac:dyDescent="0.3"/>
    <row r="200" s="223" customFormat="1" x14ac:dyDescent="0.3"/>
    <row r="201" s="223" customFormat="1" x14ac:dyDescent="0.3"/>
    <row r="202" s="223" customFormat="1" x14ac:dyDescent="0.3"/>
    <row r="203" s="223" customFormat="1" x14ac:dyDescent="0.3"/>
    <row r="204" s="223" customFormat="1" x14ac:dyDescent="0.3"/>
    <row r="205" s="223" customFormat="1" x14ac:dyDescent="0.3"/>
    <row r="206" s="223" customFormat="1" x14ac:dyDescent="0.3"/>
    <row r="207" s="223" customFormat="1" x14ac:dyDescent="0.3"/>
    <row r="208" s="223" customFormat="1" x14ac:dyDescent="0.3"/>
    <row r="209" s="223" customFormat="1" x14ac:dyDescent="0.3"/>
    <row r="210" s="223" customFormat="1" x14ac:dyDescent="0.3"/>
    <row r="211" s="223" customFormat="1" x14ac:dyDescent="0.3"/>
    <row r="212" s="223" customFormat="1" x14ac:dyDescent="0.3"/>
    <row r="213" s="223" customFormat="1" x14ac:dyDescent="0.3"/>
    <row r="214" s="223" customFormat="1" x14ac:dyDescent="0.3"/>
    <row r="215" s="223" customFormat="1" x14ac:dyDescent="0.3"/>
    <row r="216" s="223" customFormat="1" x14ac:dyDescent="0.3"/>
    <row r="217" s="223" customFormat="1" x14ac:dyDescent="0.3"/>
    <row r="218" s="223" customFormat="1" x14ac:dyDescent="0.3"/>
    <row r="219" s="223" customFormat="1" x14ac:dyDescent="0.3"/>
    <row r="220" s="223" customFormat="1" x14ac:dyDescent="0.3"/>
    <row r="221" s="223" customFormat="1" x14ac:dyDescent="0.3"/>
    <row r="222" s="223" customFormat="1" x14ac:dyDescent="0.3"/>
    <row r="223" s="223" customFormat="1" x14ac:dyDescent="0.3"/>
    <row r="224" s="223" customFormat="1" x14ac:dyDescent="0.3"/>
    <row r="225" s="223" customFormat="1" x14ac:dyDescent="0.3"/>
    <row r="226" s="223" customFormat="1" x14ac:dyDescent="0.3"/>
    <row r="227" s="223" customFormat="1" x14ac:dyDescent="0.3"/>
    <row r="228" s="223" customFormat="1" x14ac:dyDescent="0.3"/>
    <row r="229" s="223" customFormat="1" x14ac:dyDescent="0.3"/>
    <row r="230" s="223" customFormat="1" x14ac:dyDescent="0.3"/>
    <row r="231" s="223" customFormat="1" x14ac:dyDescent="0.3"/>
    <row r="232" s="223" customFormat="1" x14ac:dyDescent="0.3"/>
    <row r="233" s="223" customFormat="1" x14ac:dyDescent="0.3"/>
    <row r="234" s="223" customFormat="1" x14ac:dyDescent="0.3"/>
    <row r="235" s="223" customFormat="1" x14ac:dyDescent="0.3"/>
    <row r="236" s="223" customFormat="1" x14ac:dyDescent="0.3"/>
    <row r="237" s="223" customFormat="1" x14ac:dyDescent="0.3"/>
    <row r="238" s="223" customFormat="1" x14ac:dyDescent="0.3"/>
    <row r="239" s="223" customFormat="1" x14ac:dyDescent="0.3"/>
    <row r="240" s="223" customFormat="1" x14ac:dyDescent="0.3"/>
    <row r="241" s="223" customFormat="1" x14ac:dyDescent="0.3"/>
    <row r="242" s="223" customFormat="1" x14ac:dyDescent="0.3"/>
    <row r="243" s="223" customFormat="1" x14ac:dyDescent="0.3"/>
    <row r="244" s="223" customFormat="1" x14ac:dyDescent="0.3"/>
    <row r="245" s="223" customFormat="1" x14ac:dyDescent="0.3"/>
    <row r="246" s="223" customFormat="1" x14ac:dyDescent="0.3"/>
    <row r="247" s="223" customFormat="1" x14ac:dyDescent="0.3"/>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Z3674"/>
  <sheetViews>
    <sheetView topLeftCell="A3178" workbookViewId="0">
      <selection activeCell="A3192" sqref="A3192:R3672"/>
    </sheetView>
  </sheetViews>
  <sheetFormatPr defaultRowHeight="14.4" x14ac:dyDescent="0.3"/>
  <sheetData>
    <row r="1" spans="1:2" x14ac:dyDescent="0.3">
      <c r="A1" t="s">
        <v>642</v>
      </c>
    </row>
    <row r="2" spans="1:2" x14ac:dyDescent="0.3">
      <c r="A2" t="s">
        <v>643</v>
      </c>
    </row>
    <row r="3" spans="1:2" x14ac:dyDescent="0.3">
      <c r="A3" t="s">
        <v>0</v>
      </c>
      <c r="B3" t="s">
        <v>644</v>
      </c>
    </row>
    <row r="4" spans="1:2" x14ac:dyDescent="0.3">
      <c r="A4" t="s">
        <v>645</v>
      </c>
      <c r="B4">
        <v>8</v>
      </c>
    </row>
    <row r="5" spans="1:2" x14ac:dyDescent="0.3">
      <c r="A5" t="s">
        <v>646</v>
      </c>
      <c r="B5">
        <v>0</v>
      </c>
    </row>
    <row r="6" spans="1:2" x14ac:dyDescent="0.3">
      <c r="A6" t="s">
        <v>647</v>
      </c>
      <c r="B6">
        <v>3.5</v>
      </c>
    </row>
    <row r="7" spans="1:2" x14ac:dyDescent="0.3">
      <c r="A7" t="s">
        <v>648</v>
      </c>
      <c r="B7">
        <v>1</v>
      </c>
    </row>
    <row r="8" spans="1:2" x14ac:dyDescent="0.3">
      <c r="A8" t="s">
        <v>264</v>
      </c>
      <c r="B8">
        <v>7</v>
      </c>
    </row>
    <row r="9" spans="1:2" x14ac:dyDescent="0.3">
      <c r="A9" t="s">
        <v>265</v>
      </c>
      <c r="B9">
        <v>11</v>
      </c>
    </row>
    <row r="10" spans="1:2" x14ac:dyDescent="0.3">
      <c r="A10" t="s">
        <v>649</v>
      </c>
      <c r="B10">
        <v>0.02</v>
      </c>
    </row>
    <row r="11" spans="1:2" x14ac:dyDescent="0.3">
      <c r="A11" t="s">
        <v>56</v>
      </c>
      <c r="B11">
        <v>0.92</v>
      </c>
    </row>
    <row r="12" spans="1:2" x14ac:dyDescent="0.3">
      <c r="A12" t="s">
        <v>650</v>
      </c>
      <c r="B12">
        <v>12</v>
      </c>
    </row>
    <row r="13" spans="1:2" x14ac:dyDescent="0.3">
      <c r="A13" t="s">
        <v>651</v>
      </c>
      <c r="B13">
        <v>1900</v>
      </c>
    </row>
    <row r="14" spans="1:2" x14ac:dyDescent="0.3">
      <c r="A14" t="s">
        <v>652</v>
      </c>
      <c r="B14">
        <v>25</v>
      </c>
    </row>
    <row r="15" spans="1:2" x14ac:dyDescent="0.3">
      <c r="A15" t="s">
        <v>653</v>
      </c>
      <c r="B15">
        <v>45</v>
      </c>
    </row>
    <row r="16" spans="1:2" x14ac:dyDescent="0.3">
      <c r="A16" t="s">
        <v>654</v>
      </c>
      <c r="B16">
        <v>4.5</v>
      </c>
    </row>
    <row r="17" spans="1:11" x14ac:dyDescent="0.3">
      <c r="A17" t="s">
        <v>655</v>
      </c>
      <c r="B17">
        <v>2.5</v>
      </c>
    </row>
    <row r="18" spans="1:11" x14ac:dyDescent="0.3">
      <c r="A18" t="s">
        <v>656</v>
      </c>
      <c r="B18">
        <v>5</v>
      </c>
    </row>
    <row r="19" spans="1:11" x14ac:dyDescent="0.3">
      <c r="A19" t="s">
        <v>657</v>
      </c>
      <c r="B19">
        <v>3.7</v>
      </c>
    </row>
    <row r="20" spans="1:11" x14ac:dyDescent="0.3">
      <c r="A20" t="s">
        <v>658</v>
      </c>
      <c r="B20">
        <v>1</v>
      </c>
    </row>
    <row r="21" spans="1:11" x14ac:dyDescent="0.3">
      <c r="A21" t="s">
        <v>659</v>
      </c>
      <c r="B21">
        <v>3.5</v>
      </c>
    </row>
    <row r="22" spans="1:11" x14ac:dyDescent="0.3">
      <c r="A22" t="s">
        <v>660</v>
      </c>
      <c r="B22">
        <v>0</v>
      </c>
    </row>
    <row r="23" spans="1:11" x14ac:dyDescent="0.3">
      <c r="A23" t="s">
        <v>661</v>
      </c>
      <c r="B23" s="502">
        <v>0.70833333333333337</v>
      </c>
    </row>
    <row r="25" spans="1:11" x14ac:dyDescent="0.3">
      <c r="A25" t="s">
        <v>662</v>
      </c>
    </row>
    <row r="26" spans="1:11" x14ac:dyDescent="0.3">
      <c r="A26" t="s">
        <v>663</v>
      </c>
    </row>
    <row r="27" spans="1:11" x14ac:dyDescent="0.3">
      <c r="A27" t="s">
        <v>1</v>
      </c>
      <c r="B27" t="s">
        <v>664</v>
      </c>
      <c r="C27" t="s">
        <v>665</v>
      </c>
      <c r="D27" t="s">
        <v>666</v>
      </c>
      <c r="E27" t="s">
        <v>667</v>
      </c>
      <c r="F27" t="s">
        <v>668</v>
      </c>
      <c r="G27" t="s">
        <v>405</v>
      </c>
      <c r="H27" t="s">
        <v>669</v>
      </c>
      <c r="I27" t="s">
        <v>670</v>
      </c>
      <c r="J27" t="s">
        <v>671</v>
      </c>
      <c r="K27" t="s">
        <v>672</v>
      </c>
    </row>
    <row r="28" spans="1:11" x14ac:dyDescent="0.3">
      <c r="A28">
        <v>1</v>
      </c>
      <c r="B28">
        <v>1</v>
      </c>
      <c r="C28">
        <v>2838</v>
      </c>
      <c r="D28">
        <v>473</v>
      </c>
      <c r="E28">
        <v>0</v>
      </c>
    </row>
    <row r="29" spans="1:11" x14ac:dyDescent="0.3">
      <c r="A29">
        <v>2</v>
      </c>
      <c r="B29">
        <v>1</v>
      </c>
      <c r="C29">
        <v>2845</v>
      </c>
      <c r="D29">
        <v>-633</v>
      </c>
      <c r="E29">
        <v>0</v>
      </c>
    </row>
    <row r="30" spans="1:11" x14ac:dyDescent="0.3">
      <c r="A30">
        <v>3</v>
      </c>
      <c r="B30">
        <v>0</v>
      </c>
      <c r="C30">
        <v>2843</v>
      </c>
      <c r="D30">
        <v>-265</v>
      </c>
      <c r="E30">
        <v>0</v>
      </c>
    </row>
    <row r="31" spans="1:11" x14ac:dyDescent="0.3">
      <c r="A31">
        <v>4</v>
      </c>
      <c r="B31">
        <v>1</v>
      </c>
      <c r="C31">
        <v>1732</v>
      </c>
      <c r="D31">
        <v>-277</v>
      </c>
      <c r="E31">
        <v>0</v>
      </c>
    </row>
    <row r="32" spans="1:11" x14ac:dyDescent="0.3">
      <c r="A32">
        <v>5</v>
      </c>
      <c r="B32">
        <v>1</v>
      </c>
      <c r="C32">
        <v>37822</v>
      </c>
      <c r="D32">
        <v>-110</v>
      </c>
      <c r="E32">
        <v>0</v>
      </c>
    </row>
    <row r="33" spans="1:5" x14ac:dyDescent="0.3">
      <c r="A33">
        <v>6</v>
      </c>
      <c r="B33">
        <v>0</v>
      </c>
      <c r="C33">
        <v>4140</v>
      </c>
      <c r="D33">
        <v>-252</v>
      </c>
      <c r="E33">
        <v>0</v>
      </c>
    </row>
    <row r="34" spans="1:5" x14ac:dyDescent="0.3">
      <c r="A34">
        <v>7</v>
      </c>
      <c r="B34">
        <v>1</v>
      </c>
      <c r="C34">
        <v>4119</v>
      </c>
      <c r="D34">
        <v>263</v>
      </c>
      <c r="E34">
        <v>0</v>
      </c>
    </row>
    <row r="35" spans="1:5" x14ac:dyDescent="0.3">
      <c r="A35">
        <v>8</v>
      </c>
      <c r="B35">
        <v>1</v>
      </c>
      <c r="C35">
        <v>4210</v>
      </c>
      <c r="D35">
        <v>-777</v>
      </c>
      <c r="E35">
        <v>0</v>
      </c>
    </row>
    <row r="36" spans="1:5" x14ac:dyDescent="0.3">
      <c r="A36">
        <v>9</v>
      </c>
      <c r="B36">
        <v>2</v>
      </c>
      <c r="C36">
        <v>4125</v>
      </c>
      <c r="D36">
        <v>93</v>
      </c>
      <c r="E36">
        <v>0</v>
      </c>
    </row>
    <row r="37" spans="1:5" x14ac:dyDescent="0.3">
      <c r="A37">
        <v>10</v>
      </c>
      <c r="B37">
        <v>0</v>
      </c>
      <c r="C37">
        <v>6756</v>
      </c>
      <c r="D37">
        <v>-237</v>
      </c>
      <c r="E37">
        <v>0</v>
      </c>
    </row>
    <row r="38" spans="1:5" x14ac:dyDescent="0.3">
      <c r="A38">
        <v>11</v>
      </c>
      <c r="B38">
        <v>1</v>
      </c>
      <c r="C38">
        <v>6752</v>
      </c>
      <c r="D38">
        <v>299</v>
      </c>
      <c r="E38">
        <v>0</v>
      </c>
    </row>
    <row r="39" spans="1:5" x14ac:dyDescent="0.3">
      <c r="A39">
        <v>12</v>
      </c>
      <c r="B39">
        <v>1</v>
      </c>
      <c r="C39">
        <v>6761</v>
      </c>
      <c r="D39">
        <v>-889</v>
      </c>
      <c r="E39">
        <v>0</v>
      </c>
    </row>
    <row r="40" spans="1:5" x14ac:dyDescent="0.3">
      <c r="A40">
        <v>13</v>
      </c>
      <c r="B40">
        <v>0</v>
      </c>
      <c r="C40">
        <v>9389</v>
      </c>
      <c r="D40">
        <v>-222</v>
      </c>
      <c r="E40">
        <v>0</v>
      </c>
    </row>
    <row r="41" spans="1:5" x14ac:dyDescent="0.3">
      <c r="A41">
        <v>14</v>
      </c>
      <c r="B41">
        <v>1</v>
      </c>
      <c r="C41">
        <v>9375</v>
      </c>
      <c r="D41">
        <v>669</v>
      </c>
      <c r="E41">
        <v>0</v>
      </c>
    </row>
    <row r="42" spans="1:5" x14ac:dyDescent="0.3">
      <c r="A42">
        <v>15</v>
      </c>
      <c r="B42">
        <v>2</v>
      </c>
      <c r="C42">
        <v>9388</v>
      </c>
      <c r="D42">
        <v>43</v>
      </c>
      <c r="E42">
        <v>0</v>
      </c>
    </row>
    <row r="43" spans="1:5" x14ac:dyDescent="0.3">
      <c r="A43">
        <v>16</v>
      </c>
      <c r="B43">
        <v>0</v>
      </c>
      <c r="C43">
        <v>10706</v>
      </c>
      <c r="D43">
        <v>-214</v>
      </c>
      <c r="E43">
        <v>0</v>
      </c>
    </row>
    <row r="44" spans="1:5" x14ac:dyDescent="0.3">
      <c r="A44">
        <v>17</v>
      </c>
      <c r="B44">
        <v>1</v>
      </c>
      <c r="C44">
        <v>10705</v>
      </c>
      <c r="D44">
        <v>442</v>
      </c>
      <c r="E44">
        <v>0</v>
      </c>
    </row>
    <row r="45" spans="1:5" x14ac:dyDescent="0.3">
      <c r="A45">
        <v>18</v>
      </c>
      <c r="B45">
        <v>1</v>
      </c>
      <c r="C45">
        <v>10577</v>
      </c>
      <c r="D45">
        <v>-846</v>
      </c>
      <c r="E45">
        <v>0</v>
      </c>
    </row>
    <row r="46" spans="1:5" x14ac:dyDescent="0.3">
      <c r="A46">
        <v>19</v>
      </c>
      <c r="B46">
        <v>2</v>
      </c>
      <c r="C46">
        <v>10705</v>
      </c>
      <c r="D46">
        <v>147</v>
      </c>
      <c r="E46">
        <v>0</v>
      </c>
    </row>
    <row r="47" spans="1:5" x14ac:dyDescent="0.3">
      <c r="A47">
        <v>20</v>
      </c>
      <c r="B47">
        <v>2</v>
      </c>
      <c r="C47">
        <v>10681</v>
      </c>
      <c r="D47">
        <v>-486</v>
      </c>
      <c r="E47">
        <v>0</v>
      </c>
    </row>
    <row r="48" spans="1:5" x14ac:dyDescent="0.3">
      <c r="A48">
        <v>21</v>
      </c>
      <c r="B48">
        <v>0</v>
      </c>
      <c r="C48">
        <v>11981</v>
      </c>
      <c r="D48">
        <v>-207</v>
      </c>
      <c r="E48">
        <v>0</v>
      </c>
    </row>
    <row r="49" spans="1:5" x14ac:dyDescent="0.3">
      <c r="A49">
        <v>22</v>
      </c>
      <c r="B49">
        <v>1</v>
      </c>
      <c r="C49">
        <v>11985</v>
      </c>
      <c r="D49">
        <v>535</v>
      </c>
      <c r="E49">
        <v>0</v>
      </c>
    </row>
    <row r="50" spans="1:5" x14ac:dyDescent="0.3">
      <c r="A50">
        <v>23</v>
      </c>
      <c r="B50">
        <v>1</v>
      </c>
      <c r="C50">
        <v>11978</v>
      </c>
      <c r="D50">
        <v>-680</v>
      </c>
      <c r="E50">
        <v>0</v>
      </c>
    </row>
    <row r="51" spans="1:5" x14ac:dyDescent="0.3">
      <c r="A51">
        <v>24</v>
      </c>
      <c r="B51">
        <v>0</v>
      </c>
      <c r="C51">
        <v>13339</v>
      </c>
      <c r="D51">
        <v>-199</v>
      </c>
      <c r="E51">
        <v>0</v>
      </c>
    </row>
    <row r="52" spans="1:5" x14ac:dyDescent="0.3">
      <c r="A52">
        <v>25</v>
      </c>
      <c r="B52">
        <v>1</v>
      </c>
      <c r="C52">
        <v>13348</v>
      </c>
      <c r="D52">
        <v>352</v>
      </c>
      <c r="E52">
        <v>0</v>
      </c>
    </row>
    <row r="53" spans="1:5" x14ac:dyDescent="0.3">
      <c r="A53">
        <v>26</v>
      </c>
      <c r="B53">
        <v>1</v>
      </c>
      <c r="C53">
        <v>13331</v>
      </c>
      <c r="D53">
        <v>-726</v>
      </c>
      <c r="E53">
        <v>0</v>
      </c>
    </row>
    <row r="54" spans="1:5" x14ac:dyDescent="0.3">
      <c r="A54">
        <v>27</v>
      </c>
      <c r="B54">
        <v>0</v>
      </c>
      <c r="C54">
        <v>14639</v>
      </c>
      <c r="D54">
        <v>-191</v>
      </c>
      <c r="E54">
        <v>0</v>
      </c>
    </row>
    <row r="55" spans="1:5" x14ac:dyDescent="0.3">
      <c r="A55">
        <v>28</v>
      </c>
      <c r="B55">
        <v>1</v>
      </c>
      <c r="C55">
        <v>14633</v>
      </c>
      <c r="D55">
        <v>650</v>
      </c>
      <c r="E55">
        <v>0</v>
      </c>
    </row>
    <row r="56" spans="1:5" x14ac:dyDescent="0.3">
      <c r="A56">
        <v>29</v>
      </c>
      <c r="B56">
        <v>1</v>
      </c>
      <c r="C56">
        <v>14644</v>
      </c>
      <c r="D56">
        <v>-1230</v>
      </c>
      <c r="E56">
        <v>0</v>
      </c>
    </row>
    <row r="57" spans="1:5" x14ac:dyDescent="0.3">
      <c r="A57">
        <v>30</v>
      </c>
      <c r="B57">
        <v>2</v>
      </c>
      <c r="C57">
        <v>14640</v>
      </c>
      <c r="D57">
        <v>-594</v>
      </c>
      <c r="E57">
        <v>0</v>
      </c>
    </row>
    <row r="58" spans="1:5" x14ac:dyDescent="0.3">
      <c r="A58">
        <v>31</v>
      </c>
      <c r="B58">
        <v>2</v>
      </c>
      <c r="C58">
        <v>14640</v>
      </c>
      <c r="D58">
        <v>120</v>
      </c>
      <c r="E58">
        <v>0</v>
      </c>
    </row>
    <row r="59" spans="1:5" x14ac:dyDescent="0.3">
      <c r="A59">
        <v>32</v>
      </c>
      <c r="B59">
        <v>0</v>
      </c>
      <c r="C59">
        <v>17263</v>
      </c>
      <c r="D59">
        <v>-177</v>
      </c>
      <c r="E59">
        <v>0</v>
      </c>
    </row>
    <row r="60" spans="1:5" x14ac:dyDescent="0.3">
      <c r="A60">
        <v>33</v>
      </c>
      <c r="B60">
        <v>1</v>
      </c>
      <c r="C60">
        <v>17254</v>
      </c>
      <c r="D60">
        <v>649</v>
      </c>
      <c r="E60">
        <v>0</v>
      </c>
    </row>
    <row r="61" spans="1:5" x14ac:dyDescent="0.3">
      <c r="A61">
        <v>34</v>
      </c>
      <c r="B61">
        <v>1</v>
      </c>
      <c r="C61">
        <v>17272</v>
      </c>
      <c r="D61">
        <v>-965</v>
      </c>
      <c r="E61">
        <v>0</v>
      </c>
    </row>
    <row r="62" spans="1:5" x14ac:dyDescent="0.3">
      <c r="A62">
        <v>35</v>
      </c>
      <c r="B62">
        <v>0</v>
      </c>
      <c r="C62">
        <v>19940</v>
      </c>
      <c r="D62">
        <v>-163</v>
      </c>
      <c r="E62">
        <v>0</v>
      </c>
    </row>
    <row r="63" spans="1:5" x14ac:dyDescent="0.3">
      <c r="A63">
        <v>36</v>
      </c>
      <c r="B63">
        <v>1</v>
      </c>
      <c r="C63">
        <v>19955</v>
      </c>
      <c r="D63">
        <v>600</v>
      </c>
      <c r="E63">
        <v>0</v>
      </c>
    </row>
    <row r="64" spans="1:5" x14ac:dyDescent="0.3">
      <c r="A64">
        <v>37</v>
      </c>
      <c r="B64">
        <v>1</v>
      </c>
      <c r="C64">
        <v>19926</v>
      </c>
      <c r="D64">
        <v>-1370</v>
      </c>
      <c r="E64">
        <v>0</v>
      </c>
    </row>
    <row r="65" spans="1:5" x14ac:dyDescent="0.3">
      <c r="A65">
        <v>38</v>
      </c>
      <c r="B65">
        <v>2</v>
      </c>
      <c r="C65">
        <v>19932</v>
      </c>
      <c r="D65">
        <v>-815</v>
      </c>
      <c r="E65">
        <v>0</v>
      </c>
    </row>
    <row r="66" spans="1:5" x14ac:dyDescent="0.3">
      <c r="A66">
        <v>39</v>
      </c>
      <c r="B66">
        <v>2</v>
      </c>
      <c r="C66">
        <v>19936</v>
      </c>
      <c r="D66">
        <v>-445</v>
      </c>
      <c r="E66">
        <v>0</v>
      </c>
    </row>
    <row r="67" spans="1:5" x14ac:dyDescent="0.3">
      <c r="A67">
        <v>40</v>
      </c>
      <c r="B67">
        <v>2</v>
      </c>
      <c r="C67">
        <v>19950</v>
      </c>
      <c r="D67">
        <v>349</v>
      </c>
      <c r="E67">
        <v>0</v>
      </c>
    </row>
    <row r="68" spans="1:5" x14ac:dyDescent="0.3">
      <c r="A68">
        <v>41</v>
      </c>
      <c r="B68">
        <v>0</v>
      </c>
      <c r="C68">
        <v>22543</v>
      </c>
      <c r="D68">
        <v>-163</v>
      </c>
      <c r="E68">
        <v>0</v>
      </c>
    </row>
    <row r="69" spans="1:5" x14ac:dyDescent="0.3">
      <c r="A69">
        <v>42</v>
      </c>
      <c r="B69">
        <v>1</v>
      </c>
      <c r="C69">
        <v>22543</v>
      </c>
      <c r="D69">
        <v>1067</v>
      </c>
      <c r="E69">
        <v>0</v>
      </c>
    </row>
    <row r="70" spans="1:5" x14ac:dyDescent="0.3">
      <c r="A70">
        <v>43</v>
      </c>
      <c r="B70">
        <v>1</v>
      </c>
      <c r="C70">
        <v>22543</v>
      </c>
      <c r="D70">
        <v>-1392</v>
      </c>
      <c r="E70">
        <v>0</v>
      </c>
    </row>
    <row r="71" spans="1:5" x14ac:dyDescent="0.3">
      <c r="A71">
        <v>44</v>
      </c>
      <c r="B71">
        <v>0</v>
      </c>
      <c r="C71">
        <v>25173</v>
      </c>
      <c r="D71">
        <v>-163</v>
      </c>
      <c r="E71">
        <v>0</v>
      </c>
    </row>
    <row r="72" spans="1:5" x14ac:dyDescent="0.3">
      <c r="A72">
        <v>45</v>
      </c>
      <c r="B72">
        <v>1</v>
      </c>
      <c r="C72">
        <v>25181</v>
      </c>
      <c r="D72">
        <v>665</v>
      </c>
      <c r="E72">
        <v>0</v>
      </c>
    </row>
    <row r="73" spans="1:5" x14ac:dyDescent="0.3">
      <c r="A73">
        <v>46</v>
      </c>
      <c r="B73">
        <v>1</v>
      </c>
      <c r="C73">
        <v>25177</v>
      </c>
      <c r="D73">
        <v>-494</v>
      </c>
      <c r="E73">
        <v>0</v>
      </c>
    </row>
    <row r="74" spans="1:5" x14ac:dyDescent="0.3">
      <c r="A74">
        <v>47</v>
      </c>
      <c r="B74">
        <v>2</v>
      </c>
      <c r="C74">
        <v>25178</v>
      </c>
      <c r="D74">
        <v>320</v>
      </c>
      <c r="E74">
        <v>0</v>
      </c>
    </row>
    <row r="75" spans="1:5" x14ac:dyDescent="0.3">
      <c r="A75">
        <v>48</v>
      </c>
      <c r="B75">
        <v>0</v>
      </c>
      <c r="C75">
        <v>25855</v>
      </c>
      <c r="D75">
        <v>-163</v>
      </c>
      <c r="E75">
        <v>0</v>
      </c>
    </row>
    <row r="76" spans="1:5" x14ac:dyDescent="0.3">
      <c r="A76">
        <v>49</v>
      </c>
      <c r="B76">
        <v>0</v>
      </c>
      <c r="C76">
        <v>27802</v>
      </c>
      <c r="D76">
        <v>-146</v>
      </c>
      <c r="E76">
        <v>0</v>
      </c>
    </row>
    <row r="77" spans="1:5" x14ac:dyDescent="0.3">
      <c r="A77">
        <v>50</v>
      </c>
      <c r="B77">
        <v>1</v>
      </c>
      <c r="C77">
        <v>25843</v>
      </c>
      <c r="D77">
        <v>-525</v>
      </c>
      <c r="E77">
        <v>0</v>
      </c>
    </row>
    <row r="78" spans="1:5" x14ac:dyDescent="0.3">
      <c r="A78">
        <v>51</v>
      </c>
      <c r="B78">
        <v>1</v>
      </c>
      <c r="C78">
        <v>27789</v>
      </c>
      <c r="D78">
        <v>443</v>
      </c>
      <c r="E78">
        <v>0</v>
      </c>
    </row>
    <row r="79" spans="1:5" x14ac:dyDescent="0.3">
      <c r="A79">
        <v>52</v>
      </c>
      <c r="B79">
        <v>1</v>
      </c>
      <c r="C79">
        <v>27821</v>
      </c>
      <c r="D79">
        <v>-975</v>
      </c>
      <c r="E79">
        <v>0</v>
      </c>
    </row>
    <row r="80" spans="1:5" x14ac:dyDescent="0.3">
      <c r="A80">
        <v>53</v>
      </c>
      <c r="B80">
        <v>0</v>
      </c>
      <c r="C80">
        <v>29631</v>
      </c>
      <c r="D80">
        <v>-109</v>
      </c>
      <c r="E80">
        <v>0</v>
      </c>
    </row>
    <row r="81" spans="1:5" x14ac:dyDescent="0.3">
      <c r="A81">
        <v>54</v>
      </c>
      <c r="B81">
        <v>1</v>
      </c>
      <c r="C81">
        <v>29589</v>
      </c>
      <c r="D81">
        <v>717</v>
      </c>
      <c r="E81">
        <v>0</v>
      </c>
    </row>
    <row r="82" spans="1:5" x14ac:dyDescent="0.3">
      <c r="A82">
        <v>55</v>
      </c>
      <c r="B82">
        <v>2</v>
      </c>
      <c r="C82">
        <v>29628</v>
      </c>
      <c r="D82">
        <v>328</v>
      </c>
      <c r="E82">
        <v>0</v>
      </c>
    </row>
    <row r="83" spans="1:5" x14ac:dyDescent="0.3">
      <c r="A83">
        <v>56</v>
      </c>
      <c r="B83">
        <v>0</v>
      </c>
      <c r="C83">
        <v>31001</v>
      </c>
      <c r="D83">
        <v>-109</v>
      </c>
      <c r="E83">
        <v>0</v>
      </c>
    </row>
    <row r="84" spans="1:5" x14ac:dyDescent="0.3">
      <c r="A84">
        <v>57</v>
      </c>
      <c r="B84">
        <v>1</v>
      </c>
      <c r="C84">
        <v>31364</v>
      </c>
      <c r="D84">
        <v>742</v>
      </c>
      <c r="E84">
        <v>0</v>
      </c>
    </row>
    <row r="85" spans="1:5" x14ac:dyDescent="0.3">
      <c r="A85">
        <v>58</v>
      </c>
      <c r="B85">
        <v>1</v>
      </c>
      <c r="C85">
        <v>31103</v>
      </c>
      <c r="D85">
        <v>693</v>
      </c>
      <c r="E85">
        <v>0</v>
      </c>
    </row>
    <row r="86" spans="1:5" x14ac:dyDescent="0.3">
      <c r="A86">
        <v>59</v>
      </c>
      <c r="B86">
        <v>1</v>
      </c>
      <c r="C86">
        <v>30676</v>
      </c>
      <c r="D86">
        <v>-679</v>
      </c>
      <c r="E86">
        <v>0</v>
      </c>
    </row>
    <row r="87" spans="1:5" x14ac:dyDescent="0.3">
      <c r="A87">
        <v>60</v>
      </c>
      <c r="B87">
        <v>3</v>
      </c>
      <c r="C87">
        <v>30877</v>
      </c>
      <c r="D87">
        <v>0</v>
      </c>
      <c r="E87">
        <v>0</v>
      </c>
    </row>
    <row r="88" spans="1:5" x14ac:dyDescent="0.3">
      <c r="A88">
        <v>61</v>
      </c>
      <c r="B88">
        <v>3</v>
      </c>
      <c r="C88">
        <v>31199</v>
      </c>
      <c r="D88">
        <v>162</v>
      </c>
      <c r="E88">
        <v>0</v>
      </c>
    </row>
    <row r="89" spans="1:5" x14ac:dyDescent="0.3">
      <c r="A89">
        <v>62</v>
      </c>
      <c r="B89">
        <v>3</v>
      </c>
      <c r="C89">
        <v>31364</v>
      </c>
      <c r="D89">
        <v>-114</v>
      </c>
      <c r="E89">
        <v>0</v>
      </c>
    </row>
    <row r="90" spans="1:5" x14ac:dyDescent="0.3">
      <c r="A90">
        <v>63</v>
      </c>
      <c r="B90">
        <v>2</v>
      </c>
      <c r="C90">
        <v>31282</v>
      </c>
      <c r="D90">
        <v>-40</v>
      </c>
      <c r="E90">
        <v>0</v>
      </c>
    </row>
    <row r="91" spans="1:5" x14ac:dyDescent="0.3">
      <c r="A91">
        <v>64</v>
      </c>
      <c r="B91">
        <v>0</v>
      </c>
      <c r="C91">
        <v>32185</v>
      </c>
      <c r="D91">
        <v>-109</v>
      </c>
      <c r="E91">
        <v>0</v>
      </c>
    </row>
    <row r="92" spans="1:5" x14ac:dyDescent="0.3">
      <c r="A92">
        <v>65</v>
      </c>
      <c r="B92">
        <v>1</v>
      </c>
      <c r="C92">
        <v>32185</v>
      </c>
      <c r="D92">
        <v>321</v>
      </c>
      <c r="E92">
        <v>0</v>
      </c>
    </row>
    <row r="93" spans="1:5" x14ac:dyDescent="0.3">
      <c r="A93">
        <v>66</v>
      </c>
      <c r="B93">
        <v>1</v>
      </c>
      <c r="C93">
        <v>32105</v>
      </c>
      <c r="D93">
        <v>-546</v>
      </c>
      <c r="E93">
        <v>0</v>
      </c>
    </row>
    <row r="94" spans="1:5" x14ac:dyDescent="0.3">
      <c r="A94">
        <v>67</v>
      </c>
      <c r="B94">
        <v>0</v>
      </c>
      <c r="C94">
        <v>33098</v>
      </c>
      <c r="D94">
        <v>-109</v>
      </c>
      <c r="E94">
        <v>0</v>
      </c>
    </row>
    <row r="95" spans="1:5" x14ac:dyDescent="0.3">
      <c r="A95">
        <v>68</v>
      </c>
      <c r="B95">
        <v>1</v>
      </c>
      <c r="C95">
        <v>33094</v>
      </c>
      <c r="D95">
        <v>529</v>
      </c>
      <c r="E95">
        <v>0</v>
      </c>
    </row>
    <row r="96" spans="1:5" x14ac:dyDescent="0.3">
      <c r="A96">
        <v>69</v>
      </c>
      <c r="B96">
        <v>1</v>
      </c>
      <c r="C96">
        <v>33103</v>
      </c>
      <c r="D96">
        <v>-875</v>
      </c>
      <c r="E96">
        <v>0</v>
      </c>
    </row>
    <row r="97" spans="1:10" x14ac:dyDescent="0.3">
      <c r="A97">
        <v>70</v>
      </c>
      <c r="B97">
        <v>0</v>
      </c>
      <c r="C97">
        <v>36041</v>
      </c>
      <c r="D97">
        <v>-110</v>
      </c>
      <c r="E97">
        <v>0</v>
      </c>
    </row>
    <row r="98" spans="1:10" x14ac:dyDescent="0.3">
      <c r="A98">
        <v>71</v>
      </c>
      <c r="B98">
        <v>1</v>
      </c>
      <c r="C98">
        <v>36125</v>
      </c>
      <c r="D98">
        <v>470</v>
      </c>
      <c r="E98">
        <v>0</v>
      </c>
    </row>
    <row r="99" spans="1:10" x14ac:dyDescent="0.3">
      <c r="A99">
        <v>72</v>
      </c>
      <c r="B99">
        <v>1</v>
      </c>
      <c r="C99">
        <v>36019</v>
      </c>
      <c r="D99">
        <v>-709</v>
      </c>
      <c r="E99">
        <v>0</v>
      </c>
    </row>
    <row r="100" spans="1:10" x14ac:dyDescent="0.3">
      <c r="A100">
        <v>73</v>
      </c>
      <c r="B100">
        <v>0</v>
      </c>
      <c r="C100">
        <v>15961</v>
      </c>
      <c r="D100">
        <v>-189</v>
      </c>
      <c r="E100">
        <v>0</v>
      </c>
    </row>
    <row r="101" spans="1:10" x14ac:dyDescent="0.3">
      <c r="A101">
        <v>74</v>
      </c>
      <c r="B101">
        <v>1</v>
      </c>
      <c r="C101">
        <v>15957</v>
      </c>
      <c r="D101">
        <v>-805</v>
      </c>
      <c r="E101">
        <v>0</v>
      </c>
    </row>
    <row r="102" spans="1:10" x14ac:dyDescent="0.3">
      <c r="A102">
        <v>96</v>
      </c>
      <c r="B102">
        <v>1</v>
      </c>
      <c r="C102">
        <v>30880</v>
      </c>
      <c r="D102">
        <v>-869</v>
      </c>
      <c r="E102">
        <v>0</v>
      </c>
    </row>
    <row r="103" spans="1:10" x14ac:dyDescent="0.3">
      <c r="A103">
        <v>97</v>
      </c>
      <c r="B103">
        <v>3</v>
      </c>
      <c r="C103">
        <v>30718</v>
      </c>
      <c r="D103">
        <v>-108</v>
      </c>
      <c r="E103">
        <v>0</v>
      </c>
    </row>
    <row r="104" spans="1:10" x14ac:dyDescent="0.3">
      <c r="A104">
        <v>98</v>
      </c>
      <c r="B104">
        <v>2</v>
      </c>
      <c r="C104">
        <v>31091</v>
      </c>
      <c r="D104">
        <v>-390</v>
      </c>
      <c r="E104">
        <v>0</v>
      </c>
    </row>
    <row r="105" spans="1:10" x14ac:dyDescent="0.3">
      <c r="A105">
        <v>99</v>
      </c>
      <c r="B105">
        <v>3</v>
      </c>
      <c r="C105">
        <v>30813</v>
      </c>
      <c r="D105">
        <v>-321</v>
      </c>
      <c r="E105">
        <v>0</v>
      </c>
    </row>
    <row r="106" spans="1:10" x14ac:dyDescent="0.3">
      <c r="A106">
        <v>100</v>
      </c>
      <c r="B106">
        <v>1</v>
      </c>
      <c r="C106">
        <v>29629</v>
      </c>
      <c r="D106">
        <v>-358</v>
      </c>
      <c r="E106">
        <v>0</v>
      </c>
    </row>
    <row r="108" spans="1:10" x14ac:dyDescent="0.3">
      <c r="A108" t="s">
        <v>562</v>
      </c>
    </row>
    <row r="109" spans="1:10" x14ac:dyDescent="0.3">
      <c r="A109" t="s">
        <v>673</v>
      </c>
    </row>
    <row r="110" spans="1:10" x14ac:dyDescent="0.3">
      <c r="A110" t="s">
        <v>0</v>
      </c>
      <c r="B110" t="s">
        <v>1</v>
      </c>
      <c r="C110" t="s">
        <v>399</v>
      </c>
      <c r="D110" t="s">
        <v>400</v>
      </c>
      <c r="E110" t="s">
        <v>397</v>
      </c>
      <c r="F110" t="s">
        <v>398</v>
      </c>
      <c r="G110" t="s">
        <v>674</v>
      </c>
      <c r="H110" t="s">
        <v>675</v>
      </c>
      <c r="I110" t="s">
        <v>676</v>
      </c>
      <c r="J110" t="s">
        <v>677</v>
      </c>
    </row>
    <row r="111" spans="1:10" x14ac:dyDescent="0.3">
      <c r="A111" t="s">
        <v>678</v>
      </c>
      <c r="B111">
        <v>1</v>
      </c>
      <c r="C111">
        <v>3</v>
      </c>
    </row>
    <row r="112" spans="1:10" x14ac:dyDescent="0.3">
      <c r="A112" t="s">
        <v>36</v>
      </c>
      <c r="B112">
        <v>1</v>
      </c>
      <c r="C112">
        <v>1</v>
      </c>
    </row>
    <row r="113" spans="1:3" x14ac:dyDescent="0.3">
      <c r="A113" t="s">
        <v>503</v>
      </c>
      <c r="B113">
        <v>1</v>
      </c>
    </row>
    <row r="114" spans="1:3" x14ac:dyDescent="0.3">
      <c r="A114" t="s">
        <v>679</v>
      </c>
      <c r="B114">
        <v>1</v>
      </c>
      <c r="C114">
        <v>738</v>
      </c>
    </row>
    <row r="115" spans="1:3" x14ac:dyDescent="0.3">
      <c r="A115" t="s">
        <v>42</v>
      </c>
      <c r="B115">
        <v>1</v>
      </c>
      <c r="C115">
        <v>30</v>
      </c>
    </row>
    <row r="116" spans="1:3" x14ac:dyDescent="0.3">
      <c r="A116" t="s">
        <v>680</v>
      </c>
      <c r="B116">
        <v>1</v>
      </c>
      <c r="C116">
        <v>16.8</v>
      </c>
    </row>
    <row r="117" spans="1:3" x14ac:dyDescent="0.3">
      <c r="A117" t="s">
        <v>41</v>
      </c>
      <c r="B117">
        <v>1</v>
      </c>
      <c r="C117">
        <v>0</v>
      </c>
    </row>
    <row r="118" spans="1:3" x14ac:dyDescent="0.3">
      <c r="A118" t="s">
        <v>681</v>
      </c>
      <c r="B118">
        <v>1</v>
      </c>
      <c r="C118">
        <v>0</v>
      </c>
    </row>
    <row r="119" spans="1:3" x14ac:dyDescent="0.3">
      <c r="A119" t="s">
        <v>563</v>
      </c>
      <c r="B119">
        <v>1</v>
      </c>
      <c r="C119">
        <v>0</v>
      </c>
    </row>
    <row r="120" spans="1:3" x14ac:dyDescent="0.3">
      <c r="A120" t="s">
        <v>682</v>
      </c>
      <c r="B120">
        <v>1</v>
      </c>
      <c r="C120">
        <v>0</v>
      </c>
    </row>
    <row r="121" spans="1:3" x14ac:dyDescent="0.3">
      <c r="A121" t="s">
        <v>683</v>
      </c>
      <c r="B121">
        <v>1</v>
      </c>
      <c r="C121">
        <v>16</v>
      </c>
    </row>
    <row r="122" spans="1:3" x14ac:dyDescent="0.3">
      <c r="A122" t="s">
        <v>684</v>
      </c>
      <c r="B122">
        <v>1</v>
      </c>
      <c r="C122">
        <v>200</v>
      </c>
    </row>
    <row r="123" spans="1:3" x14ac:dyDescent="0.3">
      <c r="A123" t="s">
        <v>685</v>
      </c>
      <c r="B123">
        <v>1</v>
      </c>
      <c r="C123">
        <v>1320</v>
      </c>
    </row>
    <row r="124" spans="1:3" x14ac:dyDescent="0.3">
      <c r="A124" t="s">
        <v>686</v>
      </c>
      <c r="B124">
        <v>1</v>
      </c>
      <c r="C124">
        <v>880</v>
      </c>
    </row>
    <row r="125" spans="1:3" x14ac:dyDescent="0.3">
      <c r="A125" t="s">
        <v>687</v>
      </c>
      <c r="B125">
        <v>1</v>
      </c>
      <c r="C125">
        <v>1760</v>
      </c>
    </row>
    <row r="126" spans="1:3" x14ac:dyDescent="0.3">
      <c r="A126" t="s">
        <v>688</v>
      </c>
      <c r="B126">
        <v>1</v>
      </c>
    </row>
    <row r="127" spans="1:3" x14ac:dyDescent="0.3">
      <c r="A127" t="s">
        <v>689</v>
      </c>
      <c r="B127">
        <v>1</v>
      </c>
    </row>
    <row r="128" spans="1:3" x14ac:dyDescent="0.3">
      <c r="A128" t="s">
        <v>690</v>
      </c>
      <c r="B128">
        <v>1</v>
      </c>
    </row>
    <row r="129" spans="1:4" x14ac:dyDescent="0.3">
      <c r="A129" t="s">
        <v>691</v>
      </c>
      <c r="B129">
        <v>1</v>
      </c>
      <c r="C129" t="b">
        <v>0</v>
      </c>
    </row>
    <row r="130" spans="1:4" x14ac:dyDescent="0.3">
      <c r="A130" t="s">
        <v>692</v>
      </c>
      <c r="B130">
        <v>1</v>
      </c>
      <c r="C130" t="b">
        <v>0</v>
      </c>
    </row>
    <row r="131" spans="1:4" x14ac:dyDescent="0.3">
      <c r="A131" t="s">
        <v>678</v>
      </c>
      <c r="B131">
        <v>2</v>
      </c>
      <c r="D131">
        <v>3</v>
      </c>
    </row>
    <row r="132" spans="1:4" x14ac:dyDescent="0.3">
      <c r="A132" t="s">
        <v>36</v>
      </c>
      <c r="B132">
        <v>2</v>
      </c>
      <c r="D132">
        <v>1</v>
      </c>
    </row>
    <row r="133" spans="1:4" x14ac:dyDescent="0.3">
      <c r="A133" t="s">
        <v>503</v>
      </c>
      <c r="B133">
        <v>2</v>
      </c>
      <c r="D133" t="s">
        <v>693</v>
      </c>
    </row>
    <row r="134" spans="1:4" x14ac:dyDescent="0.3">
      <c r="A134" t="s">
        <v>679</v>
      </c>
      <c r="B134">
        <v>2</v>
      </c>
      <c r="D134">
        <v>368</v>
      </c>
    </row>
    <row r="135" spans="1:4" x14ac:dyDescent="0.3">
      <c r="A135" t="s">
        <v>42</v>
      </c>
      <c r="B135">
        <v>2</v>
      </c>
      <c r="D135">
        <v>30</v>
      </c>
    </row>
    <row r="136" spans="1:4" x14ac:dyDescent="0.3">
      <c r="A136" t="s">
        <v>680</v>
      </c>
      <c r="B136">
        <v>2</v>
      </c>
      <c r="D136">
        <v>8.4</v>
      </c>
    </row>
    <row r="137" spans="1:4" x14ac:dyDescent="0.3">
      <c r="A137" t="s">
        <v>41</v>
      </c>
      <c r="B137">
        <v>2</v>
      </c>
      <c r="D137">
        <v>0</v>
      </c>
    </row>
    <row r="138" spans="1:4" x14ac:dyDescent="0.3">
      <c r="A138" t="s">
        <v>681</v>
      </c>
      <c r="B138">
        <v>2</v>
      </c>
      <c r="D138">
        <v>0</v>
      </c>
    </row>
    <row r="139" spans="1:4" x14ac:dyDescent="0.3">
      <c r="A139" t="s">
        <v>563</v>
      </c>
      <c r="B139">
        <v>2</v>
      </c>
      <c r="D139">
        <v>0</v>
      </c>
    </row>
    <row r="140" spans="1:4" x14ac:dyDescent="0.3">
      <c r="A140" t="s">
        <v>682</v>
      </c>
      <c r="B140">
        <v>2</v>
      </c>
      <c r="D140">
        <v>0</v>
      </c>
    </row>
    <row r="141" spans="1:4" x14ac:dyDescent="0.3">
      <c r="A141" t="s">
        <v>683</v>
      </c>
      <c r="B141">
        <v>2</v>
      </c>
      <c r="D141">
        <v>16</v>
      </c>
    </row>
    <row r="142" spans="1:4" x14ac:dyDescent="0.3">
      <c r="A142" t="s">
        <v>684</v>
      </c>
      <c r="B142">
        <v>2</v>
      </c>
      <c r="D142">
        <v>200</v>
      </c>
    </row>
    <row r="143" spans="1:4" x14ac:dyDescent="0.3">
      <c r="A143" t="s">
        <v>685</v>
      </c>
      <c r="B143">
        <v>2</v>
      </c>
      <c r="D143">
        <v>1320</v>
      </c>
    </row>
    <row r="144" spans="1:4" x14ac:dyDescent="0.3">
      <c r="A144" t="s">
        <v>686</v>
      </c>
      <c r="B144">
        <v>2</v>
      </c>
      <c r="D144">
        <v>880</v>
      </c>
    </row>
    <row r="145" spans="1:6" x14ac:dyDescent="0.3">
      <c r="A145" t="s">
        <v>687</v>
      </c>
      <c r="B145">
        <v>2</v>
      </c>
      <c r="D145">
        <v>1760</v>
      </c>
    </row>
    <row r="146" spans="1:6" x14ac:dyDescent="0.3">
      <c r="A146" t="s">
        <v>688</v>
      </c>
      <c r="B146">
        <v>2</v>
      </c>
    </row>
    <row r="147" spans="1:6" x14ac:dyDescent="0.3">
      <c r="A147" t="s">
        <v>689</v>
      </c>
      <c r="B147">
        <v>2</v>
      </c>
    </row>
    <row r="148" spans="1:6" x14ac:dyDescent="0.3">
      <c r="A148" t="s">
        <v>690</v>
      </c>
      <c r="B148">
        <v>2</v>
      </c>
    </row>
    <row r="149" spans="1:6" x14ac:dyDescent="0.3">
      <c r="A149" t="s">
        <v>691</v>
      </c>
      <c r="B149">
        <v>2</v>
      </c>
      <c r="D149" t="b">
        <v>0</v>
      </c>
    </row>
    <row r="150" spans="1:6" x14ac:dyDescent="0.3">
      <c r="A150" t="s">
        <v>692</v>
      </c>
      <c r="B150">
        <v>2</v>
      </c>
      <c r="D150" t="b">
        <v>0</v>
      </c>
    </row>
    <row r="151" spans="1:6" x14ac:dyDescent="0.3">
      <c r="A151" t="s">
        <v>678</v>
      </c>
      <c r="B151">
        <v>3</v>
      </c>
      <c r="C151">
        <v>2</v>
      </c>
      <c r="D151">
        <v>1</v>
      </c>
      <c r="E151">
        <v>4</v>
      </c>
      <c r="F151">
        <v>6</v>
      </c>
    </row>
    <row r="152" spans="1:6" x14ac:dyDescent="0.3">
      <c r="A152" t="s">
        <v>36</v>
      </c>
      <c r="B152">
        <v>3</v>
      </c>
      <c r="C152">
        <v>1</v>
      </c>
      <c r="D152">
        <v>1</v>
      </c>
      <c r="E152">
        <v>4</v>
      </c>
      <c r="F152">
        <v>4</v>
      </c>
    </row>
    <row r="153" spans="1:6" x14ac:dyDescent="0.3">
      <c r="A153" t="s">
        <v>503</v>
      </c>
      <c r="B153">
        <v>3</v>
      </c>
      <c r="C153" t="s">
        <v>693</v>
      </c>
      <c r="E153" t="s">
        <v>694</v>
      </c>
      <c r="F153" t="s">
        <v>694</v>
      </c>
    </row>
    <row r="154" spans="1:6" x14ac:dyDescent="0.3">
      <c r="A154" t="s">
        <v>679</v>
      </c>
      <c r="B154">
        <v>3</v>
      </c>
      <c r="C154">
        <v>368</v>
      </c>
      <c r="D154">
        <v>738</v>
      </c>
      <c r="E154">
        <v>1111</v>
      </c>
      <c r="F154">
        <v>1297</v>
      </c>
    </row>
    <row r="155" spans="1:6" x14ac:dyDescent="0.3">
      <c r="A155" t="s">
        <v>42</v>
      </c>
      <c r="B155">
        <v>3</v>
      </c>
      <c r="C155">
        <v>30</v>
      </c>
      <c r="D155">
        <v>30</v>
      </c>
      <c r="E155">
        <v>40</v>
      </c>
      <c r="F155">
        <v>40</v>
      </c>
    </row>
    <row r="156" spans="1:6" x14ac:dyDescent="0.3">
      <c r="A156" t="s">
        <v>680</v>
      </c>
      <c r="B156">
        <v>3</v>
      </c>
      <c r="C156">
        <v>8.4</v>
      </c>
      <c r="D156">
        <v>16.8</v>
      </c>
      <c r="E156">
        <v>18.899999999999999</v>
      </c>
      <c r="F156">
        <v>22.1</v>
      </c>
    </row>
    <row r="157" spans="1:6" x14ac:dyDescent="0.3">
      <c r="A157" t="s">
        <v>41</v>
      </c>
      <c r="B157">
        <v>3</v>
      </c>
      <c r="C157">
        <v>0</v>
      </c>
      <c r="D157">
        <v>0</v>
      </c>
      <c r="E157">
        <v>0</v>
      </c>
      <c r="F157">
        <v>0</v>
      </c>
    </row>
    <row r="158" spans="1:6" x14ac:dyDescent="0.3">
      <c r="A158" t="s">
        <v>681</v>
      </c>
      <c r="B158">
        <v>3</v>
      </c>
      <c r="C158">
        <v>0</v>
      </c>
      <c r="D158">
        <v>0</v>
      </c>
      <c r="E158">
        <v>12</v>
      </c>
      <c r="F158">
        <v>12</v>
      </c>
    </row>
    <row r="159" spans="1:6" x14ac:dyDescent="0.3">
      <c r="A159" t="s">
        <v>563</v>
      </c>
      <c r="B159">
        <v>3</v>
      </c>
      <c r="C159">
        <v>0</v>
      </c>
      <c r="D159">
        <v>0</v>
      </c>
      <c r="E159">
        <v>0</v>
      </c>
      <c r="F159">
        <v>0</v>
      </c>
    </row>
    <row r="160" spans="1:6" x14ac:dyDescent="0.3">
      <c r="A160" t="s">
        <v>682</v>
      </c>
      <c r="B160">
        <v>3</v>
      </c>
      <c r="C160">
        <v>0</v>
      </c>
      <c r="D160">
        <v>0</v>
      </c>
      <c r="E160">
        <v>0</v>
      </c>
      <c r="F160">
        <v>0</v>
      </c>
    </row>
    <row r="161" spans="1:6" x14ac:dyDescent="0.3">
      <c r="A161" t="s">
        <v>683</v>
      </c>
      <c r="B161">
        <v>3</v>
      </c>
      <c r="C161">
        <v>16</v>
      </c>
      <c r="D161">
        <v>16</v>
      </c>
      <c r="E161">
        <v>16</v>
      </c>
      <c r="F161">
        <v>16</v>
      </c>
    </row>
    <row r="162" spans="1:6" x14ac:dyDescent="0.3">
      <c r="A162" t="s">
        <v>684</v>
      </c>
      <c r="B162">
        <v>3</v>
      </c>
      <c r="C162">
        <v>500</v>
      </c>
      <c r="D162">
        <v>500</v>
      </c>
      <c r="E162">
        <v>500</v>
      </c>
      <c r="F162">
        <v>500</v>
      </c>
    </row>
    <row r="163" spans="1:6" x14ac:dyDescent="0.3">
      <c r="A163" t="s">
        <v>685</v>
      </c>
      <c r="B163">
        <v>3</v>
      </c>
      <c r="C163">
        <v>1320</v>
      </c>
      <c r="D163">
        <v>1320</v>
      </c>
      <c r="E163">
        <v>1761</v>
      </c>
      <c r="F163">
        <v>1761</v>
      </c>
    </row>
    <row r="164" spans="1:6" x14ac:dyDescent="0.3">
      <c r="A164" t="s">
        <v>686</v>
      </c>
      <c r="B164">
        <v>3</v>
      </c>
      <c r="C164">
        <v>880</v>
      </c>
      <c r="D164">
        <v>880</v>
      </c>
      <c r="E164">
        <v>1174</v>
      </c>
      <c r="F164">
        <v>1174</v>
      </c>
    </row>
    <row r="165" spans="1:6" x14ac:dyDescent="0.3">
      <c r="A165" t="s">
        <v>687</v>
      </c>
      <c r="B165">
        <v>3</v>
      </c>
      <c r="C165">
        <v>1760</v>
      </c>
      <c r="D165">
        <v>1760</v>
      </c>
      <c r="E165">
        <v>2348</v>
      </c>
      <c r="F165">
        <v>2348</v>
      </c>
    </row>
    <row r="166" spans="1:6" x14ac:dyDescent="0.3">
      <c r="A166" t="s">
        <v>688</v>
      </c>
      <c r="B166">
        <v>3</v>
      </c>
    </row>
    <row r="167" spans="1:6" x14ac:dyDescent="0.3">
      <c r="A167" t="s">
        <v>689</v>
      </c>
      <c r="B167">
        <v>3</v>
      </c>
    </row>
    <row r="168" spans="1:6" x14ac:dyDescent="0.3">
      <c r="A168" t="s">
        <v>690</v>
      </c>
      <c r="B168">
        <v>3</v>
      </c>
    </row>
    <row r="169" spans="1:6" x14ac:dyDescent="0.3">
      <c r="A169" t="s">
        <v>691</v>
      </c>
      <c r="B169">
        <v>3</v>
      </c>
      <c r="C169" t="b">
        <v>0</v>
      </c>
      <c r="D169" t="b">
        <v>0</v>
      </c>
      <c r="E169" t="b">
        <v>0</v>
      </c>
      <c r="F169" t="b">
        <v>0</v>
      </c>
    </row>
    <row r="170" spans="1:6" x14ac:dyDescent="0.3">
      <c r="A170" t="s">
        <v>692</v>
      </c>
      <c r="B170">
        <v>3</v>
      </c>
      <c r="C170" t="b">
        <v>0</v>
      </c>
      <c r="D170" t="b">
        <v>0</v>
      </c>
      <c r="E170" t="b">
        <v>0</v>
      </c>
      <c r="F170" t="b">
        <v>0</v>
      </c>
    </row>
    <row r="171" spans="1:6" x14ac:dyDescent="0.3">
      <c r="A171" t="s">
        <v>678</v>
      </c>
      <c r="B171">
        <v>4</v>
      </c>
      <c r="F171">
        <v>3</v>
      </c>
    </row>
    <row r="172" spans="1:6" x14ac:dyDescent="0.3">
      <c r="A172" t="s">
        <v>36</v>
      </c>
      <c r="B172">
        <v>4</v>
      </c>
      <c r="F172">
        <v>3</v>
      </c>
    </row>
    <row r="173" spans="1:6" x14ac:dyDescent="0.3">
      <c r="A173" t="s">
        <v>503</v>
      </c>
      <c r="B173">
        <v>4</v>
      </c>
      <c r="F173" t="s">
        <v>694</v>
      </c>
    </row>
    <row r="174" spans="1:6" x14ac:dyDescent="0.3">
      <c r="A174" t="s">
        <v>679</v>
      </c>
      <c r="B174">
        <v>4</v>
      </c>
      <c r="F174">
        <v>1111</v>
      </c>
    </row>
    <row r="175" spans="1:6" x14ac:dyDescent="0.3">
      <c r="A175" t="s">
        <v>42</v>
      </c>
      <c r="B175">
        <v>4</v>
      </c>
      <c r="F175">
        <v>30</v>
      </c>
    </row>
    <row r="176" spans="1:6" x14ac:dyDescent="0.3">
      <c r="A176" t="s">
        <v>680</v>
      </c>
      <c r="B176">
        <v>4</v>
      </c>
      <c r="F176">
        <v>25.3</v>
      </c>
    </row>
    <row r="177" spans="1:6" x14ac:dyDescent="0.3">
      <c r="A177" t="s">
        <v>41</v>
      </c>
      <c r="B177">
        <v>4</v>
      </c>
      <c r="F177">
        <v>0</v>
      </c>
    </row>
    <row r="178" spans="1:6" x14ac:dyDescent="0.3">
      <c r="A178" t="s">
        <v>681</v>
      </c>
      <c r="B178">
        <v>4</v>
      </c>
      <c r="F178">
        <v>12</v>
      </c>
    </row>
    <row r="179" spans="1:6" x14ac:dyDescent="0.3">
      <c r="A179" t="s">
        <v>563</v>
      </c>
      <c r="B179">
        <v>4</v>
      </c>
      <c r="F179">
        <v>0</v>
      </c>
    </row>
    <row r="180" spans="1:6" x14ac:dyDescent="0.3">
      <c r="A180" t="s">
        <v>682</v>
      </c>
      <c r="B180">
        <v>4</v>
      </c>
      <c r="F180">
        <v>0</v>
      </c>
    </row>
    <row r="181" spans="1:6" x14ac:dyDescent="0.3">
      <c r="A181" t="s">
        <v>683</v>
      </c>
      <c r="B181">
        <v>4</v>
      </c>
      <c r="F181">
        <v>16</v>
      </c>
    </row>
    <row r="182" spans="1:6" x14ac:dyDescent="0.3">
      <c r="A182" t="s">
        <v>684</v>
      </c>
      <c r="B182">
        <v>4</v>
      </c>
      <c r="F182">
        <v>200</v>
      </c>
    </row>
    <row r="183" spans="1:6" x14ac:dyDescent="0.3">
      <c r="A183" t="s">
        <v>685</v>
      </c>
      <c r="B183">
        <v>4</v>
      </c>
      <c r="F183">
        <v>1320</v>
      </c>
    </row>
    <row r="184" spans="1:6" x14ac:dyDescent="0.3">
      <c r="A184" t="s">
        <v>686</v>
      </c>
      <c r="B184">
        <v>4</v>
      </c>
      <c r="F184">
        <v>880</v>
      </c>
    </row>
    <row r="185" spans="1:6" x14ac:dyDescent="0.3">
      <c r="A185" t="s">
        <v>687</v>
      </c>
      <c r="B185">
        <v>4</v>
      </c>
      <c r="F185">
        <v>1760</v>
      </c>
    </row>
    <row r="186" spans="1:6" x14ac:dyDescent="0.3">
      <c r="A186" t="s">
        <v>688</v>
      </c>
      <c r="B186">
        <v>4</v>
      </c>
    </row>
    <row r="187" spans="1:6" x14ac:dyDescent="0.3">
      <c r="A187" t="s">
        <v>689</v>
      </c>
      <c r="B187">
        <v>4</v>
      </c>
    </row>
    <row r="188" spans="1:6" x14ac:dyDescent="0.3">
      <c r="A188" t="s">
        <v>690</v>
      </c>
      <c r="B188">
        <v>4</v>
      </c>
    </row>
    <row r="189" spans="1:6" x14ac:dyDescent="0.3">
      <c r="A189" t="s">
        <v>691</v>
      </c>
      <c r="B189">
        <v>4</v>
      </c>
      <c r="F189" t="b">
        <v>0</v>
      </c>
    </row>
    <row r="190" spans="1:6" x14ac:dyDescent="0.3">
      <c r="A190" t="s">
        <v>692</v>
      </c>
      <c r="B190">
        <v>4</v>
      </c>
      <c r="F190" t="b">
        <v>0</v>
      </c>
    </row>
    <row r="191" spans="1:6" x14ac:dyDescent="0.3">
      <c r="A191" t="s">
        <v>678</v>
      </c>
      <c r="B191">
        <v>5</v>
      </c>
      <c r="E191">
        <v>70</v>
      </c>
    </row>
    <row r="192" spans="1:6" x14ac:dyDescent="0.3">
      <c r="A192" t="s">
        <v>36</v>
      </c>
      <c r="B192">
        <v>5</v>
      </c>
      <c r="E192">
        <v>3</v>
      </c>
    </row>
    <row r="193" spans="1:5" x14ac:dyDescent="0.3">
      <c r="A193" t="s">
        <v>503</v>
      </c>
      <c r="B193">
        <v>5</v>
      </c>
      <c r="E193" t="s">
        <v>695</v>
      </c>
    </row>
    <row r="194" spans="1:5" x14ac:dyDescent="0.3">
      <c r="A194" t="s">
        <v>679</v>
      </c>
      <c r="B194">
        <v>5</v>
      </c>
      <c r="E194">
        <v>1781</v>
      </c>
    </row>
    <row r="195" spans="1:5" x14ac:dyDescent="0.3">
      <c r="A195" t="s">
        <v>42</v>
      </c>
      <c r="B195">
        <v>5</v>
      </c>
      <c r="E195">
        <v>45</v>
      </c>
    </row>
    <row r="196" spans="1:5" x14ac:dyDescent="0.3">
      <c r="A196" t="s">
        <v>680</v>
      </c>
      <c r="B196">
        <v>5</v>
      </c>
      <c r="E196">
        <v>27</v>
      </c>
    </row>
    <row r="197" spans="1:5" x14ac:dyDescent="0.3">
      <c r="A197" t="s">
        <v>41</v>
      </c>
      <c r="B197">
        <v>5</v>
      </c>
      <c r="E197">
        <v>0</v>
      </c>
    </row>
    <row r="198" spans="1:5" x14ac:dyDescent="0.3">
      <c r="A198" t="s">
        <v>681</v>
      </c>
      <c r="B198">
        <v>5</v>
      </c>
      <c r="E198">
        <v>12</v>
      </c>
    </row>
    <row r="199" spans="1:5" x14ac:dyDescent="0.3">
      <c r="A199" t="s">
        <v>563</v>
      </c>
      <c r="B199">
        <v>5</v>
      </c>
      <c r="E199">
        <v>0</v>
      </c>
    </row>
    <row r="200" spans="1:5" x14ac:dyDescent="0.3">
      <c r="A200" t="s">
        <v>682</v>
      </c>
      <c r="B200">
        <v>5</v>
      </c>
      <c r="E200">
        <v>0</v>
      </c>
    </row>
    <row r="201" spans="1:5" x14ac:dyDescent="0.3">
      <c r="A201" t="s">
        <v>683</v>
      </c>
      <c r="B201">
        <v>5</v>
      </c>
      <c r="E201">
        <v>16</v>
      </c>
    </row>
    <row r="202" spans="1:5" x14ac:dyDescent="0.3">
      <c r="A202" t="s">
        <v>684</v>
      </c>
      <c r="B202">
        <v>5</v>
      </c>
      <c r="E202">
        <v>200</v>
      </c>
    </row>
    <row r="203" spans="1:5" x14ac:dyDescent="0.3">
      <c r="A203" t="s">
        <v>685</v>
      </c>
      <c r="B203">
        <v>5</v>
      </c>
      <c r="E203">
        <v>1980</v>
      </c>
    </row>
    <row r="204" spans="1:5" x14ac:dyDescent="0.3">
      <c r="A204" t="s">
        <v>686</v>
      </c>
      <c r="B204">
        <v>5</v>
      </c>
      <c r="E204">
        <v>1320</v>
      </c>
    </row>
    <row r="205" spans="1:5" x14ac:dyDescent="0.3">
      <c r="A205" t="s">
        <v>687</v>
      </c>
      <c r="B205">
        <v>5</v>
      </c>
      <c r="E205">
        <v>2640</v>
      </c>
    </row>
    <row r="206" spans="1:5" x14ac:dyDescent="0.3">
      <c r="A206" t="s">
        <v>688</v>
      </c>
      <c r="B206">
        <v>5</v>
      </c>
    </row>
    <row r="207" spans="1:5" x14ac:dyDescent="0.3">
      <c r="A207" t="s">
        <v>689</v>
      </c>
      <c r="B207">
        <v>5</v>
      </c>
    </row>
    <row r="208" spans="1:5" x14ac:dyDescent="0.3">
      <c r="A208" t="s">
        <v>690</v>
      </c>
      <c r="B208">
        <v>5</v>
      </c>
    </row>
    <row r="209" spans="1:6" x14ac:dyDescent="0.3">
      <c r="A209" t="s">
        <v>691</v>
      </c>
      <c r="B209">
        <v>5</v>
      </c>
      <c r="E209" t="b">
        <v>0</v>
      </c>
    </row>
    <row r="210" spans="1:6" x14ac:dyDescent="0.3">
      <c r="A210" t="s">
        <v>692</v>
      </c>
      <c r="B210">
        <v>5</v>
      </c>
      <c r="E210" t="b">
        <v>0</v>
      </c>
    </row>
    <row r="211" spans="1:6" x14ac:dyDescent="0.3">
      <c r="A211" t="s">
        <v>678</v>
      </c>
      <c r="B211">
        <v>6</v>
      </c>
      <c r="C211">
        <v>8</v>
      </c>
      <c r="D211">
        <v>9</v>
      </c>
      <c r="E211">
        <v>3</v>
      </c>
      <c r="F211">
        <v>10</v>
      </c>
    </row>
    <row r="212" spans="1:6" x14ac:dyDescent="0.3">
      <c r="A212" t="s">
        <v>36</v>
      </c>
      <c r="B212">
        <v>6</v>
      </c>
      <c r="C212">
        <v>3</v>
      </c>
      <c r="D212">
        <v>2</v>
      </c>
      <c r="E212">
        <v>5</v>
      </c>
      <c r="F212">
        <v>4</v>
      </c>
    </row>
    <row r="213" spans="1:6" x14ac:dyDescent="0.3">
      <c r="A213" t="s">
        <v>503</v>
      </c>
      <c r="B213">
        <v>6</v>
      </c>
      <c r="C213" t="s">
        <v>696</v>
      </c>
      <c r="E213" t="s">
        <v>694</v>
      </c>
      <c r="F213" t="s">
        <v>694</v>
      </c>
    </row>
    <row r="214" spans="1:6" x14ac:dyDescent="0.3">
      <c r="A214" t="s">
        <v>679</v>
      </c>
      <c r="B214">
        <v>6</v>
      </c>
      <c r="C214">
        <v>532</v>
      </c>
      <c r="D214">
        <v>345</v>
      </c>
      <c r="E214">
        <v>1297</v>
      </c>
      <c r="F214">
        <v>2616</v>
      </c>
    </row>
    <row r="215" spans="1:6" x14ac:dyDescent="0.3">
      <c r="A215" t="s">
        <v>42</v>
      </c>
      <c r="B215">
        <v>6</v>
      </c>
      <c r="C215">
        <v>30</v>
      </c>
      <c r="D215">
        <v>30</v>
      </c>
      <c r="E215">
        <v>40</v>
      </c>
      <c r="F215">
        <v>40</v>
      </c>
    </row>
    <row r="216" spans="1:6" x14ac:dyDescent="0.3">
      <c r="A216" t="s">
        <v>680</v>
      </c>
      <c r="B216">
        <v>6</v>
      </c>
      <c r="C216">
        <v>12.1</v>
      </c>
      <c r="D216">
        <v>7.8</v>
      </c>
      <c r="E216">
        <v>22.1</v>
      </c>
      <c r="F216">
        <v>44.6</v>
      </c>
    </row>
    <row r="217" spans="1:6" x14ac:dyDescent="0.3">
      <c r="A217" t="s">
        <v>41</v>
      </c>
      <c r="B217">
        <v>6</v>
      </c>
      <c r="C217">
        <v>0</v>
      </c>
      <c r="D217">
        <v>0</v>
      </c>
      <c r="E217">
        <v>0</v>
      </c>
      <c r="F217">
        <v>0</v>
      </c>
    </row>
    <row r="218" spans="1:6" x14ac:dyDescent="0.3">
      <c r="A218" t="s">
        <v>681</v>
      </c>
      <c r="B218">
        <v>6</v>
      </c>
      <c r="C218">
        <v>24</v>
      </c>
      <c r="D218" t="s">
        <v>697</v>
      </c>
      <c r="E218">
        <v>12</v>
      </c>
      <c r="F218">
        <v>12</v>
      </c>
    </row>
    <row r="219" spans="1:6" x14ac:dyDescent="0.3">
      <c r="A219" t="s">
        <v>563</v>
      </c>
      <c r="B219">
        <v>6</v>
      </c>
      <c r="C219">
        <v>0</v>
      </c>
      <c r="D219">
        <v>0</v>
      </c>
      <c r="E219">
        <v>0</v>
      </c>
      <c r="F219">
        <v>0</v>
      </c>
    </row>
    <row r="220" spans="1:6" x14ac:dyDescent="0.3">
      <c r="A220" t="s">
        <v>682</v>
      </c>
      <c r="B220">
        <v>6</v>
      </c>
      <c r="C220">
        <v>0</v>
      </c>
      <c r="D220">
        <v>0</v>
      </c>
      <c r="E220">
        <v>0</v>
      </c>
      <c r="F220">
        <v>0</v>
      </c>
    </row>
    <row r="221" spans="1:6" x14ac:dyDescent="0.3">
      <c r="A221" t="s">
        <v>683</v>
      </c>
      <c r="B221">
        <v>6</v>
      </c>
      <c r="C221">
        <v>16</v>
      </c>
      <c r="D221">
        <v>16</v>
      </c>
      <c r="E221">
        <v>16</v>
      </c>
      <c r="F221">
        <v>16</v>
      </c>
    </row>
    <row r="222" spans="1:6" x14ac:dyDescent="0.3">
      <c r="A222" t="s">
        <v>684</v>
      </c>
      <c r="B222">
        <v>6</v>
      </c>
      <c r="C222">
        <v>500</v>
      </c>
      <c r="D222">
        <v>500</v>
      </c>
      <c r="E222">
        <v>500</v>
      </c>
      <c r="F222">
        <v>500</v>
      </c>
    </row>
    <row r="223" spans="1:6" x14ac:dyDescent="0.3">
      <c r="A223" t="s">
        <v>685</v>
      </c>
      <c r="B223">
        <v>6</v>
      </c>
      <c r="C223">
        <v>1320</v>
      </c>
      <c r="D223">
        <v>1320</v>
      </c>
      <c r="E223">
        <v>1761</v>
      </c>
      <c r="F223">
        <v>1761</v>
      </c>
    </row>
    <row r="224" spans="1:6" x14ac:dyDescent="0.3">
      <c r="A224" t="s">
        <v>686</v>
      </c>
      <c r="B224">
        <v>6</v>
      </c>
      <c r="C224">
        <v>880</v>
      </c>
      <c r="D224">
        <v>880</v>
      </c>
      <c r="E224">
        <v>1174</v>
      </c>
      <c r="F224">
        <v>1174</v>
      </c>
    </row>
    <row r="225" spans="1:6" x14ac:dyDescent="0.3">
      <c r="A225" t="s">
        <v>687</v>
      </c>
      <c r="B225">
        <v>6</v>
      </c>
      <c r="C225">
        <v>1760</v>
      </c>
      <c r="D225">
        <v>1760</v>
      </c>
      <c r="E225">
        <v>2348</v>
      </c>
      <c r="F225">
        <v>2348</v>
      </c>
    </row>
    <row r="226" spans="1:6" x14ac:dyDescent="0.3">
      <c r="A226" t="s">
        <v>688</v>
      </c>
      <c r="B226">
        <v>6</v>
      </c>
      <c r="C226">
        <v>4145</v>
      </c>
    </row>
    <row r="227" spans="1:6" x14ac:dyDescent="0.3">
      <c r="A227" t="s">
        <v>689</v>
      </c>
      <c r="B227">
        <v>6</v>
      </c>
      <c r="C227">
        <v>-446</v>
      </c>
    </row>
    <row r="228" spans="1:6" x14ac:dyDescent="0.3">
      <c r="A228" t="s">
        <v>690</v>
      </c>
      <c r="B228">
        <v>6</v>
      </c>
      <c r="C228">
        <v>0</v>
      </c>
    </row>
    <row r="229" spans="1:6" x14ac:dyDescent="0.3">
      <c r="A229" t="s">
        <v>691</v>
      </c>
      <c r="B229">
        <v>6</v>
      </c>
      <c r="C229" t="b">
        <v>0</v>
      </c>
      <c r="D229" t="b">
        <v>0</v>
      </c>
      <c r="E229" t="b">
        <v>0</v>
      </c>
      <c r="F229" t="b">
        <v>0</v>
      </c>
    </row>
    <row r="230" spans="1:6" x14ac:dyDescent="0.3">
      <c r="A230" t="s">
        <v>692</v>
      </c>
      <c r="B230">
        <v>6</v>
      </c>
      <c r="C230" t="b">
        <v>0</v>
      </c>
      <c r="D230" t="b">
        <v>0</v>
      </c>
      <c r="E230" t="b">
        <v>0</v>
      </c>
      <c r="F230" t="b">
        <v>0</v>
      </c>
    </row>
    <row r="231" spans="1:6" x14ac:dyDescent="0.3">
      <c r="A231" t="s">
        <v>678</v>
      </c>
      <c r="B231">
        <v>7</v>
      </c>
      <c r="C231">
        <v>9</v>
      </c>
    </row>
    <row r="232" spans="1:6" x14ac:dyDescent="0.3">
      <c r="A232" t="s">
        <v>36</v>
      </c>
      <c r="B232">
        <v>7</v>
      </c>
      <c r="C232" t="s">
        <v>698</v>
      </c>
    </row>
    <row r="233" spans="1:6" x14ac:dyDescent="0.3">
      <c r="A233" t="s">
        <v>503</v>
      </c>
      <c r="B233">
        <v>7</v>
      </c>
    </row>
    <row r="234" spans="1:6" x14ac:dyDescent="0.3">
      <c r="A234" t="s">
        <v>679</v>
      </c>
      <c r="B234">
        <v>7</v>
      </c>
      <c r="C234">
        <v>170</v>
      </c>
    </row>
    <row r="235" spans="1:6" x14ac:dyDescent="0.3">
      <c r="A235" t="s">
        <v>42</v>
      </c>
      <c r="B235">
        <v>7</v>
      </c>
      <c r="C235">
        <v>30</v>
      </c>
    </row>
    <row r="236" spans="1:6" x14ac:dyDescent="0.3">
      <c r="A236" t="s">
        <v>680</v>
      </c>
      <c r="B236">
        <v>7</v>
      </c>
      <c r="C236">
        <v>3.9</v>
      </c>
    </row>
    <row r="237" spans="1:6" x14ac:dyDescent="0.3">
      <c r="A237" t="s">
        <v>41</v>
      </c>
      <c r="B237">
        <v>7</v>
      </c>
      <c r="C237">
        <v>0</v>
      </c>
    </row>
    <row r="238" spans="1:6" x14ac:dyDescent="0.3">
      <c r="A238" t="s">
        <v>681</v>
      </c>
      <c r="B238">
        <v>7</v>
      </c>
      <c r="C238" t="s">
        <v>699</v>
      </c>
    </row>
    <row r="239" spans="1:6" x14ac:dyDescent="0.3">
      <c r="A239" t="s">
        <v>563</v>
      </c>
      <c r="B239">
        <v>7</v>
      </c>
      <c r="C239">
        <v>0</v>
      </c>
    </row>
    <row r="240" spans="1:6" x14ac:dyDescent="0.3">
      <c r="A240" t="s">
        <v>682</v>
      </c>
      <c r="B240">
        <v>7</v>
      </c>
      <c r="C240">
        <v>1</v>
      </c>
    </row>
    <row r="241" spans="1:4" x14ac:dyDescent="0.3">
      <c r="A241" t="s">
        <v>683</v>
      </c>
      <c r="B241">
        <v>7</v>
      </c>
      <c r="C241">
        <v>16</v>
      </c>
    </row>
    <row r="242" spans="1:4" x14ac:dyDescent="0.3">
      <c r="A242" t="s">
        <v>684</v>
      </c>
      <c r="B242">
        <v>7</v>
      </c>
      <c r="C242">
        <v>200</v>
      </c>
    </row>
    <row r="243" spans="1:4" x14ac:dyDescent="0.3">
      <c r="A243" t="s">
        <v>685</v>
      </c>
      <c r="B243">
        <v>7</v>
      </c>
      <c r="C243">
        <v>1320</v>
      </c>
    </row>
    <row r="244" spans="1:4" x14ac:dyDescent="0.3">
      <c r="A244" t="s">
        <v>686</v>
      </c>
      <c r="B244">
        <v>7</v>
      </c>
      <c r="C244">
        <v>880</v>
      </c>
    </row>
    <row r="245" spans="1:4" x14ac:dyDescent="0.3">
      <c r="A245" t="s">
        <v>687</v>
      </c>
      <c r="B245">
        <v>7</v>
      </c>
      <c r="C245">
        <v>1760</v>
      </c>
    </row>
    <row r="246" spans="1:4" x14ac:dyDescent="0.3">
      <c r="A246" t="s">
        <v>688</v>
      </c>
      <c r="B246">
        <v>7</v>
      </c>
    </row>
    <row r="247" spans="1:4" x14ac:dyDescent="0.3">
      <c r="A247" t="s">
        <v>689</v>
      </c>
      <c r="B247">
        <v>7</v>
      </c>
    </row>
    <row r="248" spans="1:4" x14ac:dyDescent="0.3">
      <c r="A248" t="s">
        <v>690</v>
      </c>
      <c r="B248">
        <v>7</v>
      </c>
    </row>
    <row r="249" spans="1:4" x14ac:dyDescent="0.3">
      <c r="A249" t="s">
        <v>691</v>
      </c>
      <c r="B249">
        <v>7</v>
      </c>
      <c r="C249" t="b">
        <v>0</v>
      </c>
    </row>
    <row r="250" spans="1:4" x14ac:dyDescent="0.3">
      <c r="A250" t="s">
        <v>692</v>
      </c>
      <c r="B250">
        <v>7</v>
      </c>
      <c r="C250" t="b">
        <v>0</v>
      </c>
    </row>
    <row r="251" spans="1:4" x14ac:dyDescent="0.3">
      <c r="A251" t="s">
        <v>678</v>
      </c>
      <c r="B251">
        <v>8</v>
      </c>
      <c r="D251">
        <v>6</v>
      </c>
    </row>
    <row r="252" spans="1:4" x14ac:dyDescent="0.3">
      <c r="A252" t="s">
        <v>36</v>
      </c>
      <c r="B252">
        <v>8</v>
      </c>
      <c r="D252">
        <v>1</v>
      </c>
    </row>
    <row r="253" spans="1:4" x14ac:dyDescent="0.3">
      <c r="A253" t="s">
        <v>503</v>
      </c>
      <c r="B253">
        <v>8</v>
      </c>
    </row>
    <row r="254" spans="1:4" x14ac:dyDescent="0.3">
      <c r="A254" t="s">
        <v>679</v>
      </c>
      <c r="B254">
        <v>8</v>
      </c>
      <c r="D254">
        <v>532</v>
      </c>
    </row>
    <row r="255" spans="1:4" x14ac:dyDescent="0.3">
      <c r="A255" t="s">
        <v>42</v>
      </c>
      <c r="B255">
        <v>8</v>
      </c>
      <c r="D255">
        <v>30</v>
      </c>
    </row>
    <row r="256" spans="1:4" x14ac:dyDescent="0.3">
      <c r="A256" t="s">
        <v>680</v>
      </c>
      <c r="B256">
        <v>8</v>
      </c>
      <c r="D256">
        <v>12.1</v>
      </c>
    </row>
    <row r="257" spans="1:4" x14ac:dyDescent="0.3">
      <c r="A257" t="s">
        <v>41</v>
      </c>
      <c r="B257">
        <v>8</v>
      </c>
      <c r="D257">
        <v>0</v>
      </c>
    </row>
    <row r="258" spans="1:4" x14ac:dyDescent="0.3">
      <c r="A258" t="s">
        <v>681</v>
      </c>
      <c r="B258">
        <v>8</v>
      </c>
      <c r="D258">
        <v>0</v>
      </c>
    </row>
    <row r="259" spans="1:4" x14ac:dyDescent="0.3">
      <c r="A259" t="s">
        <v>563</v>
      </c>
      <c r="B259">
        <v>8</v>
      </c>
      <c r="D259">
        <v>0</v>
      </c>
    </row>
    <row r="260" spans="1:4" x14ac:dyDescent="0.3">
      <c r="A260" t="s">
        <v>682</v>
      </c>
      <c r="B260">
        <v>8</v>
      </c>
      <c r="D260">
        <v>0</v>
      </c>
    </row>
    <row r="261" spans="1:4" x14ac:dyDescent="0.3">
      <c r="A261" t="s">
        <v>683</v>
      </c>
      <c r="B261">
        <v>8</v>
      </c>
      <c r="D261">
        <v>16</v>
      </c>
    </row>
    <row r="262" spans="1:4" x14ac:dyDescent="0.3">
      <c r="A262" t="s">
        <v>684</v>
      </c>
      <c r="B262">
        <v>8</v>
      </c>
      <c r="D262">
        <v>200</v>
      </c>
    </row>
    <row r="263" spans="1:4" x14ac:dyDescent="0.3">
      <c r="A263" t="s">
        <v>685</v>
      </c>
      <c r="B263">
        <v>8</v>
      </c>
      <c r="D263">
        <v>1320</v>
      </c>
    </row>
    <row r="264" spans="1:4" x14ac:dyDescent="0.3">
      <c r="A264" t="s">
        <v>686</v>
      </c>
      <c r="B264">
        <v>8</v>
      </c>
      <c r="D264">
        <v>880</v>
      </c>
    </row>
    <row r="265" spans="1:4" x14ac:dyDescent="0.3">
      <c r="A265" t="s">
        <v>687</v>
      </c>
      <c r="B265">
        <v>8</v>
      </c>
      <c r="D265">
        <v>1760</v>
      </c>
    </row>
    <row r="266" spans="1:4" x14ac:dyDescent="0.3">
      <c r="A266" t="s">
        <v>688</v>
      </c>
      <c r="B266">
        <v>8</v>
      </c>
      <c r="D266">
        <v>4220</v>
      </c>
    </row>
    <row r="267" spans="1:4" x14ac:dyDescent="0.3">
      <c r="A267" t="s">
        <v>689</v>
      </c>
      <c r="B267">
        <v>8</v>
      </c>
      <c r="D267">
        <v>-580</v>
      </c>
    </row>
    <row r="268" spans="1:4" x14ac:dyDescent="0.3">
      <c r="A268" t="s">
        <v>690</v>
      </c>
      <c r="B268">
        <v>8</v>
      </c>
      <c r="D268">
        <v>0</v>
      </c>
    </row>
    <row r="269" spans="1:4" x14ac:dyDescent="0.3">
      <c r="A269" t="s">
        <v>691</v>
      </c>
      <c r="B269">
        <v>8</v>
      </c>
      <c r="D269" t="b">
        <v>0</v>
      </c>
    </row>
    <row r="270" spans="1:4" x14ac:dyDescent="0.3">
      <c r="A270" t="s">
        <v>692</v>
      </c>
      <c r="B270">
        <v>8</v>
      </c>
      <c r="D270" t="b">
        <v>0</v>
      </c>
    </row>
    <row r="271" spans="1:4" x14ac:dyDescent="0.3">
      <c r="A271" t="s">
        <v>678</v>
      </c>
      <c r="B271">
        <v>9</v>
      </c>
      <c r="C271">
        <v>6</v>
      </c>
      <c r="D271">
        <v>7</v>
      </c>
    </row>
    <row r="272" spans="1:4" x14ac:dyDescent="0.3">
      <c r="A272" t="s">
        <v>36</v>
      </c>
      <c r="B272">
        <v>9</v>
      </c>
      <c r="C272" t="s">
        <v>698</v>
      </c>
      <c r="D272" t="s">
        <v>698</v>
      </c>
    </row>
    <row r="273" spans="1:4" x14ac:dyDescent="0.3">
      <c r="A273" t="s">
        <v>503</v>
      </c>
      <c r="B273">
        <v>9</v>
      </c>
    </row>
    <row r="274" spans="1:4" x14ac:dyDescent="0.3">
      <c r="A274" t="s">
        <v>679</v>
      </c>
      <c r="B274">
        <v>9</v>
      </c>
      <c r="C274">
        <v>345</v>
      </c>
      <c r="D274">
        <v>170</v>
      </c>
    </row>
    <row r="275" spans="1:4" x14ac:dyDescent="0.3">
      <c r="A275" t="s">
        <v>42</v>
      </c>
      <c r="B275">
        <v>9</v>
      </c>
      <c r="C275">
        <v>30</v>
      </c>
      <c r="D275">
        <v>30</v>
      </c>
    </row>
    <row r="276" spans="1:4" x14ac:dyDescent="0.3">
      <c r="A276" t="s">
        <v>680</v>
      </c>
      <c r="B276">
        <v>9</v>
      </c>
      <c r="C276">
        <v>7.8</v>
      </c>
      <c r="D276">
        <v>3.9</v>
      </c>
    </row>
    <row r="277" spans="1:4" x14ac:dyDescent="0.3">
      <c r="A277" t="s">
        <v>41</v>
      </c>
      <c r="B277">
        <v>9</v>
      </c>
      <c r="C277">
        <v>0</v>
      </c>
      <c r="D277">
        <v>0</v>
      </c>
    </row>
    <row r="278" spans="1:4" x14ac:dyDescent="0.3">
      <c r="A278" t="s">
        <v>681</v>
      </c>
      <c r="B278">
        <v>9</v>
      </c>
      <c r="C278" t="s">
        <v>699</v>
      </c>
      <c r="D278" t="s">
        <v>699</v>
      </c>
    </row>
    <row r="279" spans="1:4" x14ac:dyDescent="0.3">
      <c r="A279" t="s">
        <v>563</v>
      </c>
      <c r="B279">
        <v>9</v>
      </c>
      <c r="C279">
        <v>0</v>
      </c>
      <c r="D279">
        <v>0</v>
      </c>
    </row>
    <row r="280" spans="1:4" x14ac:dyDescent="0.3">
      <c r="A280" t="s">
        <v>682</v>
      </c>
      <c r="B280">
        <v>9</v>
      </c>
      <c r="C280">
        <v>0</v>
      </c>
      <c r="D280">
        <v>1</v>
      </c>
    </row>
    <row r="281" spans="1:4" x14ac:dyDescent="0.3">
      <c r="A281" t="s">
        <v>683</v>
      </c>
      <c r="B281">
        <v>9</v>
      </c>
      <c r="C281">
        <v>16</v>
      </c>
      <c r="D281">
        <v>16</v>
      </c>
    </row>
    <row r="282" spans="1:4" x14ac:dyDescent="0.3">
      <c r="A282" t="s">
        <v>684</v>
      </c>
      <c r="B282">
        <v>9</v>
      </c>
      <c r="C282">
        <v>100</v>
      </c>
      <c r="D282">
        <v>100</v>
      </c>
    </row>
    <row r="283" spans="1:4" x14ac:dyDescent="0.3">
      <c r="A283" t="s">
        <v>685</v>
      </c>
      <c r="B283">
        <v>9</v>
      </c>
      <c r="C283">
        <v>1320</v>
      </c>
      <c r="D283">
        <v>1320</v>
      </c>
    </row>
    <row r="284" spans="1:4" x14ac:dyDescent="0.3">
      <c r="A284" t="s">
        <v>686</v>
      </c>
      <c r="B284">
        <v>9</v>
      </c>
      <c r="C284">
        <v>880</v>
      </c>
      <c r="D284">
        <v>880</v>
      </c>
    </row>
    <row r="285" spans="1:4" x14ac:dyDescent="0.3">
      <c r="A285" t="s">
        <v>687</v>
      </c>
      <c r="B285">
        <v>9</v>
      </c>
      <c r="C285">
        <v>1760</v>
      </c>
      <c r="D285">
        <v>1760</v>
      </c>
    </row>
    <row r="286" spans="1:4" x14ac:dyDescent="0.3">
      <c r="A286" t="s">
        <v>688</v>
      </c>
      <c r="B286">
        <v>9</v>
      </c>
    </row>
    <row r="287" spans="1:4" x14ac:dyDescent="0.3">
      <c r="A287" t="s">
        <v>689</v>
      </c>
      <c r="B287">
        <v>9</v>
      </c>
    </row>
    <row r="288" spans="1:4" x14ac:dyDescent="0.3">
      <c r="A288" t="s">
        <v>690</v>
      </c>
      <c r="B288">
        <v>9</v>
      </c>
    </row>
    <row r="289" spans="1:6" x14ac:dyDescent="0.3">
      <c r="A289" t="s">
        <v>691</v>
      </c>
      <c r="B289">
        <v>9</v>
      </c>
      <c r="C289" t="b">
        <v>0</v>
      </c>
      <c r="D289" t="b">
        <v>0</v>
      </c>
    </row>
    <row r="290" spans="1:6" x14ac:dyDescent="0.3">
      <c r="A290" t="s">
        <v>692</v>
      </c>
      <c r="B290">
        <v>9</v>
      </c>
      <c r="C290" t="b">
        <v>0</v>
      </c>
      <c r="D290" t="b">
        <v>0</v>
      </c>
    </row>
    <row r="291" spans="1:6" x14ac:dyDescent="0.3">
      <c r="A291" t="s">
        <v>678</v>
      </c>
      <c r="B291">
        <v>10</v>
      </c>
      <c r="C291">
        <v>12</v>
      </c>
      <c r="D291">
        <v>11</v>
      </c>
      <c r="E291">
        <v>6</v>
      </c>
      <c r="F291">
        <v>13</v>
      </c>
    </row>
    <row r="292" spans="1:6" x14ac:dyDescent="0.3">
      <c r="A292" t="s">
        <v>36</v>
      </c>
      <c r="B292">
        <v>10</v>
      </c>
      <c r="C292">
        <v>3</v>
      </c>
      <c r="D292">
        <v>3</v>
      </c>
      <c r="E292">
        <v>5</v>
      </c>
      <c r="F292">
        <v>4</v>
      </c>
    </row>
    <row r="293" spans="1:6" x14ac:dyDescent="0.3">
      <c r="A293" t="s">
        <v>503</v>
      </c>
      <c r="B293">
        <v>10</v>
      </c>
      <c r="C293" t="s">
        <v>700</v>
      </c>
      <c r="D293" t="s">
        <v>700</v>
      </c>
      <c r="E293" t="s">
        <v>694</v>
      </c>
      <c r="F293" t="s">
        <v>694</v>
      </c>
    </row>
    <row r="294" spans="1:6" x14ac:dyDescent="0.3">
      <c r="A294" t="s">
        <v>679</v>
      </c>
      <c r="B294">
        <v>10</v>
      </c>
      <c r="C294">
        <v>652</v>
      </c>
      <c r="D294">
        <v>536</v>
      </c>
      <c r="E294">
        <v>2616</v>
      </c>
      <c r="F294">
        <v>2633</v>
      </c>
    </row>
    <row r="295" spans="1:6" x14ac:dyDescent="0.3">
      <c r="A295" t="s">
        <v>42</v>
      </c>
      <c r="B295">
        <v>10</v>
      </c>
      <c r="C295">
        <v>40</v>
      </c>
      <c r="D295">
        <v>35</v>
      </c>
      <c r="E295">
        <v>40</v>
      </c>
      <c r="F295">
        <v>40</v>
      </c>
    </row>
    <row r="296" spans="1:6" x14ac:dyDescent="0.3">
      <c r="A296" t="s">
        <v>680</v>
      </c>
      <c r="B296">
        <v>10</v>
      </c>
      <c r="C296">
        <v>11.1</v>
      </c>
      <c r="D296">
        <v>10.4</v>
      </c>
      <c r="E296">
        <v>44.6</v>
      </c>
      <c r="F296">
        <v>44.9</v>
      </c>
    </row>
    <row r="297" spans="1:6" x14ac:dyDescent="0.3">
      <c r="A297" t="s">
        <v>41</v>
      </c>
      <c r="B297">
        <v>10</v>
      </c>
      <c r="C297">
        <v>0</v>
      </c>
      <c r="D297">
        <v>0</v>
      </c>
      <c r="E297">
        <v>0</v>
      </c>
      <c r="F297">
        <v>0</v>
      </c>
    </row>
    <row r="298" spans="1:6" x14ac:dyDescent="0.3">
      <c r="A298" t="s">
        <v>681</v>
      </c>
      <c r="B298">
        <v>10</v>
      </c>
      <c r="C298">
        <v>12</v>
      </c>
      <c r="D298">
        <v>12</v>
      </c>
      <c r="E298">
        <v>12</v>
      </c>
      <c r="F298">
        <v>12</v>
      </c>
    </row>
    <row r="299" spans="1:6" x14ac:dyDescent="0.3">
      <c r="A299" t="s">
        <v>563</v>
      </c>
      <c r="B299">
        <v>10</v>
      </c>
      <c r="C299">
        <v>0</v>
      </c>
      <c r="D299">
        <v>0</v>
      </c>
      <c r="E299">
        <v>0</v>
      </c>
      <c r="F299">
        <v>0</v>
      </c>
    </row>
    <row r="300" spans="1:6" x14ac:dyDescent="0.3">
      <c r="A300" t="s">
        <v>682</v>
      </c>
      <c r="B300">
        <v>10</v>
      </c>
      <c r="C300">
        <v>0</v>
      </c>
      <c r="D300">
        <v>0</v>
      </c>
      <c r="E300">
        <v>0</v>
      </c>
      <c r="F300">
        <v>0</v>
      </c>
    </row>
    <row r="301" spans="1:6" x14ac:dyDescent="0.3">
      <c r="A301" t="s">
        <v>683</v>
      </c>
      <c r="B301">
        <v>10</v>
      </c>
      <c r="C301">
        <v>16</v>
      </c>
      <c r="D301">
        <v>16</v>
      </c>
      <c r="E301">
        <v>16</v>
      </c>
      <c r="F301">
        <v>16</v>
      </c>
    </row>
    <row r="302" spans="1:6" x14ac:dyDescent="0.3">
      <c r="A302" t="s">
        <v>684</v>
      </c>
      <c r="B302">
        <v>10</v>
      </c>
      <c r="C302">
        <v>500</v>
      </c>
      <c r="D302">
        <v>500</v>
      </c>
      <c r="E302">
        <v>500</v>
      </c>
      <c r="F302">
        <v>500</v>
      </c>
    </row>
    <row r="303" spans="1:6" x14ac:dyDescent="0.3">
      <c r="A303" t="s">
        <v>685</v>
      </c>
      <c r="B303">
        <v>10</v>
      </c>
      <c r="C303">
        <v>1761</v>
      </c>
      <c r="D303">
        <v>1539</v>
      </c>
      <c r="E303">
        <v>1761</v>
      </c>
      <c r="F303">
        <v>1761</v>
      </c>
    </row>
    <row r="304" spans="1:6" x14ac:dyDescent="0.3">
      <c r="A304" t="s">
        <v>686</v>
      </c>
      <c r="B304">
        <v>10</v>
      </c>
      <c r="C304">
        <v>1174</v>
      </c>
      <c r="D304">
        <v>1026</v>
      </c>
      <c r="E304">
        <v>1174</v>
      </c>
      <c r="F304">
        <v>1174</v>
      </c>
    </row>
    <row r="305" spans="1:6" x14ac:dyDescent="0.3">
      <c r="A305" t="s">
        <v>687</v>
      </c>
      <c r="B305">
        <v>10</v>
      </c>
      <c r="C305">
        <v>2348</v>
      </c>
      <c r="D305">
        <v>2052</v>
      </c>
      <c r="E305">
        <v>2348</v>
      </c>
      <c r="F305">
        <v>2348</v>
      </c>
    </row>
    <row r="306" spans="1:6" x14ac:dyDescent="0.3">
      <c r="A306" t="s">
        <v>688</v>
      </c>
      <c r="B306">
        <v>10</v>
      </c>
    </row>
    <row r="307" spans="1:6" x14ac:dyDescent="0.3">
      <c r="A307" t="s">
        <v>689</v>
      </c>
      <c r="B307">
        <v>10</v>
      </c>
    </row>
    <row r="308" spans="1:6" x14ac:dyDescent="0.3">
      <c r="A308" t="s">
        <v>690</v>
      </c>
      <c r="B308">
        <v>10</v>
      </c>
    </row>
    <row r="309" spans="1:6" x14ac:dyDescent="0.3">
      <c r="A309" t="s">
        <v>691</v>
      </c>
      <c r="B309">
        <v>10</v>
      </c>
      <c r="C309" t="b">
        <v>0</v>
      </c>
      <c r="D309" t="b">
        <v>0</v>
      </c>
      <c r="E309" t="b">
        <v>0</v>
      </c>
      <c r="F309" t="b">
        <v>0</v>
      </c>
    </row>
    <row r="310" spans="1:6" x14ac:dyDescent="0.3">
      <c r="A310" t="s">
        <v>692</v>
      </c>
      <c r="B310">
        <v>10</v>
      </c>
      <c r="C310" t="b">
        <v>0</v>
      </c>
      <c r="D310" t="b">
        <v>0</v>
      </c>
      <c r="E310" t="b">
        <v>0</v>
      </c>
      <c r="F310" t="b">
        <v>0</v>
      </c>
    </row>
    <row r="311" spans="1:6" x14ac:dyDescent="0.3">
      <c r="A311" t="s">
        <v>678</v>
      </c>
      <c r="B311">
        <v>11</v>
      </c>
      <c r="C311">
        <v>10</v>
      </c>
    </row>
    <row r="312" spans="1:6" x14ac:dyDescent="0.3">
      <c r="A312" t="s">
        <v>36</v>
      </c>
      <c r="B312">
        <v>11</v>
      </c>
      <c r="C312">
        <v>2</v>
      </c>
    </row>
    <row r="313" spans="1:6" x14ac:dyDescent="0.3">
      <c r="A313" t="s">
        <v>503</v>
      </c>
      <c r="B313">
        <v>11</v>
      </c>
      <c r="C313" t="s">
        <v>700</v>
      </c>
    </row>
    <row r="314" spans="1:6" x14ac:dyDescent="0.3">
      <c r="A314" t="s">
        <v>679</v>
      </c>
      <c r="B314">
        <v>11</v>
      </c>
      <c r="C314">
        <v>536</v>
      </c>
    </row>
    <row r="315" spans="1:6" x14ac:dyDescent="0.3">
      <c r="A315" t="s">
        <v>42</v>
      </c>
      <c r="B315">
        <v>11</v>
      </c>
      <c r="C315">
        <v>30</v>
      </c>
    </row>
    <row r="316" spans="1:6" x14ac:dyDescent="0.3">
      <c r="A316" t="s">
        <v>680</v>
      </c>
      <c r="B316">
        <v>11</v>
      </c>
      <c r="C316">
        <v>12.2</v>
      </c>
    </row>
    <row r="317" spans="1:6" x14ac:dyDescent="0.3">
      <c r="A317" t="s">
        <v>41</v>
      </c>
      <c r="B317">
        <v>11</v>
      </c>
      <c r="C317">
        <v>0</v>
      </c>
    </row>
    <row r="318" spans="1:6" x14ac:dyDescent="0.3">
      <c r="A318" t="s">
        <v>681</v>
      </c>
      <c r="B318">
        <v>11</v>
      </c>
      <c r="C318">
        <v>12</v>
      </c>
    </row>
    <row r="319" spans="1:6" x14ac:dyDescent="0.3">
      <c r="A319" t="s">
        <v>563</v>
      </c>
      <c r="B319">
        <v>11</v>
      </c>
      <c r="C319">
        <v>0</v>
      </c>
    </row>
    <row r="320" spans="1:6" x14ac:dyDescent="0.3">
      <c r="A320" t="s">
        <v>682</v>
      </c>
      <c r="B320">
        <v>11</v>
      </c>
      <c r="C320">
        <v>0</v>
      </c>
    </row>
    <row r="321" spans="1:4" x14ac:dyDescent="0.3">
      <c r="A321" t="s">
        <v>683</v>
      </c>
      <c r="B321">
        <v>11</v>
      </c>
      <c r="C321">
        <v>16</v>
      </c>
    </row>
    <row r="322" spans="1:4" x14ac:dyDescent="0.3">
      <c r="A322" t="s">
        <v>684</v>
      </c>
      <c r="B322">
        <v>11</v>
      </c>
      <c r="C322">
        <v>200</v>
      </c>
    </row>
    <row r="323" spans="1:4" x14ac:dyDescent="0.3">
      <c r="A323" t="s">
        <v>685</v>
      </c>
      <c r="B323">
        <v>11</v>
      </c>
      <c r="C323">
        <v>1320</v>
      </c>
    </row>
    <row r="324" spans="1:4" x14ac:dyDescent="0.3">
      <c r="A324" t="s">
        <v>686</v>
      </c>
      <c r="B324">
        <v>11</v>
      </c>
      <c r="C324">
        <v>880</v>
      </c>
    </row>
    <row r="325" spans="1:4" x14ac:dyDescent="0.3">
      <c r="A325" t="s">
        <v>687</v>
      </c>
      <c r="B325">
        <v>11</v>
      </c>
      <c r="C325">
        <v>1760</v>
      </c>
    </row>
    <row r="326" spans="1:4" x14ac:dyDescent="0.3">
      <c r="A326" t="s">
        <v>688</v>
      </c>
      <c r="B326">
        <v>11</v>
      </c>
    </row>
    <row r="327" spans="1:4" x14ac:dyDescent="0.3">
      <c r="A327" t="s">
        <v>689</v>
      </c>
      <c r="B327">
        <v>11</v>
      </c>
    </row>
    <row r="328" spans="1:4" x14ac:dyDescent="0.3">
      <c r="A328" t="s">
        <v>690</v>
      </c>
      <c r="B328">
        <v>11</v>
      </c>
    </row>
    <row r="329" spans="1:4" x14ac:dyDescent="0.3">
      <c r="A329" t="s">
        <v>691</v>
      </c>
      <c r="B329">
        <v>11</v>
      </c>
      <c r="C329" t="b">
        <v>0</v>
      </c>
    </row>
    <row r="330" spans="1:4" x14ac:dyDescent="0.3">
      <c r="A330" t="s">
        <v>692</v>
      </c>
      <c r="B330">
        <v>11</v>
      </c>
      <c r="C330" t="b">
        <v>0</v>
      </c>
    </row>
    <row r="331" spans="1:4" x14ac:dyDescent="0.3">
      <c r="A331" t="s">
        <v>678</v>
      </c>
      <c r="B331">
        <v>12</v>
      </c>
      <c r="D331">
        <v>10</v>
      </c>
    </row>
    <row r="332" spans="1:4" x14ac:dyDescent="0.3">
      <c r="A332" t="s">
        <v>36</v>
      </c>
      <c r="B332">
        <v>12</v>
      </c>
      <c r="D332">
        <v>2</v>
      </c>
    </row>
    <row r="333" spans="1:4" x14ac:dyDescent="0.3">
      <c r="A333" t="s">
        <v>503</v>
      </c>
      <c r="B333">
        <v>12</v>
      </c>
      <c r="D333" t="s">
        <v>700</v>
      </c>
    </row>
    <row r="334" spans="1:4" x14ac:dyDescent="0.3">
      <c r="A334" t="s">
        <v>679</v>
      </c>
      <c r="B334">
        <v>12</v>
      </c>
      <c r="D334">
        <v>652</v>
      </c>
    </row>
    <row r="335" spans="1:4" x14ac:dyDescent="0.3">
      <c r="A335" t="s">
        <v>42</v>
      </c>
      <c r="B335">
        <v>12</v>
      </c>
      <c r="D335">
        <v>30</v>
      </c>
    </row>
    <row r="336" spans="1:4" x14ac:dyDescent="0.3">
      <c r="A336" t="s">
        <v>680</v>
      </c>
      <c r="B336">
        <v>12</v>
      </c>
      <c r="D336">
        <v>14.8</v>
      </c>
    </row>
    <row r="337" spans="1:6" x14ac:dyDescent="0.3">
      <c r="A337" t="s">
        <v>41</v>
      </c>
      <c r="B337">
        <v>12</v>
      </c>
      <c r="D337">
        <v>0</v>
      </c>
    </row>
    <row r="338" spans="1:6" x14ac:dyDescent="0.3">
      <c r="A338" t="s">
        <v>681</v>
      </c>
      <c r="B338">
        <v>12</v>
      </c>
      <c r="D338">
        <v>12</v>
      </c>
    </row>
    <row r="339" spans="1:6" x14ac:dyDescent="0.3">
      <c r="A339" t="s">
        <v>563</v>
      </c>
      <c r="B339">
        <v>12</v>
      </c>
      <c r="D339">
        <v>0</v>
      </c>
    </row>
    <row r="340" spans="1:6" x14ac:dyDescent="0.3">
      <c r="A340" t="s">
        <v>682</v>
      </c>
      <c r="B340">
        <v>12</v>
      </c>
      <c r="D340">
        <v>0</v>
      </c>
    </row>
    <row r="341" spans="1:6" x14ac:dyDescent="0.3">
      <c r="A341" t="s">
        <v>683</v>
      </c>
      <c r="B341">
        <v>12</v>
      </c>
      <c r="D341">
        <v>16</v>
      </c>
    </row>
    <row r="342" spans="1:6" x14ac:dyDescent="0.3">
      <c r="A342" t="s">
        <v>684</v>
      </c>
      <c r="B342">
        <v>12</v>
      </c>
      <c r="D342">
        <v>200</v>
      </c>
    </row>
    <row r="343" spans="1:6" x14ac:dyDescent="0.3">
      <c r="A343" t="s">
        <v>685</v>
      </c>
      <c r="B343">
        <v>12</v>
      </c>
      <c r="D343">
        <v>1320</v>
      </c>
    </row>
    <row r="344" spans="1:6" x14ac:dyDescent="0.3">
      <c r="A344" t="s">
        <v>686</v>
      </c>
      <c r="B344">
        <v>12</v>
      </c>
      <c r="D344">
        <v>880</v>
      </c>
    </row>
    <row r="345" spans="1:6" x14ac:dyDescent="0.3">
      <c r="A345" t="s">
        <v>687</v>
      </c>
      <c r="B345">
        <v>12</v>
      </c>
      <c r="D345">
        <v>1760</v>
      </c>
    </row>
    <row r="346" spans="1:6" x14ac:dyDescent="0.3">
      <c r="A346" t="s">
        <v>688</v>
      </c>
      <c r="B346">
        <v>12</v>
      </c>
    </row>
    <row r="347" spans="1:6" x14ac:dyDescent="0.3">
      <c r="A347" t="s">
        <v>689</v>
      </c>
      <c r="B347">
        <v>12</v>
      </c>
    </row>
    <row r="348" spans="1:6" x14ac:dyDescent="0.3">
      <c r="A348" t="s">
        <v>690</v>
      </c>
      <c r="B348">
        <v>12</v>
      </c>
    </row>
    <row r="349" spans="1:6" x14ac:dyDescent="0.3">
      <c r="A349" t="s">
        <v>691</v>
      </c>
      <c r="B349">
        <v>12</v>
      </c>
      <c r="D349" t="b">
        <v>0</v>
      </c>
    </row>
    <row r="350" spans="1:6" x14ac:dyDescent="0.3">
      <c r="A350" t="s">
        <v>692</v>
      </c>
      <c r="B350">
        <v>12</v>
      </c>
      <c r="D350" t="b">
        <v>0</v>
      </c>
    </row>
    <row r="351" spans="1:6" x14ac:dyDescent="0.3">
      <c r="A351" t="s">
        <v>678</v>
      </c>
      <c r="B351">
        <v>13</v>
      </c>
      <c r="D351">
        <v>15</v>
      </c>
      <c r="E351">
        <v>10</v>
      </c>
      <c r="F351">
        <v>16</v>
      </c>
    </row>
    <row r="352" spans="1:6" x14ac:dyDescent="0.3">
      <c r="A352" t="s">
        <v>36</v>
      </c>
      <c r="B352">
        <v>13</v>
      </c>
      <c r="D352">
        <v>2</v>
      </c>
      <c r="E352">
        <v>4</v>
      </c>
      <c r="F352">
        <v>4</v>
      </c>
    </row>
    <row r="353" spans="1:6" x14ac:dyDescent="0.3">
      <c r="A353" t="s">
        <v>503</v>
      </c>
      <c r="B353">
        <v>13</v>
      </c>
      <c r="D353" t="s">
        <v>701</v>
      </c>
      <c r="E353" t="s">
        <v>694</v>
      </c>
      <c r="F353" t="s">
        <v>694</v>
      </c>
    </row>
    <row r="354" spans="1:6" x14ac:dyDescent="0.3">
      <c r="A354" t="s">
        <v>679</v>
      </c>
      <c r="B354">
        <v>13</v>
      </c>
      <c r="D354">
        <v>265</v>
      </c>
      <c r="E354">
        <v>2633</v>
      </c>
      <c r="F354">
        <v>1317</v>
      </c>
    </row>
    <row r="355" spans="1:6" x14ac:dyDescent="0.3">
      <c r="A355" t="s">
        <v>42</v>
      </c>
      <c r="B355">
        <v>13</v>
      </c>
      <c r="D355">
        <v>25</v>
      </c>
      <c r="E355">
        <v>40</v>
      </c>
      <c r="F355">
        <v>40</v>
      </c>
    </row>
    <row r="356" spans="1:6" x14ac:dyDescent="0.3">
      <c r="A356" t="s">
        <v>680</v>
      </c>
      <c r="B356">
        <v>13</v>
      </c>
      <c r="D356">
        <v>7.2</v>
      </c>
      <c r="E356">
        <v>44.9</v>
      </c>
      <c r="F356">
        <v>22.4</v>
      </c>
    </row>
    <row r="357" spans="1:6" x14ac:dyDescent="0.3">
      <c r="A357" t="s">
        <v>41</v>
      </c>
      <c r="B357">
        <v>13</v>
      </c>
      <c r="D357">
        <v>0</v>
      </c>
      <c r="E357">
        <v>0</v>
      </c>
      <c r="F357">
        <v>0</v>
      </c>
    </row>
    <row r="358" spans="1:6" x14ac:dyDescent="0.3">
      <c r="A358" t="s">
        <v>681</v>
      </c>
      <c r="B358">
        <v>13</v>
      </c>
      <c r="D358">
        <v>12</v>
      </c>
      <c r="E358">
        <v>12</v>
      </c>
      <c r="F358">
        <v>12</v>
      </c>
    </row>
    <row r="359" spans="1:6" x14ac:dyDescent="0.3">
      <c r="A359" t="s">
        <v>563</v>
      </c>
      <c r="B359">
        <v>13</v>
      </c>
      <c r="D359">
        <v>0</v>
      </c>
      <c r="E359">
        <v>0</v>
      </c>
      <c r="F359">
        <v>0</v>
      </c>
    </row>
    <row r="360" spans="1:6" x14ac:dyDescent="0.3">
      <c r="A360" t="s">
        <v>682</v>
      </c>
      <c r="B360">
        <v>13</v>
      </c>
      <c r="D360">
        <v>0</v>
      </c>
      <c r="E360">
        <v>0</v>
      </c>
      <c r="F360">
        <v>0</v>
      </c>
    </row>
    <row r="361" spans="1:6" x14ac:dyDescent="0.3">
      <c r="A361" t="s">
        <v>683</v>
      </c>
      <c r="B361">
        <v>13</v>
      </c>
      <c r="D361">
        <v>16</v>
      </c>
      <c r="E361">
        <v>16</v>
      </c>
      <c r="F361">
        <v>16</v>
      </c>
    </row>
    <row r="362" spans="1:6" x14ac:dyDescent="0.3">
      <c r="A362" t="s">
        <v>684</v>
      </c>
      <c r="B362">
        <v>13</v>
      </c>
      <c r="D362">
        <v>500</v>
      </c>
      <c r="E362">
        <v>500</v>
      </c>
      <c r="F362">
        <v>500</v>
      </c>
    </row>
    <row r="363" spans="1:6" x14ac:dyDescent="0.3">
      <c r="A363" t="s">
        <v>685</v>
      </c>
      <c r="B363">
        <v>13</v>
      </c>
      <c r="D363">
        <v>1101</v>
      </c>
      <c r="E363">
        <v>1761</v>
      </c>
      <c r="F363">
        <v>1761</v>
      </c>
    </row>
    <row r="364" spans="1:6" x14ac:dyDescent="0.3">
      <c r="A364" t="s">
        <v>686</v>
      </c>
      <c r="B364">
        <v>13</v>
      </c>
      <c r="D364">
        <v>734</v>
      </c>
      <c r="E364">
        <v>1174</v>
      </c>
      <c r="F364">
        <v>1174</v>
      </c>
    </row>
    <row r="365" spans="1:6" x14ac:dyDescent="0.3">
      <c r="A365" t="s">
        <v>687</v>
      </c>
      <c r="B365">
        <v>13</v>
      </c>
      <c r="D365">
        <v>1468</v>
      </c>
      <c r="E365">
        <v>2348</v>
      </c>
      <c r="F365">
        <v>2348</v>
      </c>
    </row>
    <row r="366" spans="1:6" x14ac:dyDescent="0.3">
      <c r="A366" t="s">
        <v>688</v>
      </c>
      <c r="B366">
        <v>13</v>
      </c>
    </row>
    <row r="367" spans="1:6" x14ac:dyDescent="0.3">
      <c r="A367" t="s">
        <v>689</v>
      </c>
      <c r="B367">
        <v>13</v>
      </c>
    </row>
    <row r="368" spans="1:6" x14ac:dyDescent="0.3">
      <c r="A368" t="s">
        <v>690</v>
      </c>
      <c r="B368">
        <v>13</v>
      </c>
    </row>
    <row r="369" spans="1:6" x14ac:dyDescent="0.3">
      <c r="A369" t="s">
        <v>691</v>
      </c>
      <c r="B369">
        <v>13</v>
      </c>
      <c r="D369" t="b">
        <v>0</v>
      </c>
      <c r="E369" t="b">
        <v>0</v>
      </c>
      <c r="F369" t="b">
        <v>0</v>
      </c>
    </row>
    <row r="370" spans="1:6" x14ac:dyDescent="0.3">
      <c r="A370" t="s">
        <v>692</v>
      </c>
      <c r="B370">
        <v>13</v>
      </c>
      <c r="D370" t="b">
        <v>0</v>
      </c>
      <c r="E370" t="b">
        <v>0</v>
      </c>
      <c r="F370" t="b">
        <v>0</v>
      </c>
    </row>
    <row r="371" spans="1:6" x14ac:dyDescent="0.3">
      <c r="A371" t="s">
        <v>678</v>
      </c>
      <c r="B371">
        <v>14</v>
      </c>
      <c r="C371">
        <v>15</v>
      </c>
    </row>
    <row r="372" spans="1:6" x14ac:dyDescent="0.3">
      <c r="A372" t="s">
        <v>36</v>
      </c>
      <c r="B372">
        <v>14</v>
      </c>
      <c r="C372">
        <v>1</v>
      </c>
    </row>
    <row r="373" spans="1:6" x14ac:dyDescent="0.3">
      <c r="A373" t="s">
        <v>503</v>
      </c>
      <c r="B373">
        <v>14</v>
      </c>
    </row>
    <row r="374" spans="1:6" x14ac:dyDescent="0.3">
      <c r="A374" t="s">
        <v>679</v>
      </c>
      <c r="B374">
        <v>14</v>
      </c>
      <c r="C374">
        <v>626</v>
      </c>
    </row>
    <row r="375" spans="1:6" x14ac:dyDescent="0.3">
      <c r="A375" t="s">
        <v>42</v>
      </c>
      <c r="B375">
        <v>14</v>
      </c>
      <c r="C375">
        <v>30</v>
      </c>
    </row>
    <row r="376" spans="1:6" x14ac:dyDescent="0.3">
      <c r="A376" t="s">
        <v>680</v>
      </c>
      <c r="B376">
        <v>14</v>
      </c>
      <c r="C376">
        <v>14.2</v>
      </c>
    </row>
    <row r="377" spans="1:6" x14ac:dyDescent="0.3">
      <c r="A377" t="s">
        <v>41</v>
      </c>
      <c r="B377">
        <v>14</v>
      </c>
      <c r="C377">
        <v>0</v>
      </c>
    </row>
    <row r="378" spans="1:6" x14ac:dyDescent="0.3">
      <c r="A378" t="s">
        <v>681</v>
      </c>
      <c r="B378">
        <v>14</v>
      </c>
      <c r="C378">
        <v>0</v>
      </c>
    </row>
    <row r="379" spans="1:6" x14ac:dyDescent="0.3">
      <c r="A379" t="s">
        <v>563</v>
      </c>
      <c r="B379">
        <v>14</v>
      </c>
      <c r="C379">
        <v>0</v>
      </c>
    </row>
    <row r="380" spans="1:6" x14ac:dyDescent="0.3">
      <c r="A380" t="s">
        <v>682</v>
      </c>
      <c r="B380">
        <v>14</v>
      </c>
      <c r="C380">
        <v>0</v>
      </c>
    </row>
    <row r="381" spans="1:6" x14ac:dyDescent="0.3">
      <c r="A381" t="s">
        <v>683</v>
      </c>
      <c r="B381">
        <v>14</v>
      </c>
      <c r="C381">
        <v>16</v>
      </c>
    </row>
    <row r="382" spans="1:6" x14ac:dyDescent="0.3">
      <c r="A382" t="s">
        <v>684</v>
      </c>
      <c r="B382">
        <v>14</v>
      </c>
      <c r="C382">
        <v>200</v>
      </c>
    </row>
    <row r="383" spans="1:6" x14ac:dyDescent="0.3">
      <c r="A383" t="s">
        <v>685</v>
      </c>
      <c r="B383">
        <v>14</v>
      </c>
      <c r="C383">
        <v>1320</v>
      </c>
    </row>
    <row r="384" spans="1:6" x14ac:dyDescent="0.3">
      <c r="A384" t="s">
        <v>686</v>
      </c>
      <c r="B384">
        <v>14</v>
      </c>
      <c r="C384">
        <v>880</v>
      </c>
    </row>
    <row r="385" spans="1:4" x14ac:dyDescent="0.3">
      <c r="A385" t="s">
        <v>687</v>
      </c>
      <c r="B385">
        <v>14</v>
      </c>
      <c r="C385">
        <v>1760</v>
      </c>
    </row>
    <row r="386" spans="1:4" x14ac:dyDescent="0.3">
      <c r="A386" t="s">
        <v>688</v>
      </c>
      <c r="B386">
        <v>14</v>
      </c>
    </row>
    <row r="387" spans="1:4" x14ac:dyDescent="0.3">
      <c r="A387" t="s">
        <v>689</v>
      </c>
      <c r="B387">
        <v>14</v>
      </c>
    </row>
    <row r="388" spans="1:4" x14ac:dyDescent="0.3">
      <c r="A388" t="s">
        <v>690</v>
      </c>
      <c r="B388">
        <v>14</v>
      </c>
    </row>
    <row r="389" spans="1:4" x14ac:dyDescent="0.3">
      <c r="A389" t="s">
        <v>691</v>
      </c>
      <c r="B389">
        <v>14</v>
      </c>
      <c r="C389" t="b">
        <v>0</v>
      </c>
    </row>
    <row r="390" spans="1:4" x14ac:dyDescent="0.3">
      <c r="A390" t="s">
        <v>692</v>
      </c>
      <c r="B390">
        <v>14</v>
      </c>
      <c r="C390" t="b">
        <v>0</v>
      </c>
    </row>
    <row r="391" spans="1:4" x14ac:dyDescent="0.3">
      <c r="A391" t="s">
        <v>678</v>
      </c>
      <c r="B391">
        <v>15</v>
      </c>
      <c r="C391">
        <v>13</v>
      </c>
      <c r="D391">
        <v>14</v>
      </c>
    </row>
    <row r="392" spans="1:4" x14ac:dyDescent="0.3">
      <c r="A392" t="s">
        <v>36</v>
      </c>
      <c r="B392">
        <v>15</v>
      </c>
      <c r="C392">
        <v>1</v>
      </c>
      <c r="D392" t="s">
        <v>698</v>
      </c>
    </row>
    <row r="393" spans="1:4" x14ac:dyDescent="0.3">
      <c r="A393" t="s">
        <v>503</v>
      </c>
      <c r="B393">
        <v>15</v>
      </c>
      <c r="C393" t="s">
        <v>701</v>
      </c>
    </row>
    <row r="394" spans="1:4" x14ac:dyDescent="0.3">
      <c r="A394" t="s">
        <v>679</v>
      </c>
      <c r="B394">
        <v>15</v>
      </c>
      <c r="C394">
        <v>265</v>
      </c>
      <c r="D394">
        <v>626</v>
      </c>
    </row>
    <row r="395" spans="1:4" x14ac:dyDescent="0.3">
      <c r="A395" t="s">
        <v>42</v>
      </c>
      <c r="B395">
        <v>15</v>
      </c>
      <c r="C395">
        <v>30</v>
      </c>
      <c r="D395">
        <v>30</v>
      </c>
    </row>
    <row r="396" spans="1:4" x14ac:dyDescent="0.3">
      <c r="A396" t="s">
        <v>680</v>
      </c>
      <c r="B396">
        <v>15</v>
      </c>
      <c r="C396">
        <v>6</v>
      </c>
      <c r="D396">
        <v>14.2</v>
      </c>
    </row>
    <row r="397" spans="1:4" x14ac:dyDescent="0.3">
      <c r="A397" t="s">
        <v>41</v>
      </c>
      <c r="B397">
        <v>15</v>
      </c>
      <c r="C397">
        <v>0</v>
      </c>
      <c r="D397">
        <v>0</v>
      </c>
    </row>
    <row r="398" spans="1:4" x14ac:dyDescent="0.3">
      <c r="A398" t="s">
        <v>681</v>
      </c>
      <c r="B398">
        <v>15</v>
      </c>
      <c r="C398">
        <v>0</v>
      </c>
      <c r="D398">
        <v>0</v>
      </c>
    </row>
    <row r="399" spans="1:4" x14ac:dyDescent="0.3">
      <c r="A399" t="s">
        <v>563</v>
      </c>
      <c r="B399">
        <v>15</v>
      </c>
      <c r="C399">
        <v>0</v>
      </c>
      <c r="D399">
        <v>0</v>
      </c>
    </row>
    <row r="400" spans="1:4" x14ac:dyDescent="0.3">
      <c r="A400" t="s">
        <v>682</v>
      </c>
      <c r="B400">
        <v>15</v>
      </c>
      <c r="C400">
        <v>0</v>
      </c>
      <c r="D400">
        <v>0</v>
      </c>
    </row>
    <row r="401" spans="1:6" x14ac:dyDescent="0.3">
      <c r="A401" t="s">
        <v>683</v>
      </c>
      <c r="B401">
        <v>15</v>
      </c>
      <c r="C401">
        <v>16</v>
      </c>
      <c r="D401">
        <v>16</v>
      </c>
    </row>
    <row r="402" spans="1:6" x14ac:dyDescent="0.3">
      <c r="A402" t="s">
        <v>684</v>
      </c>
      <c r="B402">
        <v>15</v>
      </c>
      <c r="C402">
        <v>100</v>
      </c>
      <c r="D402">
        <v>100</v>
      </c>
    </row>
    <row r="403" spans="1:6" x14ac:dyDescent="0.3">
      <c r="A403" t="s">
        <v>685</v>
      </c>
      <c r="B403">
        <v>15</v>
      </c>
      <c r="C403">
        <v>1320</v>
      </c>
      <c r="D403">
        <v>1320</v>
      </c>
    </row>
    <row r="404" spans="1:6" x14ac:dyDescent="0.3">
      <c r="A404" t="s">
        <v>686</v>
      </c>
      <c r="B404">
        <v>15</v>
      </c>
      <c r="C404">
        <v>880</v>
      </c>
      <c r="D404">
        <v>880</v>
      </c>
    </row>
    <row r="405" spans="1:6" x14ac:dyDescent="0.3">
      <c r="A405" t="s">
        <v>687</v>
      </c>
      <c r="B405">
        <v>15</v>
      </c>
      <c r="C405">
        <v>1760</v>
      </c>
      <c r="D405">
        <v>1760</v>
      </c>
    </row>
    <row r="406" spans="1:6" x14ac:dyDescent="0.3">
      <c r="A406" t="s">
        <v>688</v>
      </c>
      <c r="B406">
        <v>15</v>
      </c>
    </row>
    <row r="407" spans="1:6" x14ac:dyDescent="0.3">
      <c r="A407" t="s">
        <v>689</v>
      </c>
      <c r="B407">
        <v>15</v>
      </c>
    </row>
    <row r="408" spans="1:6" x14ac:dyDescent="0.3">
      <c r="A408" t="s">
        <v>690</v>
      </c>
      <c r="B408">
        <v>15</v>
      </c>
    </row>
    <row r="409" spans="1:6" x14ac:dyDescent="0.3">
      <c r="A409" t="s">
        <v>691</v>
      </c>
      <c r="B409">
        <v>15</v>
      </c>
      <c r="C409" t="b">
        <v>0</v>
      </c>
      <c r="D409" t="b">
        <v>0</v>
      </c>
    </row>
    <row r="410" spans="1:6" x14ac:dyDescent="0.3">
      <c r="A410" t="s">
        <v>692</v>
      </c>
      <c r="B410">
        <v>15</v>
      </c>
      <c r="C410" t="b">
        <v>0</v>
      </c>
      <c r="D410" t="b">
        <v>0</v>
      </c>
    </row>
    <row r="411" spans="1:6" x14ac:dyDescent="0.3">
      <c r="A411" t="s">
        <v>678</v>
      </c>
      <c r="B411">
        <v>16</v>
      </c>
      <c r="C411">
        <v>20</v>
      </c>
      <c r="D411">
        <v>19</v>
      </c>
      <c r="E411">
        <v>13</v>
      </c>
      <c r="F411">
        <v>21</v>
      </c>
    </row>
    <row r="412" spans="1:6" x14ac:dyDescent="0.3">
      <c r="A412" t="s">
        <v>36</v>
      </c>
      <c r="B412">
        <v>16</v>
      </c>
      <c r="C412">
        <v>3</v>
      </c>
      <c r="D412">
        <v>2</v>
      </c>
      <c r="E412">
        <v>5</v>
      </c>
      <c r="F412">
        <v>5</v>
      </c>
    </row>
    <row r="413" spans="1:6" x14ac:dyDescent="0.3">
      <c r="A413" t="s">
        <v>503</v>
      </c>
      <c r="B413">
        <v>16</v>
      </c>
      <c r="C413" t="s">
        <v>702</v>
      </c>
      <c r="D413" t="s">
        <v>702</v>
      </c>
      <c r="E413" t="s">
        <v>694</v>
      </c>
      <c r="F413" t="s">
        <v>695</v>
      </c>
    </row>
    <row r="414" spans="1:6" x14ac:dyDescent="0.3">
      <c r="A414" t="s">
        <v>679</v>
      </c>
      <c r="B414">
        <v>16</v>
      </c>
      <c r="C414">
        <v>276</v>
      </c>
      <c r="D414">
        <v>361</v>
      </c>
      <c r="E414">
        <v>1317</v>
      </c>
      <c r="F414">
        <v>1275</v>
      </c>
    </row>
    <row r="415" spans="1:6" x14ac:dyDescent="0.3">
      <c r="A415" t="s">
        <v>42</v>
      </c>
      <c r="B415">
        <v>16</v>
      </c>
      <c r="C415">
        <v>25</v>
      </c>
      <c r="D415">
        <v>25</v>
      </c>
      <c r="E415">
        <v>40</v>
      </c>
      <c r="F415">
        <v>40</v>
      </c>
    </row>
    <row r="416" spans="1:6" x14ac:dyDescent="0.3">
      <c r="A416" t="s">
        <v>680</v>
      </c>
      <c r="B416">
        <v>16</v>
      </c>
      <c r="C416">
        <v>7.5</v>
      </c>
      <c r="D416">
        <v>9.8000000000000007</v>
      </c>
      <c r="E416">
        <v>22.4</v>
      </c>
      <c r="F416">
        <v>21.7</v>
      </c>
    </row>
    <row r="417" spans="1:6" x14ac:dyDescent="0.3">
      <c r="A417" t="s">
        <v>41</v>
      </c>
      <c r="B417">
        <v>16</v>
      </c>
      <c r="C417">
        <v>0</v>
      </c>
      <c r="D417">
        <v>0</v>
      </c>
      <c r="E417">
        <v>0</v>
      </c>
      <c r="F417">
        <v>0</v>
      </c>
    </row>
    <row r="418" spans="1:6" x14ac:dyDescent="0.3">
      <c r="A418" t="s">
        <v>681</v>
      </c>
      <c r="B418">
        <v>16</v>
      </c>
      <c r="C418">
        <v>12</v>
      </c>
      <c r="D418">
        <v>12</v>
      </c>
      <c r="E418" t="s">
        <v>697</v>
      </c>
      <c r="F418" t="s">
        <v>697</v>
      </c>
    </row>
    <row r="419" spans="1:6" x14ac:dyDescent="0.3">
      <c r="A419" t="s">
        <v>563</v>
      </c>
      <c r="B419">
        <v>16</v>
      </c>
      <c r="C419">
        <v>0</v>
      </c>
      <c r="D419">
        <v>0</v>
      </c>
      <c r="E419">
        <v>0</v>
      </c>
      <c r="F419">
        <v>0</v>
      </c>
    </row>
    <row r="420" spans="1:6" x14ac:dyDescent="0.3">
      <c r="A420" t="s">
        <v>682</v>
      </c>
      <c r="B420">
        <v>16</v>
      </c>
      <c r="C420">
        <v>0</v>
      </c>
      <c r="D420">
        <v>0</v>
      </c>
      <c r="E420">
        <v>0</v>
      </c>
      <c r="F420">
        <v>0</v>
      </c>
    </row>
    <row r="421" spans="1:6" x14ac:dyDescent="0.3">
      <c r="A421" t="s">
        <v>683</v>
      </c>
      <c r="B421">
        <v>16</v>
      </c>
      <c r="C421">
        <v>16</v>
      </c>
      <c r="D421">
        <v>16</v>
      </c>
      <c r="E421">
        <v>16</v>
      </c>
      <c r="F421">
        <v>1</v>
      </c>
    </row>
    <row r="422" spans="1:6" x14ac:dyDescent="0.3">
      <c r="A422" t="s">
        <v>684</v>
      </c>
      <c r="B422">
        <v>16</v>
      </c>
      <c r="C422">
        <v>500</v>
      </c>
      <c r="D422">
        <v>500</v>
      </c>
      <c r="E422">
        <v>500</v>
      </c>
      <c r="F422">
        <v>500</v>
      </c>
    </row>
    <row r="423" spans="1:6" x14ac:dyDescent="0.3">
      <c r="A423" t="s">
        <v>685</v>
      </c>
      <c r="B423">
        <v>16</v>
      </c>
      <c r="C423">
        <v>1101</v>
      </c>
      <c r="D423">
        <v>1101</v>
      </c>
      <c r="E423">
        <v>1761</v>
      </c>
      <c r="F423">
        <v>1761</v>
      </c>
    </row>
    <row r="424" spans="1:6" x14ac:dyDescent="0.3">
      <c r="A424" t="s">
        <v>686</v>
      </c>
      <c r="B424">
        <v>16</v>
      </c>
      <c r="C424">
        <v>734</v>
      </c>
      <c r="D424">
        <v>734</v>
      </c>
      <c r="E424">
        <v>1174</v>
      </c>
      <c r="F424">
        <v>1174</v>
      </c>
    </row>
    <row r="425" spans="1:6" x14ac:dyDescent="0.3">
      <c r="A425" t="s">
        <v>687</v>
      </c>
      <c r="B425">
        <v>16</v>
      </c>
      <c r="C425">
        <v>1468</v>
      </c>
      <c r="D425">
        <v>1468</v>
      </c>
      <c r="E425">
        <v>2348</v>
      </c>
      <c r="F425">
        <v>2348</v>
      </c>
    </row>
    <row r="426" spans="1:6" x14ac:dyDescent="0.3">
      <c r="A426" t="s">
        <v>688</v>
      </c>
      <c r="B426">
        <v>16</v>
      </c>
      <c r="C426">
        <v>10714</v>
      </c>
    </row>
    <row r="427" spans="1:6" x14ac:dyDescent="0.3">
      <c r="A427" t="s">
        <v>689</v>
      </c>
      <c r="B427">
        <v>16</v>
      </c>
      <c r="C427">
        <v>-349</v>
      </c>
    </row>
    <row r="428" spans="1:6" x14ac:dyDescent="0.3">
      <c r="A428" t="s">
        <v>690</v>
      </c>
      <c r="B428">
        <v>16</v>
      </c>
      <c r="C428">
        <v>0</v>
      </c>
    </row>
    <row r="429" spans="1:6" x14ac:dyDescent="0.3">
      <c r="A429" t="s">
        <v>691</v>
      </c>
      <c r="B429">
        <v>16</v>
      </c>
      <c r="C429" t="b">
        <v>0</v>
      </c>
      <c r="D429" t="b">
        <v>0</v>
      </c>
      <c r="E429" t="b">
        <v>0</v>
      </c>
      <c r="F429" t="b">
        <v>0</v>
      </c>
    </row>
    <row r="430" spans="1:6" x14ac:dyDescent="0.3">
      <c r="A430" t="s">
        <v>692</v>
      </c>
      <c r="B430">
        <v>16</v>
      </c>
      <c r="C430" t="b">
        <v>0</v>
      </c>
      <c r="D430" t="b">
        <v>0</v>
      </c>
      <c r="E430" t="b">
        <v>0</v>
      </c>
      <c r="F430" t="b">
        <v>0</v>
      </c>
    </row>
    <row r="431" spans="1:6" x14ac:dyDescent="0.3">
      <c r="A431" t="s">
        <v>678</v>
      </c>
      <c r="B431">
        <v>17</v>
      </c>
      <c r="C431">
        <v>19</v>
      </c>
    </row>
    <row r="432" spans="1:6" x14ac:dyDescent="0.3">
      <c r="A432" t="s">
        <v>36</v>
      </c>
      <c r="B432">
        <v>17</v>
      </c>
      <c r="C432">
        <v>1</v>
      </c>
    </row>
    <row r="433" spans="1:3" x14ac:dyDescent="0.3">
      <c r="A433" t="s">
        <v>503</v>
      </c>
      <c r="B433">
        <v>17</v>
      </c>
    </row>
    <row r="434" spans="1:3" x14ac:dyDescent="0.3">
      <c r="A434" t="s">
        <v>679</v>
      </c>
      <c r="B434">
        <v>17</v>
      </c>
      <c r="C434">
        <v>295</v>
      </c>
    </row>
    <row r="435" spans="1:3" x14ac:dyDescent="0.3">
      <c r="A435" t="s">
        <v>42</v>
      </c>
      <c r="B435">
        <v>17</v>
      </c>
      <c r="C435">
        <v>30</v>
      </c>
    </row>
    <row r="436" spans="1:3" x14ac:dyDescent="0.3">
      <c r="A436" t="s">
        <v>680</v>
      </c>
      <c r="B436">
        <v>17</v>
      </c>
      <c r="C436">
        <v>6.7</v>
      </c>
    </row>
    <row r="437" spans="1:3" x14ac:dyDescent="0.3">
      <c r="A437" t="s">
        <v>41</v>
      </c>
      <c r="B437">
        <v>17</v>
      </c>
      <c r="C437">
        <v>0</v>
      </c>
    </row>
    <row r="438" spans="1:3" x14ac:dyDescent="0.3">
      <c r="A438" t="s">
        <v>681</v>
      </c>
      <c r="B438">
        <v>17</v>
      </c>
      <c r="C438">
        <v>0</v>
      </c>
    </row>
    <row r="439" spans="1:3" x14ac:dyDescent="0.3">
      <c r="A439" t="s">
        <v>563</v>
      </c>
      <c r="B439">
        <v>17</v>
      </c>
      <c r="C439">
        <v>0</v>
      </c>
    </row>
    <row r="440" spans="1:3" x14ac:dyDescent="0.3">
      <c r="A440" t="s">
        <v>682</v>
      </c>
      <c r="B440">
        <v>17</v>
      </c>
      <c r="C440">
        <v>0</v>
      </c>
    </row>
    <row r="441" spans="1:3" x14ac:dyDescent="0.3">
      <c r="A441" t="s">
        <v>683</v>
      </c>
      <c r="B441">
        <v>17</v>
      </c>
      <c r="C441">
        <v>16</v>
      </c>
    </row>
    <row r="442" spans="1:3" x14ac:dyDescent="0.3">
      <c r="A442" t="s">
        <v>684</v>
      </c>
      <c r="B442">
        <v>17</v>
      </c>
      <c r="C442">
        <v>200</v>
      </c>
    </row>
    <row r="443" spans="1:3" x14ac:dyDescent="0.3">
      <c r="A443" t="s">
        <v>685</v>
      </c>
      <c r="B443">
        <v>17</v>
      </c>
      <c r="C443">
        <v>1320</v>
      </c>
    </row>
    <row r="444" spans="1:3" x14ac:dyDescent="0.3">
      <c r="A444" t="s">
        <v>686</v>
      </c>
      <c r="B444">
        <v>17</v>
      </c>
      <c r="C444">
        <v>880</v>
      </c>
    </row>
    <row r="445" spans="1:3" x14ac:dyDescent="0.3">
      <c r="A445" t="s">
        <v>687</v>
      </c>
      <c r="B445">
        <v>17</v>
      </c>
      <c r="C445">
        <v>1760</v>
      </c>
    </row>
    <row r="446" spans="1:3" x14ac:dyDescent="0.3">
      <c r="A446" t="s">
        <v>688</v>
      </c>
      <c r="B446">
        <v>17</v>
      </c>
    </row>
    <row r="447" spans="1:3" x14ac:dyDescent="0.3">
      <c r="A447" t="s">
        <v>689</v>
      </c>
      <c r="B447">
        <v>17</v>
      </c>
    </row>
    <row r="448" spans="1:3" x14ac:dyDescent="0.3">
      <c r="A448" t="s">
        <v>690</v>
      </c>
      <c r="B448">
        <v>17</v>
      </c>
    </row>
    <row r="449" spans="1:4" x14ac:dyDescent="0.3">
      <c r="A449" t="s">
        <v>691</v>
      </c>
      <c r="B449">
        <v>17</v>
      </c>
      <c r="C449" t="b">
        <v>0</v>
      </c>
    </row>
    <row r="450" spans="1:4" x14ac:dyDescent="0.3">
      <c r="A450" t="s">
        <v>692</v>
      </c>
      <c r="B450">
        <v>17</v>
      </c>
      <c r="C450" t="b">
        <v>0</v>
      </c>
    </row>
    <row r="451" spans="1:4" x14ac:dyDescent="0.3">
      <c r="A451" t="s">
        <v>678</v>
      </c>
      <c r="B451">
        <v>18</v>
      </c>
      <c r="D451">
        <v>20</v>
      </c>
    </row>
    <row r="452" spans="1:4" x14ac:dyDescent="0.3">
      <c r="A452" t="s">
        <v>36</v>
      </c>
      <c r="B452">
        <v>18</v>
      </c>
      <c r="D452">
        <v>1</v>
      </c>
    </row>
    <row r="453" spans="1:4" x14ac:dyDescent="0.3">
      <c r="A453" t="s">
        <v>503</v>
      </c>
      <c r="B453">
        <v>18</v>
      </c>
    </row>
    <row r="454" spans="1:4" x14ac:dyDescent="0.3">
      <c r="A454" t="s">
        <v>679</v>
      </c>
      <c r="B454">
        <v>18</v>
      </c>
      <c r="D454">
        <v>377</v>
      </c>
    </row>
    <row r="455" spans="1:4" x14ac:dyDescent="0.3">
      <c r="A455" t="s">
        <v>42</v>
      </c>
      <c r="B455">
        <v>18</v>
      </c>
      <c r="D455">
        <v>30</v>
      </c>
    </row>
    <row r="456" spans="1:4" x14ac:dyDescent="0.3">
      <c r="A456" t="s">
        <v>680</v>
      </c>
      <c r="B456">
        <v>18</v>
      </c>
      <c r="D456">
        <v>8.6</v>
      </c>
    </row>
    <row r="457" spans="1:4" x14ac:dyDescent="0.3">
      <c r="A457" t="s">
        <v>41</v>
      </c>
      <c r="B457">
        <v>18</v>
      </c>
      <c r="D457">
        <v>0</v>
      </c>
    </row>
    <row r="458" spans="1:4" x14ac:dyDescent="0.3">
      <c r="A458" t="s">
        <v>681</v>
      </c>
      <c r="B458">
        <v>18</v>
      </c>
      <c r="D458">
        <v>0</v>
      </c>
    </row>
    <row r="459" spans="1:4" x14ac:dyDescent="0.3">
      <c r="A459" t="s">
        <v>563</v>
      </c>
      <c r="B459">
        <v>18</v>
      </c>
      <c r="D459">
        <v>0</v>
      </c>
    </row>
    <row r="460" spans="1:4" x14ac:dyDescent="0.3">
      <c r="A460" t="s">
        <v>682</v>
      </c>
      <c r="B460">
        <v>18</v>
      </c>
      <c r="D460">
        <v>1</v>
      </c>
    </row>
    <row r="461" spans="1:4" x14ac:dyDescent="0.3">
      <c r="A461" t="s">
        <v>683</v>
      </c>
      <c r="B461">
        <v>18</v>
      </c>
      <c r="D461">
        <v>16</v>
      </c>
    </row>
    <row r="462" spans="1:4" x14ac:dyDescent="0.3">
      <c r="A462" t="s">
        <v>684</v>
      </c>
      <c r="B462">
        <v>18</v>
      </c>
      <c r="D462">
        <v>200</v>
      </c>
    </row>
    <row r="463" spans="1:4" x14ac:dyDescent="0.3">
      <c r="A463" t="s">
        <v>685</v>
      </c>
      <c r="B463">
        <v>18</v>
      </c>
      <c r="D463">
        <v>1320</v>
      </c>
    </row>
    <row r="464" spans="1:4" x14ac:dyDescent="0.3">
      <c r="A464" t="s">
        <v>686</v>
      </c>
      <c r="B464">
        <v>18</v>
      </c>
      <c r="D464">
        <v>880</v>
      </c>
    </row>
    <row r="465" spans="1:4" x14ac:dyDescent="0.3">
      <c r="A465" t="s">
        <v>687</v>
      </c>
      <c r="B465">
        <v>18</v>
      </c>
      <c r="D465">
        <v>1760</v>
      </c>
    </row>
    <row r="466" spans="1:4" x14ac:dyDescent="0.3">
      <c r="A466" t="s">
        <v>688</v>
      </c>
      <c r="B466">
        <v>18</v>
      </c>
      <c r="D466">
        <v>10585</v>
      </c>
    </row>
    <row r="467" spans="1:4" x14ac:dyDescent="0.3">
      <c r="A467" t="s">
        <v>689</v>
      </c>
      <c r="B467">
        <v>18</v>
      </c>
      <c r="D467">
        <v>-685</v>
      </c>
    </row>
    <row r="468" spans="1:4" x14ac:dyDescent="0.3">
      <c r="A468" t="s">
        <v>690</v>
      </c>
      <c r="B468">
        <v>18</v>
      </c>
      <c r="D468">
        <v>0</v>
      </c>
    </row>
    <row r="469" spans="1:4" x14ac:dyDescent="0.3">
      <c r="A469" t="s">
        <v>691</v>
      </c>
      <c r="B469">
        <v>18</v>
      </c>
      <c r="D469" t="b">
        <v>0</v>
      </c>
    </row>
    <row r="470" spans="1:4" x14ac:dyDescent="0.3">
      <c r="A470" t="s">
        <v>692</v>
      </c>
      <c r="B470">
        <v>18</v>
      </c>
      <c r="D470" t="b">
        <v>0</v>
      </c>
    </row>
    <row r="471" spans="1:4" x14ac:dyDescent="0.3">
      <c r="A471" t="s">
        <v>678</v>
      </c>
      <c r="B471">
        <v>19</v>
      </c>
      <c r="C471">
        <v>16</v>
      </c>
      <c r="D471">
        <v>17</v>
      </c>
    </row>
    <row r="472" spans="1:4" x14ac:dyDescent="0.3">
      <c r="A472" t="s">
        <v>36</v>
      </c>
      <c r="B472">
        <v>19</v>
      </c>
      <c r="C472">
        <v>1</v>
      </c>
      <c r="D472" t="s">
        <v>698</v>
      </c>
    </row>
    <row r="473" spans="1:4" x14ac:dyDescent="0.3">
      <c r="A473" t="s">
        <v>503</v>
      </c>
      <c r="B473">
        <v>19</v>
      </c>
      <c r="C473" t="s">
        <v>702</v>
      </c>
    </row>
    <row r="474" spans="1:4" x14ac:dyDescent="0.3">
      <c r="A474" t="s">
        <v>679</v>
      </c>
      <c r="B474">
        <v>19</v>
      </c>
      <c r="C474">
        <v>361</v>
      </c>
      <c r="D474">
        <v>295</v>
      </c>
    </row>
    <row r="475" spans="1:4" x14ac:dyDescent="0.3">
      <c r="A475" t="s">
        <v>42</v>
      </c>
      <c r="B475">
        <v>19</v>
      </c>
      <c r="C475">
        <v>30</v>
      </c>
      <c r="D475">
        <v>30</v>
      </c>
    </row>
    <row r="476" spans="1:4" x14ac:dyDescent="0.3">
      <c r="A476" t="s">
        <v>680</v>
      </c>
      <c r="B476">
        <v>19</v>
      </c>
      <c r="C476">
        <v>8.1999999999999993</v>
      </c>
      <c r="D476">
        <v>6.7</v>
      </c>
    </row>
    <row r="477" spans="1:4" x14ac:dyDescent="0.3">
      <c r="A477" t="s">
        <v>41</v>
      </c>
      <c r="B477">
        <v>19</v>
      </c>
      <c r="C477">
        <v>0</v>
      </c>
      <c r="D477">
        <v>0</v>
      </c>
    </row>
    <row r="478" spans="1:4" x14ac:dyDescent="0.3">
      <c r="A478" t="s">
        <v>681</v>
      </c>
      <c r="B478">
        <v>19</v>
      </c>
      <c r="C478">
        <v>0</v>
      </c>
      <c r="D478">
        <v>0</v>
      </c>
    </row>
    <row r="479" spans="1:4" x14ac:dyDescent="0.3">
      <c r="A479" t="s">
        <v>563</v>
      </c>
      <c r="B479">
        <v>19</v>
      </c>
      <c r="C479">
        <v>0</v>
      </c>
      <c r="D479">
        <v>0</v>
      </c>
    </row>
    <row r="480" spans="1:4" x14ac:dyDescent="0.3">
      <c r="A480" t="s">
        <v>682</v>
      </c>
      <c r="B480">
        <v>19</v>
      </c>
      <c r="C480">
        <v>0</v>
      </c>
      <c r="D480">
        <v>0</v>
      </c>
    </row>
    <row r="481" spans="1:4" x14ac:dyDescent="0.3">
      <c r="A481" t="s">
        <v>683</v>
      </c>
      <c r="B481">
        <v>19</v>
      </c>
      <c r="C481">
        <v>16</v>
      </c>
      <c r="D481">
        <v>16</v>
      </c>
    </row>
    <row r="482" spans="1:4" x14ac:dyDescent="0.3">
      <c r="A482" t="s">
        <v>684</v>
      </c>
      <c r="B482">
        <v>19</v>
      </c>
      <c r="C482">
        <v>100</v>
      </c>
      <c r="D482">
        <v>100</v>
      </c>
    </row>
    <row r="483" spans="1:4" x14ac:dyDescent="0.3">
      <c r="A483" t="s">
        <v>685</v>
      </c>
      <c r="B483">
        <v>19</v>
      </c>
      <c r="C483">
        <v>1320</v>
      </c>
      <c r="D483">
        <v>1320</v>
      </c>
    </row>
    <row r="484" spans="1:4" x14ac:dyDescent="0.3">
      <c r="A484" t="s">
        <v>686</v>
      </c>
      <c r="B484">
        <v>19</v>
      </c>
      <c r="C484">
        <v>880</v>
      </c>
      <c r="D484">
        <v>880</v>
      </c>
    </row>
    <row r="485" spans="1:4" x14ac:dyDescent="0.3">
      <c r="A485" t="s">
        <v>687</v>
      </c>
      <c r="B485">
        <v>19</v>
      </c>
      <c r="C485">
        <v>1760</v>
      </c>
      <c r="D485">
        <v>1760</v>
      </c>
    </row>
    <row r="486" spans="1:4" x14ac:dyDescent="0.3">
      <c r="A486" t="s">
        <v>688</v>
      </c>
      <c r="B486">
        <v>19</v>
      </c>
    </row>
    <row r="487" spans="1:4" x14ac:dyDescent="0.3">
      <c r="A487" t="s">
        <v>689</v>
      </c>
      <c r="B487">
        <v>19</v>
      </c>
    </row>
    <row r="488" spans="1:4" x14ac:dyDescent="0.3">
      <c r="A488" t="s">
        <v>690</v>
      </c>
      <c r="B488">
        <v>19</v>
      </c>
    </row>
    <row r="489" spans="1:4" x14ac:dyDescent="0.3">
      <c r="A489" t="s">
        <v>691</v>
      </c>
      <c r="B489">
        <v>19</v>
      </c>
      <c r="C489" t="b">
        <v>0</v>
      </c>
      <c r="D489" t="b">
        <v>0</v>
      </c>
    </row>
    <row r="490" spans="1:4" x14ac:dyDescent="0.3">
      <c r="A490" t="s">
        <v>692</v>
      </c>
      <c r="B490">
        <v>19</v>
      </c>
      <c r="C490" t="b">
        <v>0</v>
      </c>
      <c r="D490" t="b">
        <v>0</v>
      </c>
    </row>
    <row r="491" spans="1:4" x14ac:dyDescent="0.3">
      <c r="A491" t="s">
        <v>678</v>
      </c>
      <c r="B491">
        <v>20</v>
      </c>
      <c r="C491">
        <v>18</v>
      </c>
      <c r="D491">
        <v>16</v>
      </c>
    </row>
    <row r="492" spans="1:4" x14ac:dyDescent="0.3">
      <c r="A492" t="s">
        <v>36</v>
      </c>
      <c r="B492">
        <v>20</v>
      </c>
      <c r="C492" t="s">
        <v>698</v>
      </c>
      <c r="D492">
        <v>1</v>
      </c>
    </row>
    <row r="493" spans="1:4" x14ac:dyDescent="0.3">
      <c r="A493" t="s">
        <v>503</v>
      </c>
      <c r="B493">
        <v>20</v>
      </c>
      <c r="D493" t="s">
        <v>702</v>
      </c>
    </row>
    <row r="494" spans="1:4" x14ac:dyDescent="0.3">
      <c r="A494" t="s">
        <v>679</v>
      </c>
      <c r="B494">
        <v>20</v>
      </c>
      <c r="C494">
        <v>377</v>
      </c>
      <c r="D494">
        <v>276</v>
      </c>
    </row>
    <row r="495" spans="1:4" x14ac:dyDescent="0.3">
      <c r="A495" t="s">
        <v>42</v>
      </c>
      <c r="B495">
        <v>20</v>
      </c>
      <c r="C495">
        <v>30</v>
      </c>
      <c r="D495">
        <v>30</v>
      </c>
    </row>
    <row r="496" spans="1:4" x14ac:dyDescent="0.3">
      <c r="A496" t="s">
        <v>680</v>
      </c>
      <c r="B496">
        <v>20</v>
      </c>
      <c r="C496">
        <v>8.6</v>
      </c>
      <c r="D496">
        <v>6.3</v>
      </c>
    </row>
    <row r="497" spans="1:6" x14ac:dyDescent="0.3">
      <c r="A497" t="s">
        <v>41</v>
      </c>
      <c r="B497">
        <v>20</v>
      </c>
      <c r="C497">
        <v>0</v>
      </c>
      <c r="D497">
        <v>0</v>
      </c>
    </row>
    <row r="498" spans="1:6" x14ac:dyDescent="0.3">
      <c r="A498" t="s">
        <v>681</v>
      </c>
      <c r="B498">
        <v>20</v>
      </c>
      <c r="C498" t="s">
        <v>699</v>
      </c>
      <c r="D498">
        <v>12</v>
      </c>
    </row>
    <row r="499" spans="1:6" x14ac:dyDescent="0.3">
      <c r="A499" t="s">
        <v>563</v>
      </c>
      <c r="B499">
        <v>20</v>
      </c>
      <c r="C499">
        <v>0</v>
      </c>
      <c r="D499">
        <v>0</v>
      </c>
    </row>
    <row r="500" spans="1:6" x14ac:dyDescent="0.3">
      <c r="A500" t="s">
        <v>682</v>
      </c>
      <c r="B500">
        <v>20</v>
      </c>
      <c r="C500">
        <v>1</v>
      </c>
      <c r="D500">
        <v>0</v>
      </c>
    </row>
    <row r="501" spans="1:6" x14ac:dyDescent="0.3">
      <c r="A501" t="s">
        <v>683</v>
      </c>
      <c r="B501">
        <v>20</v>
      </c>
      <c r="C501">
        <v>16</v>
      </c>
      <c r="D501">
        <v>16</v>
      </c>
    </row>
    <row r="502" spans="1:6" x14ac:dyDescent="0.3">
      <c r="A502" t="s">
        <v>684</v>
      </c>
      <c r="B502">
        <v>20</v>
      </c>
      <c r="C502">
        <v>100</v>
      </c>
      <c r="D502">
        <v>100</v>
      </c>
    </row>
    <row r="503" spans="1:6" x14ac:dyDescent="0.3">
      <c r="A503" t="s">
        <v>685</v>
      </c>
      <c r="B503">
        <v>20</v>
      </c>
      <c r="C503">
        <v>1320</v>
      </c>
      <c r="D503">
        <v>1320</v>
      </c>
    </row>
    <row r="504" spans="1:6" x14ac:dyDescent="0.3">
      <c r="A504" t="s">
        <v>686</v>
      </c>
      <c r="B504">
        <v>20</v>
      </c>
      <c r="C504">
        <v>880</v>
      </c>
      <c r="D504">
        <v>880</v>
      </c>
    </row>
    <row r="505" spans="1:6" x14ac:dyDescent="0.3">
      <c r="A505" t="s">
        <v>687</v>
      </c>
      <c r="B505">
        <v>20</v>
      </c>
      <c r="C505">
        <v>1760</v>
      </c>
      <c r="D505">
        <v>1760</v>
      </c>
    </row>
    <row r="506" spans="1:6" x14ac:dyDescent="0.3">
      <c r="A506" t="s">
        <v>688</v>
      </c>
      <c r="B506">
        <v>20</v>
      </c>
      <c r="C506">
        <v>10646</v>
      </c>
      <c r="D506">
        <v>10711</v>
      </c>
    </row>
    <row r="507" spans="1:6" x14ac:dyDescent="0.3">
      <c r="A507" t="s">
        <v>689</v>
      </c>
      <c r="B507">
        <v>20</v>
      </c>
      <c r="C507">
        <v>-606</v>
      </c>
      <c r="D507">
        <v>-402</v>
      </c>
    </row>
    <row r="508" spans="1:6" x14ac:dyDescent="0.3">
      <c r="A508" t="s">
        <v>690</v>
      </c>
      <c r="B508">
        <v>20</v>
      </c>
      <c r="C508">
        <v>0</v>
      </c>
      <c r="D508">
        <v>0</v>
      </c>
    </row>
    <row r="509" spans="1:6" x14ac:dyDescent="0.3">
      <c r="A509" t="s">
        <v>691</v>
      </c>
      <c r="B509">
        <v>20</v>
      </c>
      <c r="C509" t="b">
        <v>0</v>
      </c>
      <c r="D509" t="b">
        <v>0</v>
      </c>
    </row>
    <row r="510" spans="1:6" x14ac:dyDescent="0.3">
      <c r="A510" t="s">
        <v>692</v>
      </c>
      <c r="B510">
        <v>20</v>
      </c>
      <c r="C510" t="b">
        <v>0</v>
      </c>
      <c r="D510" t="b">
        <v>0</v>
      </c>
    </row>
    <row r="511" spans="1:6" x14ac:dyDescent="0.3">
      <c r="A511" t="s">
        <v>678</v>
      </c>
      <c r="B511">
        <v>21</v>
      </c>
      <c r="C511">
        <v>23</v>
      </c>
      <c r="D511">
        <v>22</v>
      </c>
      <c r="E511">
        <v>16</v>
      </c>
      <c r="F511">
        <v>24</v>
      </c>
    </row>
    <row r="512" spans="1:6" x14ac:dyDescent="0.3">
      <c r="A512" t="s">
        <v>36</v>
      </c>
      <c r="B512">
        <v>21</v>
      </c>
      <c r="C512">
        <v>5</v>
      </c>
      <c r="D512">
        <v>5</v>
      </c>
      <c r="E512">
        <v>6</v>
      </c>
      <c r="F512">
        <v>5</v>
      </c>
    </row>
    <row r="513" spans="1:6" x14ac:dyDescent="0.3">
      <c r="A513" t="s">
        <v>503</v>
      </c>
      <c r="B513">
        <v>21</v>
      </c>
      <c r="C513" t="s">
        <v>703</v>
      </c>
      <c r="D513" t="s">
        <v>703</v>
      </c>
      <c r="E513" t="s">
        <v>695</v>
      </c>
      <c r="F513" t="s">
        <v>695</v>
      </c>
    </row>
    <row r="514" spans="1:6" x14ac:dyDescent="0.3">
      <c r="A514" t="s">
        <v>679</v>
      </c>
      <c r="B514">
        <v>21</v>
      </c>
      <c r="C514">
        <v>473</v>
      </c>
      <c r="D514">
        <v>742</v>
      </c>
      <c r="E514">
        <v>1275</v>
      </c>
      <c r="F514">
        <v>1358</v>
      </c>
    </row>
    <row r="515" spans="1:6" x14ac:dyDescent="0.3">
      <c r="A515" t="s">
        <v>42</v>
      </c>
      <c r="B515">
        <v>21</v>
      </c>
      <c r="C515">
        <v>40</v>
      </c>
      <c r="D515">
        <v>40</v>
      </c>
      <c r="E515">
        <v>40</v>
      </c>
      <c r="F515">
        <v>40</v>
      </c>
    </row>
    <row r="516" spans="1:6" x14ac:dyDescent="0.3">
      <c r="A516" t="s">
        <v>680</v>
      </c>
      <c r="B516">
        <v>21</v>
      </c>
      <c r="C516">
        <v>8.1</v>
      </c>
      <c r="D516">
        <v>12.6</v>
      </c>
      <c r="E516">
        <v>21.7</v>
      </c>
      <c r="F516">
        <v>23.1</v>
      </c>
    </row>
    <row r="517" spans="1:6" x14ac:dyDescent="0.3">
      <c r="A517" t="s">
        <v>41</v>
      </c>
      <c r="B517">
        <v>21</v>
      </c>
      <c r="C517">
        <v>0</v>
      </c>
      <c r="D517">
        <v>0</v>
      </c>
      <c r="E517">
        <v>0</v>
      </c>
      <c r="F517">
        <v>0</v>
      </c>
    </row>
    <row r="518" spans="1:6" x14ac:dyDescent="0.3">
      <c r="A518" t="s">
        <v>681</v>
      </c>
      <c r="B518">
        <v>21</v>
      </c>
      <c r="C518">
        <v>24</v>
      </c>
      <c r="D518">
        <v>24</v>
      </c>
      <c r="E518">
        <v>24</v>
      </c>
      <c r="F518">
        <v>24</v>
      </c>
    </row>
    <row r="519" spans="1:6" x14ac:dyDescent="0.3">
      <c r="A519" t="s">
        <v>563</v>
      </c>
      <c r="B519">
        <v>21</v>
      </c>
      <c r="C519">
        <v>0</v>
      </c>
      <c r="D519">
        <v>0</v>
      </c>
      <c r="E519">
        <v>0</v>
      </c>
      <c r="F519">
        <v>0</v>
      </c>
    </row>
    <row r="520" spans="1:6" x14ac:dyDescent="0.3">
      <c r="A520" t="s">
        <v>682</v>
      </c>
      <c r="B520">
        <v>21</v>
      </c>
      <c r="C520">
        <v>0</v>
      </c>
      <c r="D520">
        <v>0</v>
      </c>
      <c r="E520">
        <v>0</v>
      </c>
      <c r="F520">
        <v>0</v>
      </c>
    </row>
    <row r="521" spans="1:6" x14ac:dyDescent="0.3">
      <c r="A521" t="s">
        <v>683</v>
      </c>
      <c r="B521">
        <v>21</v>
      </c>
      <c r="C521">
        <v>16</v>
      </c>
      <c r="D521">
        <v>16</v>
      </c>
      <c r="E521">
        <v>16</v>
      </c>
      <c r="F521">
        <v>16</v>
      </c>
    </row>
    <row r="522" spans="1:6" x14ac:dyDescent="0.3">
      <c r="A522" t="s">
        <v>684</v>
      </c>
      <c r="B522">
        <v>21</v>
      </c>
      <c r="C522">
        <v>500</v>
      </c>
      <c r="D522">
        <v>500</v>
      </c>
      <c r="E522">
        <v>500</v>
      </c>
      <c r="F522">
        <v>500</v>
      </c>
    </row>
    <row r="523" spans="1:6" x14ac:dyDescent="0.3">
      <c r="A523" t="s">
        <v>685</v>
      </c>
      <c r="B523">
        <v>21</v>
      </c>
      <c r="C523">
        <v>1761</v>
      </c>
      <c r="D523">
        <v>1761</v>
      </c>
      <c r="E523">
        <v>1761</v>
      </c>
      <c r="F523">
        <v>1761</v>
      </c>
    </row>
    <row r="524" spans="1:6" x14ac:dyDescent="0.3">
      <c r="A524" t="s">
        <v>686</v>
      </c>
      <c r="B524">
        <v>21</v>
      </c>
      <c r="C524">
        <v>1174</v>
      </c>
      <c r="D524">
        <v>1174</v>
      </c>
      <c r="E524">
        <v>1174</v>
      </c>
      <c r="F524">
        <v>1174</v>
      </c>
    </row>
    <row r="525" spans="1:6" x14ac:dyDescent="0.3">
      <c r="A525" t="s">
        <v>687</v>
      </c>
      <c r="B525">
        <v>21</v>
      </c>
      <c r="C525">
        <v>2348</v>
      </c>
      <c r="D525">
        <v>2348</v>
      </c>
      <c r="E525">
        <v>2348</v>
      </c>
      <c r="F525">
        <v>2348</v>
      </c>
    </row>
    <row r="526" spans="1:6" x14ac:dyDescent="0.3">
      <c r="A526" t="s">
        <v>688</v>
      </c>
      <c r="B526">
        <v>21</v>
      </c>
    </row>
    <row r="527" spans="1:6" x14ac:dyDescent="0.3">
      <c r="A527" t="s">
        <v>689</v>
      </c>
      <c r="B527">
        <v>21</v>
      </c>
    </row>
    <row r="528" spans="1:6" x14ac:dyDescent="0.3">
      <c r="A528" t="s">
        <v>690</v>
      </c>
      <c r="B528">
        <v>21</v>
      </c>
    </row>
    <row r="529" spans="1:6" x14ac:dyDescent="0.3">
      <c r="A529" t="s">
        <v>691</v>
      </c>
      <c r="B529">
        <v>21</v>
      </c>
      <c r="C529" t="b">
        <v>0</v>
      </c>
      <c r="D529" t="b">
        <v>0</v>
      </c>
      <c r="E529" t="b">
        <v>0</v>
      </c>
      <c r="F529" t="b">
        <v>0</v>
      </c>
    </row>
    <row r="530" spans="1:6" x14ac:dyDescent="0.3">
      <c r="A530" t="s">
        <v>692</v>
      </c>
      <c r="B530">
        <v>21</v>
      </c>
      <c r="C530" t="b">
        <v>0</v>
      </c>
      <c r="D530" t="b">
        <v>0</v>
      </c>
      <c r="E530" t="b">
        <v>0</v>
      </c>
      <c r="F530" t="b">
        <v>0</v>
      </c>
    </row>
    <row r="531" spans="1:6" x14ac:dyDescent="0.3">
      <c r="A531" t="s">
        <v>678</v>
      </c>
      <c r="B531">
        <v>22</v>
      </c>
      <c r="C531">
        <v>21</v>
      </c>
    </row>
    <row r="532" spans="1:6" x14ac:dyDescent="0.3">
      <c r="A532" t="s">
        <v>36</v>
      </c>
      <c r="B532">
        <v>22</v>
      </c>
      <c r="C532">
        <v>3</v>
      </c>
    </row>
    <row r="533" spans="1:6" x14ac:dyDescent="0.3">
      <c r="A533" t="s">
        <v>503</v>
      </c>
      <c r="B533">
        <v>22</v>
      </c>
      <c r="C533" t="s">
        <v>703</v>
      </c>
    </row>
    <row r="534" spans="1:6" x14ac:dyDescent="0.3">
      <c r="A534" t="s">
        <v>679</v>
      </c>
      <c r="B534">
        <v>22</v>
      </c>
      <c r="C534">
        <v>742</v>
      </c>
    </row>
    <row r="535" spans="1:6" x14ac:dyDescent="0.3">
      <c r="A535" t="s">
        <v>42</v>
      </c>
      <c r="B535">
        <v>22</v>
      </c>
      <c r="C535">
        <v>30</v>
      </c>
    </row>
    <row r="536" spans="1:6" x14ac:dyDescent="0.3">
      <c r="A536" t="s">
        <v>680</v>
      </c>
      <c r="B536">
        <v>22</v>
      </c>
      <c r="C536">
        <v>16.899999999999999</v>
      </c>
    </row>
    <row r="537" spans="1:6" x14ac:dyDescent="0.3">
      <c r="A537" t="s">
        <v>41</v>
      </c>
      <c r="B537">
        <v>22</v>
      </c>
      <c r="C537">
        <v>0</v>
      </c>
    </row>
    <row r="538" spans="1:6" x14ac:dyDescent="0.3">
      <c r="A538" t="s">
        <v>681</v>
      </c>
      <c r="B538">
        <v>22</v>
      </c>
      <c r="C538">
        <v>24</v>
      </c>
    </row>
    <row r="539" spans="1:6" x14ac:dyDescent="0.3">
      <c r="A539" t="s">
        <v>563</v>
      </c>
      <c r="B539">
        <v>22</v>
      </c>
      <c r="C539">
        <v>0</v>
      </c>
    </row>
    <row r="540" spans="1:6" x14ac:dyDescent="0.3">
      <c r="A540" t="s">
        <v>682</v>
      </c>
      <c r="B540">
        <v>22</v>
      </c>
      <c r="C540">
        <v>0</v>
      </c>
    </row>
    <row r="541" spans="1:6" x14ac:dyDescent="0.3">
      <c r="A541" t="s">
        <v>683</v>
      </c>
      <c r="B541">
        <v>22</v>
      </c>
      <c r="C541">
        <v>16</v>
      </c>
    </row>
    <row r="542" spans="1:6" x14ac:dyDescent="0.3">
      <c r="A542" t="s">
        <v>684</v>
      </c>
      <c r="B542">
        <v>22</v>
      </c>
      <c r="C542">
        <v>200</v>
      </c>
    </row>
    <row r="543" spans="1:6" x14ac:dyDescent="0.3">
      <c r="A543" t="s">
        <v>685</v>
      </c>
      <c r="B543">
        <v>22</v>
      </c>
      <c r="C543">
        <v>1320</v>
      </c>
    </row>
    <row r="544" spans="1:6" x14ac:dyDescent="0.3">
      <c r="A544" t="s">
        <v>686</v>
      </c>
      <c r="B544">
        <v>22</v>
      </c>
      <c r="C544">
        <v>880</v>
      </c>
    </row>
    <row r="545" spans="1:4" x14ac:dyDescent="0.3">
      <c r="A545" t="s">
        <v>687</v>
      </c>
      <c r="B545">
        <v>22</v>
      </c>
      <c r="C545">
        <v>1760</v>
      </c>
    </row>
    <row r="546" spans="1:4" x14ac:dyDescent="0.3">
      <c r="A546" t="s">
        <v>688</v>
      </c>
      <c r="B546">
        <v>22</v>
      </c>
    </row>
    <row r="547" spans="1:4" x14ac:dyDescent="0.3">
      <c r="A547" t="s">
        <v>689</v>
      </c>
      <c r="B547">
        <v>22</v>
      </c>
    </row>
    <row r="548" spans="1:4" x14ac:dyDescent="0.3">
      <c r="A548" t="s">
        <v>690</v>
      </c>
      <c r="B548">
        <v>22</v>
      </c>
    </row>
    <row r="549" spans="1:4" x14ac:dyDescent="0.3">
      <c r="A549" t="s">
        <v>691</v>
      </c>
      <c r="B549">
        <v>22</v>
      </c>
      <c r="C549" t="b">
        <v>0</v>
      </c>
    </row>
    <row r="550" spans="1:4" x14ac:dyDescent="0.3">
      <c r="A550" t="s">
        <v>692</v>
      </c>
      <c r="B550">
        <v>22</v>
      </c>
      <c r="C550" t="b">
        <v>0</v>
      </c>
    </row>
    <row r="551" spans="1:4" x14ac:dyDescent="0.3">
      <c r="A551" t="s">
        <v>678</v>
      </c>
      <c r="B551">
        <v>23</v>
      </c>
      <c r="D551">
        <v>21</v>
      </c>
    </row>
    <row r="552" spans="1:4" x14ac:dyDescent="0.3">
      <c r="A552" t="s">
        <v>36</v>
      </c>
      <c r="B552">
        <v>23</v>
      </c>
      <c r="D552">
        <v>3</v>
      </c>
    </row>
    <row r="553" spans="1:4" x14ac:dyDescent="0.3">
      <c r="A553" t="s">
        <v>503</v>
      </c>
      <c r="B553">
        <v>23</v>
      </c>
      <c r="D553" t="s">
        <v>703</v>
      </c>
    </row>
    <row r="554" spans="1:4" x14ac:dyDescent="0.3">
      <c r="A554" t="s">
        <v>679</v>
      </c>
      <c r="B554">
        <v>23</v>
      </c>
      <c r="D554">
        <v>473</v>
      </c>
    </row>
    <row r="555" spans="1:4" x14ac:dyDescent="0.3">
      <c r="A555" t="s">
        <v>42</v>
      </c>
      <c r="B555">
        <v>23</v>
      </c>
      <c r="D555">
        <v>30</v>
      </c>
    </row>
    <row r="556" spans="1:4" x14ac:dyDescent="0.3">
      <c r="A556" t="s">
        <v>680</v>
      </c>
      <c r="B556">
        <v>23</v>
      </c>
      <c r="D556">
        <v>10.8</v>
      </c>
    </row>
    <row r="557" spans="1:4" x14ac:dyDescent="0.3">
      <c r="A557" t="s">
        <v>41</v>
      </c>
      <c r="B557">
        <v>23</v>
      </c>
      <c r="D557">
        <v>0</v>
      </c>
    </row>
    <row r="558" spans="1:4" x14ac:dyDescent="0.3">
      <c r="A558" t="s">
        <v>681</v>
      </c>
      <c r="B558">
        <v>23</v>
      </c>
      <c r="D558">
        <v>24</v>
      </c>
    </row>
    <row r="559" spans="1:4" x14ac:dyDescent="0.3">
      <c r="A559" t="s">
        <v>563</v>
      </c>
      <c r="B559">
        <v>23</v>
      </c>
      <c r="D559">
        <v>0</v>
      </c>
    </row>
    <row r="560" spans="1:4" x14ac:dyDescent="0.3">
      <c r="A560" t="s">
        <v>682</v>
      </c>
      <c r="B560">
        <v>23</v>
      </c>
      <c r="D560">
        <v>0</v>
      </c>
    </row>
    <row r="561" spans="1:6" x14ac:dyDescent="0.3">
      <c r="A561" t="s">
        <v>683</v>
      </c>
      <c r="B561">
        <v>23</v>
      </c>
      <c r="D561">
        <v>16</v>
      </c>
    </row>
    <row r="562" spans="1:6" x14ac:dyDescent="0.3">
      <c r="A562" t="s">
        <v>684</v>
      </c>
      <c r="B562">
        <v>23</v>
      </c>
      <c r="D562">
        <v>200</v>
      </c>
    </row>
    <row r="563" spans="1:6" x14ac:dyDescent="0.3">
      <c r="A563" t="s">
        <v>685</v>
      </c>
      <c r="B563">
        <v>23</v>
      </c>
      <c r="D563">
        <v>1320</v>
      </c>
    </row>
    <row r="564" spans="1:6" x14ac:dyDescent="0.3">
      <c r="A564" t="s">
        <v>686</v>
      </c>
      <c r="B564">
        <v>23</v>
      </c>
      <c r="D564">
        <v>880</v>
      </c>
    </row>
    <row r="565" spans="1:6" x14ac:dyDescent="0.3">
      <c r="A565" t="s">
        <v>687</v>
      </c>
      <c r="B565">
        <v>23</v>
      </c>
      <c r="D565">
        <v>1760</v>
      </c>
    </row>
    <row r="566" spans="1:6" x14ac:dyDescent="0.3">
      <c r="A566" t="s">
        <v>688</v>
      </c>
      <c r="B566">
        <v>23</v>
      </c>
    </row>
    <row r="567" spans="1:6" x14ac:dyDescent="0.3">
      <c r="A567" t="s">
        <v>689</v>
      </c>
      <c r="B567">
        <v>23</v>
      </c>
    </row>
    <row r="568" spans="1:6" x14ac:dyDescent="0.3">
      <c r="A568" t="s">
        <v>690</v>
      </c>
      <c r="B568">
        <v>23</v>
      </c>
    </row>
    <row r="569" spans="1:6" x14ac:dyDescent="0.3">
      <c r="A569" t="s">
        <v>691</v>
      </c>
      <c r="B569">
        <v>23</v>
      </c>
      <c r="D569" t="b">
        <v>0</v>
      </c>
    </row>
    <row r="570" spans="1:6" x14ac:dyDescent="0.3">
      <c r="A570" t="s">
        <v>692</v>
      </c>
      <c r="B570">
        <v>23</v>
      </c>
      <c r="D570" t="b">
        <v>0</v>
      </c>
    </row>
    <row r="571" spans="1:6" x14ac:dyDescent="0.3">
      <c r="A571" t="s">
        <v>678</v>
      </c>
      <c r="B571">
        <v>24</v>
      </c>
      <c r="C571">
        <v>26</v>
      </c>
      <c r="D571">
        <v>25</v>
      </c>
      <c r="E571">
        <v>21</v>
      </c>
      <c r="F571">
        <v>27</v>
      </c>
    </row>
    <row r="572" spans="1:6" x14ac:dyDescent="0.3">
      <c r="A572" t="s">
        <v>36</v>
      </c>
      <c r="B572">
        <v>24</v>
      </c>
      <c r="C572">
        <v>1</v>
      </c>
      <c r="D572">
        <v>1</v>
      </c>
      <c r="E572">
        <v>4</v>
      </c>
      <c r="F572">
        <v>4</v>
      </c>
    </row>
    <row r="573" spans="1:6" x14ac:dyDescent="0.3">
      <c r="A573" t="s">
        <v>503</v>
      </c>
      <c r="B573">
        <v>24</v>
      </c>
      <c r="C573" t="s">
        <v>704</v>
      </c>
      <c r="D573" t="s">
        <v>704</v>
      </c>
      <c r="E573" t="s">
        <v>695</v>
      </c>
      <c r="F573" t="s">
        <v>695</v>
      </c>
    </row>
    <row r="574" spans="1:6" x14ac:dyDescent="0.3">
      <c r="A574" t="s">
        <v>679</v>
      </c>
      <c r="B574">
        <v>24</v>
      </c>
      <c r="C574">
        <v>527</v>
      </c>
      <c r="D574">
        <v>551</v>
      </c>
      <c r="E574">
        <v>1358</v>
      </c>
      <c r="F574">
        <v>1300</v>
      </c>
    </row>
    <row r="575" spans="1:6" x14ac:dyDescent="0.3">
      <c r="A575" t="s">
        <v>42</v>
      </c>
      <c r="B575">
        <v>24</v>
      </c>
      <c r="C575">
        <v>25</v>
      </c>
      <c r="D575">
        <v>25</v>
      </c>
      <c r="E575">
        <v>40</v>
      </c>
      <c r="F575">
        <v>40</v>
      </c>
    </row>
    <row r="576" spans="1:6" x14ac:dyDescent="0.3">
      <c r="A576" t="s">
        <v>680</v>
      </c>
      <c r="B576">
        <v>24</v>
      </c>
      <c r="C576">
        <v>14.4</v>
      </c>
      <c r="D576">
        <v>15</v>
      </c>
      <c r="E576">
        <v>23.1</v>
      </c>
      <c r="F576">
        <v>22.2</v>
      </c>
    </row>
    <row r="577" spans="1:6" x14ac:dyDescent="0.3">
      <c r="A577" t="s">
        <v>41</v>
      </c>
      <c r="B577">
        <v>24</v>
      </c>
      <c r="C577">
        <v>0</v>
      </c>
      <c r="D577">
        <v>0</v>
      </c>
      <c r="E577">
        <v>0</v>
      </c>
      <c r="F577">
        <v>0</v>
      </c>
    </row>
    <row r="578" spans="1:6" x14ac:dyDescent="0.3">
      <c r="A578" t="s">
        <v>681</v>
      </c>
      <c r="B578">
        <v>24</v>
      </c>
      <c r="C578">
        <v>0</v>
      </c>
      <c r="D578">
        <v>0</v>
      </c>
      <c r="E578" t="s">
        <v>697</v>
      </c>
      <c r="F578" t="s">
        <v>697</v>
      </c>
    </row>
    <row r="579" spans="1:6" x14ac:dyDescent="0.3">
      <c r="A579" t="s">
        <v>563</v>
      </c>
      <c r="B579">
        <v>24</v>
      </c>
      <c r="C579">
        <v>0</v>
      </c>
      <c r="D579">
        <v>0</v>
      </c>
      <c r="E579">
        <v>0</v>
      </c>
      <c r="F579">
        <v>0</v>
      </c>
    </row>
    <row r="580" spans="1:6" x14ac:dyDescent="0.3">
      <c r="A580" t="s">
        <v>682</v>
      </c>
      <c r="B580">
        <v>24</v>
      </c>
      <c r="C580">
        <v>0</v>
      </c>
      <c r="D580">
        <v>0</v>
      </c>
      <c r="E580">
        <v>0</v>
      </c>
      <c r="F580">
        <v>0</v>
      </c>
    </row>
    <row r="581" spans="1:6" x14ac:dyDescent="0.3">
      <c r="A581" t="s">
        <v>683</v>
      </c>
      <c r="B581">
        <v>24</v>
      </c>
      <c r="C581">
        <v>16</v>
      </c>
      <c r="D581">
        <v>16</v>
      </c>
      <c r="E581">
        <v>16</v>
      </c>
      <c r="F581">
        <v>16</v>
      </c>
    </row>
    <row r="582" spans="1:6" x14ac:dyDescent="0.3">
      <c r="A582" t="s">
        <v>684</v>
      </c>
      <c r="B582">
        <v>24</v>
      </c>
      <c r="C582">
        <v>250</v>
      </c>
      <c r="D582">
        <v>250</v>
      </c>
      <c r="E582">
        <v>250</v>
      </c>
      <c r="F582">
        <v>250</v>
      </c>
    </row>
    <row r="583" spans="1:6" x14ac:dyDescent="0.3">
      <c r="A583" t="s">
        <v>685</v>
      </c>
      <c r="B583">
        <v>24</v>
      </c>
      <c r="C583">
        <v>1101</v>
      </c>
      <c r="D583">
        <v>1101</v>
      </c>
      <c r="E583">
        <v>1761</v>
      </c>
      <c r="F583">
        <v>1761</v>
      </c>
    </row>
    <row r="584" spans="1:6" x14ac:dyDescent="0.3">
      <c r="A584" t="s">
        <v>686</v>
      </c>
      <c r="B584">
        <v>24</v>
      </c>
      <c r="C584">
        <v>734</v>
      </c>
      <c r="D584">
        <v>734</v>
      </c>
      <c r="E584">
        <v>1174</v>
      </c>
      <c r="F584">
        <v>1174</v>
      </c>
    </row>
    <row r="585" spans="1:6" x14ac:dyDescent="0.3">
      <c r="A585" t="s">
        <v>687</v>
      </c>
      <c r="B585">
        <v>24</v>
      </c>
      <c r="C585">
        <v>1468</v>
      </c>
      <c r="D585">
        <v>1468</v>
      </c>
      <c r="E585">
        <v>2348</v>
      </c>
      <c r="F585">
        <v>2348</v>
      </c>
    </row>
    <row r="586" spans="1:6" x14ac:dyDescent="0.3">
      <c r="A586" t="s">
        <v>688</v>
      </c>
      <c r="B586">
        <v>24</v>
      </c>
    </row>
    <row r="587" spans="1:6" x14ac:dyDescent="0.3">
      <c r="A587" t="s">
        <v>689</v>
      </c>
      <c r="B587">
        <v>24</v>
      </c>
    </row>
    <row r="588" spans="1:6" x14ac:dyDescent="0.3">
      <c r="A588" t="s">
        <v>690</v>
      </c>
      <c r="B588">
        <v>24</v>
      </c>
    </row>
    <row r="589" spans="1:6" x14ac:dyDescent="0.3">
      <c r="A589" t="s">
        <v>691</v>
      </c>
      <c r="B589">
        <v>24</v>
      </c>
      <c r="C589" t="b">
        <v>0</v>
      </c>
      <c r="D589" t="b">
        <v>0</v>
      </c>
      <c r="E589" t="b">
        <v>0</v>
      </c>
      <c r="F589" t="b">
        <v>0</v>
      </c>
    </row>
    <row r="590" spans="1:6" x14ac:dyDescent="0.3">
      <c r="A590" t="s">
        <v>692</v>
      </c>
      <c r="B590">
        <v>24</v>
      </c>
      <c r="C590" t="b">
        <v>0</v>
      </c>
      <c r="D590" t="b">
        <v>0</v>
      </c>
      <c r="E590" t="b">
        <v>0</v>
      </c>
      <c r="F590" t="b">
        <v>0</v>
      </c>
    </row>
    <row r="591" spans="1:6" x14ac:dyDescent="0.3">
      <c r="A591" t="s">
        <v>678</v>
      </c>
      <c r="B591">
        <v>25</v>
      </c>
      <c r="C591">
        <v>24</v>
      </c>
    </row>
    <row r="592" spans="1:6" x14ac:dyDescent="0.3">
      <c r="A592" t="s">
        <v>36</v>
      </c>
      <c r="B592">
        <v>25</v>
      </c>
      <c r="C592">
        <v>1</v>
      </c>
    </row>
    <row r="593" spans="1:3" x14ac:dyDescent="0.3">
      <c r="A593" t="s">
        <v>503</v>
      </c>
      <c r="B593">
        <v>25</v>
      </c>
      <c r="C593" t="s">
        <v>704</v>
      </c>
    </row>
    <row r="594" spans="1:3" x14ac:dyDescent="0.3">
      <c r="A594" t="s">
        <v>679</v>
      </c>
      <c r="B594">
        <v>25</v>
      </c>
      <c r="C594">
        <v>551</v>
      </c>
    </row>
    <row r="595" spans="1:3" x14ac:dyDescent="0.3">
      <c r="A595" t="s">
        <v>42</v>
      </c>
      <c r="B595">
        <v>25</v>
      </c>
      <c r="C595">
        <v>30</v>
      </c>
    </row>
    <row r="596" spans="1:3" x14ac:dyDescent="0.3">
      <c r="A596" t="s">
        <v>680</v>
      </c>
      <c r="B596">
        <v>25</v>
      </c>
      <c r="C596">
        <v>12.5</v>
      </c>
    </row>
    <row r="597" spans="1:3" x14ac:dyDescent="0.3">
      <c r="A597" t="s">
        <v>41</v>
      </c>
      <c r="B597">
        <v>25</v>
      </c>
      <c r="C597">
        <v>0</v>
      </c>
    </row>
    <row r="598" spans="1:3" x14ac:dyDescent="0.3">
      <c r="A598" t="s">
        <v>681</v>
      </c>
      <c r="B598">
        <v>25</v>
      </c>
      <c r="C598">
        <v>0</v>
      </c>
    </row>
    <row r="599" spans="1:3" x14ac:dyDescent="0.3">
      <c r="A599" t="s">
        <v>563</v>
      </c>
      <c r="B599">
        <v>25</v>
      </c>
      <c r="C599">
        <v>0</v>
      </c>
    </row>
    <row r="600" spans="1:3" x14ac:dyDescent="0.3">
      <c r="A600" t="s">
        <v>682</v>
      </c>
      <c r="B600">
        <v>25</v>
      </c>
      <c r="C600">
        <v>0</v>
      </c>
    </row>
    <row r="601" spans="1:3" x14ac:dyDescent="0.3">
      <c r="A601" t="s">
        <v>683</v>
      </c>
      <c r="B601">
        <v>25</v>
      </c>
      <c r="C601">
        <v>16</v>
      </c>
    </row>
    <row r="602" spans="1:3" x14ac:dyDescent="0.3">
      <c r="A602" t="s">
        <v>684</v>
      </c>
      <c r="B602">
        <v>25</v>
      </c>
      <c r="C602">
        <v>200</v>
      </c>
    </row>
    <row r="603" spans="1:3" x14ac:dyDescent="0.3">
      <c r="A603" t="s">
        <v>685</v>
      </c>
      <c r="B603">
        <v>25</v>
      </c>
      <c r="C603">
        <v>1320</v>
      </c>
    </row>
    <row r="604" spans="1:3" x14ac:dyDescent="0.3">
      <c r="A604" t="s">
        <v>686</v>
      </c>
      <c r="B604">
        <v>25</v>
      </c>
      <c r="C604">
        <v>880</v>
      </c>
    </row>
    <row r="605" spans="1:3" x14ac:dyDescent="0.3">
      <c r="A605" t="s">
        <v>687</v>
      </c>
      <c r="B605">
        <v>25</v>
      </c>
      <c r="C605">
        <v>1760</v>
      </c>
    </row>
    <row r="606" spans="1:3" x14ac:dyDescent="0.3">
      <c r="A606" t="s">
        <v>688</v>
      </c>
      <c r="B606">
        <v>25</v>
      </c>
    </row>
    <row r="607" spans="1:3" x14ac:dyDescent="0.3">
      <c r="A607" t="s">
        <v>689</v>
      </c>
      <c r="B607">
        <v>25</v>
      </c>
    </row>
    <row r="608" spans="1:3" x14ac:dyDescent="0.3">
      <c r="A608" t="s">
        <v>690</v>
      </c>
      <c r="B608">
        <v>25</v>
      </c>
    </row>
    <row r="609" spans="1:4" x14ac:dyDescent="0.3">
      <c r="A609" t="s">
        <v>691</v>
      </c>
      <c r="B609">
        <v>25</v>
      </c>
      <c r="C609" t="b">
        <v>0</v>
      </c>
    </row>
    <row r="610" spans="1:4" x14ac:dyDescent="0.3">
      <c r="A610" t="s">
        <v>692</v>
      </c>
      <c r="B610">
        <v>25</v>
      </c>
      <c r="C610" t="b">
        <v>0</v>
      </c>
    </row>
    <row r="611" spans="1:4" x14ac:dyDescent="0.3">
      <c r="A611" t="s">
        <v>678</v>
      </c>
      <c r="B611">
        <v>26</v>
      </c>
      <c r="D611">
        <v>24</v>
      </c>
    </row>
    <row r="612" spans="1:4" x14ac:dyDescent="0.3">
      <c r="A612" t="s">
        <v>36</v>
      </c>
      <c r="B612">
        <v>26</v>
      </c>
      <c r="D612">
        <v>1</v>
      </c>
    </row>
    <row r="613" spans="1:4" x14ac:dyDescent="0.3">
      <c r="A613" t="s">
        <v>503</v>
      </c>
      <c r="B613">
        <v>26</v>
      </c>
      <c r="D613" t="s">
        <v>704</v>
      </c>
    </row>
    <row r="614" spans="1:4" x14ac:dyDescent="0.3">
      <c r="A614" t="s">
        <v>679</v>
      </c>
      <c r="B614">
        <v>26</v>
      </c>
      <c r="D614">
        <v>527</v>
      </c>
    </row>
    <row r="615" spans="1:4" x14ac:dyDescent="0.3">
      <c r="A615" t="s">
        <v>42</v>
      </c>
      <c r="B615">
        <v>26</v>
      </c>
      <c r="D615">
        <v>30</v>
      </c>
    </row>
    <row r="616" spans="1:4" x14ac:dyDescent="0.3">
      <c r="A616" t="s">
        <v>680</v>
      </c>
      <c r="B616">
        <v>26</v>
      </c>
      <c r="D616">
        <v>12</v>
      </c>
    </row>
    <row r="617" spans="1:4" x14ac:dyDescent="0.3">
      <c r="A617" t="s">
        <v>41</v>
      </c>
      <c r="B617">
        <v>26</v>
      </c>
      <c r="D617">
        <v>0</v>
      </c>
    </row>
    <row r="618" spans="1:4" x14ac:dyDescent="0.3">
      <c r="A618" t="s">
        <v>681</v>
      </c>
      <c r="B618">
        <v>26</v>
      </c>
      <c r="D618">
        <v>0</v>
      </c>
    </row>
    <row r="619" spans="1:4" x14ac:dyDescent="0.3">
      <c r="A619" t="s">
        <v>563</v>
      </c>
      <c r="B619">
        <v>26</v>
      </c>
      <c r="D619">
        <v>0</v>
      </c>
    </row>
    <row r="620" spans="1:4" x14ac:dyDescent="0.3">
      <c r="A620" t="s">
        <v>682</v>
      </c>
      <c r="B620">
        <v>26</v>
      </c>
      <c r="D620">
        <v>0</v>
      </c>
    </row>
    <row r="621" spans="1:4" x14ac:dyDescent="0.3">
      <c r="A621" t="s">
        <v>683</v>
      </c>
      <c r="B621">
        <v>26</v>
      </c>
      <c r="D621">
        <v>16</v>
      </c>
    </row>
    <row r="622" spans="1:4" x14ac:dyDescent="0.3">
      <c r="A622" t="s">
        <v>684</v>
      </c>
      <c r="B622">
        <v>26</v>
      </c>
      <c r="D622">
        <v>200</v>
      </c>
    </row>
    <row r="623" spans="1:4" x14ac:dyDescent="0.3">
      <c r="A623" t="s">
        <v>685</v>
      </c>
      <c r="B623">
        <v>26</v>
      </c>
      <c r="D623">
        <v>1320</v>
      </c>
    </row>
    <row r="624" spans="1:4" x14ac:dyDescent="0.3">
      <c r="A624" t="s">
        <v>686</v>
      </c>
      <c r="B624">
        <v>26</v>
      </c>
      <c r="D624">
        <v>880</v>
      </c>
    </row>
    <row r="625" spans="1:6" x14ac:dyDescent="0.3">
      <c r="A625" t="s">
        <v>687</v>
      </c>
      <c r="B625">
        <v>26</v>
      </c>
      <c r="D625">
        <v>1760</v>
      </c>
    </row>
    <row r="626" spans="1:6" x14ac:dyDescent="0.3">
      <c r="A626" t="s">
        <v>688</v>
      </c>
      <c r="B626">
        <v>26</v>
      </c>
    </row>
    <row r="627" spans="1:6" x14ac:dyDescent="0.3">
      <c r="A627" t="s">
        <v>689</v>
      </c>
      <c r="B627">
        <v>26</v>
      </c>
    </row>
    <row r="628" spans="1:6" x14ac:dyDescent="0.3">
      <c r="A628" t="s">
        <v>690</v>
      </c>
      <c r="B628">
        <v>26</v>
      </c>
    </row>
    <row r="629" spans="1:6" x14ac:dyDescent="0.3">
      <c r="A629" t="s">
        <v>691</v>
      </c>
      <c r="B629">
        <v>26</v>
      </c>
      <c r="D629" t="b">
        <v>0</v>
      </c>
    </row>
    <row r="630" spans="1:6" x14ac:dyDescent="0.3">
      <c r="A630" t="s">
        <v>692</v>
      </c>
      <c r="B630">
        <v>26</v>
      </c>
      <c r="D630" t="b">
        <v>0</v>
      </c>
    </row>
    <row r="631" spans="1:6" x14ac:dyDescent="0.3">
      <c r="A631" t="s">
        <v>678</v>
      </c>
      <c r="B631">
        <v>27</v>
      </c>
      <c r="C631">
        <v>30</v>
      </c>
      <c r="D631">
        <v>31</v>
      </c>
      <c r="E631">
        <v>24</v>
      </c>
      <c r="F631">
        <v>73</v>
      </c>
    </row>
    <row r="632" spans="1:6" x14ac:dyDescent="0.3">
      <c r="A632" t="s">
        <v>36</v>
      </c>
      <c r="B632">
        <v>27</v>
      </c>
      <c r="C632">
        <v>3</v>
      </c>
      <c r="D632">
        <v>2</v>
      </c>
      <c r="E632">
        <v>4</v>
      </c>
      <c r="F632">
        <v>4</v>
      </c>
    </row>
    <row r="633" spans="1:6" x14ac:dyDescent="0.3">
      <c r="A633" t="s">
        <v>503</v>
      </c>
      <c r="B633">
        <v>27</v>
      </c>
      <c r="C633" t="s">
        <v>705</v>
      </c>
      <c r="D633" t="s">
        <v>705</v>
      </c>
      <c r="E633" t="s">
        <v>695</v>
      </c>
      <c r="F633" t="s">
        <v>695</v>
      </c>
    </row>
    <row r="634" spans="1:6" x14ac:dyDescent="0.3">
      <c r="A634" t="s">
        <v>679</v>
      </c>
      <c r="B634">
        <v>27</v>
      </c>
      <c r="C634">
        <v>403</v>
      </c>
      <c r="D634">
        <v>311</v>
      </c>
      <c r="E634">
        <v>1300</v>
      </c>
      <c r="F634">
        <v>1322</v>
      </c>
    </row>
    <row r="635" spans="1:6" x14ac:dyDescent="0.3">
      <c r="A635" t="s">
        <v>42</v>
      </c>
      <c r="B635">
        <v>27</v>
      </c>
      <c r="C635">
        <v>30</v>
      </c>
      <c r="D635">
        <v>25</v>
      </c>
      <c r="E635">
        <v>45</v>
      </c>
      <c r="F635">
        <v>40</v>
      </c>
    </row>
    <row r="636" spans="1:6" x14ac:dyDescent="0.3">
      <c r="A636" t="s">
        <v>680</v>
      </c>
      <c r="B636">
        <v>27</v>
      </c>
      <c r="C636">
        <v>9.1999999999999993</v>
      </c>
      <c r="D636">
        <v>8.5</v>
      </c>
      <c r="E636">
        <v>19.7</v>
      </c>
      <c r="F636">
        <v>22.5</v>
      </c>
    </row>
    <row r="637" spans="1:6" x14ac:dyDescent="0.3">
      <c r="A637" t="s">
        <v>41</v>
      </c>
      <c r="B637">
        <v>27</v>
      </c>
      <c r="C637">
        <v>0</v>
      </c>
      <c r="D637">
        <v>0</v>
      </c>
      <c r="E637">
        <v>0</v>
      </c>
      <c r="F637">
        <v>0</v>
      </c>
    </row>
    <row r="638" spans="1:6" x14ac:dyDescent="0.3">
      <c r="A638" t="s">
        <v>681</v>
      </c>
      <c r="B638">
        <v>27</v>
      </c>
      <c r="C638">
        <v>12</v>
      </c>
      <c r="D638">
        <v>12</v>
      </c>
      <c r="E638">
        <v>12</v>
      </c>
      <c r="F638">
        <v>12</v>
      </c>
    </row>
    <row r="639" spans="1:6" x14ac:dyDescent="0.3">
      <c r="A639" t="s">
        <v>563</v>
      </c>
      <c r="B639">
        <v>27</v>
      </c>
      <c r="C639">
        <v>0</v>
      </c>
      <c r="D639">
        <v>0</v>
      </c>
      <c r="E639">
        <v>0</v>
      </c>
      <c r="F639">
        <v>0</v>
      </c>
    </row>
    <row r="640" spans="1:6" x14ac:dyDescent="0.3">
      <c r="A640" t="s">
        <v>682</v>
      </c>
      <c r="B640">
        <v>27</v>
      </c>
      <c r="C640">
        <v>0</v>
      </c>
      <c r="D640">
        <v>0</v>
      </c>
      <c r="E640">
        <v>0</v>
      </c>
      <c r="F640">
        <v>0</v>
      </c>
    </row>
    <row r="641" spans="1:6" x14ac:dyDescent="0.3">
      <c r="A641" t="s">
        <v>683</v>
      </c>
      <c r="B641">
        <v>27</v>
      </c>
      <c r="C641">
        <v>16</v>
      </c>
      <c r="D641">
        <v>16</v>
      </c>
      <c r="E641">
        <v>16</v>
      </c>
      <c r="F641">
        <v>16</v>
      </c>
    </row>
    <row r="642" spans="1:6" x14ac:dyDescent="0.3">
      <c r="A642" t="s">
        <v>684</v>
      </c>
      <c r="B642">
        <v>27</v>
      </c>
      <c r="C642">
        <v>500</v>
      </c>
      <c r="D642">
        <v>500</v>
      </c>
      <c r="E642">
        <v>500</v>
      </c>
      <c r="F642">
        <v>500</v>
      </c>
    </row>
    <row r="643" spans="1:6" x14ac:dyDescent="0.3">
      <c r="A643" t="s">
        <v>685</v>
      </c>
      <c r="B643">
        <v>27</v>
      </c>
      <c r="C643">
        <v>1320</v>
      </c>
      <c r="D643">
        <v>1101</v>
      </c>
      <c r="E643">
        <v>1980</v>
      </c>
      <c r="F643">
        <v>1761</v>
      </c>
    </row>
    <row r="644" spans="1:6" x14ac:dyDescent="0.3">
      <c r="A644" t="s">
        <v>686</v>
      </c>
      <c r="B644">
        <v>27</v>
      </c>
      <c r="C644">
        <v>880</v>
      </c>
      <c r="D644">
        <v>734</v>
      </c>
      <c r="E644">
        <v>1320</v>
      </c>
      <c r="F644">
        <v>1174</v>
      </c>
    </row>
    <row r="645" spans="1:6" x14ac:dyDescent="0.3">
      <c r="A645" t="s">
        <v>687</v>
      </c>
      <c r="B645">
        <v>27</v>
      </c>
      <c r="C645">
        <v>1760</v>
      </c>
      <c r="D645">
        <v>1468</v>
      </c>
      <c r="E645">
        <v>2640</v>
      </c>
      <c r="F645">
        <v>2348</v>
      </c>
    </row>
    <row r="646" spans="1:6" x14ac:dyDescent="0.3">
      <c r="A646" t="s">
        <v>688</v>
      </c>
      <c r="B646">
        <v>27</v>
      </c>
    </row>
    <row r="647" spans="1:6" x14ac:dyDescent="0.3">
      <c r="A647" t="s">
        <v>689</v>
      </c>
      <c r="B647">
        <v>27</v>
      </c>
    </row>
    <row r="648" spans="1:6" x14ac:dyDescent="0.3">
      <c r="A648" t="s">
        <v>690</v>
      </c>
      <c r="B648">
        <v>27</v>
      </c>
    </row>
    <row r="649" spans="1:6" x14ac:dyDescent="0.3">
      <c r="A649" t="s">
        <v>691</v>
      </c>
      <c r="B649">
        <v>27</v>
      </c>
      <c r="C649" t="b">
        <v>0</v>
      </c>
      <c r="D649" t="b">
        <v>0</v>
      </c>
      <c r="E649" t="b">
        <v>0</v>
      </c>
      <c r="F649" t="b">
        <v>0</v>
      </c>
    </row>
    <row r="650" spans="1:6" x14ac:dyDescent="0.3">
      <c r="A650" t="s">
        <v>692</v>
      </c>
      <c r="B650">
        <v>27</v>
      </c>
      <c r="C650" t="b">
        <v>0</v>
      </c>
      <c r="D650" t="b">
        <v>1</v>
      </c>
      <c r="E650" t="b">
        <v>0</v>
      </c>
      <c r="F650" t="b">
        <v>0</v>
      </c>
    </row>
    <row r="651" spans="1:6" x14ac:dyDescent="0.3">
      <c r="A651" t="s">
        <v>678</v>
      </c>
      <c r="B651">
        <v>28</v>
      </c>
      <c r="C651">
        <v>31</v>
      </c>
    </row>
    <row r="652" spans="1:6" x14ac:dyDescent="0.3">
      <c r="A652" t="s">
        <v>36</v>
      </c>
      <c r="B652">
        <v>28</v>
      </c>
      <c r="C652">
        <v>1</v>
      </c>
    </row>
    <row r="653" spans="1:6" x14ac:dyDescent="0.3">
      <c r="A653" t="s">
        <v>503</v>
      </c>
      <c r="B653">
        <v>28</v>
      </c>
      <c r="C653" t="s">
        <v>705</v>
      </c>
    </row>
    <row r="654" spans="1:6" x14ac:dyDescent="0.3">
      <c r="A654" t="s">
        <v>679</v>
      </c>
      <c r="B654">
        <v>28</v>
      </c>
      <c r="C654">
        <v>530</v>
      </c>
    </row>
    <row r="655" spans="1:6" x14ac:dyDescent="0.3">
      <c r="A655" t="s">
        <v>42</v>
      </c>
      <c r="B655">
        <v>28</v>
      </c>
      <c r="C655">
        <v>30</v>
      </c>
    </row>
    <row r="656" spans="1:6" x14ac:dyDescent="0.3">
      <c r="A656" t="s">
        <v>680</v>
      </c>
      <c r="B656">
        <v>28</v>
      </c>
      <c r="C656">
        <v>12</v>
      </c>
    </row>
    <row r="657" spans="1:4" x14ac:dyDescent="0.3">
      <c r="A657" t="s">
        <v>41</v>
      </c>
      <c r="B657">
        <v>28</v>
      </c>
      <c r="C657">
        <v>0</v>
      </c>
    </row>
    <row r="658" spans="1:4" x14ac:dyDescent="0.3">
      <c r="A658" t="s">
        <v>681</v>
      </c>
      <c r="B658">
        <v>28</v>
      </c>
      <c r="C658" t="s">
        <v>698</v>
      </c>
    </row>
    <row r="659" spans="1:4" x14ac:dyDescent="0.3">
      <c r="A659" t="s">
        <v>563</v>
      </c>
      <c r="B659">
        <v>28</v>
      </c>
      <c r="C659">
        <v>0</v>
      </c>
    </row>
    <row r="660" spans="1:4" x14ac:dyDescent="0.3">
      <c r="A660" t="s">
        <v>682</v>
      </c>
      <c r="B660">
        <v>28</v>
      </c>
      <c r="C660">
        <v>0</v>
      </c>
    </row>
    <row r="661" spans="1:4" x14ac:dyDescent="0.3">
      <c r="A661" t="s">
        <v>683</v>
      </c>
      <c r="B661">
        <v>28</v>
      </c>
      <c r="C661">
        <v>16</v>
      </c>
    </row>
    <row r="662" spans="1:4" x14ac:dyDescent="0.3">
      <c r="A662" t="s">
        <v>684</v>
      </c>
      <c r="B662">
        <v>28</v>
      </c>
      <c r="C662">
        <v>200</v>
      </c>
    </row>
    <row r="663" spans="1:4" x14ac:dyDescent="0.3">
      <c r="A663" t="s">
        <v>685</v>
      </c>
      <c r="B663">
        <v>28</v>
      </c>
      <c r="C663">
        <v>1320</v>
      </c>
    </row>
    <row r="664" spans="1:4" x14ac:dyDescent="0.3">
      <c r="A664" t="s">
        <v>686</v>
      </c>
      <c r="B664">
        <v>28</v>
      </c>
      <c r="C664">
        <v>880</v>
      </c>
    </row>
    <row r="665" spans="1:4" x14ac:dyDescent="0.3">
      <c r="A665" t="s">
        <v>687</v>
      </c>
      <c r="B665">
        <v>28</v>
      </c>
      <c r="C665">
        <v>1760</v>
      </c>
    </row>
    <row r="666" spans="1:4" x14ac:dyDescent="0.3">
      <c r="A666" t="s">
        <v>688</v>
      </c>
      <c r="B666">
        <v>28</v>
      </c>
    </row>
    <row r="667" spans="1:4" x14ac:dyDescent="0.3">
      <c r="A667" t="s">
        <v>689</v>
      </c>
      <c r="B667">
        <v>28</v>
      </c>
    </row>
    <row r="668" spans="1:4" x14ac:dyDescent="0.3">
      <c r="A668" t="s">
        <v>690</v>
      </c>
      <c r="B668">
        <v>28</v>
      </c>
    </row>
    <row r="669" spans="1:4" x14ac:dyDescent="0.3">
      <c r="A669" t="s">
        <v>691</v>
      </c>
      <c r="B669">
        <v>28</v>
      </c>
      <c r="C669" t="b">
        <v>0</v>
      </c>
    </row>
    <row r="670" spans="1:4" x14ac:dyDescent="0.3">
      <c r="A670" t="s">
        <v>692</v>
      </c>
      <c r="B670">
        <v>28</v>
      </c>
      <c r="C670" t="b">
        <v>0</v>
      </c>
    </row>
    <row r="671" spans="1:4" x14ac:dyDescent="0.3">
      <c r="A671" t="s">
        <v>678</v>
      </c>
      <c r="B671">
        <v>29</v>
      </c>
      <c r="D671">
        <v>30</v>
      </c>
    </row>
    <row r="672" spans="1:4" x14ac:dyDescent="0.3">
      <c r="A672" t="s">
        <v>36</v>
      </c>
      <c r="B672">
        <v>29</v>
      </c>
      <c r="D672">
        <v>1</v>
      </c>
    </row>
    <row r="673" spans="1:4" x14ac:dyDescent="0.3">
      <c r="A673" t="s">
        <v>503</v>
      </c>
      <c r="B673">
        <v>29</v>
      </c>
    </row>
    <row r="674" spans="1:4" x14ac:dyDescent="0.3">
      <c r="A674" t="s">
        <v>679</v>
      </c>
      <c r="B674">
        <v>29</v>
      </c>
      <c r="D674">
        <v>636</v>
      </c>
    </row>
    <row r="675" spans="1:4" x14ac:dyDescent="0.3">
      <c r="A675" t="s">
        <v>42</v>
      </c>
      <c r="B675">
        <v>29</v>
      </c>
      <c r="D675">
        <v>30</v>
      </c>
    </row>
    <row r="676" spans="1:4" x14ac:dyDescent="0.3">
      <c r="A676" t="s">
        <v>680</v>
      </c>
      <c r="B676">
        <v>29</v>
      </c>
      <c r="D676">
        <v>14.5</v>
      </c>
    </row>
    <row r="677" spans="1:4" x14ac:dyDescent="0.3">
      <c r="A677" t="s">
        <v>41</v>
      </c>
      <c r="B677">
        <v>29</v>
      </c>
      <c r="D677">
        <v>0</v>
      </c>
    </row>
    <row r="678" spans="1:4" x14ac:dyDescent="0.3">
      <c r="A678" t="s">
        <v>681</v>
      </c>
      <c r="B678">
        <v>29</v>
      </c>
      <c r="D678">
        <v>0</v>
      </c>
    </row>
    <row r="679" spans="1:4" x14ac:dyDescent="0.3">
      <c r="A679" t="s">
        <v>563</v>
      </c>
      <c r="B679">
        <v>29</v>
      </c>
      <c r="D679">
        <v>0</v>
      </c>
    </row>
    <row r="680" spans="1:4" x14ac:dyDescent="0.3">
      <c r="A680" t="s">
        <v>682</v>
      </c>
      <c r="B680">
        <v>29</v>
      </c>
      <c r="D680">
        <v>1</v>
      </c>
    </row>
    <row r="681" spans="1:4" x14ac:dyDescent="0.3">
      <c r="A681" t="s">
        <v>683</v>
      </c>
      <c r="B681">
        <v>29</v>
      </c>
      <c r="D681">
        <v>16</v>
      </c>
    </row>
    <row r="682" spans="1:4" x14ac:dyDescent="0.3">
      <c r="A682" t="s">
        <v>684</v>
      </c>
      <c r="B682">
        <v>29</v>
      </c>
      <c r="D682">
        <v>200</v>
      </c>
    </row>
    <row r="683" spans="1:4" x14ac:dyDescent="0.3">
      <c r="A683" t="s">
        <v>685</v>
      </c>
      <c r="B683">
        <v>29</v>
      </c>
      <c r="D683">
        <v>1320</v>
      </c>
    </row>
    <row r="684" spans="1:4" x14ac:dyDescent="0.3">
      <c r="A684" t="s">
        <v>686</v>
      </c>
      <c r="B684">
        <v>29</v>
      </c>
      <c r="D684">
        <v>880</v>
      </c>
    </row>
    <row r="685" spans="1:4" x14ac:dyDescent="0.3">
      <c r="A685" t="s">
        <v>687</v>
      </c>
      <c r="B685">
        <v>29</v>
      </c>
      <c r="D685">
        <v>1760</v>
      </c>
    </row>
    <row r="686" spans="1:4" x14ac:dyDescent="0.3">
      <c r="A686" t="s">
        <v>688</v>
      </c>
      <c r="B686">
        <v>29</v>
      </c>
    </row>
    <row r="687" spans="1:4" x14ac:dyDescent="0.3">
      <c r="A687" t="s">
        <v>689</v>
      </c>
      <c r="B687">
        <v>29</v>
      </c>
    </row>
    <row r="688" spans="1:4" x14ac:dyDescent="0.3">
      <c r="A688" t="s">
        <v>690</v>
      </c>
      <c r="B688">
        <v>29</v>
      </c>
    </row>
    <row r="689" spans="1:4" x14ac:dyDescent="0.3">
      <c r="A689" t="s">
        <v>691</v>
      </c>
      <c r="B689">
        <v>29</v>
      </c>
      <c r="D689" t="b">
        <v>0</v>
      </c>
    </row>
    <row r="690" spans="1:4" x14ac:dyDescent="0.3">
      <c r="A690" t="s">
        <v>692</v>
      </c>
      <c r="B690">
        <v>29</v>
      </c>
      <c r="D690" t="b">
        <v>0</v>
      </c>
    </row>
    <row r="691" spans="1:4" x14ac:dyDescent="0.3">
      <c r="A691" t="s">
        <v>678</v>
      </c>
      <c r="B691">
        <v>30</v>
      </c>
      <c r="C691">
        <v>29</v>
      </c>
      <c r="D691">
        <v>27</v>
      </c>
    </row>
    <row r="692" spans="1:4" x14ac:dyDescent="0.3">
      <c r="A692" t="s">
        <v>36</v>
      </c>
      <c r="B692">
        <v>30</v>
      </c>
      <c r="C692" t="s">
        <v>698</v>
      </c>
      <c r="D692">
        <v>1</v>
      </c>
    </row>
    <row r="693" spans="1:4" x14ac:dyDescent="0.3">
      <c r="A693" t="s">
        <v>503</v>
      </c>
      <c r="B693">
        <v>30</v>
      </c>
      <c r="D693" t="s">
        <v>705</v>
      </c>
    </row>
    <row r="694" spans="1:4" x14ac:dyDescent="0.3">
      <c r="A694" t="s">
        <v>679</v>
      </c>
      <c r="B694">
        <v>30</v>
      </c>
      <c r="C694">
        <v>636</v>
      </c>
      <c r="D694">
        <v>403</v>
      </c>
    </row>
    <row r="695" spans="1:4" x14ac:dyDescent="0.3">
      <c r="A695" t="s">
        <v>42</v>
      </c>
      <c r="B695">
        <v>30</v>
      </c>
      <c r="C695">
        <v>30</v>
      </c>
      <c r="D695">
        <v>30</v>
      </c>
    </row>
    <row r="696" spans="1:4" x14ac:dyDescent="0.3">
      <c r="A696" t="s">
        <v>680</v>
      </c>
      <c r="B696">
        <v>30</v>
      </c>
      <c r="C696">
        <v>14.5</v>
      </c>
      <c r="D696">
        <v>9.1999999999999993</v>
      </c>
    </row>
    <row r="697" spans="1:4" x14ac:dyDescent="0.3">
      <c r="A697" t="s">
        <v>41</v>
      </c>
      <c r="B697">
        <v>30</v>
      </c>
      <c r="C697">
        <v>0</v>
      </c>
      <c r="D697">
        <v>0</v>
      </c>
    </row>
    <row r="698" spans="1:4" x14ac:dyDescent="0.3">
      <c r="A698" t="s">
        <v>681</v>
      </c>
      <c r="B698">
        <v>30</v>
      </c>
      <c r="C698">
        <v>12</v>
      </c>
      <c r="D698">
        <v>12</v>
      </c>
    </row>
    <row r="699" spans="1:4" x14ac:dyDescent="0.3">
      <c r="A699" t="s">
        <v>563</v>
      </c>
      <c r="B699">
        <v>30</v>
      </c>
      <c r="C699">
        <v>0</v>
      </c>
      <c r="D699">
        <v>0</v>
      </c>
    </row>
    <row r="700" spans="1:4" x14ac:dyDescent="0.3">
      <c r="A700" t="s">
        <v>682</v>
      </c>
      <c r="B700">
        <v>30</v>
      </c>
      <c r="C700">
        <v>1</v>
      </c>
      <c r="D700">
        <v>0</v>
      </c>
    </row>
    <row r="701" spans="1:4" x14ac:dyDescent="0.3">
      <c r="A701" t="s">
        <v>683</v>
      </c>
      <c r="B701">
        <v>30</v>
      </c>
      <c r="C701">
        <v>16</v>
      </c>
      <c r="D701">
        <v>16</v>
      </c>
    </row>
    <row r="702" spans="1:4" x14ac:dyDescent="0.3">
      <c r="A702" t="s">
        <v>684</v>
      </c>
      <c r="B702">
        <v>30</v>
      </c>
      <c r="C702">
        <v>100</v>
      </c>
      <c r="D702">
        <v>100</v>
      </c>
    </row>
    <row r="703" spans="1:4" x14ac:dyDescent="0.3">
      <c r="A703" t="s">
        <v>685</v>
      </c>
      <c r="B703">
        <v>30</v>
      </c>
      <c r="C703">
        <v>1320</v>
      </c>
      <c r="D703">
        <v>1320</v>
      </c>
    </row>
    <row r="704" spans="1:4" x14ac:dyDescent="0.3">
      <c r="A704" t="s">
        <v>686</v>
      </c>
      <c r="B704">
        <v>30</v>
      </c>
      <c r="C704">
        <v>880</v>
      </c>
      <c r="D704">
        <v>880</v>
      </c>
    </row>
    <row r="705" spans="1:4" x14ac:dyDescent="0.3">
      <c r="A705" t="s">
        <v>687</v>
      </c>
      <c r="B705">
        <v>30</v>
      </c>
      <c r="C705">
        <v>1760</v>
      </c>
      <c r="D705">
        <v>1760</v>
      </c>
    </row>
    <row r="706" spans="1:4" x14ac:dyDescent="0.3">
      <c r="A706" t="s">
        <v>688</v>
      </c>
      <c r="B706">
        <v>30</v>
      </c>
    </row>
    <row r="707" spans="1:4" x14ac:dyDescent="0.3">
      <c r="A707" t="s">
        <v>689</v>
      </c>
      <c r="B707">
        <v>30</v>
      </c>
    </row>
    <row r="708" spans="1:4" x14ac:dyDescent="0.3">
      <c r="A708" t="s">
        <v>690</v>
      </c>
      <c r="B708">
        <v>30</v>
      </c>
    </row>
    <row r="709" spans="1:4" x14ac:dyDescent="0.3">
      <c r="A709" t="s">
        <v>691</v>
      </c>
      <c r="B709">
        <v>30</v>
      </c>
      <c r="C709" t="b">
        <v>0</v>
      </c>
      <c r="D709" t="b">
        <v>0</v>
      </c>
    </row>
    <row r="710" spans="1:4" x14ac:dyDescent="0.3">
      <c r="A710" t="s">
        <v>692</v>
      </c>
      <c r="B710">
        <v>30</v>
      </c>
      <c r="C710" t="b">
        <v>0</v>
      </c>
      <c r="D710" t="b">
        <v>0</v>
      </c>
    </row>
    <row r="711" spans="1:4" x14ac:dyDescent="0.3">
      <c r="A711" t="s">
        <v>678</v>
      </c>
      <c r="B711">
        <v>31</v>
      </c>
      <c r="C711">
        <v>27</v>
      </c>
      <c r="D711">
        <v>28</v>
      </c>
    </row>
    <row r="712" spans="1:4" x14ac:dyDescent="0.3">
      <c r="A712" t="s">
        <v>36</v>
      </c>
      <c r="B712">
        <v>31</v>
      </c>
      <c r="C712">
        <v>1</v>
      </c>
      <c r="D712">
        <v>1</v>
      </c>
    </row>
    <row r="713" spans="1:4" x14ac:dyDescent="0.3">
      <c r="A713" t="s">
        <v>503</v>
      </c>
      <c r="B713">
        <v>31</v>
      </c>
      <c r="C713" t="s">
        <v>705</v>
      </c>
      <c r="D713" t="s">
        <v>705</v>
      </c>
    </row>
    <row r="714" spans="1:4" x14ac:dyDescent="0.3">
      <c r="A714" t="s">
        <v>679</v>
      </c>
      <c r="B714">
        <v>31</v>
      </c>
      <c r="C714">
        <v>311</v>
      </c>
      <c r="D714">
        <v>530</v>
      </c>
    </row>
    <row r="715" spans="1:4" x14ac:dyDescent="0.3">
      <c r="A715" t="s">
        <v>42</v>
      </c>
      <c r="B715">
        <v>31</v>
      </c>
      <c r="C715">
        <v>30</v>
      </c>
      <c r="D715">
        <v>30</v>
      </c>
    </row>
    <row r="716" spans="1:4" x14ac:dyDescent="0.3">
      <c r="A716" t="s">
        <v>680</v>
      </c>
      <c r="B716">
        <v>31</v>
      </c>
      <c r="C716">
        <v>7.1</v>
      </c>
      <c r="D716">
        <v>12</v>
      </c>
    </row>
    <row r="717" spans="1:4" x14ac:dyDescent="0.3">
      <c r="A717" t="s">
        <v>41</v>
      </c>
      <c r="B717">
        <v>31</v>
      </c>
      <c r="C717">
        <v>0</v>
      </c>
      <c r="D717">
        <v>0</v>
      </c>
    </row>
    <row r="718" spans="1:4" x14ac:dyDescent="0.3">
      <c r="A718" t="s">
        <v>681</v>
      </c>
      <c r="B718">
        <v>31</v>
      </c>
      <c r="C718">
        <v>12</v>
      </c>
      <c r="D718" t="s">
        <v>699</v>
      </c>
    </row>
    <row r="719" spans="1:4" x14ac:dyDescent="0.3">
      <c r="A719" t="s">
        <v>563</v>
      </c>
      <c r="B719">
        <v>31</v>
      </c>
      <c r="C719">
        <v>0</v>
      </c>
      <c r="D719">
        <v>0</v>
      </c>
    </row>
    <row r="720" spans="1:4" x14ac:dyDescent="0.3">
      <c r="A720" t="s">
        <v>682</v>
      </c>
      <c r="B720">
        <v>31</v>
      </c>
      <c r="C720">
        <v>0</v>
      </c>
      <c r="D720">
        <v>0</v>
      </c>
    </row>
    <row r="721" spans="1:6" x14ac:dyDescent="0.3">
      <c r="A721" t="s">
        <v>683</v>
      </c>
      <c r="B721">
        <v>31</v>
      </c>
      <c r="C721">
        <v>16</v>
      </c>
      <c r="D721">
        <v>16</v>
      </c>
    </row>
    <row r="722" spans="1:6" x14ac:dyDescent="0.3">
      <c r="A722" t="s">
        <v>684</v>
      </c>
      <c r="B722">
        <v>31</v>
      </c>
      <c r="C722">
        <v>100</v>
      </c>
      <c r="D722">
        <v>100</v>
      </c>
    </row>
    <row r="723" spans="1:6" x14ac:dyDescent="0.3">
      <c r="A723" t="s">
        <v>685</v>
      </c>
      <c r="B723">
        <v>31</v>
      </c>
      <c r="C723">
        <v>1320</v>
      </c>
      <c r="D723">
        <v>1320</v>
      </c>
    </row>
    <row r="724" spans="1:6" x14ac:dyDescent="0.3">
      <c r="A724" t="s">
        <v>686</v>
      </c>
      <c r="B724">
        <v>31</v>
      </c>
      <c r="C724">
        <v>880</v>
      </c>
      <c r="D724">
        <v>880</v>
      </c>
    </row>
    <row r="725" spans="1:6" x14ac:dyDescent="0.3">
      <c r="A725" t="s">
        <v>687</v>
      </c>
      <c r="B725">
        <v>31</v>
      </c>
      <c r="C725">
        <v>1760</v>
      </c>
      <c r="D725">
        <v>1760</v>
      </c>
    </row>
    <row r="726" spans="1:6" x14ac:dyDescent="0.3">
      <c r="A726" t="s">
        <v>688</v>
      </c>
      <c r="B726">
        <v>31</v>
      </c>
    </row>
    <row r="727" spans="1:6" x14ac:dyDescent="0.3">
      <c r="A727" t="s">
        <v>689</v>
      </c>
      <c r="B727">
        <v>31</v>
      </c>
    </row>
    <row r="728" spans="1:6" x14ac:dyDescent="0.3">
      <c r="A728" t="s">
        <v>690</v>
      </c>
      <c r="B728">
        <v>31</v>
      </c>
    </row>
    <row r="729" spans="1:6" x14ac:dyDescent="0.3">
      <c r="A729" t="s">
        <v>691</v>
      </c>
      <c r="B729">
        <v>31</v>
      </c>
      <c r="C729" t="b">
        <v>0</v>
      </c>
      <c r="D729" t="b">
        <v>0</v>
      </c>
    </row>
    <row r="730" spans="1:6" x14ac:dyDescent="0.3">
      <c r="A730" t="s">
        <v>692</v>
      </c>
      <c r="B730">
        <v>31</v>
      </c>
      <c r="C730" t="b">
        <v>1</v>
      </c>
      <c r="D730" t="b">
        <v>0</v>
      </c>
    </row>
    <row r="731" spans="1:6" x14ac:dyDescent="0.3">
      <c r="A731" t="s">
        <v>678</v>
      </c>
      <c r="B731">
        <v>32</v>
      </c>
      <c r="C731">
        <v>34</v>
      </c>
      <c r="D731">
        <v>33</v>
      </c>
      <c r="E731">
        <v>73</v>
      </c>
      <c r="F731">
        <v>35</v>
      </c>
    </row>
    <row r="732" spans="1:6" x14ac:dyDescent="0.3">
      <c r="A732" t="s">
        <v>36</v>
      </c>
      <c r="B732">
        <v>32</v>
      </c>
      <c r="C732">
        <v>3</v>
      </c>
      <c r="D732">
        <v>3</v>
      </c>
      <c r="E732">
        <v>5</v>
      </c>
      <c r="F732">
        <v>4</v>
      </c>
    </row>
    <row r="733" spans="1:6" x14ac:dyDescent="0.3">
      <c r="A733" t="s">
        <v>503</v>
      </c>
      <c r="B733">
        <v>32</v>
      </c>
      <c r="C733" t="s">
        <v>706</v>
      </c>
      <c r="D733" t="s">
        <v>706</v>
      </c>
      <c r="E733" t="s">
        <v>695</v>
      </c>
      <c r="F733" t="s">
        <v>695</v>
      </c>
    </row>
    <row r="734" spans="1:6" x14ac:dyDescent="0.3">
      <c r="A734" t="s">
        <v>679</v>
      </c>
      <c r="B734">
        <v>32</v>
      </c>
      <c r="C734">
        <v>789</v>
      </c>
      <c r="D734">
        <v>826</v>
      </c>
      <c r="E734">
        <v>1302</v>
      </c>
      <c r="F734">
        <v>2677</v>
      </c>
    </row>
    <row r="735" spans="1:6" x14ac:dyDescent="0.3">
      <c r="A735" t="s">
        <v>42</v>
      </c>
      <c r="B735">
        <v>32</v>
      </c>
      <c r="C735">
        <v>35</v>
      </c>
      <c r="D735">
        <v>30</v>
      </c>
      <c r="E735">
        <v>45</v>
      </c>
      <c r="F735">
        <v>45</v>
      </c>
    </row>
    <row r="736" spans="1:6" x14ac:dyDescent="0.3">
      <c r="A736" t="s">
        <v>680</v>
      </c>
      <c r="B736">
        <v>32</v>
      </c>
      <c r="C736">
        <v>15.4</v>
      </c>
      <c r="D736">
        <v>18.8</v>
      </c>
      <c r="E736">
        <v>19.7</v>
      </c>
      <c r="F736">
        <v>40.6</v>
      </c>
    </row>
    <row r="737" spans="1:6" x14ac:dyDescent="0.3">
      <c r="A737" t="s">
        <v>41</v>
      </c>
      <c r="B737">
        <v>32</v>
      </c>
      <c r="C737">
        <v>0</v>
      </c>
      <c r="D737">
        <v>0</v>
      </c>
      <c r="E737">
        <v>0</v>
      </c>
      <c r="F737">
        <v>0</v>
      </c>
    </row>
    <row r="738" spans="1:6" x14ac:dyDescent="0.3">
      <c r="A738" t="s">
        <v>681</v>
      </c>
      <c r="B738">
        <v>32</v>
      </c>
      <c r="C738">
        <v>12</v>
      </c>
      <c r="D738">
        <v>12</v>
      </c>
      <c r="E738">
        <v>12</v>
      </c>
      <c r="F738">
        <v>12</v>
      </c>
    </row>
    <row r="739" spans="1:6" x14ac:dyDescent="0.3">
      <c r="A739" t="s">
        <v>563</v>
      </c>
      <c r="B739">
        <v>32</v>
      </c>
      <c r="C739">
        <v>0</v>
      </c>
      <c r="D739">
        <v>0</v>
      </c>
      <c r="E739">
        <v>0</v>
      </c>
      <c r="F739">
        <v>0</v>
      </c>
    </row>
    <row r="740" spans="1:6" x14ac:dyDescent="0.3">
      <c r="A740" t="s">
        <v>682</v>
      </c>
      <c r="B740">
        <v>32</v>
      </c>
      <c r="C740">
        <v>0</v>
      </c>
      <c r="D740">
        <v>0</v>
      </c>
      <c r="E740">
        <v>0</v>
      </c>
      <c r="F740">
        <v>0</v>
      </c>
    </row>
    <row r="741" spans="1:6" x14ac:dyDescent="0.3">
      <c r="A741" t="s">
        <v>683</v>
      </c>
      <c r="B741">
        <v>32</v>
      </c>
      <c r="C741">
        <v>16</v>
      </c>
      <c r="D741">
        <v>16</v>
      </c>
      <c r="E741">
        <v>16</v>
      </c>
      <c r="F741">
        <v>16</v>
      </c>
    </row>
    <row r="742" spans="1:6" x14ac:dyDescent="0.3">
      <c r="A742" t="s">
        <v>684</v>
      </c>
      <c r="B742">
        <v>32</v>
      </c>
      <c r="C742">
        <v>500</v>
      </c>
      <c r="D742">
        <v>500</v>
      </c>
      <c r="E742">
        <v>500</v>
      </c>
      <c r="F742">
        <v>500</v>
      </c>
    </row>
    <row r="743" spans="1:6" x14ac:dyDescent="0.3">
      <c r="A743" t="s">
        <v>685</v>
      </c>
      <c r="B743">
        <v>32</v>
      </c>
      <c r="C743">
        <v>1539</v>
      </c>
      <c r="D743">
        <v>1320</v>
      </c>
      <c r="E743">
        <v>1980</v>
      </c>
      <c r="F743">
        <v>1980</v>
      </c>
    </row>
    <row r="744" spans="1:6" x14ac:dyDescent="0.3">
      <c r="A744" t="s">
        <v>686</v>
      </c>
      <c r="B744">
        <v>32</v>
      </c>
      <c r="C744">
        <v>1026</v>
      </c>
      <c r="D744">
        <v>880</v>
      </c>
      <c r="E744">
        <v>1320</v>
      </c>
      <c r="F744">
        <v>1320</v>
      </c>
    </row>
    <row r="745" spans="1:6" x14ac:dyDescent="0.3">
      <c r="A745" t="s">
        <v>687</v>
      </c>
      <c r="B745">
        <v>32</v>
      </c>
      <c r="C745">
        <v>2052</v>
      </c>
      <c r="D745">
        <v>1760</v>
      </c>
      <c r="E745">
        <v>2640</v>
      </c>
      <c r="F745">
        <v>2640</v>
      </c>
    </row>
    <row r="746" spans="1:6" x14ac:dyDescent="0.3">
      <c r="A746" t="s">
        <v>688</v>
      </c>
      <c r="B746">
        <v>32</v>
      </c>
      <c r="C746">
        <v>17296</v>
      </c>
    </row>
    <row r="747" spans="1:6" x14ac:dyDescent="0.3">
      <c r="A747" t="s">
        <v>689</v>
      </c>
      <c r="B747">
        <v>32</v>
      </c>
      <c r="C747">
        <v>-457</v>
      </c>
    </row>
    <row r="748" spans="1:6" x14ac:dyDescent="0.3">
      <c r="A748" t="s">
        <v>690</v>
      </c>
      <c r="B748">
        <v>32</v>
      </c>
      <c r="C748">
        <v>0</v>
      </c>
    </row>
    <row r="749" spans="1:6" x14ac:dyDescent="0.3">
      <c r="A749" t="s">
        <v>691</v>
      </c>
      <c r="B749">
        <v>32</v>
      </c>
      <c r="C749" t="b">
        <v>0</v>
      </c>
      <c r="D749" t="b">
        <v>0</v>
      </c>
      <c r="E749" t="b">
        <v>0</v>
      </c>
      <c r="F749" t="b">
        <v>0</v>
      </c>
    </row>
    <row r="750" spans="1:6" x14ac:dyDescent="0.3">
      <c r="A750" t="s">
        <v>692</v>
      </c>
      <c r="B750">
        <v>32</v>
      </c>
      <c r="C750" t="b">
        <v>0</v>
      </c>
      <c r="D750" t="b">
        <v>0</v>
      </c>
      <c r="E750" t="b">
        <v>0</v>
      </c>
      <c r="F750" t="b">
        <v>0</v>
      </c>
    </row>
    <row r="751" spans="1:6" x14ac:dyDescent="0.3">
      <c r="A751" t="s">
        <v>678</v>
      </c>
      <c r="B751">
        <v>33</v>
      </c>
      <c r="C751">
        <v>32</v>
      </c>
    </row>
    <row r="752" spans="1:6" x14ac:dyDescent="0.3">
      <c r="A752" t="s">
        <v>36</v>
      </c>
      <c r="B752">
        <v>33</v>
      </c>
      <c r="C752">
        <v>2</v>
      </c>
    </row>
    <row r="753" spans="1:3" x14ac:dyDescent="0.3">
      <c r="A753" t="s">
        <v>503</v>
      </c>
      <c r="B753">
        <v>33</v>
      </c>
      <c r="C753" t="s">
        <v>706</v>
      </c>
    </row>
    <row r="754" spans="1:3" x14ac:dyDescent="0.3">
      <c r="A754" t="s">
        <v>679</v>
      </c>
      <c r="B754">
        <v>33</v>
      </c>
      <c r="C754">
        <v>826</v>
      </c>
    </row>
    <row r="755" spans="1:3" x14ac:dyDescent="0.3">
      <c r="A755" t="s">
        <v>42</v>
      </c>
      <c r="B755">
        <v>33</v>
      </c>
      <c r="C755">
        <v>30</v>
      </c>
    </row>
    <row r="756" spans="1:3" x14ac:dyDescent="0.3">
      <c r="A756" t="s">
        <v>680</v>
      </c>
      <c r="B756">
        <v>33</v>
      </c>
      <c r="C756">
        <v>18.8</v>
      </c>
    </row>
    <row r="757" spans="1:3" x14ac:dyDescent="0.3">
      <c r="A757" t="s">
        <v>41</v>
      </c>
      <c r="B757">
        <v>33</v>
      </c>
      <c r="C757">
        <v>0</v>
      </c>
    </row>
    <row r="758" spans="1:3" x14ac:dyDescent="0.3">
      <c r="A758" t="s">
        <v>681</v>
      </c>
      <c r="B758">
        <v>33</v>
      </c>
      <c r="C758">
        <v>12</v>
      </c>
    </row>
    <row r="759" spans="1:3" x14ac:dyDescent="0.3">
      <c r="A759" t="s">
        <v>563</v>
      </c>
      <c r="B759">
        <v>33</v>
      </c>
      <c r="C759">
        <v>0</v>
      </c>
    </row>
    <row r="760" spans="1:3" x14ac:dyDescent="0.3">
      <c r="A760" t="s">
        <v>682</v>
      </c>
      <c r="B760">
        <v>33</v>
      </c>
      <c r="C760">
        <v>0</v>
      </c>
    </row>
    <row r="761" spans="1:3" x14ac:dyDescent="0.3">
      <c r="A761" t="s">
        <v>683</v>
      </c>
      <c r="B761">
        <v>33</v>
      </c>
      <c r="C761">
        <v>16</v>
      </c>
    </row>
    <row r="762" spans="1:3" x14ac:dyDescent="0.3">
      <c r="A762" t="s">
        <v>684</v>
      </c>
      <c r="B762">
        <v>33</v>
      </c>
      <c r="C762">
        <v>200</v>
      </c>
    </row>
    <row r="763" spans="1:3" x14ac:dyDescent="0.3">
      <c r="A763" t="s">
        <v>685</v>
      </c>
      <c r="B763">
        <v>33</v>
      </c>
      <c r="C763">
        <v>1320</v>
      </c>
    </row>
    <row r="764" spans="1:3" x14ac:dyDescent="0.3">
      <c r="A764" t="s">
        <v>686</v>
      </c>
      <c r="B764">
        <v>33</v>
      </c>
      <c r="C764">
        <v>880</v>
      </c>
    </row>
    <row r="765" spans="1:3" x14ac:dyDescent="0.3">
      <c r="A765" t="s">
        <v>687</v>
      </c>
      <c r="B765">
        <v>33</v>
      </c>
      <c r="C765">
        <v>1760</v>
      </c>
    </row>
    <row r="766" spans="1:3" x14ac:dyDescent="0.3">
      <c r="A766" t="s">
        <v>688</v>
      </c>
      <c r="B766">
        <v>33</v>
      </c>
    </row>
    <row r="767" spans="1:3" x14ac:dyDescent="0.3">
      <c r="A767" t="s">
        <v>689</v>
      </c>
      <c r="B767">
        <v>33</v>
      </c>
    </row>
    <row r="768" spans="1:3" x14ac:dyDescent="0.3">
      <c r="A768" t="s">
        <v>690</v>
      </c>
      <c r="B768">
        <v>33</v>
      </c>
    </row>
    <row r="769" spans="1:4" x14ac:dyDescent="0.3">
      <c r="A769" t="s">
        <v>691</v>
      </c>
      <c r="B769">
        <v>33</v>
      </c>
      <c r="C769" t="b">
        <v>0</v>
      </c>
    </row>
    <row r="770" spans="1:4" x14ac:dyDescent="0.3">
      <c r="A770" t="s">
        <v>692</v>
      </c>
      <c r="B770">
        <v>33</v>
      </c>
      <c r="C770" t="b">
        <v>0</v>
      </c>
    </row>
    <row r="771" spans="1:4" x14ac:dyDescent="0.3">
      <c r="A771" t="s">
        <v>678</v>
      </c>
      <c r="B771">
        <v>34</v>
      </c>
      <c r="D771">
        <v>32</v>
      </c>
    </row>
    <row r="772" spans="1:4" x14ac:dyDescent="0.3">
      <c r="A772" t="s">
        <v>36</v>
      </c>
      <c r="B772">
        <v>34</v>
      </c>
      <c r="D772">
        <v>2</v>
      </c>
    </row>
    <row r="773" spans="1:4" x14ac:dyDescent="0.3">
      <c r="A773" t="s">
        <v>503</v>
      </c>
      <c r="B773">
        <v>34</v>
      </c>
      <c r="D773" t="s">
        <v>706</v>
      </c>
    </row>
    <row r="774" spans="1:4" x14ac:dyDescent="0.3">
      <c r="A774" t="s">
        <v>679</v>
      </c>
      <c r="B774">
        <v>34</v>
      </c>
      <c r="D774">
        <v>789</v>
      </c>
    </row>
    <row r="775" spans="1:4" x14ac:dyDescent="0.3">
      <c r="A775" t="s">
        <v>42</v>
      </c>
      <c r="B775">
        <v>34</v>
      </c>
      <c r="D775">
        <v>30</v>
      </c>
    </row>
    <row r="776" spans="1:4" x14ac:dyDescent="0.3">
      <c r="A776" t="s">
        <v>680</v>
      </c>
      <c r="B776">
        <v>34</v>
      </c>
      <c r="D776">
        <v>17.899999999999999</v>
      </c>
    </row>
    <row r="777" spans="1:4" x14ac:dyDescent="0.3">
      <c r="A777" t="s">
        <v>41</v>
      </c>
      <c r="B777">
        <v>34</v>
      </c>
      <c r="D777">
        <v>0</v>
      </c>
    </row>
    <row r="778" spans="1:4" x14ac:dyDescent="0.3">
      <c r="A778" t="s">
        <v>681</v>
      </c>
      <c r="B778">
        <v>34</v>
      </c>
      <c r="D778">
        <v>12</v>
      </c>
    </row>
    <row r="779" spans="1:4" x14ac:dyDescent="0.3">
      <c r="A779" t="s">
        <v>563</v>
      </c>
      <c r="B779">
        <v>34</v>
      </c>
      <c r="D779">
        <v>0</v>
      </c>
    </row>
    <row r="780" spans="1:4" x14ac:dyDescent="0.3">
      <c r="A780" t="s">
        <v>682</v>
      </c>
      <c r="B780">
        <v>34</v>
      </c>
      <c r="D780">
        <v>0</v>
      </c>
    </row>
    <row r="781" spans="1:4" x14ac:dyDescent="0.3">
      <c r="A781" t="s">
        <v>683</v>
      </c>
      <c r="B781">
        <v>34</v>
      </c>
      <c r="D781">
        <v>16</v>
      </c>
    </row>
    <row r="782" spans="1:4" x14ac:dyDescent="0.3">
      <c r="A782" t="s">
        <v>684</v>
      </c>
      <c r="B782">
        <v>34</v>
      </c>
      <c r="D782">
        <v>200</v>
      </c>
    </row>
    <row r="783" spans="1:4" x14ac:dyDescent="0.3">
      <c r="A783" t="s">
        <v>685</v>
      </c>
      <c r="B783">
        <v>34</v>
      </c>
      <c r="D783">
        <v>1320</v>
      </c>
    </row>
    <row r="784" spans="1:4" x14ac:dyDescent="0.3">
      <c r="A784" t="s">
        <v>686</v>
      </c>
      <c r="B784">
        <v>34</v>
      </c>
      <c r="D784">
        <v>880</v>
      </c>
    </row>
    <row r="785" spans="1:6" x14ac:dyDescent="0.3">
      <c r="A785" t="s">
        <v>687</v>
      </c>
      <c r="B785">
        <v>34</v>
      </c>
      <c r="D785">
        <v>1760</v>
      </c>
    </row>
    <row r="786" spans="1:6" x14ac:dyDescent="0.3">
      <c r="A786" t="s">
        <v>688</v>
      </c>
      <c r="B786">
        <v>34</v>
      </c>
      <c r="D786">
        <v>17248</v>
      </c>
    </row>
    <row r="787" spans="1:6" x14ac:dyDescent="0.3">
      <c r="A787" t="s">
        <v>689</v>
      </c>
      <c r="B787">
        <v>34</v>
      </c>
      <c r="D787">
        <v>-717</v>
      </c>
    </row>
    <row r="788" spans="1:6" x14ac:dyDescent="0.3">
      <c r="A788" t="s">
        <v>690</v>
      </c>
      <c r="B788">
        <v>34</v>
      </c>
      <c r="D788">
        <v>0</v>
      </c>
    </row>
    <row r="789" spans="1:6" x14ac:dyDescent="0.3">
      <c r="A789" t="s">
        <v>691</v>
      </c>
      <c r="B789">
        <v>34</v>
      </c>
      <c r="D789" t="b">
        <v>0</v>
      </c>
    </row>
    <row r="790" spans="1:6" x14ac:dyDescent="0.3">
      <c r="A790" t="s">
        <v>692</v>
      </c>
      <c r="B790">
        <v>34</v>
      </c>
      <c r="D790" t="b">
        <v>0</v>
      </c>
    </row>
    <row r="791" spans="1:6" x14ac:dyDescent="0.3">
      <c r="A791" t="s">
        <v>678</v>
      </c>
      <c r="B791">
        <v>35</v>
      </c>
      <c r="C791">
        <v>39</v>
      </c>
      <c r="D791">
        <v>40</v>
      </c>
      <c r="E791">
        <v>32</v>
      </c>
      <c r="F791">
        <v>41</v>
      </c>
    </row>
    <row r="792" spans="1:6" x14ac:dyDescent="0.3">
      <c r="A792" t="s">
        <v>36</v>
      </c>
      <c r="B792">
        <v>35</v>
      </c>
      <c r="C792">
        <v>3</v>
      </c>
      <c r="D792">
        <v>2</v>
      </c>
      <c r="E792">
        <v>4</v>
      </c>
      <c r="F792">
        <v>4</v>
      </c>
    </row>
    <row r="793" spans="1:6" x14ac:dyDescent="0.3">
      <c r="A793" t="s">
        <v>503</v>
      </c>
      <c r="B793">
        <v>35</v>
      </c>
      <c r="C793" t="s">
        <v>707</v>
      </c>
      <c r="D793" t="s">
        <v>707</v>
      </c>
      <c r="E793" t="s">
        <v>695</v>
      </c>
      <c r="F793" t="s">
        <v>695</v>
      </c>
    </row>
    <row r="794" spans="1:6" x14ac:dyDescent="0.3">
      <c r="A794" t="s">
        <v>679</v>
      </c>
      <c r="B794">
        <v>35</v>
      </c>
      <c r="C794">
        <v>282</v>
      </c>
      <c r="D794">
        <v>512</v>
      </c>
      <c r="E794">
        <v>2677</v>
      </c>
      <c r="F794">
        <v>2603</v>
      </c>
    </row>
    <row r="795" spans="1:6" x14ac:dyDescent="0.3">
      <c r="A795" t="s">
        <v>42</v>
      </c>
      <c r="B795">
        <v>35</v>
      </c>
      <c r="C795">
        <v>30</v>
      </c>
      <c r="D795">
        <v>25</v>
      </c>
      <c r="E795">
        <v>45</v>
      </c>
      <c r="F795">
        <v>45</v>
      </c>
    </row>
    <row r="796" spans="1:6" x14ac:dyDescent="0.3">
      <c r="A796" t="s">
        <v>680</v>
      </c>
      <c r="B796">
        <v>35</v>
      </c>
      <c r="C796">
        <v>6.4</v>
      </c>
      <c r="D796">
        <v>14</v>
      </c>
      <c r="E796">
        <v>40.6</v>
      </c>
      <c r="F796">
        <v>39.4</v>
      </c>
    </row>
    <row r="797" spans="1:6" x14ac:dyDescent="0.3">
      <c r="A797" t="s">
        <v>41</v>
      </c>
      <c r="B797">
        <v>35</v>
      </c>
      <c r="C797">
        <v>0</v>
      </c>
      <c r="D797">
        <v>0</v>
      </c>
      <c r="E797">
        <v>0</v>
      </c>
      <c r="F797">
        <v>0</v>
      </c>
    </row>
    <row r="798" spans="1:6" x14ac:dyDescent="0.3">
      <c r="A798" t="s">
        <v>681</v>
      </c>
      <c r="B798">
        <v>35</v>
      </c>
      <c r="C798">
        <v>12</v>
      </c>
      <c r="D798">
        <v>12</v>
      </c>
      <c r="E798" t="s">
        <v>697</v>
      </c>
      <c r="F798" t="s">
        <v>697</v>
      </c>
    </row>
    <row r="799" spans="1:6" x14ac:dyDescent="0.3">
      <c r="A799" t="s">
        <v>563</v>
      </c>
      <c r="B799">
        <v>35</v>
      </c>
      <c r="C799">
        <v>0</v>
      </c>
      <c r="D799">
        <v>0</v>
      </c>
      <c r="E799">
        <v>0</v>
      </c>
      <c r="F799">
        <v>0</v>
      </c>
    </row>
    <row r="800" spans="1:6" x14ac:dyDescent="0.3">
      <c r="A800" t="s">
        <v>682</v>
      </c>
      <c r="B800">
        <v>35</v>
      </c>
      <c r="C800">
        <v>0</v>
      </c>
      <c r="D800">
        <v>0</v>
      </c>
      <c r="E800">
        <v>0</v>
      </c>
      <c r="F800">
        <v>0</v>
      </c>
    </row>
    <row r="801" spans="1:6" x14ac:dyDescent="0.3">
      <c r="A801" t="s">
        <v>683</v>
      </c>
      <c r="B801">
        <v>35</v>
      </c>
      <c r="C801">
        <v>16</v>
      </c>
      <c r="D801">
        <v>16</v>
      </c>
      <c r="E801">
        <v>16</v>
      </c>
      <c r="F801">
        <v>16</v>
      </c>
    </row>
    <row r="802" spans="1:6" x14ac:dyDescent="0.3">
      <c r="A802" t="s">
        <v>684</v>
      </c>
      <c r="B802">
        <v>35</v>
      </c>
      <c r="C802">
        <v>500</v>
      </c>
      <c r="D802">
        <v>500</v>
      </c>
      <c r="E802">
        <v>500</v>
      </c>
      <c r="F802">
        <v>500</v>
      </c>
    </row>
    <row r="803" spans="1:6" x14ac:dyDescent="0.3">
      <c r="A803" t="s">
        <v>685</v>
      </c>
      <c r="B803">
        <v>35</v>
      </c>
      <c r="C803">
        <v>1320</v>
      </c>
      <c r="D803">
        <v>1101</v>
      </c>
      <c r="E803">
        <v>1980</v>
      </c>
      <c r="F803">
        <v>1980</v>
      </c>
    </row>
    <row r="804" spans="1:6" x14ac:dyDescent="0.3">
      <c r="A804" t="s">
        <v>686</v>
      </c>
      <c r="B804">
        <v>35</v>
      </c>
      <c r="C804">
        <v>880</v>
      </c>
      <c r="D804">
        <v>734</v>
      </c>
      <c r="E804">
        <v>1320</v>
      </c>
      <c r="F804">
        <v>1320</v>
      </c>
    </row>
    <row r="805" spans="1:6" x14ac:dyDescent="0.3">
      <c r="A805" t="s">
        <v>687</v>
      </c>
      <c r="B805">
        <v>35</v>
      </c>
      <c r="C805">
        <v>1760</v>
      </c>
      <c r="D805">
        <v>1468</v>
      </c>
      <c r="E805">
        <v>2640</v>
      </c>
      <c r="F805">
        <v>2640</v>
      </c>
    </row>
    <row r="806" spans="1:6" x14ac:dyDescent="0.3">
      <c r="A806" t="s">
        <v>688</v>
      </c>
      <c r="B806">
        <v>35</v>
      </c>
    </row>
    <row r="807" spans="1:6" x14ac:dyDescent="0.3">
      <c r="A807" t="s">
        <v>689</v>
      </c>
      <c r="B807">
        <v>35</v>
      </c>
    </row>
    <row r="808" spans="1:6" x14ac:dyDescent="0.3">
      <c r="A808" t="s">
        <v>690</v>
      </c>
      <c r="B808">
        <v>35</v>
      </c>
    </row>
    <row r="809" spans="1:6" x14ac:dyDescent="0.3">
      <c r="A809" t="s">
        <v>691</v>
      </c>
      <c r="B809">
        <v>35</v>
      </c>
      <c r="C809" t="b">
        <v>0</v>
      </c>
      <c r="D809" t="b">
        <v>0</v>
      </c>
      <c r="E809" t="b">
        <v>0</v>
      </c>
      <c r="F809" t="b">
        <v>0</v>
      </c>
    </row>
    <row r="810" spans="1:6" x14ac:dyDescent="0.3">
      <c r="A810" t="s">
        <v>692</v>
      </c>
      <c r="B810">
        <v>35</v>
      </c>
      <c r="C810" t="b">
        <v>1</v>
      </c>
      <c r="D810" t="b">
        <v>1</v>
      </c>
      <c r="E810" t="b">
        <v>0</v>
      </c>
      <c r="F810" t="b">
        <v>0</v>
      </c>
    </row>
    <row r="811" spans="1:6" x14ac:dyDescent="0.3">
      <c r="A811" t="s">
        <v>678</v>
      </c>
      <c r="B811">
        <v>36</v>
      </c>
      <c r="C811">
        <v>40</v>
      </c>
    </row>
    <row r="812" spans="1:6" x14ac:dyDescent="0.3">
      <c r="A812" t="s">
        <v>36</v>
      </c>
      <c r="B812">
        <v>36</v>
      </c>
      <c r="C812">
        <v>1</v>
      </c>
    </row>
    <row r="813" spans="1:6" x14ac:dyDescent="0.3">
      <c r="A813" t="s">
        <v>503</v>
      </c>
      <c r="B813">
        <v>36</v>
      </c>
      <c r="C813" t="s">
        <v>707</v>
      </c>
    </row>
    <row r="814" spans="1:6" x14ac:dyDescent="0.3">
      <c r="A814" t="s">
        <v>679</v>
      </c>
      <c r="B814">
        <v>36</v>
      </c>
      <c r="C814">
        <v>251</v>
      </c>
    </row>
    <row r="815" spans="1:6" x14ac:dyDescent="0.3">
      <c r="A815" t="s">
        <v>42</v>
      </c>
      <c r="B815">
        <v>36</v>
      </c>
      <c r="C815">
        <v>30</v>
      </c>
    </row>
    <row r="816" spans="1:6" x14ac:dyDescent="0.3">
      <c r="A816" t="s">
        <v>680</v>
      </c>
      <c r="B816">
        <v>36</v>
      </c>
      <c r="C816">
        <v>5.7</v>
      </c>
    </row>
    <row r="817" spans="1:4" x14ac:dyDescent="0.3">
      <c r="A817" t="s">
        <v>41</v>
      </c>
      <c r="B817">
        <v>36</v>
      </c>
      <c r="C817">
        <v>0</v>
      </c>
    </row>
    <row r="818" spans="1:4" x14ac:dyDescent="0.3">
      <c r="A818" t="s">
        <v>681</v>
      </c>
      <c r="B818">
        <v>36</v>
      </c>
      <c r="C818" t="s">
        <v>697</v>
      </c>
    </row>
    <row r="819" spans="1:4" x14ac:dyDescent="0.3">
      <c r="A819" t="s">
        <v>563</v>
      </c>
      <c r="B819">
        <v>36</v>
      </c>
      <c r="C819">
        <v>0</v>
      </c>
    </row>
    <row r="820" spans="1:4" x14ac:dyDescent="0.3">
      <c r="A820" t="s">
        <v>682</v>
      </c>
      <c r="B820">
        <v>36</v>
      </c>
      <c r="C820">
        <v>0</v>
      </c>
    </row>
    <row r="821" spans="1:4" x14ac:dyDescent="0.3">
      <c r="A821" t="s">
        <v>683</v>
      </c>
      <c r="B821">
        <v>36</v>
      </c>
      <c r="C821">
        <v>16</v>
      </c>
    </row>
    <row r="822" spans="1:4" x14ac:dyDescent="0.3">
      <c r="A822" t="s">
        <v>684</v>
      </c>
      <c r="B822">
        <v>36</v>
      </c>
      <c r="C822">
        <v>200</v>
      </c>
    </row>
    <row r="823" spans="1:4" x14ac:dyDescent="0.3">
      <c r="A823" t="s">
        <v>685</v>
      </c>
      <c r="B823">
        <v>36</v>
      </c>
      <c r="C823">
        <v>1320</v>
      </c>
    </row>
    <row r="824" spans="1:4" x14ac:dyDescent="0.3">
      <c r="A824" t="s">
        <v>686</v>
      </c>
      <c r="B824">
        <v>36</v>
      </c>
      <c r="C824">
        <v>880</v>
      </c>
    </row>
    <row r="825" spans="1:4" x14ac:dyDescent="0.3">
      <c r="A825" t="s">
        <v>687</v>
      </c>
      <c r="B825">
        <v>36</v>
      </c>
      <c r="C825">
        <v>1760</v>
      </c>
    </row>
    <row r="826" spans="1:4" x14ac:dyDescent="0.3">
      <c r="A826" t="s">
        <v>688</v>
      </c>
      <c r="B826">
        <v>36</v>
      </c>
    </row>
    <row r="827" spans="1:4" x14ac:dyDescent="0.3">
      <c r="A827" t="s">
        <v>689</v>
      </c>
      <c r="B827">
        <v>36</v>
      </c>
    </row>
    <row r="828" spans="1:4" x14ac:dyDescent="0.3">
      <c r="A828" t="s">
        <v>690</v>
      </c>
      <c r="B828">
        <v>36</v>
      </c>
    </row>
    <row r="829" spans="1:4" x14ac:dyDescent="0.3">
      <c r="A829" t="s">
        <v>691</v>
      </c>
      <c r="B829">
        <v>36</v>
      </c>
      <c r="C829" t="b">
        <v>0</v>
      </c>
    </row>
    <row r="830" spans="1:4" x14ac:dyDescent="0.3">
      <c r="A830" t="s">
        <v>692</v>
      </c>
      <c r="B830">
        <v>36</v>
      </c>
      <c r="C830" t="b">
        <v>0</v>
      </c>
    </row>
    <row r="831" spans="1:4" x14ac:dyDescent="0.3">
      <c r="A831" t="s">
        <v>678</v>
      </c>
      <c r="B831">
        <v>37</v>
      </c>
      <c r="D831">
        <v>38</v>
      </c>
    </row>
    <row r="832" spans="1:4" x14ac:dyDescent="0.3">
      <c r="A832" t="s">
        <v>36</v>
      </c>
      <c r="B832">
        <v>37</v>
      </c>
      <c r="D832">
        <v>1</v>
      </c>
    </row>
    <row r="833" spans="1:4" x14ac:dyDescent="0.3">
      <c r="A833" t="s">
        <v>503</v>
      </c>
      <c r="B833">
        <v>37</v>
      </c>
      <c r="D833" t="s">
        <v>707</v>
      </c>
    </row>
    <row r="834" spans="1:4" x14ac:dyDescent="0.3">
      <c r="A834" t="s">
        <v>679</v>
      </c>
      <c r="B834">
        <v>37</v>
      </c>
      <c r="D834">
        <v>555</v>
      </c>
    </row>
    <row r="835" spans="1:4" x14ac:dyDescent="0.3">
      <c r="A835" t="s">
        <v>42</v>
      </c>
      <c r="B835">
        <v>37</v>
      </c>
      <c r="D835">
        <v>30</v>
      </c>
    </row>
    <row r="836" spans="1:4" x14ac:dyDescent="0.3">
      <c r="A836" t="s">
        <v>680</v>
      </c>
      <c r="B836">
        <v>37</v>
      </c>
      <c r="D836">
        <v>12.6</v>
      </c>
    </row>
    <row r="837" spans="1:4" x14ac:dyDescent="0.3">
      <c r="A837" t="s">
        <v>41</v>
      </c>
      <c r="B837">
        <v>37</v>
      </c>
      <c r="D837">
        <v>0</v>
      </c>
    </row>
    <row r="838" spans="1:4" x14ac:dyDescent="0.3">
      <c r="A838" t="s">
        <v>681</v>
      </c>
      <c r="B838">
        <v>37</v>
      </c>
      <c r="D838" t="s">
        <v>697</v>
      </c>
    </row>
    <row r="839" spans="1:4" x14ac:dyDescent="0.3">
      <c r="A839" t="s">
        <v>563</v>
      </c>
      <c r="B839">
        <v>37</v>
      </c>
      <c r="D839">
        <v>0</v>
      </c>
    </row>
    <row r="840" spans="1:4" x14ac:dyDescent="0.3">
      <c r="A840" t="s">
        <v>682</v>
      </c>
      <c r="B840">
        <v>37</v>
      </c>
      <c r="D840">
        <v>0</v>
      </c>
    </row>
    <row r="841" spans="1:4" x14ac:dyDescent="0.3">
      <c r="A841" t="s">
        <v>683</v>
      </c>
      <c r="B841">
        <v>37</v>
      </c>
      <c r="D841">
        <v>16</v>
      </c>
    </row>
    <row r="842" spans="1:4" x14ac:dyDescent="0.3">
      <c r="A842" t="s">
        <v>684</v>
      </c>
      <c r="B842">
        <v>37</v>
      </c>
      <c r="D842">
        <v>200</v>
      </c>
    </row>
    <row r="843" spans="1:4" x14ac:dyDescent="0.3">
      <c r="A843" t="s">
        <v>685</v>
      </c>
      <c r="B843">
        <v>37</v>
      </c>
      <c r="D843">
        <v>1320</v>
      </c>
    </row>
    <row r="844" spans="1:4" x14ac:dyDescent="0.3">
      <c r="A844" t="s">
        <v>686</v>
      </c>
      <c r="B844">
        <v>37</v>
      </c>
      <c r="D844">
        <v>880</v>
      </c>
    </row>
    <row r="845" spans="1:4" x14ac:dyDescent="0.3">
      <c r="A845" t="s">
        <v>687</v>
      </c>
      <c r="B845">
        <v>37</v>
      </c>
      <c r="D845">
        <v>1760</v>
      </c>
    </row>
    <row r="846" spans="1:4" x14ac:dyDescent="0.3">
      <c r="A846" t="s">
        <v>688</v>
      </c>
      <c r="B846">
        <v>37</v>
      </c>
    </row>
    <row r="847" spans="1:4" x14ac:dyDescent="0.3">
      <c r="A847" t="s">
        <v>689</v>
      </c>
      <c r="B847">
        <v>37</v>
      </c>
    </row>
    <row r="848" spans="1:4" x14ac:dyDescent="0.3">
      <c r="A848" t="s">
        <v>690</v>
      </c>
      <c r="B848">
        <v>37</v>
      </c>
    </row>
    <row r="849" spans="1:4" x14ac:dyDescent="0.3">
      <c r="A849" t="s">
        <v>691</v>
      </c>
      <c r="B849">
        <v>37</v>
      </c>
      <c r="D849" t="b">
        <v>0</v>
      </c>
    </row>
    <row r="850" spans="1:4" x14ac:dyDescent="0.3">
      <c r="A850" t="s">
        <v>692</v>
      </c>
      <c r="B850">
        <v>37</v>
      </c>
      <c r="D850" t="b">
        <v>0</v>
      </c>
    </row>
    <row r="851" spans="1:4" x14ac:dyDescent="0.3">
      <c r="A851" t="s">
        <v>678</v>
      </c>
      <c r="B851">
        <v>38</v>
      </c>
      <c r="C851">
        <v>37</v>
      </c>
      <c r="D851">
        <v>39</v>
      </c>
    </row>
    <row r="852" spans="1:4" x14ac:dyDescent="0.3">
      <c r="A852" t="s">
        <v>36</v>
      </c>
      <c r="B852">
        <v>38</v>
      </c>
      <c r="C852" t="s">
        <v>698</v>
      </c>
      <c r="D852">
        <v>1</v>
      </c>
    </row>
    <row r="853" spans="1:4" x14ac:dyDescent="0.3">
      <c r="A853" t="s">
        <v>503</v>
      </c>
      <c r="B853">
        <v>38</v>
      </c>
      <c r="C853" t="s">
        <v>707</v>
      </c>
      <c r="D853" t="s">
        <v>707</v>
      </c>
    </row>
    <row r="854" spans="1:4" x14ac:dyDescent="0.3">
      <c r="A854" t="s">
        <v>679</v>
      </c>
      <c r="B854">
        <v>38</v>
      </c>
      <c r="C854">
        <v>555</v>
      </c>
      <c r="D854">
        <v>370</v>
      </c>
    </row>
    <row r="855" spans="1:4" x14ac:dyDescent="0.3">
      <c r="A855" t="s">
        <v>42</v>
      </c>
      <c r="B855">
        <v>38</v>
      </c>
      <c r="C855">
        <v>30</v>
      </c>
      <c r="D855">
        <v>30</v>
      </c>
    </row>
    <row r="856" spans="1:4" x14ac:dyDescent="0.3">
      <c r="A856" t="s">
        <v>680</v>
      </c>
      <c r="B856">
        <v>38</v>
      </c>
      <c r="C856">
        <v>12.6</v>
      </c>
      <c r="D856">
        <v>8.4</v>
      </c>
    </row>
    <row r="857" spans="1:4" x14ac:dyDescent="0.3">
      <c r="A857" t="s">
        <v>41</v>
      </c>
      <c r="B857">
        <v>38</v>
      </c>
      <c r="C857">
        <v>0</v>
      </c>
      <c r="D857">
        <v>0</v>
      </c>
    </row>
    <row r="858" spans="1:4" x14ac:dyDescent="0.3">
      <c r="A858" t="s">
        <v>681</v>
      </c>
      <c r="B858">
        <v>38</v>
      </c>
      <c r="C858" t="s">
        <v>697</v>
      </c>
      <c r="D858" t="s">
        <v>697</v>
      </c>
    </row>
    <row r="859" spans="1:4" x14ac:dyDescent="0.3">
      <c r="A859" t="s">
        <v>563</v>
      </c>
      <c r="B859">
        <v>38</v>
      </c>
      <c r="C859">
        <v>0</v>
      </c>
      <c r="D859">
        <v>0</v>
      </c>
    </row>
    <row r="860" spans="1:4" x14ac:dyDescent="0.3">
      <c r="A860" t="s">
        <v>682</v>
      </c>
      <c r="B860">
        <v>38</v>
      </c>
      <c r="C860">
        <v>0</v>
      </c>
      <c r="D860">
        <v>0</v>
      </c>
    </row>
    <row r="861" spans="1:4" x14ac:dyDescent="0.3">
      <c r="A861" t="s">
        <v>683</v>
      </c>
      <c r="B861">
        <v>38</v>
      </c>
      <c r="C861">
        <v>16</v>
      </c>
      <c r="D861">
        <v>16</v>
      </c>
    </row>
    <row r="862" spans="1:4" x14ac:dyDescent="0.3">
      <c r="A862" t="s">
        <v>684</v>
      </c>
      <c r="B862">
        <v>38</v>
      </c>
      <c r="C862">
        <v>100</v>
      </c>
      <c r="D862">
        <v>100</v>
      </c>
    </row>
    <row r="863" spans="1:4" x14ac:dyDescent="0.3">
      <c r="A863" t="s">
        <v>685</v>
      </c>
      <c r="B863">
        <v>38</v>
      </c>
      <c r="C863">
        <v>1320</v>
      </c>
      <c r="D863">
        <v>1320</v>
      </c>
    </row>
    <row r="864" spans="1:4" x14ac:dyDescent="0.3">
      <c r="A864" t="s">
        <v>686</v>
      </c>
      <c r="B864">
        <v>38</v>
      </c>
      <c r="C864">
        <v>880</v>
      </c>
      <c r="D864">
        <v>880</v>
      </c>
    </row>
    <row r="865" spans="1:4" x14ac:dyDescent="0.3">
      <c r="A865" t="s">
        <v>687</v>
      </c>
      <c r="B865">
        <v>38</v>
      </c>
      <c r="C865">
        <v>1760</v>
      </c>
      <c r="D865">
        <v>1760</v>
      </c>
    </row>
    <row r="866" spans="1:4" x14ac:dyDescent="0.3">
      <c r="A866" t="s">
        <v>688</v>
      </c>
      <c r="B866">
        <v>38</v>
      </c>
    </row>
    <row r="867" spans="1:4" x14ac:dyDescent="0.3">
      <c r="A867" t="s">
        <v>689</v>
      </c>
      <c r="B867">
        <v>38</v>
      </c>
    </row>
    <row r="868" spans="1:4" x14ac:dyDescent="0.3">
      <c r="A868" t="s">
        <v>690</v>
      </c>
      <c r="B868">
        <v>38</v>
      </c>
    </row>
    <row r="869" spans="1:4" x14ac:dyDescent="0.3">
      <c r="A869" t="s">
        <v>691</v>
      </c>
      <c r="B869">
        <v>38</v>
      </c>
      <c r="C869" t="b">
        <v>0</v>
      </c>
      <c r="D869" t="b">
        <v>0</v>
      </c>
    </row>
    <row r="870" spans="1:4" x14ac:dyDescent="0.3">
      <c r="A870" t="s">
        <v>692</v>
      </c>
      <c r="B870">
        <v>38</v>
      </c>
      <c r="C870" t="b">
        <v>0</v>
      </c>
      <c r="D870" t="b">
        <v>1</v>
      </c>
    </row>
    <row r="871" spans="1:4" x14ac:dyDescent="0.3">
      <c r="A871" t="s">
        <v>678</v>
      </c>
      <c r="B871">
        <v>39</v>
      </c>
      <c r="C871">
        <v>38</v>
      </c>
      <c r="D871">
        <v>35</v>
      </c>
    </row>
    <row r="872" spans="1:4" x14ac:dyDescent="0.3">
      <c r="A872" t="s">
        <v>36</v>
      </c>
      <c r="B872">
        <v>39</v>
      </c>
      <c r="C872">
        <v>1</v>
      </c>
      <c r="D872">
        <v>1</v>
      </c>
    </row>
    <row r="873" spans="1:4" x14ac:dyDescent="0.3">
      <c r="A873" t="s">
        <v>503</v>
      </c>
      <c r="B873">
        <v>39</v>
      </c>
      <c r="C873" t="s">
        <v>707</v>
      </c>
      <c r="D873" t="s">
        <v>707</v>
      </c>
    </row>
    <row r="874" spans="1:4" x14ac:dyDescent="0.3">
      <c r="A874" t="s">
        <v>679</v>
      </c>
      <c r="B874">
        <v>39</v>
      </c>
      <c r="C874">
        <v>370</v>
      </c>
      <c r="D874">
        <v>282</v>
      </c>
    </row>
    <row r="875" spans="1:4" x14ac:dyDescent="0.3">
      <c r="A875" t="s">
        <v>42</v>
      </c>
      <c r="B875">
        <v>39</v>
      </c>
      <c r="C875">
        <v>30</v>
      </c>
      <c r="D875">
        <v>30</v>
      </c>
    </row>
    <row r="876" spans="1:4" x14ac:dyDescent="0.3">
      <c r="A876" t="s">
        <v>680</v>
      </c>
      <c r="B876">
        <v>39</v>
      </c>
      <c r="C876">
        <v>8.4</v>
      </c>
      <c r="D876">
        <v>6.4</v>
      </c>
    </row>
    <row r="877" spans="1:4" x14ac:dyDescent="0.3">
      <c r="A877" t="s">
        <v>41</v>
      </c>
      <c r="B877">
        <v>39</v>
      </c>
      <c r="C877">
        <v>0</v>
      </c>
      <c r="D877">
        <v>0</v>
      </c>
    </row>
    <row r="878" spans="1:4" x14ac:dyDescent="0.3">
      <c r="A878" t="s">
        <v>681</v>
      </c>
      <c r="B878">
        <v>39</v>
      </c>
      <c r="C878">
        <v>12</v>
      </c>
      <c r="D878">
        <v>12</v>
      </c>
    </row>
    <row r="879" spans="1:4" x14ac:dyDescent="0.3">
      <c r="A879" t="s">
        <v>563</v>
      </c>
      <c r="B879">
        <v>39</v>
      </c>
      <c r="C879">
        <v>0</v>
      </c>
      <c r="D879">
        <v>0</v>
      </c>
    </row>
    <row r="880" spans="1:4" x14ac:dyDescent="0.3">
      <c r="A880" t="s">
        <v>682</v>
      </c>
      <c r="B880">
        <v>39</v>
      </c>
      <c r="C880">
        <v>0</v>
      </c>
      <c r="D880">
        <v>0</v>
      </c>
    </row>
    <row r="881" spans="1:4" x14ac:dyDescent="0.3">
      <c r="A881" t="s">
        <v>683</v>
      </c>
      <c r="B881">
        <v>39</v>
      </c>
      <c r="C881">
        <v>16</v>
      </c>
      <c r="D881">
        <v>16</v>
      </c>
    </row>
    <row r="882" spans="1:4" x14ac:dyDescent="0.3">
      <c r="A882" t="s">
        <v>684</v>
      </c>
      <c r="B882">
        <v>39</v>
      </c>
      <c r="C882">
        <v>100</v>
      </c>
      <c r="D882">
        <v>100</v>
      </c>
    </row>
    <row r="883" spans="1:4" x14ac:dyDescent="0.3">
      <c r="A883" t="s">
        <v>685</v>
      </c>
      <c r="B883">
        <v>39</v>
      </c>
      <c r="C883">
        <v>1320</v>
      </c>
      <c r="D883">
        <v>1320</v>
      </c>
    </row>
    <row r="884" spans="1:4" x14ac:dyDescent="0.3">
      <c r="A884" t="s">
        <v>686</v>
      </c>
      <c r="B884">
        <v>39</v>
      </c>
      <c r="C884">
        <v>880</v>
      </c>
      <c r="D884">
        <v>880</v>
      </c>
    </row>
    <row r="885" spans="1:4" x14ac:dyDescent="0.3">
      <c r="A885" t="s">
        <v>687</v>
      </c>
      <c r="B885">
        <v>39</v>
      </c>
      <c r="C885">
        <v>1760</v>
      </c>
      <c r="D885">
        <v>1760</v>
      </c>
    </row>
    <row r="886" spans="1:4" x14ac:dyDescent="0.3">
      <c r="A886" t="s">
        <v>688</v>
      </c>
      <c r="B886">
        <v>39</v>
      </c>
    </row>
    <row r="887" spans="1:4" x14ac:dyDescent="0.3">
      <c r="A887" t="s">
        <v>689</v>
      </c>
      <c r="B887">
        <v>39</v>
      </c>
    </row>
    <row r="888" spans="1:4" x14ac:dyDescent="0.3">
      <c r="A888" t="s">
        <v>690</v>
      </c>
      <c r="B888">
        <v>39</v>
      </c>
    </row>
    <row r="889" spans="1:4" x14ac:dyDescent="0.3">
      <c r="A889" t="s">
        <v>691</v>
      </c>
      <c r="B889">
        <v>39</v>
      </c>
      <c r="C889" t="b">
        <v>0</v>
      </c>
      <c r="D889" t="b">
        <v>0</v>
      </c>
    </row>
    <row r="890" spans="1:4" x14ac:dyDescent="0.3">
      <c r="A890" t="s">
        <v>692</v>
      </c>
      <c r="B890">
        <v>39</v>
      </c>
      <c r="C890" t="b">
        <v>1</v>
      </c>
      <c r="D890" t="b">
        <v>1</v>
      </c>
    </row>
    <row r="891" spans="1:4" x14ac:dyDescent="0.3">
      <c r="A891" t="s">
        <v>678</v>
      </c>
      <c r="B891">
        <v>40</v>
      </c>
      <c r="C891">
        <v>35</v>
      </c>
      <c r="D891">
        <v>36</v>
      </c>
    </row>
    <row r="892" spans="1:4" x14ac:dyDescent="0.3">
      <c r="A892" t="s">
        <v>36</v>
      </c>
      <c r="B892">
        <v>40</v>
      </c>
      <c r="C892">
        <v>1</v>
      </c>
      <c r="D892">
        <v>1</v>
      </c>
    </row>
    <row r="893" spans="1:4" x14ac:dyDescent="0.3">
      <c r="A893" t="s">
        <v>503</v>
      </c>
      <c r="B893">
        <v>40</v>
      </c>
      <c r="C893" t="s">
        <v>707</v>
      </c>
      <c r="D893" t="s">
        <v>707</v>
      </c>
    </row>
    <row r="894" spans="1:4" x14ac:dyDescent="0.3">
      <c r="A894" t="s">
        <v>679</v>
      </c>
      <c r="B894">
        <v>40</v>
      </c>
      <c r="C894">
        <v>512</v>
      </c>
      <c r="D894">
        <v>251</v>
      </c>
    </row>
    <row r="895" spans="1:4" x14ac:dyDescent="0.3">
      <c r="A895" t="s">
        <v>42</v>
      </c>
      <c r="B895">
        <v>40</v>
      </c>
      <c r="C895">
        <v>30</v>
      </c>
      <c r="D895">
        <v>30</v>
      </c>
    </row>
    <row r="896" spans="1:4" x14ac:dyDescent="0.3">
      <c r="A896" t="s">
        <v>680</v>
      </c>
      <c r="B896">
        <v>40</v>
      </c>
      <c r="C896">
        <v>11.6</v>
      </c>
      <c r="D896">
        <v>5.7</v>
      </c>
    </row>
    <row r="897" spans="1:6" x14ac:dyDescent="0.3">
      <c r="A897" t="s">
        <v>41</v>
      </c>
      <c r="B897">
        <v>40</v>
      </c>
      <c r="C897">
        <v>0</v>
      </c>
      <c r="D897">
        <v>0</v>
      </c>
    </row>
    <row r="898" spans="1:6" x14ac:dyDescent="0.3">
      <c r="A898" t="s">
        <v>681</v>
      </c>
      <c r="B898">
        <v>40</v>
      </c>
      <c r="C898">
        <v>12</v>
      </c>
      <c r="D898">
        <v>12</v>
      </c>
    </row>
    <row r="899" spans="1:6" x14ac:dyDescent="0.3">
      <c r="A899" t="s">
        <v>563</v>
      </c>
      <c r="B899">
        <v>40</v>
      </c>
      <c r="C899">
        <v>0</v>
      </c>
      <c r="D899">
        <v>0</v>
      </c>
    </row>
    <row r="900" spans="1:6" x14ac:dyDescent="0.3">
      <c r="A900" t="s">
        <v>682</v>
      </c>
      <c r="B900">
        <v>40</v>
      </c>
      <c r="C900">
        <v>0</v>
      </c>
      <c r="D900">
        <v>0</v>
      </c>
    </row>
    <row r="901" spans="1:6" x14ac:dyDescent="0.3">
      <c r="A901" t="s">
        <v>683</v>
      </c>
      <c r="B901">
        <v>40</v>
      </c>
      <c r="C901">
        <v>16</v>
      </c>
      <c r="D901">
        <v>16</v>
      </c>
    </row>
    <row r="902" spans="1:6" x14ac:dyDescent="0.3">
      <c r="A902" t="s">
        <v>684</v>
      </c>
      <c r="B902">
        <v>40</v>
      </c>
      <c r="C902">
        <v>100</v>
      </c>
      <c r="D902">
        <v>100</v>
      </c>
    </row>
    <row r="903" spans="1:6" x14ac:dyDescent="0.3">
      <c r="A903" t="s">
        <v>685</v>
      </c>
      <c r="B903">
        <v>40</v>
      </c>
      <c r="C903">
        <v>1320</v>
      </c>
      <c r="D903">
        <v>1320</v>
      </c>
    </row>
    <row r="904" spans="1:6" x14ac:dyDescent="0.3">
      <c r="A904" t="s">
        <v>686</v>
      </c>
      <c r="B904">
        <v>40</v>
      </c>
      <c r="C904">
        <v>880</v>
      </c>
      <c r="D904">
        <v>880</v>
      </c>
    </row>
    <row r="905" spans="1:6" x14ac:dyDescent="0.3">
      <c r="A905" t="s">
        <v>687</v>
      </c>
      <c r="B905">
        <v>40</v>
      </c>
      <c r="C905">
        <v>1760</v>
      </c>
      <c r="D905">
        <v>1760</v>
      </c>
    </row>
    <row r="906" spans="1:6" x14ac:dyDescent="0.3">
      <c r="A906" t="s">
        <v>688</v>
      </c>
      <c r="B906">
        <v>40</v>
      </c>
    </row>
    <row r="907" spans="1:6" x14ac:dyDescent="0.3">
      <c r="A907" t="s">
        <v>689</v>
      </c>
      <c r="B907">
        <v>40</v>
      </c>
    </row>
    <row r="908" spans="1:6" x14ac:dyDescent="0.3">
      <c r="A908" t="s">
        <v>690</v>
      </c>
      <c r="B908">
        <v>40</v>
      </c>
    </row>
    <row r="909" spans="1:6" x14ac:dyDescent="0.3">
      <c r="A909" t="s">
        <v>691</v>
      </c>
      <c r="B909">
        <v>40</v>
      </c>
      <c r="C909" t="b">
        <v>0</v>
      </c>
      <c r="D909" t="b">
        <v>0</v>
      </c>
    </row>
    <row r="910" spans="1:6" x14ac:dyDescent="0.3">
      <c r="A910" t="s">
        <v>692</v>
      </c>
      <c r="B910">
        <v>40</v>
      </c>
      <c r="C910" t="b">
        <v>1</v>
      </c>
      <c r="D910" t="b">
        <v>0</v>
      </c>
    </row>
    <row r="911" spans="1:6" x14ac:dyDescent="0.3">
      <c r="A911" t="s">
        <v>678</v>
      </c>
      <c r="B911">
        <v>41</v>
      </c>
      <c r="C911">
        <v>43</v>
      </c>
      <c r="D911">
        <v>42</v>
      </c>
      <c r="E911">
        <v>35</v>
      </c>
      <c r="F911">
        <v>44</v>
      </c>
    </row>
    <row r="912" spans="1:6" x14ac:dyDescent="0.3">
      <c r="A912" t="s">
        <v>36</v>
      </c>
      <c r="B912">
        <v>41</v>
      </c>
      <c r="C912">
        <v>5</v>
      </c>
      <c r="D912">
        <v>4</v>
      </c>
      <c r="E912">
        <v>6</v>
      </c>
      <c r="F912">
        <v>6</v>
      </c>
    </row>
    <row r="913" spans="1:6" x14ac:dyDescent="0.3">
      <c r="A913" t="s">
        <v>503</v>
      </c>
      <c r="B913">
        <v>41</v>
      </c>
      <c r="C913" t="s">
        <v>708</v>
      </c>
      <c r="D913" t="s">
        <v>709</v>
      </c>
      <c r="E913" t="s">
        <v>695</v>
      </c>
      <c r="F913" t="s">
        <v>695</v>
      </c>
    </row>
    <row r="914" spans="1:6" x14ac:dyDescent="0.3">
      <c r="A914" t="s">
        <v>679</v>
      </c>
      <c r="B914">
        <v>41</v>
      </c>
      <c r="C914">
        <v>1229</v>
      </c>
      <c r="D914">
        <v>1230</v>
      </c>
      <c r="E914">
        <v>2603</v>
      </c>
      <c r="F914">
        <v>2630</v>
      </c>
    </row>
    <row r="915" spans="1:6" x14ac:dyDescent="0.3">
      <c r="A915" t="s">
        <v>42</v>
      </c>
      <c r="B915">
        <v>41</v>
      </c>
      <c r="C915">
        <v>45</v>
      </c>
      <c r="D915">
        <v>45</v>
      </c>
      <c r="E915">
        <v>40</v>
      </c>
      <c r="F915">
        <v>40</v>
      </c>
    </row>
    <row r="916" spans="1:6" x14ac:dyDescent="0.3">
      <c r="A916" t="s">
        <v>680</v>
      </c>
      <c r="B916">
        <v>41</v>
      </c>
      <c r="C916">
        <v>18.600000000000001</v>
      </c>
      <c r="D916">
        <v>18.600000000000001</v>
      </c>
      <c r="E916">
        <v>44.4</v>
      </c>
      <c r="F916">
        <v>44.8</v>
      </c>
    </row>
    <row r="917" spans="1:6" x14ac:dyDescent="0.3">
      <c r="A917" t="s">
        <v>41</v>
      </c>
      <c r="B917">
        <v>41</v>
      </c>
      <c r="C917">
        <v>0</v>
      </c>
      <c r="D917">
        <v>0</v>
      </c>
      <c r="E917">
        <v>0</v>
      </c>
      <c r="F917">
        <v>0</v>
      </c>
    </row>
    <row r="918" spans="1:6" x14ac:dyDescent="0.3">
      <c r="A918" t="s">
        <v>681</v>
      </c>
      <c r="B918">
        <v>41</v>
      </c>
      <c r="C918">
        <v>12</v>
      </c>
      <c r="D918">
        <v>12</v>
      </c>
      <c r="E918">
        <v>24</v>
      </c>
      <c r="F918">
        <v>24</v>
      </c>
    </row>
    <row r="919" spans="1:6" x14ac:dyDescent="0.3">
      <c r="A919" t="s">
        <v>563</v>
      </c>
      <c r="B919">
        <v>41</v>
      </c>
      <c r="C919">
        <v>0</v>
      </c>
      <c r="D919">
        <v>0</v>
      </c>
      <c r="E919">
        <v>0</v>
      </c>
      <c r="F919">
        <v>0</v>
      </c>
    </row>
    <row r="920" spans="1:6" x14ac:dyDescent="0.3">
      <c r="A920" t="s">
        <v>682</v>
      </c>
      <c r="B920">
        <v>41</v>
      </c>
      <c r="C920">
        <v>0</v>
      </c>
      <c r="D920">
        <v>0</v>
      </c>
      <c r="E920">
        <v>0</v>
      </c>
      <c r="F920">
        <v>0</v>
      </c>
    </row>
    <row r="921" spans="1:6" x14ac:dyDescent="0.3">
      <c r="A921" t="s">
        <v>683</v>
      </c>
      <c r="B921">
        <v>41</v>
      </c>
      <c r="C921">
        <v>16</v>
      </c>
      <c r="D921">
        <v>16</v>
      </c>
      <c r="E921">
        <v>16</v>
      </c>
      <c r="F921">
        <v>16</v>
      </c>
    </row>
    <row r="922" spans="1:6" x14ac:dyDescent="0.3">
      <c r="A922" t="s">
        <v>684</v>
      </c>
      <c r="B922">
        <v>41</v>
      </c>
      <c r="C922">
        <v>500</v>
      </c>
      <c r="D922">
        <v>500</v>
      </c>
      <c r="E922">
        <v>500</v>
      </c>
      <c r="F922">
        <v>500</v>
      </c>
    </row>
    <row r="923" spans="1:6" x14ac:dyDescent="0.3">
      <c r="A923" t="s">
        <v>685</v>
      </c>
      <c r="B923">
        <v>41</v>
      </c>
      <c r="C923">
        <v>1980</v>
      </c>
      <c r="D923">
        <v>1980</v>
      </c>
      <c r="E923">
        <v>1761</v>
      </c>
      <c r="F923">
        <v>1761</v>
      </c>
    </row>
    <row r="924" spans="1:6" x14ac:dyDescent="0.3">
      <c r="A924" t="s">
        <v>686</v>
      </c>
      <c r="B924">
        <v>41</v>
      </c>
      <c r="C924">
        <v>1320</v>
      </c>
      <c r="D924">
        <v>1320</v>
      </c>
      <c r="E924">
        <v>1174</v>
      </c>
      <c r="F924">
        <v>1174</v>
      </c>
    </row>
    <row r="925" spans="1:6" x14ac:dyDescent="0.3">
      <c r="A925" t="s">
        <v>687</v>
      </c>
      <c r="B925">
        <v>41</v>
      </c>
      <c r="C925">
        <v>2640</v>
      </c>
      <c r="D925">
        <v>2640</v>
      </c>
      <c r="E925">
        <v>2348</v>
      </c>
      <c r="F925">
        <v>2348</v>
      </c>
    </row>
    <row r="926" spans="1:6" x14ac:dyDescent="0.3">
      <c r="A926" t="s">
        <v>688</v>
      </c>
      <c r="B926">
        <v>41</v>
      </c>
    </row>
    <row r="927" spans="1:6" x14ac:dyDescent="0.3">
      <c r="A927" t="s">
        <v>689</v>
      </c>
      <c r="B927">
        <v>41</v>
      </c>
    </row>
    <row r="928" spans="1:6" x14ac:dyDescent="0.3">
      <c r="A928" t="s">
        <v>690</v>
      </c>
      <c r="B928">
        <v>41</v>
      </c>
    </row>
    <row r="929" spans="1:6" x14ac:dyDescent="0.3">
      <c r="A929" t="s">
        <v>691</v>
      </c>
      <c r="B929">
        <v>41</v>
      </c>
      <c r="C929" t="b">
        <v>0</v>
      </c>
      <c r="D929" t="b">
        <v>0</v>
      </c>
      <c r="E929" t="b">
        <v>0</v>
      </c>
      <c r="F929" t="b">
        <v>0</v>
      </c>
    </row>
    <row r="930" spans="1:6" x14ac:dyDescent="0.3">
      <c r="A930" t="s">
        <v>692</v>
      </c>
      <c r="B930">
        <v>41</v>
      </c>
      <c r="C930" t="b">
        <v>0</v>
      </c>
      <c r="D930" t="b">
        <v>0</v>
      </c>
      <c r="E930" t="b">
        <v>0</v>
      </c>
      <c r="F930" t="b">
        <v>0</v>
      </c>
    </row>
    <row r="931" spans="1:6" x14ac:dyDescent="0.3">
      <c r="A931" t="s">
        <v>678</v>
      </c>
      <c r="B931">
        <v>42</v>
      </c>
      <c r="C931">
        <v>41</v>
      </c>
    </row>
    <row r="932" spans="1:6" x14ac:dyDescent="0.3">
      <c r="A932" t="s">
        <v>36</v>
      </c>
      <c r="B932">
        <v>42</v>
      </c>
      <c r="C932">
        <v>3</v>
      </c>
    </row>
    <row r="933" spans="1:6" x14ac:dyDescent="0.3">
      <c r="A933" t="s">
        <v>503</v>
      </c>
      <c r="B933">
        <v>42</v>
      </c>
      <c r="C933" t="s">
        <v>709</v>
      </c>
    </row>
    <row r="934" spans="1:6" x14ac:dyDescent="0.3">
      <c r="A934" t="s">
        <v>679</v>
      </c>
      <c r="B934">
        <v>42</v>
      </c>
      <c r="C934">
        <v>1230</v>
      </c>
    </row>
    <row r="935" spans="1:6" x14ac:dyDescent="0.3">
      <c r="A935" t="s">
        <v>42</v>
      </c>
      <c r="B935">
        <v>42</v>
      </c>
      <c r="C935">
        <v>30</v>
      </c>
    </row>
    <row r="936" spans="1:6" x14ac:dyDescent="0.3">
      <c r="A936" t="s">
        <v>680</v>
      </c>
      <c r="B936">
        <v>42</v>
      </c>
      <c r="C936">
        <v>28</v>
      </c>
    </row>
    <row r="937" spans="1:6" x14ac:dyDescent="0.3">
      <c r="A937" t="s">
        <v>41</v>
      </c>
      <c r="B937">
        <v>42</v>
      </c>
      <c r="C937">
        <v>0</v>
      </c>
    </row>
    <row r="938" spans="1:6" x14ac:dyDescent="0.3">
      <c r="A938" t="s">
        <v>681</v>
      </c>
      <c r="B938">
        <v>42</v>
      </c>
      <c r="C938">
        <v>12</v>
      </c>
    </row>
    <row r="939" spans="1:6" x14ac:dyDescent="0.3">
      <c r="A939" t="s">
        <v>563</v>
      </c>
      <c r="B939">
        <v>42</v>
      </c>
      <c r="C939">
        <v>0</v>
      </c>
    </row>
    <row r="940" spans="1:6" x14ac:dyDescent="0.3">
      <c r="A940" t="s">
        <v>682</v>
      </c>
      <c r="B940">
        <v>42</v>
      </c>
      <c r="C940">
        <v>0</v>
      </c>
    </row>
    <row r="941" spans="1:6" x14ac:dyDescent="0.3">
      <c r="A941" t="s">
        <v>683</v>
      </c>
      <c r="B941">
        <v>42</v>
      </c>
      <c r="C941">
        <v>16</v>
      </c>
    </row>
    <row r="942" spans="1:6" x14ac:dyDescent="0.3">
      <c r="A942" t="s">
        <v>684</v>
      </c>
      <c r="B942">
        <v>42</v>
      </c>
      <c r="C942">
        <v>200</v>
      </c>
    </row>
    <row r="943" spans="1:6" x14ac:dyDescent="0.3">
      <c r="A943" t="s">
        <v>685</v>
      </c>
      <c r="B943">
        <v>42</v>
      </c>
      <c r="C943">
        <v>1320</v>
      </c>
    </row>
    <row r="944" spans="1:6" x14ac:dyDescent="0.3">
      <c r="A944" t="s">
        <v>686</v>
      </c>
      <c r="B944">
        <v>42</v>
      </c>
      <c r="C944">
        <v>880</v>
      </c>
    </row>
    <row r="945" spans="1:4" x14ac:dyDescent="0.3">
      <c r="A945" t="s">
        <v>687</v>
      </c>
      <c r="B945">
        <v>42</v>
      </c>
      <c r="C945">
        <v>1760</v>
      </c>
    </row>
    <row r="946" spans="1:4" x14ac:dyDescent="0.3">
      <c r="A946" t="s">
        <v>688</v>
      </c>
      <c r="B946">
        <v>42</v>
      </c>
    </row>
    <row r="947" spans="1:4" x14ac:dyDescent="0.3">
      <c r="A947" t="s">
        <v>689</v>
      </c>
      <c r="B947">
        <v>42</v>
      </c>
    </row>
    <row r="948" spans="1:4" x14ac:dyDescent="0.3">
      <c r="A948" t="s">
        <v>690</v>
      </c>
      <c r="B948">
        <v>42</v>
      </c>
    </row>
    <row r="949" spans="1:4" x14ac:dyDescent="0.3">
      <c r="A949" t="s">
        <v>691</v>
      </c>
      <c r="B949">
        <v>42</v>
      </c>
      <c r="C949" t="b">
        <v>0</v>
      </c>
    </row>
    <row r="950" spans="1:4" x14ac:dyDescent="0.3">
      <c r="A950" t="s">
        <v>692</v>
      </c>
      <c r="B950">
        <v>42</v>
      </c>
      <c r="C950" t="b">
        <v>0</v>
      </c>
    </row>
    <row r="951" spans="1:4" x14ac:dyDescent="0.3">
      <c r="A951" t="s">
        <v>678</v>
      </c>
      <c r="B951">
        <v>43</v>
      </c>
      <c r="D951">
        <v>41</v>
      </c>
    </row>
    <row r="952" spans="1:4" x14ac:dyDescent="0.3">
      <c r="A952" t="s">
        <v>36</v>
      </c>
      <c r="B952">
        <v>43</v>
      </c>
      <c r="D952">
        <v>3</v>
      </c>
    </row>
    <row r="953" spans="1:4" x14ac:dyDescent="0.3">
      <c r="A953" t="s">
        <v>503</v>
      </c>
      <c r="B953">
        <v>43</v>
      </c>
      <c r="D953" t="s">
        <v>708</v>
      </c>
    </row>
    <row r="954" spans="1:4" x14ac:dyDescent="0.3">
      <c r="A954" t="s">
        <v>679</v>
      </c>
      <c r="B954">
        <v>43</v>
      </c>
      <c r="D954">
        <v>1229</v>
      </c>
    </row>
    <row r="955" spans="1:4" x14ac:dyDescent="0.3">
      <c r="A955" t="s">
        <v>42</v>
      </c>
      <c r="B955">
        <v>43</v>
      </c>
      <c r="D955">
        <v>30</v>
      </c>
    </row>
    <row r="956" spans="1:4" x14ac:dyDescent="0.3">
      <c r="A956" t="s">
        <v>680</v>
      </c>
      <c r="B956">
        <v>43</v>
      </c>
      <c r="D956">
        <v>27.9</v>
      </c>
    </row>
    <row r="957" spans="1:4" x14ac:dyDescent="0.3">
      <c r="A957" t="s">
        <v>41</v>
      </c>
      <c r="B957">
        <v>43</v>
      </c>
      <c r="D957">
        <v>0</v>
      </c>
    </row>
    <row r="958" spans="1:4" x14ac:dyDescent="0.3">
      <c r="A958" t="s">
        <v>681</v>
      </c>
      <c r="B958">
        <v>43</v>
      </c>
      <c r="D958">
        <v>12</v>
      </c>
    </row>
    <row r="959" spans="1:4" x14ac:dyDescent="0.3">
      <c r="A959" t="s">
        <v>563</v>
      </c>
      <c r="B959">
        <v>43</v>
      </c>
      <c r="D959">
        <v>0</v>
      </c>
    </row>
    <row r="960" spans="1:4" x14ac:dyDescent="0.3">
      <c r="A960" t="s">
        <v>682</v>
      </c>
      <c r="B960">
        <v>43</v>
      </c>
      <c r="D960">
        <v>0</v>
      </c>
    </row>
    <row r="961" spans="1:6" x14ac:dyDescent="0.3">
      <c r="A961" t="s">
        <v>683</v>
      </c>
      <c r="B961">
        <v>43</v>
      </c>
      <c r="D961">
        <v>16</v>
      </c>
    </row>
    <row r="962" spans="1:6" x14ac:dyDescent="0.3">
      <c r="A962" t="s">
        <v>684</v>
      </c>
      <c r="B962">
        <v>43</v>
      </c>
      <c r="D962">
        <v>200</v>
      </c>
    </row>
    <row r="963" spans="1:6" x14ac:dyDescent="0.3">
      <c r="A963" t="s">
        <v>685</v>
      </c>
      <c r="B963">
        <v>43</v>
      </c>
      <c r="D963">
        <v>1320</v>
      </c>
    </row>
    <row r="964" spans="1:6" x14ac:dyDescent="0.3">
      <c r="A964" t="s">
        <v>686</v>
      </c>
      <c r="B964">
        <v>43</v>
      </c>
      <c r="D964">
        <v>880</v>
      </c>
    </row>
    <row r="965" spans="1:6" x14ac:dyDescent="0.3">
      <c r="A965" t="s">
        <v>687</v>
      </c>
      <c r="B965">
        <v>43</v>
      </c>
      <c r="D965">
        <v>1760</v>
      </c>
    </row>
    <row r="966" spans="1:6" x14ac:dyDescent="0.3">
      <c r="A966" t="s">
        <v>688</v>
      </c>
      <c r="B966">
        <v>43</v>
      </c>
    </row>
    <row r="967" spans="1:6" x14ac:dyDescent="0.3">
      <c r="A967" t="s">
        <v>689</v>
      </c>
      <c r="B967">
        <v>43</v>
      </c>
    </row>
    <row r="968" spans="1:6" x14ac:dyDescent="0.3">
      <c r="A968" t="s">
        <v>690</v>
      </c>
      <c r="B968">
        <v>43</v>
      </c>
    </row>
    <row r="969" spans="1:6" x14ac:dyDescent="0.3">
      <c r="A969" t="s">
        <v>691</v>
      </c>
      <c r="B969">
        <v>43</v>
      </c>
      <c r="D969" t="b">
        <v>0</v>
      </c>
    </row>
    <row r="970" spans="1:6" x14ac:dyDescent="0.3">
      <c r="A970" t="s">
        <v>692</v>
      </c>
      <c r="B970">
        <v>43</v>
      </c>
      <c r="D970" t="b">
        <v>0</v>
      </c>
    </row>
    <row r="971" spans="1:6" x14ac:dyDescent="0.3">
      <c r="A971" t="s">
        <v>678</v>
      </c>
      <c r="B971">
        <v>44</v>
      </c>
      <c r="C971">
        <v>46</v>
      </c>
      <c r="D971">
        <v>47</v>
      </c>
      <c r="E971">
        <v>41</v>
      </c>
      <c r="F971">
        <v>48</v>
      </c>
    </row>
    <row r="972" spans="1:6" x14ac:dyDescent="0.3">
      <c r="A972" t="s">
        <v>36</v>
      </c>
      <c r="B972">
        <v>44</v>
      </c>
      <c r="C972">
        <v>1</v>
      </c>
      <c r="D972">
        <v>2</v>
      </c>
      <c r="E972">
        <v>4</v>
      </c>
      <c r="F972">
        <v>4</v>
      </c>
    </row>
    <row r="973" spans="1:6" x14ac:dyDescent="0.3">
      <c r="A973" t="s">
        <v>503</v>
      </c>
      <c r="B973">
        <v>44</v>
      </c>
      <c r="C973" t="s">
        <v>710</v>
      </c>
      <c r="E973" t="s">
        <v>695</v>
      </c>
      <c r="F973" t="s">
        <v>695</v>
      </c>
    </row>
    <row r="974" spans="1:6" x14ac:dyDescent="0.3">
      <c r="A974" t="s">
        <v>679</v>
      </c>
      <c r="B974">
        <v>44</v>
      </c>
      <c r="C974">
        <v>331</v>
      </c>
      <c r="D974">
        <v>483</v>
      </c>
      <c r="E974">
        <v>2630</v>
      </c>
      <c r="F974">
        <v>682</v>
      </c>
    </row>
    <row r="975" spans="1:6" x14ac:dyDescent="0.3">
      <c r="A975" t="s">
        <v>42</v>
      </c>
      <c r="B975">
        <v>44</v>
      </c>
      <c r="C975">
        <v>25</v>
      </c>
      <c r="D975">
        <v>25</v>
      </c>
      <c r="E975">
        <v>40</v>
      </c>
      <c r="F975">
        <v>40</v>
      </c>
    </row>
    <row r="976" spans="1:6" x14ac:dyDescent="0.3">
      <c r="A976" t="s">
        <v>680</v>
      </c>
      <c r="B976">
        <v>44</v>
      </c>
      <c r="C976">
        <v>9</v>
      </c>
      <c r="D976">
        <v>13.2</v>
      </c>
      <c r="E976">
        <v>44.8</v>
      </c>
      <c r="F976">
        <v>11.6</v>
      </c>
    </row>
    <row r="977" spans="1:6" x14ac:dyDescent="0.3">
      <c r="A977" t="s">
        <v>41</v>
      </c>
      <c r="B977">
        <v>44</v>
      </c>
      <c r="C977">
        <v>0</v>
      </c>
      <c r="D977">
        <v>0</v>
      </c>
      <c r="E977">
        <v>0</v>
      </c>
      <c r="F977">
        <v>0</v>
      </c>
    </row>
    <row r="978" spans="1:6" x14ac:dyDescent="0.3">
      <c r="A978" t="s">
        <v>681</v>
      </c>
      <c r="B978">
        <v>44</v>
      </c>
      <c r="C978" t="s">
        <v>699</v>
      </c>
      <c r="D978">
        <v>12</v>
      </c>
      <c r="E978" t="s">
        <v>697</v>
      </c>
      <c r="F978" t="s">
        <v>697</v>
      </c>
    </row>
    <row r="979" spans="1:6" x14ac:dyDescent="0.3">
      <c r="A979" t="s">
        <v>563</v>
      </c>
      <c r="B979">
        <v>44</v>
      </c>
      <c r="C979">
        <v>0</v>
      </c>
      <c r="D979">
        <v>0</v>
      </c>
      <c r="E979">
        <v>0</v>
      </c>
      <c r="F979">
        <v>0</v>
      </c>
    </row>
    <row r="980" spans="1:6" x14ac:dyDescent="0.3">
      <c r="A980" t="s">
        <v>682</v>
      </c>
      <c r="B980">
        <v>44</v>
      </c>
      <c r="C980">
        <v>0</v>
      </c>
      <c r="D980">
        <v>0</v>
      </c>
      <c r="E980">
        <v>0</v>
      </c>
      <c r="F980">
        <v>0</v>
      </c>
    </row>
    <row r="981" spans="1:6" x14ac:dyDescent="0.3">
      <c r="A981" t="s">
        <v>683</v>
      </c>
      <c r="B981">
        <v>44</v>
      </c>
      <c r="C981">
        <v>16</v>
      </c>
      <c r="D981">
        <v>16</v>
      </c>
      <c r="E981">
        <v>16</v>
      </c>
      <c r="F981">
        <v>16</v>
      </c>
    </row>
    <row r="982" spans="1:6" x14ac:dyDescent="0.3">
      <c r="A982" t="s">
        <v>684</v>
      </c>
      <c r="B982">
        <v>44</v>
      </c>
      <c r="C982">
        <v>500</v>
      </c>
      <c r="D982">
        <v>500</v>
      </c>
      <c r="E982">
        <v>500</v>
      </c>
      <c r="F982">
        <v>500</v>
      </c>
    </row>
    <row r="983" spans="1:6" x14ac:dyDescent="0.3">
      <c r="A983" t="s">
        <v>685</v>
      </c>
      <c r="B983">
        <v>44</v>
      </c>
      <c r="C983">
        <v>1101</v>
      </c>
      <c r="D983">
        <v>1101</v>
      </c>
      <c r="E983">
        <v>1761</v>
      </c>
      <c r="F983">
        <v>1761</v>
      </c>
    </row>
    <row r="984" spans="1:6" x14ac:dyDescent="0.3">
      <c r="A984" t="s">
        <v>686</v>
      </c>
      <c r="B984">
        <v>44</v>
      </c>
      <c r="C984">
        <v>734</v>
      </c>
      <c r="D984">
        <v>734</v>
      </c>
      <c r="E984">
        <v>1174</v>
      </c>
      <c r="F984">
        <v>1174</v>
      </c>
    </row>
    <row r="985" spans="1:6" x14ac:dyDescent="0.3">
      <c r="A985" t="s">
        <v>687</v>
      </c>
      <c r="B985">
        <v>44</v>
      </c>
      <c r="C985">
        <v>1468</v>
      </c>
      <c r="D985">
        <v>1468</v>
      </c>
      <c r="E985">
        <v>2348</v>
      </c>
      <c r="F985">
        <v>2348</v>
      </c>
    </row>
    <row r="986" spans="1:6" x14ac:dyDescent="0.3">
      <c r="A986" t="s">
        <v>688</v>
      </c>
      <c r="B986">
        <v>44</v>
      </c>
    </row>
    <row r="987" spans="1:6" x14ac:dyDescent="0.3">
      <c r="A987" t="s">
        <v>689</v>
      </c>
      <c r="B987">
        <v>44</v>
      </c>
    </row>
    <row r="988" spans="1:6" x14ac:dyDescent="0.3">
      <c r="A988" t="s">
        <v>690</v>
      </c>
      <c r="B988">
        <v>44</v>
      </c>
    </row>
    <row r="989" spans="1:6" x14ac:dyDescent="0.3">
      <c r="A989" t="s">
        <v>691</v>
      </c>
      <c r="B989">
        <v>44</v>
      </c>
      <c r="C989" t="b">
        <v>0</v>
      </c>
      <c r="D989" t="b">
        <v>0</v>
      </c>
      <c r="E989" t="b">
        <v>0</v>
      </c>
      <c r="F989" t="b">
        <v>0</v>
      </c>
    </row>
    <row r="990" spans="1:6" x14ac:dyDescent="0.3">
      <c r="A990" t="s">
        <v>692</v>
      </c>
      <c r="B990">
        <v>44</v>
      </c>
      <c r="C990" t="b">
        <v>0</v>
      </c>
      <c r="D990" t="b">
        <v>0</v>
      </c>
      <c r="E990" t="b">
        <v>0</v>
      </c>
      <c r="F990" t="b">
        <v>0</v>
      </c>
    </row>
    <row r="991" spans="1:6" x14ac:dyDescent="0.3">
      <c r="A991" t="s">
        <v>678</v>
      </c>
      <c r="B991">
        <v>45</v>
      </c>
      <c r="C991">
        <v>47</v>
      </c>
    </row>
    <row r="992" spans="1:6" x14ac:dyDescent="0.3">
      <c r="A992" t="s">
        <v>36</v>
      </c>
      <c r="B992">
        <v>45</v>
      </c>
      <c r="C992">
        <v>1</v>
      </c>
    </row>
    <row r="993" spans="1:3" x14ac:dyDescent="0.3">
      <c r="A993" t="s">
        <v>503</v>
      </c>
      <c r="B993">
        <v>45</v>
      </c>
    </row>
    <row r="994" spans="1:3" x14ac:dyDescent="0.3">
      <c r="A994" t="s">
        <v>679</v>
      </c>
      <c r="B994">
        <v>45</v>
      </c>
      <c r="C994">
        <v>345</v>
      </c>
    </row>
    <row r="995" spans="1:3" x14ac:dyDescent="0.3">
      <c r="A995" t="s">
        <v>42</v>
      </c>
      <c r="B995">
        <v>45</v>
      </c>
      <c r="C995">
        <v>30</v>
      </c>
    </row>
    <row r="996" spans="1:3" x14ac:dyDescent="0.3">
      <c r="A996" t="s">
        <v>680</v>
      </c>
      <c r="B996">
        <v>45</v>
      </c>
      <c r="C996">
        <v>7.8</v>
      </c>
    </row>
    <row r="997" spans="1:3" x14ac:dyDescent="0.3">
      <c r="A997" t="s">
        <v>41</v>
      </c>
      <c r="B997">
        <v>45</v>
      </c>
      <c r="C997">
        <v>0</v>
      </c>
    </row>
    <row r="998" spans="1:3" x14ac:dyDescent="0.3">
      <c r="A998" t="s">
        <v>681</v>
      </c>
      <c r="B998">
        <v>45</v>
      </c>
      <c r="C998">
        <v>0</v>
      </c>
    </row>
    <row r="999" spans="1:3" x14ac:dyDescent="0.3">
      <c r="A999" t="s">
        <v>563</v>
      </c>
      <c r="B999">
        <v>45</v>
      </c>
      <c r="C999">
        <v>0</v>
      </c>
    </row>
    <row r="1000" spans="1:3" x14ac:dyDescent="0.3">
      <c r="A1000" t="s">
        <v>682</v>
      </c>
      <c r="B1000">
        <v>45</v>
      </c>
      <c r="C1000">
        <v>1</v>
      </c>
    </row>
    <row r="1001" spans="1:3" x14ac:dyDescent="0.3">
      <c r="A1001" t="s">
        <v>683</v>
      </c>
      <c r="B1001">
        <v>45</v>
      </c>
      <c r="C1001">
        <v>16</v>
      </c>
    </row>
    <row r="1002" spans="1:3" x14ac:dyDescent="0.3">
      <c r="A1002" t="s">
        <v>684</v>
      </c>
      <c r="B1002">
        <v>45</v>
      </c>
      <c r="C1002">
        <v>200</v>
      </c>
    </row>
    <row r="1003" spans="1:3" x14ac:dyDescent="0.3">
      <c r="A1003" t="s">
        <v>685</v>
      </c>
      <c r="B1003">
        <v>45</v>
      </c>
      <c r="C1003">
        <v>1320</v>
      </c>
    </row>
    <row r="1004" spans="1:3" x14ac:dyDescent="0.3">
      <c r="A1004" t="s">
        <v>686</v>
      </c>
      <c r="B1004">
        <v>45</v>
      </c>
      <c r="C1004">
        <v>880</v>
      </c>
    </row>
    <row r="1005" spans="1:3" x14ac:dyDescent="0.3">
      <c r="A1005" t="s">
        <v>687</v>
      </c>
      <c r="B1005">
        <v>45</v>
      </c>
      <c r="C1005">
        <v>1760</v>
      </c>
    </row>
    <row r="1006" spans="1:3" x14ac:dyDescent="0.3">
      <c r="A1006" t="s">
        <v>688</v>
      </c>
      <c r="B1006">
        <v>45</v>
      </c>
    </row>
    <row r="1007" spans="1:3" x14ac:dyDescent="0.3">
      <c r="A1007" t="s">
        <v>689</v>
      </c>
      <c r="B1007">
        <v>45</v>
      </c>
    </row>
    <row r="1008" spans="1:3" x14ac:dyDescent="0.3">
      <c r="A1008" t="s">
        <v>690</v>
      </c>
      <c r="B1008">
        <v>45</v>
      </c>
    </row>
    <row r="1009" spans="1:4" x14ac:dyDescent="0.3">
      <c r="A1009" t="s">
        <v>691</v>
      </c>
      <c r="B1009">
        <v>45</v>
      </c>
      <c r="C1009" t="b">
        <v>0</v>
      </c>
    </row>
    <row r="1010" spans="1:4" x14ac:dyDescent="0.3">
      <c r="A1010" t="s">
        <v>692</v>
      </c>
      <c r="B1010">
        <v>45</v>
      </c>
      <c r="C1010" t="b">
        <v>0</v>
      </c>
    </row>
    <row r="1011" spans="1:4" x14ac:dyDescent="0.3">
      <c r="A1011" t="s">
        <v>678</v>
      </c>
      <c r="B1011">
        <v>46</v>
      </c>
      <c r="D1011">
        <v>44</v>
      </c>
    </row>
    <row r="1012" spans="1:4" x14ac:dyDescent="0.3">
      <c r="A1012" t="s">
        <v>36</v>
      </c>
      <c r="B1012">
        <v>46</v>
      </c>
      <c r="D1012">
        <v>1</v>
      </c>
    </row>
    <row r="1013" spans="1:4" x14ac:dyDescent="0.3">
      <c r="A1013" t="s">
        <v>503</v>
      </c>
      <c r="B1013">
        <v>46</v>
      </c>
      <c r="D1013" t="s">
        <v>710</v>
      </c>
    </row>
    <row r="1014" spans="1:4" x14ac:dyDescent="0.3">
      <c r="A1014" t="s">
        <v>679</v>
      </c>
      <c r="B1014">
        <v>46</v>
      </c>
      <c r="D1014">
        <v>331</v>
      </c>
    </row>
    <row r="1015" spans="1:4" x14ac:dyDescent="0.3">
      <c r="A1015" t="s">
        <v>42</v>
      </c>
      <c r="B1015">
        <v>46</v>
      </c>
      <c r="D1015">
        <v>30</v>
      </c>
    </row>
    <row r="1016" spans="1:4" x14ac:dyDescent="0.3">
      <c r="A1016" t="s">
        <v>680</v>
      </c>
      <c r="B1016">
        <v>46</v>
      </c>
      <c r="D1016">
        <v>7.5</v>
      </c>
    </row>
    <row r="1017" spans="1:4" x14ac:dyDescent="0.3">
      <c r="A1017" t="s">
        <v>41</v>
      </c>
      <c r="B1017">
        <v>46</v>
      </c>
      <c r="D1017">
        <v>0</v>
      </c>
    </row>
    <row r="1018" spans="1:4" x14ac:dyDescent="0.3">
      <c r="A1018" t="s">
        <v>681</v>
      </c>
      <c r="B1018">
        <v>46</v>
      </c>
      <c r="D1018">
        <v>0</v>
      </c>
    </row>
    <row r="1019" spans="1:4" x14ac:dyDescent="0.3">
      <c r="A1019" t="s">
        <v>563</v>
      </c>
      <c r="B1019">
        <v>46</v>
      </c>
      <c r="D1019">
        <v>0</v>
      </c>
    </row>
    <row r="1020" spans="1:4" x14ac:dyDescent="0.3">
      <c r="A1020" t="s">
        <v>682</v>
      </c>
      <c r="B1020">
        <v>46</v>
      </c>
      <c r="D1020">
        <v>0</v>
      </c>
    </row>
    <row r="1021" spans="1:4" x14ac:dyDescent="0.3">
      <c r="A1021" t="s">
        <v>683</v>
      </c>
      <c r="B1021">
        <v>46</v>
      </c>
      <c r="D1021">
        <v>16</v>
      </c>
    </row>
    <row r="1022" spans="1:4" x14ac:dyDescent="0.3">
      <c r="A1022" t="s">
        <v>684</v>
      </c>
      <c r="B1022">
        <v>46</v>
      </c>
      <c r="D1022">
        <v>200</v>
      </c>
    </row>
    <row r="1023" spans="1:4" x14ac:dyDescent="0.3">
      <c r="A1023" t="s">
        <v>685</v>
      </c>
      <c r="B1023">
        <v>46</v>
      </c>
      <c r="D1023">
        <v>1320</v>
      </c>
    </row>
    <row r="1024" spans="1:4" x14ac:dyDescent="0.3">
      <c r="A1024" t="s">
        <v>686</v>
      </c>
      <c r="B1024">
        <v>46</v>
      </c>
      <c r="D1024">
        <v>880</v>
      </c>
    </row>
    <row r="1025" spans="1:4" x14ac:dyDescent="0.3">
      <c r="A1025" t="s">
        <v>687</v>
      </c>
      <c r="B1025">
        <v>46</v>
      </c>
      <c r="D1025">
        <v>1760</v>
      </c>
    </row>
    <row r="1026" spans="1:4" x14ac:dyDescent="0.3">
      <c r="A1026" t="s">
        <v>688</v>
      </c>
      <c r="B1026">
        <v>46</v>
      </c>
    </row>
    <row r="1027" spans="1:4" x14ac:dyDescent="0.3">
      <c r="A1027" t="s">
        <v>689</v>
      </c>
      <c r="B1027">
        <v>46</v>
      </c>
    </row>
    <row r="1028" spans="1:4" x14ac:dyDescent="0.3">
      <c r="A1028" t="s">
        <v>690</v>
      </c>
      <c r="B1028">
        <v>46</v>
      </c>
    </row>
    <row r="1029" spans="1:4" x14ac:dyDescent="0.3">
      <c r="A1029" t="s">
        <v>691</v>
      </c>
      <c r="B1029">
        <v>46</v>
      </c>
      <c r="D1029" t="b">
        <v>0</v>
      </c>
    </row>
    <row r="1030" spans="1:4" x14ac:dyDescent="0.3">
      <c r="A1030" t="s">
        <v>692</v>
      </c>
      <c r="B1030">
        <v>46</v>
      </c>
      <c r="D1030" t="b">
        <v>0</v>
      </c>
    </row>
    <row r="1031" spans="1:4" x14ac:dyDescent="0.3">
      <c r="A1031" t="s">
        <v>678</v>
      </c>
      <c r="B1031">
        <v>47</v>
      </c>
      <c r="C1031">
        <v>44</v>
      </c>
      <c r="D1031">
        <v>45</v>
      </c>
    </row>
    <row r="1032" spans="1:4" x14ac:dyDescent="0.3">
      <c r="A1032" t="s">
        <v>36</v>
      </c>
      <c r="B1032">
        <v>47</v>
      </c>
      <c r="C1032">
        <v>1</v>
      </c>
      <c r="D1032" t="s">
        <v>698</v>
      </c>
    </row>
    <row r="1033" spans="1:4" x14ac:dyDescent="0.3">
      <c r="A1033" t="s">
        <v>503</v>
      </c>
      <c r="B1033">
        <v>47</v>
      </c>
    </row>
    <row r="1034" spans="1:4" x14ac:dyDescent="0.3">
      <c r="A1034" t="s">
        <v>679</v>
      </c>
      <c r="B1034">
        <v>47</v>
      </c>
      <c r="C1034">
        <v>483</v>
      </c>
      <c r="D1034">
        <v>345</v>
      </c>
    </row>
    <row r="1035" spans="1:4" x14ac:dyDescent="0.3">
      <c r="A1035" t="s">
        <v>42</v>
      </c>
      <c r="B1035">
        <v>47</v>
      </c>
      <c r="C1035">
        <v>30</v>
      </c>
      <c r="D1035">
        <v>30</v>
      </c>
    </row>
    <row r="1036" spans="1:4" x14ac:dyDescent="0.3">
      <c r="A1036" t="s">
        <v>680</v>
      </c>
      <c r="B1036">
        <v>47</v>
      </c>
      <c r="C1036">
        <v>11</v>
      </c>
      <c r="D1036">
        <v>7.8</v>
      </c>
    </row>
    <row r="1037" spans="1:4" x14ac:dyDescent="0.3">
      <c r="A1037" t="s">
        <v>41</v>
      </c>
      <c r="B1037">
        <v>47</v>
      </c>
      <c r="C1037">
        <v>0</v>
      </c>
      <c r="D1037">
        <v>0</v>
      </c>
    </row>
    <row r="1038" spans="1:4" x14ac:dyDescent="0.3">
      <c r="A1038" t="s">
        <v>681</v>
      </c>
      <c r="B1038">
        <v>47</v>
      </c>
      <c r="C1038">
        <v>12</v>
      </c>
      <c r="D1038" t="s">
        <v>699</v>
      </c>
    </row>
    <row r="1039" spans="1:4" x14ac:dyDescent="0.3">
      <c r="A1039" t="s">
        <v>563</v>
      </c>
      <c r="B1039">
        <v>47</v>
      </c>
      <c r="C1039">
        <v>0</v>
      </c>
      <c r="D1039">
        <v>0</v>
      </c>
    </row>
    <row r="1040" spans="1:4" x14ac:dyDescent="0.3">
      <c r="A1040" t="s">
        <v>682</v>
      </c>
      <c r="B1040">
        <v>47</v>
      </c>
      <c r="C1040">
        <v>0</v>
      </c>
      <c r="D1040">
        <v>1</v>
      </c>
    </row>
    <row r="1041" spans="1:6" x14ac:dyDescent="0.3">
      <c r="A1041" t="s">
        <v>683</v>
      </c>
      <c r="B1041">
        <v>47</v>
      </c>
      <c r="C1041">
        <v>16</v>
      </c>
      <c r="D1041">
        <v>16</v>
      </c>
    </row>
    <row r="1042" spans="1:6" x14ac:dyDescent="0.3">
      <c r="A1042" t="s">
        <v>684</v>
      </c>
      <c r="B1042">
        <v>47</v>
      </c>
      <c r="C1042">
        <v>100</v>
      </c>
      <c r="D1042">
        <v>100</v>
      </c>
    </row>
    <row r="1043" spans="1:6" x14ac:dyDescent="0.3">
      <c r="A1043" t="s">
        <v>685</v>
      </c>
      <c r="B1043">
        <v>47</v>
      </c>
      <c r="C1043">
        <v>1320</v>
      </c>
      <c r="D1043">
        <v>1320</v>
      </c>
    </row>
    <row r="1044" spans="1:6" x14ac:dyDescent="0.3">
      <c r="A1044" t="s">
        <v>686</v>
      </c>
      <c r="B1044">
        <v>47</v>
      </c>
      <c r="C1044">
        <v>880</v>
      </c>
      <c r="D1044">
        <v>880</v>
      </c>
    </row>
    <row r="1045" spans="1:6" x14ac:dyDescent="0.3">
      <c r="A1045" t="s">
        <v>687</v>
      </c>
      <c r="B1045">
        <v>47</v>
      </c>
      <c r="C1045">
        <v>1760</v>
      </c>
      <c r="D1045">
        <v>1760</v>
      </c>
    </row>
    <row r="1046" spans="1:6" x14ac:dyDescent="0.3">
      <c r="A1046" t="s">
        <v>688</v>
      </c>
      <c r="B1046">
        <v>47</v>
      </c>
    </row>
    <row r="1047" spans="1:6" x14ac:dyDescent="0.3">
      <c r="A1047" t="s">
        <v>689</v>
      </c>
      <c r="B1047">
        <v>47</v>
      </c>
    </row>
    <row r="1048" spans="1:6" x14ac:dyDescent="0.3">
      <c r="A1048" t="s">
        <v>690</v>
      </c>
      <c r="B1048">
        <v>47</v>
      </c>
    </row>
    <row r="1049" spans="1:6" x14ac:dyDescent="0.3">
      <c r="A1049" t="s">
        <v>691</v>
      </c>
      <c r="B1049">
        <v>47</v>
      </c>
      <c r="C1049" t="b">
        <v>0</v>
      </c>
      <c r="D1049" t="b">
        <v>0</v>
      </c>
    </row>
    <row r="1050" spans="1:6" x14ac:dyDescent="0.3">
      <c r="A1050" t="s">
        <v>692</v>
      </c>
      <c r="B1050">
        <v>47</v>
      </c>
      <c r="C1050" t="b">
        <v>0</v>
      </c>
      <c r="D1050" t="b">
        <v>0</v>
      </c>
    </row>
    <row r="1051" spans="1:6" x14ac:dyDescent="0.3">
      <c r="A1051" t="s">
        <v>678</v>
      </c>
      <c r="B1051">
        <v>48</v>
      </c>
      <c r="C1051">
        <v>50</v>
      </c>
      <c r="E1051">
        <v>44</v>
      </c>
      <c r="F1051">
        <v>49</v>
      </c>
    </row>
    <row r="1052" spans="1:6" x14ac:dyDescent="0.3">
      <c r="A1052" t="s">
        <v>36</v>
      </c>
      <c r="B1052">
        <v>48</v>
      </c>
      <c r="C1052">
        <v>1</v>
      </c>
      <c r="E1052">
        <v>3</v>
      </c>
      <c r="F1052">
        <v>4</v>
      </c>
    </row>
    <row r="1053" spans="1:6" x14ac:dyDescent="0.3">
      <c r="A1053" t="s">
        <v>503</v>
      </c>
      <c r="B1053">
        <v>48</v>
      </c>
      <c r="C1053" t="s">
        <v>711</v>
      </c>
      <c r="E1053" t="s">
        <v>695</v>
      </c>
      <c r="F1053" t="s">
        <v>695</v>
      </c>
    </row>
    <row r="1054" spans="1:6" x14ac:dyDescent="0.3">
      <c r="A1054" t="s">
        <v>679</v>
      </c>
      <c r="B1054">
        <v>48</v>
      </c>
      <c r="C1054">
        <v>362</v>
      </c>
      <c r="E1054">
        <v>682</v>
      </c>
      <c r="F1054">
        <v>1947</v>
      </c>
    </row>
    <row r="1055" spans="1:6" x14ac:dyDescent="0.3">
      <c r="A1055" t="s">
        <v>42</v>
      </c>
      <c r="B1055">
        <v>48</v>
      </c>
      <c r="C1055">
        <v>25</v>
      </c>
      <c r="E1055">
        <v>40</v>
      </c>
      <c r="F1055">
        <v>40</v>
      </c>
    </row>
    <row r="1056" spans="1:6" x14ac:dyDescent="0.3">
      <c r="A1056" t="s">
        <v>680</v>
      </c>
      <c r="B1056">
        <v>48</v>
      </c>
      <c r="C1056">
        <v>9.9</v>
      </c>
      <c r="E1056">
        <v>11.6</v>
      </c>
      <c r="F1056">
        <v>33.200000000000003</v>
      </c>
    </row>
    <row r="1057" spans="1:6" x14ac:dyDescent="0.3">
      <c r="A1057" t="s">
        <v>41</v>
      </c>
      <c r="B1057">
        <v>48</v>
      </c>
      <c r="C1057">
        <v>0</v>
      </c>
      <c r="E1057">
        <v>0</v>
      </c>
      <c r="F1057">
        <v>0</v>
      </c>
    </row>
    <row r="1058" spans="1:6" x14ac:dyDescent="0.3">
      <c r="A1058" t="s">
        <v>681</v>
      </c>
      <c r="B1058">
        <v>48</v>
      </c>
      <c r="C1058">
        <v>12</v>
      </c>
      <c r="E1058">
        <v>12</v>
      </c>
      <c r="F1058">
        <v>12</v>
      </c>
    </row>
    <row r="1059" spans="1:6" x14ac:dyDescent="0.3">
      <c r="A1059" t="s">
        <v>563</v>
      </c>
      <c r="B1059">
        <v>48</v>
      </c>
      <c r="C1059">
        <v>0</v>
      </c>
      <c r="E1059">
        <v>0</v>
      </c>
      <c r="F1059">
        <v>0</v>
      </c>
    </row>
    <row r="1060" spans="1:6" x14ac:dyDescent="0.3">
      <c r="A1060" t="s">
        <v>682</v>
      </c>
      <c r="B1060">
        <v>48</v>
      </c>
      <c r="C1060">
        <v>0</v>
      </c>
      <c r="E1060">
        <v>0</v>
      </c>
      <c r="F1060">
        <v>0</v>
      </c>
    </row>
    <row r="1061" spans="1:6" x14ac:dyDescent="0.3">
      <c r="A1061" t="s">
        <v>683</v>
      </c>
      <c r="B1061">
        <v>48</v>
      </c>
      <c r="C1061">
        <v>16</v>
      </c>
      <c r="E1061">
        <v>16</v>
      </c>
      <c r="F1061">
        <v>16</v>
      </c>
    </row>
    <row r="1062" spans="1:6" x14ac:dyDescent="0.3">
      <c r="A1062" t="s">
        <v>684</v>
      </c>
      <c r="B1062">
        <v>48</v>
      </c>
      <c r="C1062">
        <v>500</v>
      </c>
      <c r="E1062">
        <v>500</v>
      </c>
      <c r="F1062">
        <v>500</v>
      </c>
    </row>
    <row r="1063" spans="1:6" x14ac:dyDescent="0.3">
      <c r="A1063" t="s">
        <v>685</v>
      </c>
      <c r="B1063">
        <v>48</v>
      </c>
      <c r="C1063">
        <v>1101</v>
      </c>
      <c r="E1063">
        <v>1761</v>
      </c>
      <c r="F1063">
        <v>1761</v>
      </c>
    </row>
    <row r="1064" spans="1:6" x14ac:dyDescent="0.3">
      <c r="A1064" t="s">
        <v>686</v>
      </c>
      <c r="B1064">
        <v>48</v>
      </c>
      <c r="C1064">
        <v>734</v>
      </c>
      <c r="E1064">
        <v>1174</v>
      </c>
      <c r="F1064">
        <v>1174</v>
      </c>
    </row>
    <row r="1065" spans="1:6" x14ac:dyDescent="0.3">
      <c r="A1065" t="s">
        <v>687</v>
      </c>
      <c r="B1065">
        <v>48</v>
      </c>
      <c r="C1065">
        <v>1468</v>
      </c>
      <c r="E1065">
        <v>2348</v>
      </c>
      <c r="F1065">
        <v>2348</v>
      </c>
    </row>
    <row r="1066" spans="1:6" x14ac:dyDescent="0.3">
      <c r="A1066" t="s">
        <v>688</v>
      </c>
      <c r="B1066">
        <v>48</v>
      </c>
    </row>
    <row r="1067" spans="1:6" x14ac:dyDescent="0.3">
      <c r="A1067" t="s">
        <v>689</v>
      </c>
      <c r="B1067">
        <v>48</v>
      </c>
    </row>
    <row r="1068" spans="1:6" x14ac:dyDescent="0.3">
      <c r="A1068" t="s">
        <v>690</v>
      </c>
      <c r="B1068">
        <v>48</v>
      </c>
    </row>
    <row r="1069" spans="1:6" x14ac:dyDescent="0.3">
      <c r="A1069" t="s">
        <v>691</v>
      </c>
      <c r="B1069">
        <v>48</v>
      </c>
      <c r="C1069" t="b">
        <v>0</v>
      </c>
      <c r="E1069" t="b">
        <v>0</v>
      </c>
      <c r="F1069" t="b">
        <v>0</v>
      </c>
    </row>
    <row r="1070" spans="1:6" x14ac:dyDescent="0.3">
      <c r="A1070" t="s">
        <v>692</v>
      </c>
      <c r="B1070">
        <v>48</v>
      </c>
      <c r="C1070" t="b">
        <v>0</v>
      </c>
      <c r="E1070" t="b">
        <v>0</v>
      </c>
      <c r="F1070" t="b">
        <v>0</v>
      </c>
    </row>
    <row r="1071" spans="1:6" x14ac:dyDescent="0.3">
      <c r="A1071" t="s">
        <v>678</v>
      </c>
      <c r="B1071">
        <v>49</v>
      </c>
      <c r="C1071">
        <v>52</v>
      </c>
      <c r="D1071">
        <v>51</v>
      </c>
      <c r="E1071">
        <v>48</v>
      </c>
      <c r="F1071">
        <v>53</v>
      </c>
    </row>
    <row r="1072" spans="1:6" x14ac:dyDescent="0.3">
      <c r="A1072" t="s">
        <v>36</v>
      </c>
      <c r="B1072">
        <v>49</v>
      </c>
      <c r="C1072">
        <v>4</v>
      </c>
      <c r="D1072">
        <v>4</v>
      </c>
      <c r="E1072">
        <v>4</v>
      </c>
      <c r="F1072">
        <v>4</v>
      </c>
    </row>
    <row r="1073" spans="1:6" x14ac:dyDescent="0.3">
      <c r="A1073" t="s">
        <v>503</v>
      </c>
      <c r="B1073">
        <v>49</v>
      </c>
      <c r="C1073" t="s">
        <v>712</v>
      </c>
      <c r="D1073" t="s">
        <v>712</v>
      </c>
      <c r="E1073" t="s">
        <v>695</v>
      </c>
      <c r="F1073" t="s">
        <v>695</v>
      </c>
    </row>
    <row r="1074" spans="1:6" x14ac:dyDescent="0.3">
      <c r="A1074" t="s">
        <v>679</v>
      </c>
      <c r="B1074">
        <v>49</v>
      </c>
      <c r="C1074">
        <v>829</v>
      </c>
      <c r="D1074">
        <v>589</v>
      </c>
      <c r="E1074">
        <v>1947</v>
      </c>
      <c r="F1074">
        <v>1829</v>
      </c>
    </row>
    <row r="1075" spans="1:6" x14ac:dyDescent="0.3">
      <c r="A1075" t="s">
        <v>42</v>
      </c>
      <c r="B1075">
        <v>49</v>
      </c>
      <c r="C1075">
        <v>45</v>
      </c>
      <c r="D1075">
        <v>40</v>
      </c>
      <c r="E1075">
        <v>40</v>
      </c>
      <c r="F1075">
        <v>40</v>
      </c>
    </row>
    <row r="1076" spans="1:6" x14ac:dyDescent="0.3">
      <c r="A1076" t="s">
        <v>680</v>
      </c>
      <c r="B1076">
        <v>49</v>
      </c>
      <c r="C1076">
        <v>12.6</v>
      </c>
      <c r="D1076">
        <v>10</v>
      </c>
      <c r="E1076">
        <v>33.200000000000003</v>
      </c>
      <c r="F1076">
        <v>31.2</v>
      </c>
    </row>
    <row r="1077" spans="1:6" x14ac:dyDescent="0.3">
      <c r="A1077" t="s">
        <v>41</v>
      </c>
      <c r="B1077">
        <v>49</v>
      </c>
      <c r="C1077">
        <v>0</v>
      </c>
      <c r="D1077">
        <v>0</v>
      </c>
      <c r="E1077">
        <v>0</v>
      </c>
      <c r="F1077">
        <v>0</v>
      </c>
    </row>
    <row r="1078" spans="1:6" x14ac:dyDescent="0.3">
      <c r="A1078" t="s">
        <v>681</v>
      </c>
      <c r="B1078">
        <v>49</v>
      </c>
      <c r="C1078">
        <v>12</v>
      </c>
      <c r="D1078">
        <v>12</v>
      </c>
      <c r="E1078">
        <v>12</v>
      </c>
      <c r="F1078">
        <v>12</v>
      </c>
    </row>
    <row r="1079" spans="1:6" x14ac:dyDescent="0.3">
      <c r="A1079" t="s">
        <v>563</v>
      </c>
      <c r="B1079">
        <v>49</v>
      </c>
      <c r="C1079">
        <v>0</v>
      </c>
      <c r="D1079">
        <v>0</v>
      </c>
      <c r="E1079">
        <v>0</v>
      </c>
      <c r="F1079">
        <v>0</v>
      </c>
    </row>
    <row r="1080" spans="1:6" x14ac:dyDescent="0.3">
      <c r="A1080" t="s">
        <v>682</v>
      </c>
      <c r="B1080">
        <v>49</v>
      </c>
      <c r="C1080">
        <v>0</v>
      </c>
      <c r="D1080">
        <v>0</v>
      </c>
      <c r="E1080">
        <v>0</v>
      </c>
      <c r="F1080">
        <v>0</v>
      </c>
    </row>
    <row r="1081" spans="1:6" x14ac:dyDescent="0.3">
      <c r="A1081" t="s">
        <v>683</v>
      </c>
      <c r="B1081">
        <v>49</v>
      </c>
      <c r="C1081">
        <v>16</v>
      </c>
      <c r="D1081">
        <v>16</v>
      </c>
      <c r="E1081">
        <v>16</v>
      </c>
      <c r="F1081">
        <v>0</v>
      </c>
    </row>
    <row r="1082" spans="1:6" x14ac:dyDescent="0.3">
      <c r="A1082" t="s">
        <v>684</v>
      </c>
      <c r="B1082">
        <v>49</v>
      </c>
      <c r="C1082">
        <v>500</v>
      </c>
      <c r="D1082">
        <v>500</v>
      </c>
      <c r="E1082">
        <v>500</v>
      </c>
      <c r="F1082">
        <v>500</v>
      </c>
    </row>
    <row r="1083" spans="1:6" x14ac:dyDescent="0.3">
      <c r="A1083" t="s">
        <v>685</v>
      </c>
      <c r="B1083">
        <v>49</v>
      </c>
      <c r="C1083">
        <v>1980</v>
      </c>
      <c r="D1083">
        <v>1761</v>
      </c>
      <c r="E1083">
        <v>1761</v>
      </c>
      <c r="F1083">
        <v>1761</v>
      </c>
    </row>
    <row r="1084" spans="1:6" x14ac:dyDescent="0.3">
      <c r="A1084" t="s">
        <v>686</v>
      </c>
      <c r="B1084">
        <v>49</v>
      </c>
      <c r="C1084">
        <v>1320</v>
      </c>
      <c r="D1084">
        <v>1174</v>
      </c>
      <c r="E1084">
        <v>1174</v>
      </c>
      <c r="F1084">
        <v>1174</v>
      </c>
    </row>
    <row r="1085" spans="1:6" x14ac:dyDescent="0.3">
      <c r="A1085" t="s">
        <v>687</v>
      </c>
      <c r="B1085">
        <v>49</v>
      </c>
      <c r="C1085">
        <v>2640</v>
      </c>
      <c r="D1085">
        <v>2348</v>
      </c>
      <c r="E1085">
        <v>2348</v>
      </c>
      <c r="F1085">
        <v>2348</v>
      </c>
    </row>
    <row r="1086" spans="1:6" x14ac:dyDescent="0.3">
      <c r="A1086" t="s">
        <v>688</v>
      </c>
      <c r="B1086">
        <v>49</v>
      </c>
    </row>
    <row r="1087" spans="1:6" x14ac:dyDescent="0.3">
      <c r="A1087" t="s">
        <v>689</v>
      </c>
      <c r="B1087">
        <v>49</v>
      </c>
    </row>
    <row r="1088" spans="1:6" x14ac:dyDescent="0.3">
      <c r="A1088" t="s">
        <v>690</v>
      </c>
      <c r="B1088">
        <v>49</v>
      </c>
    </row>
    <row r="1089" spans="1:6" x14ac:dyDescent="0.3">
      <c r="A1089" t="s">
        <v>691</v>
      </c>
      <c r="B1089">
        <v>49</v>
      </c>
      <c r="C1089" t="b">
        <v>0</v>
      </c>
      <c r="D1089" t="b">
        <v>0</v>
      </c>
      <c r="E1089" t="b">
        <v>0</v>
      </c>
      <c r="F1089" t="b">
        <v>0</v>
      </c>
    </row>
    <row r="1090" spans="1:6" x14ac:dyDescent="0.3">
      <c r="A1090" t="s">
        <v>692</v>
      </c>
      <c r="B1090">
        <v>49</v>
      </c>
      <c r="C1090" t="b">
        <v>0</v>
      </c>
      <c r="D1090" t="b">
        <v>0</v>
      </c>
      <c r="E1090" t="b">
        <v>0</v>
      </c>
      <c r="F1090" t="b">
        <v>0</v>
      </c>
    </row>
    <row r="1091" spans="1:6" x14ac:dyDescent="0.3">
      <c r="A1091" t="s">
        <v>678</v>
      </c>
      <c r="B1091">
        <v>50</v>
      </c>
      <c r="D1091">
        <v>48</v>
      </c>
    </row>
    <row r="1092" spans="1:6" x14ac:dyDescent="0.3">
      <c r="A1092" t="s">
        <v>36</v>
      </c>
      <c r="B1092">
        <v>50</v>
      </c>
      <c r="D1092">
        <v>1</v>
      </c>
    </row>
    <row r="1093" spans="1:6" x14ac:dyDescent="0.3">
      <c r="A1093" t="s">
        <v>503</v>
      </c>
      <c r="B1093">
        <v>50</v>
      </c>
      <c r="D1093" t="s">
        <v>711</v>
      </c>
    </row>
    <row r="1094" spans="1:6" x14ac:dyDescent="0.3">
      <c r="A1094" t="s">
        <v>679</v>
      </c>
      <c r="B1094">
        <v>50</v>
      </c>
      <c r="D1094">
        <v>362</v>
      </c>
    </row>
    <row r="1095" spans="1:6" x14ac:dyDescent="0.3">
      <c r="A1095" t="s">
        <v>42</v>
      </c>
      <c r="B1095">
        <v>50</v>
      </c>
      <c r="D1095">
        <v>30</v>
      </c>
    </row>
    <row r="1096" spans="1:6" x14ac:dyDescent="0.3">
      <c r="A1096" t="s">
        <v>680</v>
      </c>
      <c r="B1096">
        <v>50</v>
      </c>
      <c r="D1096">
        <v>8.1999999999999993</v>
      </c>
    </row>
    <row r="1097" spans="1:6" x14ac:dyDescent="0.3">
      <c r="A1097" t="s">
        <v>41</v>
      </c>
      <c r="B1097">
        <v>50</v>
      </c>
      <c r="D1097">
        <v>0</v>
      </c>
    </row>
    <row r="1098" spans="1:6" x14ac:dyDescent="0.3">
      <c r="A1098" t="s">
        <v>681</v>
      </c>
      <c r="B1098">
        <v>50</v>
      </c>
      <c r="D1098">
        <v>0</v>
      </c>
    </row>
    <row r="1099" spans="1:6" x14ac:dyDescent="0.3">
      <c r="A1099" t="s">
        <v>563</v>
      </c>
      <c r="B1099">
        <v>50</v>
      </c>
      <c r="D1099">
        <v>0</v>
      </c>
    </row>
    <row r="1100" spans="1:6" x14ac:dyDescent="0.3">
      <c r="A1100" t="s">
        <v>682</v>
      </c>
      <c r="B1100">
        <v>50</v>
      </c>
      <c r="D1100">
        <v>0</v>
      </c>
    </row>
    <row r="1101" spans="1:6" x14ac:dyDescent="0.3">
      <c r="A1101" t="s">
        <v>683</v>
      </c>
      <c r="B1101">
        <v>50</v>
      </c>
      <c r="D1101">
        <v>16</v>
      </c>
    </row>
    <row r="1102" spans="1:6" x14ac:dyDescent="0.3">
      <c r="A1102" t="s">
        <v>684</v>
      </c>
      <c r="B1102">
        <v>50</v>
      </c>
      <c r="D1102">
        <v>200</v>
      </c>
    </row>
    <row r="1103" spans="1:6" x14ac:dyDescent="0.3">
      <c r="A1103" t="s">
        <v>685</v>
      </c>
      <c r="B1103">
        <v>50</v>
      </c>
      <c r="D1103">
        <v>1320</v>
      </c>
    </row>
    <row r="1104" spans="1:6" x14ac:dyDescent="0.3">
      <c r="A1104" t="s">
        <v>686</v>
      </c>
      <c r="B1104">
        <v>50</v>
      </c>
      <c r="D1104">
        <v>880</v>
      </c>
    </row>
    <row r="1105" spans="1:4" x14ac:dyDescent="0.3">
      <c r="A1105" t="s">
        <v>687</v>
      </c>
      <c r="B1105">
        <v>50</v>
      </c>
      <c r="D1105">
        <v>1760</v>
      </c>
    </row>
    <row r="1106" spans="1:4" x14ac:dyDescent="0.3">
      <c r="A1106" t="s">
        <v>688</v>
      </c>
      <c r="B1106">
        <v>50</v>
      </c>
    </row>
    <row r="1107" spans="1:4" x14ac:dyDescent="0.3">
      <c r="A1107" t="s">
        <v>689</v>
      </c>
      <c r="B1107">
        <v>50</v>
      </c>
    </row>
    <row r="1108" spans="1:4" x14ac:dyDescent="0.3">
      <c r="A1108" t="s">
        <v>690</v>
      </c>
      <c r="B1108">
        <v>50</v>
      </c>
    </row>
    <row r="1109" spans="1:4" x14ac:dyDescent="0.3">
      <c r="A1109" t="s">
        <v>691</v>
      </c>
      <c r="B1109">
        <v>50</v>
      </c>
      <c r="D1109" t="b">
        <v>0</v>
      </c>
    </row>
    <row r="1110" spans="1:4" x14ac:dyDescent="0.3">
      <c r="A1110" t="s">
        <v>692</v>
      </c>
      <c r="B1110">
        <v>50</v>
      </c>
      <c r="D1110" t="b">
        <v>0</v>
      </c>
    </row>
    <row r="1111" spans="1:4" x14ac:dyDescent="0.3">
      <c r="A1111" t="s">
        <v>678</v>
      </c>
      <c r="B1111">
        <v>51</v>
      </c>
      <c r="C1111">
        <v>49</v>
      </c>
    </row>
    <row r="1112" spans="1:4" x14ac:dyDescent="0.3">
      <c r="A1112" t="s">
        <v>36</v>
      </c>
      <c r="B1112">
        <v>51</v>
      </c>
      <c r="C1112">
        <v>3</v>
      </c>
    </row>
    <row r="1113" spans="1:4" x14ac:dyDescent="0.3">
      <c r="A1113" t="s">
        <v>503</v>
      </c>
      <c r="B1113">
        <v>51</v>
      </c>
      <c r="C1113" t="s">
        <v>712</v>
      </c>
    </row>
    <row r="1114" spans="1:4" x14ac:dyDescent="0.3">
      <c r="A1114" t="s">
        <v>679</v>
      </c>
      <c r="B1114">
        <v>51</v>
      </c>
      <c r="C1114">
        <v>589</v>
      </c>
    </row>
    <row r="1115" spans="1:4" x14ac:dyDescent="0.3">
      <c r="A1115" t="s">
        <v>42</v>
      </c>
      <c r="B1115">
        <v>51</v>
      </c>
      <c r="C1115">
        <v>30</v>
      </c>
    </row>
    <row r="1116" spans="1:4" x14ac:dyDescent="0.3">
      <c r="A1116" t="s">
        <v>680</v>
      </c>
      <c r="B1116">
        <v>51</v>
      </c>
      <c r="C1116">
        <v>13.4</v>
      </c>
    </row>
    <row r="1117" spans="1:4" x14ac:dyDescent="0.3">
      <c r="A1117" t="s">
        <v>41</v>
      </c>
      <c r="B1117">
        <v>51</v>
      </c>
      <c r="C1117">
        <v>0</v>
      </c>
    </row>
    <row r="1118" spans="1:4" x14ac:dyDescent="0.3">
      <c r="A1118" t="s">
        <v>681</v>
      </c>
      <c r="B1118">
        <v>51</v>
      </c>
      <c r="C1118">
        <v>12</v>
      </c>
    </row>
    <row r="1119" spans="1:4" x14ac:dyDescent="0.3">
      <c r="A1119" t="s">
        <v>563</v>
      </c>
      <c r="B1119">
        <v>51</v>
      </c>
      <c r="C1119">
        <v>0</v>
      </c>
    </row>
    <row r="1120" spans="1:4" x14ac:dyDescent="0.3">
      <c r="A1120" t="s">
        <v>682</v>
      </c>
      <c r="B1120">
        <v>51</v>
      </c>
      <c r="C1120">
        <v>0</v>
      </c>
    </row>
    <row r="1121" spans="1:4" x14ac:dyDescent="0.3">
      <c r="A1121" t="s">
        <v>683</v>
      </c>
      <c r="B1121">
        <v>51</v>
      </c>
      <c r="C1121">
        <v>16</v>
      </c>
    </row>
    <row r="1122" spans="1:4" x14ac:dyDescent="0.3">
      <c r="A1122" t="s">
        <v>684</v>
      </c>
      <c r="B1122">
        <v>51</v>
      </c>
      <c r="C1122">
        <v>200</v>
      </c>
    </row>
    <row r="1123" spans="1:4" x14ac:dyDescent="0.3">
      <c r="A1123" t="s">
        <v>685</v>
      </c>
      <c r="B1123">
        <v>51</v>
      </c>
      <c r="C1123">
        <v>1320</v>
      </c>
    </row>
    <row r="1124" spans="1:4" x14ac:dyDescent="0.3">
      <c r="A1124" t="s">
        <v>686</v>
      </c>
      <c r="B1124">
        <v>51</v>
      </c>
      <c r="C1124">
        <v>880</v>
      </c>
    </row>
    <row r="1125" spans="1:4" x14ac:dyDescent="0.3">
      <c r="A1125" t="s">
        <v>687</v>
      </c>
      <c r="B1125">
        <v>51</v>
      </c>
      <c r="C1125">
        <v>1760</v>
      </c>
    </row>
    <row r="1126" spans="1:4" x14ac:dyDescent="0.3">
      <c r="A1126" t="s">
        <v>688</v>
      </c>
      <c r="B1126">
        <v>51</v>
      </c>
    </row>
    <row r="1127" spans="1:4" x14ac:dyDescent="0.3">
      <c r="A1127" t="s">
        <v>689</v>
      </c>
      <c r="B1127">
        <v>51</v>
      </c>
    </row>
    <row r="1128" spans="1:4" x14ac:dyDescent="0.3">
      <c r="A1128" t="s">
        <v>690</v>
      </c>
      <c r="B1128">
        <v>51</v>
      </c>
    </row>
    <row r="1129" spans="1:4" x14ac:dyDescent="0.3">
      <c r="A1129" t="s">
        <v>691</v>
      </c>
      <c r="B1129">
        <v>51</v>
      </c>
      <c r="C1129" t="b">
        <v>0</v>
      </c>
    </row>
    <row r="1130" spans="1:4" x14ac:dyDescent="0.3">
      <c r="A1130" t="s">
        <v>692</v>
      </c>
      <c r="B1130">
        <v>51</v>
      </c>
      <c r="C1130" t="b">
        <v>0</v>
      </c>
    </row>
    <row r="1131" spans="1:4" x14ac:dyDescent="0.3">
      <c r="A1131" t="s">
        <v>678</v>
      </c>
      <c r="B1131">
        <v>52</v>
      </c>
      <c r="D1131">
        <v>49</v>
      </c>
    </row>
    <row r="1132" spans="1:4" x14ac:dyDescent="0.3">
      <c r="A1132" t="s">
        <v>36</v>
      </c>
      <c r="B1132">
        <v>52</v>
      </c>
      <c r="D1132">
        <v>3</v>
      </c>
    </row>
    <row r="1133" spans="1:4" x14ac:dyDescent="0.3">
      <c r="A1133" t="s">
        <v>503</v>
      </c>
      <c r="B1133">
        <v>52</v>
      </c>
      <c r="D1133" t="s">
        <v>712</v>
      </c>
    </row>
    <row r="1134" spans="1:4" x14ac:dyDescent="0.3">
      <c r="A1134" t="s">
        <v>679</v>
      </c>
      <c r="B1134">
        <v>52</v>
      </c>
      <c r="D1134">
        <v>829</v>
      </c>
    </row>
    <row r="1135" spans="1:4" x14ac:dyDescent="0.3">
      <c r="A1135" t="s">
        <v>42</v>
      </c>
      <c r="B1135">
        <v>52</v>
      </c>
      <c r="D1135">
        <v>30</v>
      </c>
    </row>
    <row r="1136" spans="1:4" x14ac:dyDescent="0.3">
      <c r="A1136" t="s">
        <v>680</v>
      </c>
      <c r="B1136">
        <v>52</v>
      </c>
      <c r="D1136">
        <v>18.8</v>
      </c>
    </row>
    <row r="1137" spans="1:6" x14ac:dyDescent="0.3">
      <c r="A1137" t="s">
        <v>41</v>
      </c>
      <c r="B1137">
        <v>52</v>
      </c>
      <c r="D1137">
        <v>0</v>
      </c>
    </row>
    <row r="1138" spans="1:6" x14ac:dyDescent="0.3">
      <c r="A1138" t="s">
        <v>681</v>
      </c>
      <c r="B1138">
        <v>52</v>
      </c>
      <c r="D1138">
        <v>12</v>
      </c>
    </row>
    <row r="1139" spans="1:6" x14ac:dyDescent="0.3">
      <c r="A1139" t="s">
        <v>563</v>
      </c>
      <c r="B1139">
        <v>52</v>
      </c>
      <c r="D1139">
        <v>0</v>
      </c>
    </row>
    <row r="1140" spans="1:6" x14ac:dyDescent="0.3">
      <c r="A1140" t="s">
        <v>682</v>
      </c>
      <c r="B1140">
        <v>52</v>
      </c>
      <c r="D1140">
        <v>0</v>
      </c>
    </row>
    <row r="1141" spans="1:6" x14ac:dyDescent="0.3">
      <c r="A1141" t="s">
        <v>683</v>
      </c>
      <c r="B1141">
        <v>52</v>
      </c>
      <c r="D1141">
        <v>16</v>
      </c>
    </row>
    <row r="1142" spans="1:6" x14ac:dyDescent="0.3">
      <c r="A1142" t="s">
        <v>684</v>
      </c>
      <c r="B1142">
        <v>52</v>
      </c>
      <c r="D1142">
        <v>200</v>
      </c>
    </row>
    <row r="1143" spans="1:6" x14ac:dyDescent="0.3">
      <c r="A1143" t="s">
        <v>685</v>
      </c>
      <c r="B1143">
        <v>52</v>
      </c>
      <c r="D1143">
        <v>1320</v>
      </c>
    </row>
    <row r="1144" spans="1:6" x14ac:dyDescent="0.3">
      <c r="A1144" t="s">
        <v>686</v>
      </c>
      <c r="B1144">
        <v>52</v>
      </c>
      <c r="D1144">
        <v>880</v>
      </c>
    </row>
    <row r="1145" spans="1:6" x14ac:dyDescent="0.3">
      <c r="A1145" t="s">
        <v>687</v>
      </c>
      <c r="B1145">
        <v>52</v>
      </c>
      <c r="D1145">
        <v>1760</v>
      </c>
    </row>
    <row r="1146" spans="1:6" x14ac:dyDescent="0.3">
      <c r="A1146" t="s">
        <v>688</v>
      </c>
      <c r="B1146">
        <v>52</v>
      </c>
    </row>
    <row r="1147" spans="1:6" x14ac:dyDescent="0.3">
      <c r="A1147" t="s">
        <v>689</v>
      </c>
      <c r="B1147">
        <v>52</v>
      </c>
    </row>
    <row r="1148" spans="1:6" x14ac:dyDescent="0.3">
      <c r="A1148" t="s">
        <v>690</v>
      </c>
      <c r="B1148">
        <v>52</v>
      </c>
    </row>
    <row r="1149" spans="1:6" x14ac:dyDescent="0.3">
      <c r="A1149" t="s">
        <v>691</v>
      </c>
      <c r="B1149">
        <v>52</v>
      </c>
      <c r="D1149" t="b">
        <v>0</v>
      </c>
    </row>
    <row r="1150" spans="1:6" x14ac:dyDescent="0.3">
      <c r="A1150" t="s">
        <v>692</v>
      </c>
      <c r="B1150">
        <v>52</v>
      </c>
      <c r="D1150" t="b">
        <v>0</v>
      </c>
    </row>
    <row r="1151" spans="1:6" x14ac:dyDescent="0.3">
      <c r="A1151" t="s">
        <v>678</v>
      </c>
      <c r="B1151">
        <v>53</v>
      </c>
      <c r="C1151">
        <v>100</v>
      </c>
      <c r="D1151">
        <v>55</v>
      </c>
      <c r="E1151">
        <v>49</v>
      </c>
      <c r="F1151">
        <v>97</v>
      </c>
    </row>
    <row r="1152" spans="1:6" x14ac:dyDescent="0.3">
      <c r="A1152" t="s">
        <v>36</v>
      </c>
      <c r="B1152">
        <v>53</v>
      </c>
      <c r="C1152">
        <v>2</v>
      </c>
      <c r="D1152">
        <v>2</v>
      </c>
      <c r="E1152">
        <v>4</v>
      </c>
      <c r="F1152">
        <v>4</v>
      </c>
    </row>
    <row r="1153" spans="1:6" x14ac:dyDescent="0.3">
      <c r="A1153" t="s">
        <v>503</v>
      </c>
      <c r="B1153">
        <v>53</v>
      </c>
      <c r="D1153" t="s">
        <v>713</v>
      </c>
      <c r="E1153" t="s">
        <v>695</v>
      </c>
      <c r="F1153" t="s">
        <v>695</v>
      </c>
    </row>
    <row r="1154" spans="1:6" x14ac:dyDescent="0.3">
      <c r="A1154" t="s">
        <v>679</v>
      </c>
      <c r="B1154">
        <v>53</v>
      </c>
      <c r="C1154">
        <v>249</v>
      </c>
      <c r="D1154">
        <v>437</v>
      </c>
      <c r="E1154">
        <v>1829</v>
      </c>
      <c r="F1154">
        <v>1087</v>
      </c>
    </row>
    <row r="1155" spans="1:6" x14ac:dyDescent="0.3">
      <c r="A1155" t="s">
        <v>42</v>
      </c>
      <c r="B1155">
        <v>53</v>
      </c>
      <c r="C1155">
        <v>30</v>
      </c>
      <c r="D1155">
        <v>25</v>
      </c>
      <c r="E1155">
        <v>40</v>
      </c>
      <c r="F1155">
        <v>40</v>
      </c>
    </row>
    <row r="1156" spans="1:6" x14ac:dyDescent="0.3">
      <c r="A1156" t="s">
        <v>680</v>
      </c>
      <c r="B1156">
        <v>53</v>
      </c>
      <c r="C1156">
        <v>5.7</v>
      </c>
      <c r="D1156">
        <v>11.9</v>
      </c>
      <c r="E1156">
        <v>31.2</v>
      </c>
      <c r="F1156">
        <v>18.5</v>
      </c>
    </row>
    <row r="1157" spans="1:6" x14ac:dyDescent="0.3">
      <c r="A1157" t="s">
        <v>41</v>
      </c>
      <c r="B1157">
        <v>53</v>
      </c>
      <c r="C1157">
        <v>0</v>
      </c>
      <c r="D1157">
        <v>0</v>
      </c>
      <c r="E1157">
        <v>0</v>
      </c>
      <c r="F1157">
        <v>0</v>
      </c>
    </row>
    <row r="1158" spans="1:6" x14ac:dyDescent="0.3">
      <c r="A1158" t="s">
        <v>681</v>
      </c>
      <c r="B1158">
        <v>53</v>
      </c>
      <c r="C1158">
        <v>12</v>
      </c>
      <c r="D1158">
        <v>12</v>
      </c>
      <c r="E1158">
        <v>12</v>
      </c>
      <c r="F1158">
        <v>12</v>
      </c>
    </row>
    <row r="1159" spans="1:6" x14ac:dyDescent="0.3">
      <c r="A1159" t="s">
        <v>563</v>
      </c>
      <c r="B1159">
        <v>53</v>
      </c>
      <c r="C1159">
        <v>0</v>
      </c>
      <c r="D1159">
        <v>0</v>
      </c>
      <c r="E1159">
        <v>0</v>
      </c>
      <c r="F1159">
        <v>0</v>
      </c>
    </row>
    <row r="1160" spans="1:6" x14ac:dyDescent="0.3">
      <c r="A1160" t="s">
        <v>682</v>
      </c>
      <c r="B1160">
        <v>53</v>
      </c>
      <c r="C1160">
        <v>0</v>
      </c>
      <c r="D1160">
        <v>0</v>
      </c>
      <c r="E1160">
        <v>0</v>
      </c>
      <c r="F1160">
        <v>0</v>
      </c>
    </row>
    <row r="1161" spans="1:6" x14ac:dyDescent="0.3">
      <c r="A1161" t="s">
        <v>683</v>
      </c>
      <c r="B1161">
        <v>53</v>
      </c>
      <c r="C1161">
        <v>16</v>
      </c>
      <c r="D1161">
        <v>16</v>
      </c>
      <c r="E1161">
        <v>16</v>
      </c>
      <c r="F1161">
        <v>16</v>
      </c>
    </row>
    <row r="1162" spans="1:6" x14ac:dyDescent="0.3">
      <c r="A1162" t="s">
        <v>684</v>
      </c>
      <c r="B1162">
        <v>53</v>
      </c>
      <c r="C1162">
        <v>500</v>
      </c>
      <c r="D1162">
        <v>500</v>
      </c>
      <c r="E1162">
        <v>500</v>
      </c>
      <c r="F1162">
        <v>500</v>
      </c>
    </row>
    <row r="1163" spans="1:6" x14ac:dyDescent="0.3">
      <c r="A1163" t="s">
        <v>685</v>
      </c>
      <c r="B1163">
        <v>53</v>
      </c>
      <c r="C1163">
        <v>1320</v>
      </c>
      <c r="D1163">
        <v>1101</v>
      </c>
      <c r="E1163">
        <v>1761</v>
      </c>
      <c r="F1163">
        <v>1761</v>
      </c>
    </row>
    <row r="1164" spans="1:6" x14ac:dyDescent="0.3">
      <c r="A1164" t="s">
        <v>686</v>
      </c>
      <c r="B1164">
        <v>53</v>
      </c>
      <c r="C1164">
        <v>880</v>
      </c>
      <c r="D1164">
        <v>734</v>
      </c>
      <c r="E1164">
        <v>1174</v>
      </c>
      <c r="F1164">
        <v>1174</v>
      </c>
    </row>
    <row r="1165" spans="1:6" x14ac:dyDescent="0.3">
      <c r="A1165" t="s">
        <v>687</v>
      </c>
      <c r="B1165">
        <v>53</v>
      </c>
      <c r="C1165">
        <v>1760</v>
      </c>
      <c r="D1165">
        <v>1468</v>
      </c>
      <c r="E1165">
        <v>2348</v>
      </c>
      <c r="F1165">
        <v>2348</v>
      </c>
    </row>
    <row r="1166" spans="1:6" x14ac:dyDescent="0.3">
      <c r="A1166" t="s">
        <v>688</v>
      </c>
      <c r="B1166">
        <v>53</v>
      </c>
    </row>
    <row r="1167" spans="1:6" x14ac:dyDescent="0.3">
      <c r="A1167" t="s">
        <v>689</v>
      </c>
      <c r="B1167">
        <v>53</v>
      </c>
    </row>
    <row r="1168" spans="1:6" x14ac:dyDescent="0.3">
      <c r="A1168" t="s">
        <v>690</v>
      </c>
      <c r="B1168">
        <v>53</v>
      </c>
    </row>
    <row r="1169" spans="1:6" x14ac:dyDescent="0.3">
      <c r="A1169" t="s">
        <v>691</v>
      </c>
      <c r="B1169">
        <v>53</v>
      </c>
      <c r="C1169" t="b">
        <v>0</v>
      </c>
      <c r="D1169" t="b">
        <v>0</v>
      </c>
      <c r="E1169" t="b">
        <v>0</v>
      </c>
      <c r="F1169" t="b">
        <v>0</v>
      </c>
    </row>
    <row r="1170" spans="1:6" x14ac:dyDescent="0.3">
      <c r="A1170" t="s">
        <v>692</v>
      </c>
      <c r="B1170">
        <v>53</v>
      </c>
      <c r="C1170" t="b">
        <v>0</v>
      </c>
      <c r="D1170" t="b">
        <v>0</v>
      </c>
      <c r="E1170" t="b">
        <v>0</v>
      </c>
      <c r="F1170" t="b">
        <v>0</v>
      </c>
    </row>
    <row r="1171" spans="1:6" x14ac:dyDescent="0.3">
      <c r="A1171" t="s">
        <v>678</v>
      </c>
      <c r="B1171">
        <v>54</v>
      </c>
      <c r="C1171">
        <v>55</v>
      </c>
    </row>
    <row r="1172" spans="1:6" x14ac:dyDescent="0.3">
      <c r="A1172" t="s">
        <v>36</v>
      </c>
      <c r="B1172">
        <v>54</v>
      </c>
      <c r="C1172">
        <v>1</v>
      </c>
    </row>
    <row r="1173" spans="1:6" x14ac:dyDescent="0.3">
      <c r="A1173" t="s">
        <v>503</v>
      </c>
      <c r="B1173">
        <v>54</v>
      </c>
    </row>
    <row r="1174" spans="1:6" x14ac:dyDescent="0.3">
      <c r="A1174" t="s">
        <v>679</v>
      </c>
      <c r="B1174">
        <v>54</v>
      </c>
      <c r="C1174">
        <v>391</v>
      </c>
    </row>
    <row r="1175" spans="1:6" x14ac:dyDescent="0.3">
      <c r="A1175" t="s">
        <v>42</v>
      </c>
      <c r="B1175">
        <v>54</v>
      </c>
      <c r="C1175">
        <v>30</v>
      </c>
    </row>
    <row r="1176" spans="1:6" x14ac:dyDescent="0.3">
      <c r="A1176" t="s">
        <v>680</v>
      </c>
      <c r="B1176">
        <v>54</v>
      </c>
      <c r="C1176">
        <v>8.9</v>
      </c>
    </row>
    <row r="1177" spans="1:6" x14ac:dyDescent="0.3">
      <c r="A1177" t="s">
        <v>41</v>
      </c>
      <c r="B1177">
        <v>54</v>
      </c>
      <c r="C1177">
        <v>0</v>
      </c>
    </row>
    <row r="1178" spans="1:6" x14ac:dyDescent="0.3">
      <c r="A1178" t="s">
        <v>681</v>
      </c>
      <c r="B1178">
        <v>54</v>
      </c>
      <c r="C1178">
        <v>0</v>
      </c>
    </row>
    <row r="1179" spans="1:6" x14ac:dyDescent="0.3">
      <c r="A1179" t="s">
        <v>563</v>
      </c>
      <c r="B1179">
        <v>54</v>
      </c>
      <c r="C1179">
        <v>0</v>
      </c>
    </row>
    <row r="1180" spans="1:6" x14ac:dyDescent="0.3">
      <c r="A1180" t="s">
        <v>682</v>
      </c>
      <c r="B1180">
        <v>54</v>
      </c>
      <c r="C1180">
        <v>1</v>
      </c>
    </row>
    <row r="1181" spans="1:6" x14ac:dyDescent="0.3">
      <c r="A1181" t="s">
        <v>683</v>
      </c>
      <c r="B1181">
        <v>54</v>
      </c>
      <c r="C1181">
        <v>16</v>
      </c>
    </row>
    <row r="1182" spans="1:6" x14ac:dyDescent="0.3">
      <c r="A1182" t="s">
        <v>684</v>
      </c>
      <c r="B1182">
        <v>54</v>
      </c>
      <c r="C1182">
        <v>200</v>
      </c>
    </row>
    <row r="1183" spans="1:6" x14ac:dyDescent="0.3">
      <c r="A1183" t="s">
        <v>685</v>
      </c>
      <c r="B1183">
        <v>54</v>
      </c>
      <c r="C1183">
        <v>1320</v>
      </c>
    </row>
    <row r="1184" spans="1:6" x14ac:dyDescent="0.3">
      <c r="A1184" t="s">
        <v>686</v>
      </c>
      <c r="B1184">
        <v>54</v>
      </c>
      <c r="C1184">
        <v>880</v>
      </c>
    </row>
    <row r="1185" spans="1:4" x14ac:dyDescent="0.3">
      <c r="A1185" t="s">
        <v>687</v>
      </c>
      <c r="B1185">
        <v>54</v>
      </c>
      <c r="C1185">
        <v>1760</v>
      </c>
    </row>
    <row r="1186" spans="1:4" x14ac:dyDescent="0.3">
      <c r="A1186" t="s">
        <v>688</v>
      </c>
      <c r="B1186">
        <v>54</v>
      </c>
    </row>
    <row r="1187" spans="1:4" x14ac:dyDescent="0.3">
      <c r="A1187" t="s">
        <v>689</v>
      </c>
      <c r="B1187">
        <v>54</v>
      </c>
    </row>
    <row r="1188" spans="1:4" x14ac:dyDescent="0.3">
      <c r="A1188" t="s">
        <v>690</v>
      </c>
      <c r="B1188">
        <v>54</v>
      </c>
    </row>
    <row r="1189" spans="1:4" x14ac:dyDescent="0.3">
      <c r="A1189" t="s">
        <v>691</v>
      </c>
      <c r="B1189">
        <v>54</v>
      </c>
      <c r="C1189" t="b">
        <v>0</v>
      </c>
    </row>
    <row r="1190" spans="1:4" x14ac:dyDescent="0.3">
      <c r="A1190" t="s">
        <v>692</v>
      </c>
      <c r="B1190">
        <v>54</v>
      </c>
      <c r="C1190" t="b">
        <v>0</v>
      </c>
    </row>
    <row r="1191" spans="1:4" x14ac:dyDescent="0.3">
      <c r="A1191" t="s">
        <v>678</v>
      </c>
      <c r="B1191">
        <v>55</v>
      </c>
      <c r="C1191">
        <v>53</v>
      </c>
      <c r="D1191">
        <v>54</v>
      </c>
    </row>
    <row r="1192" spans="1:4" x14ac:dyDescent="0.3">
      <c r="A1192" t="s">
        <v>36</v>
      </c>
      <c r="B1192">
        <v>55</v>
      </c>
      <c r="C1192">
        <v>1</v>
      </c>
      <c r="D1192" t="s">
        <v>698</v>
      </c>
    </row>
    <row r="1193" spans="1:4" x14ac:dyDescent="0.3">
      <c r="A1193" t="s">
        <v>503</v>
      </c>
      <c r="B1193">
        <v>55</v>
      </c>
      <c r="C1193" t="s">
        <v>713</v>
      </c>
    </row>
    <row r="1194" spans="1:4" x14ac:dyDescent="0.3">
      <c r="A1194" t="s">
        <v>679</v>
      </c>
      <c r="B1194">
        <v>55</v>
      </c>
      <c r="C1194">
        <v>437</v>
      </c>
      <c r="D1194">
        <v>391</v>
      </c>
    </row>
    <row r="1195" spans="1:4" x14ac:dyDescent="0.3">
      <c r="A1195" t="s">
        <v>42</v>
      </c>
      <c r="B1195">
        <v>55</v>
      </c>
      <c r="C1195">
        <v>30</v>
      </c>
      <c r="D1195">
        <v>30</v>
      </c>
    </row>
    <row r="1196" spans="1:4" x14ac:dyDescent="0.3">
      <c r="A1196" t="s">
        <v>680</v>
      </c>
      <c r="B1196">
        <v>55</v>
      </c>
      <c r="C1196">
        <v>9.9</v>
      </c>
      <c r="D1196">
        <v>8.9</v>
      </c>
    </row>
    <row r="1197" spans="1:4" x14ac:dyDescent="0.3">
      <c r="A1197" t="s">
        <v>41</v>
      </c>
      <c r="B1197">
        <v>55</v>
      </c>
      <c r="C1197">
        <v>0</v>
      </c>
      <c r="D1197">
        <v>0</v>
      </c>
    </row>
    <row r="1198" spans="1:4" x14ac:dyDescent="0.3">
      <c r="A1198" t="s">
        <v>681</v>
      </c>
      <c r="B1198">
        <v>55</v>
      </c>
      <c r="C1198">
        <v>12</v>
      </c>
      <c r="D1198" t="s">
        <v>699</v>
      </c>
    </row>
    <row r="1199" spans="1:4" x14ac:dyDescent="0.3">
      <c r="A1199" t="s">
        <v>563</v>
      </c>
      <c r="B1199">
        <v>55</v>
      </c>
      <c r="C1199">
        <v>0</v>
      </c>
      <c r="D1199">
        <v>0</v>
      </c>
    </row>
    <row r="1200" spans="1:4" x14ac:dyDescent="0.3">
      <c r="A1200" t="s">
        <v>682</v>
      </c>
      <c r="B1200">
        <v>55</v>
      </c>
      <c r="C1200">
        <v>0</v>
      </c>
      <c r="D1200">
        <v>1</v>
      </c>
    </row>
    <row r="1201" spans="1:10" x14ac:dyDescent="0.3">
      <c r="A1201" t="s">
        <v>683</v>
      </c>
      <c r="B1201">
        <v>55</v>
      </c>
      <c r="C1201">
        <v>16</v>
      </c>
      <c r="D1201">
        <v>16</v>
      </c>
    </row>
    <row r="1202" spans="1:10" x14ac:dyDescent="0.3">
      <c r="A1202" t="s">
        <v>684</v>
      </c>
      <c r="B1202">
        <v>55</v>
      </c>
      <c r="C1202">
        <v>100</v>
      </c>
      <c r="D1202">
        <v>100</v>
      </c>
    </row>
    <row r="1203" spans="1:10" x14ac:dyDescent="0.3">
      <c r="A1203" t="s">
        <v>685</v>
      </c>
      <c r="B1203">
        <v>55</v>
      </c>
      <c r="C1203">
        <v>1320</v>
      </c>
      <c r="D1203">
        <v>1320</v>
      </c>
    </row>
    <row r="1204" spans="1:10" x14ac:dyDescent="0.3">
      <c r="A1204" t="s">
        <v>686</v>
      </c>
      <c r="B1204">
        <v>55</v>
      </c>
      <c r="C1204">
        <v>880</v>
      </c>
      <c r="D1204">
        <v>880</v>
      </c>
    </row>
    <row r="1205" spans="1:10" x14ac:dyDescent="0.3">
      <c r="A1205" t="s">
        <v>687</v>
      </c>
      <c r="B1205">
        <v>55</v>
      </c>
      <c r="C1205">
        <v>1760</v>
      </c>
      <c r="D1205">
        <v>1760</v>
      </c>
    </row>
    <row r="1206" spans="1:10" x14ac:dyDescent="0.3">
      <c r="A1206" t="s">
        <v>688</v>
      </c>
      <c r="B1206">
        <v>55</v>
      </c>
    </row>
    <row r="1207" spans="1:10" x14ac:dyDescent="0.3">
      <c r="A1207" t="s">
        <v>689</v>
      </c>
      <c r="B1207">
        <v>55</v>
      </c>
    </row>
    <row r="1208" spans="1:10" x14ac:dyDescent="0.3">
      <c r="A1208" t="s">
        <v>690</v>
      </c>
      <c r="B1208">
        <v>55</v>
      </c>
    </row>
    <row r="1209" spans="1:10" x14ac:dyDescent="0.3">
      <c r="A1209" t="s">
        <v>691</v>
      </c>
      <c r="B1209">
        <v>55</v>
      </c>
      <c r="C1209" t="b">
        <v>0</v>
      </c>
      <c r="D1209" t="b">
        <v>0</v>
      </c>
    </row>
    <row r="1210" spans="1:10" x14ac:dyDescent="0.3">
      <c r="A1210" t="s">
        <v>692</v>
      </c>
      <c r="B1210">
        <v>55</v>
      </c>
      <c r="C1210" t="b">
        <v>0</v>
      </c>
      <c r="D1210" t="b">
        <v>0</v>
      </c>
    </row>
    <row r="1211" spans="1:10" x14ac:dyDescent="0.3">
      <c r="A1211" t="s">
        <v>678</v>
      </c>
      <c r="B1211">
        <v>56</v>
      </c>
      <c r="C1211">
        <v>98</v>
      </c>
      <c r="E1211">
        <v>97</v>
      </c>
      <c r="F1211">
        <v>62</v>
      </c>
      <c r="G1211">
        <v>99</v>
      </c>
      <c r="I1211">
        <v>60</v>
      </c>
      <c r="J1211">
        <v>61</v>
      </c>
    </row>
    <row r="1212" spans="1:10" x14ac:dyDescent="0.3">
      <c r="A1212" t="s">
        <v>36</v>
      </c>
      <c r="B1212">
        <v>56</v>
      </c>
      <c r="C1212">
        <v>4</v>
      </c>
      <c r="E1212">
        <v>5</v>
      </c>
      <c r="F1212">
        <v>5</v>
      </c>
      <c r="G1212">
        <v>0</v>
      </c>
      <c r="I1212">
        <v>2</v>
      </c>
      <c r="J1212">
        <v>0</v>
      </c>
    </row>
    <row r="1213" spans="1:10" x14ac:dyDescent="0.3">
      <c r="A1213" t="s">
        <v>503</v>
      </c>
      <c r="B1213">
        <v>56</v>
      </c>
    </row>
    <row r="1214" spans="1:10" x14ac:dyDescent="0.3">
      <c r="A1214" t="s">
        <v>679</v>
      </c>
      <c r="B1214">
        <v>56</v>
      </c>
      <c r="C1214">
        <v>295</v>
      </c>
      <c r="E1214">
        <v>283</v>
      </c>
      <c r="F1214">
        <v>363</v>
      </c>
      <c r="G1214">
        <v>289</v>
      </c>
      <c r="I1214">
        <v>165</v>
      </c>
      <c r="J1214">
        <v>340</v>
      </c>
    </row>
    <row r="1215" spans="1:10" x14ac:dyDescent="0.3">
      <c r="A1215" t="s">
        <v>42</v>
      </c>
      <c r="B1215">
        <v>56</v>
      </c>
      <c r="C1215">
        <v>40</v>
      </c>
      <c r="E1215">
        <v>40</v>
      </c>
      <c r="F1215">
        <v>40</v>
      </c>
      <c r="G1215">
        <v>30</v>
      </c>
      <c r="I1215">
        <v>40</v>
      </c>
      <c r="J1215">
        <v>30</v>
      </c>
    </row>
    <row r="1216" spans="1:10" x14ac:dyDescent="0.3">
      <c r="A1216" t="s">
        <v>680</v>
      </c>
      <c r="B1216">
        <v>56</v>
      </c>
      <c r="C1216">
        <v>5</v>
      </c>
      <c r="E1216">
        <v>4.8</v>
      </c>
      <c r="F1216">
        <v>6.2</v>
      </c>
      <c r="G1216">
        <v>6.6</v>
      </c>
      <c r="I1216">
        <v>2.8</v>
      </c>
      <c r="J1216">
        <v>7.7</v>
      </c>
    </row>
    <row r="1217" spans="1:10" x14ac:dyDescent="0.3">
      <c r="A1217" t="s">
        <v>41</v>
      </c>
      <c r="B1217">
        <v>56</v>
      </c>
      <c r="C1217">
        <v>0</v>
      </c>
      <c r="E1217">
        <v>0</v>
      </c>
      <c r="F1217">
        <v>0</v>
      </c>
      <c r="G1217">
        <v>0</v>
      </c>
      <c r="I1217">
        <v>0</v>
      </c>
      <c r="J1217">
        <v>0</v>
      </c>
    </row>
    <row r="1218" spans="1:10" x14ac:dyDescent="0.3">
      <c r="A1218" t="s">
        <v>681</v>
      </c>
      <c r="B1218">
        <v>56</v>
      </c>
      <c r="C1218">
        <v>24</v>
      </c>
      <c r="E1218">
        <v>24</v>
      </c>
      <c r="F1218">
        <v>24</v>
      </c>
      <c r="G1218">
        <v>0</v>
      </c>
      <c r="I1218">
        <v>24</v>
      </c>
      <c r="J1218">
        <v>0</v>
      </c>
    </row>
    <row r="1219" spans="1:10" x14ac:dyDescent="0.3">
      <c r="A1219" t="s">
        <v>563</v>
      </c>
      <c r="B1219">
        <v>56</v>
      </c>
      <c r="C1219">
        <v>0</v>
      </c>
      <c r="E1219">
        <v>0</v>
      </c>
      <c r="F1219">
        <v>0</v>
      </c>
      <c r="G1219">
        <v>0</v>
      </c>
      <c r="I1219">
        <v>0</v>
      </c>
      <c r="J1219">
        <v>0</v>
      </c>
    </row>
    <row r="1220" spans="1:10" x14ac:dyDescent="0.3">
      <c r="A1220" t="s">
        <v>682</v>
      </c>
      <c r="B1220">
        <v>56</v>
      </c>
      <c r="C1220">
        <v>0</v>
      </c>
      <c r="E1220">
        <v>1</v>
      </c>
      <c r="F1220">
        <v>0</v>
      </c>
      <c r="G1220">
        <v>0</v>
      </c>
      <c r="I1220">
        <v>0</v>
      </c>
      <c r="J1220">
        <v>0</v>
      </c>
    </row>
    <row r="1221" spans="1:10" x14ac:dyDescent="0.3">
      <c r="A1221" t="s">
        <v>683</v>
      </c>
      <c r="B1221">
        <v>56</v>
      </c>
      <c r="C1221">
        <v>16</v>
      </c>
      <c r="E1221">
        <v>16</v>
      </c>
      <c r="F1221">
        <v>16</v>
      </c>
      <c r="G1221">
        <v>16</v>
      </c>
      <c r="I1221">
        <v>16</v>
      </c>
      <c r="J1221">
        <v>16</v>
      </c>
    </row>
    <row r="1222" spans="1:10" x14ac:dyDescent="0.3">
      <c r="A1222" t="s">
        <v>684</v>
      </c>
      <c r="B1222">
        <v>56</v>
      </c>
      <c r="C1222">
        <v>500</v>
      </c>
      <c r="E1222">
        <v>500</v>
      </c>
      <c r="F1222">
        <v>500</v>
      </c>
      <c r="G1222">
        <v>500</v>
      </c>
      <c r="I1222">
        <v>500</v>
      </c>
      <c r="J1222">
        <v>500</v>
      </c>
    </row>
    <row r="1223" spans="1:10" x14ac:dyDescent="0.3">
      <c r="A1223" t="s">
        <v>685</v>
      </c>
      <c r="B1223">
        <v>56</v>
      </c>
      <c r="C1223">
        <v>1761</v>
      </c>
      <c r="E1223">
        <v>1761</v>
      </c>
      <c r="F1223">
        <v>1761</v>
      </c>
      <c r="G1223">
        <v>1320</v>
      </c>
      <c r="I1223">
        <v>1761</v>
      </c>
      <c r="J1223">
        <v>1320</v>
      </c>
    </row>
    <row r="1224" spans="1:10" x14ac:dyDescent="0.3">
      <c r="A1224" t="s">
        <v>686</v>
      </c>
      <c r="B1224">
        <v>56</v>
      </c>
      <c r="C1224">
        <v>1174</v>
      </c>
      <c r="E1224">
        <v>1174</v>
      </c>
      <c r="F1224">
        <v>1174</v>
      </c>
      <c r="G1224">
        <v>880</v>
      </c>
      <c r="I1224">
        <v>1174</v>
      </c>
      <c r="J1224">
        <v>880</v>
      </c>
    </row>
    <row r="1225" spans="1:10" x14ac:dyDescent="0.3">
      <c r="A1225" t="s">
        <v>687</v>
      </c>
      <c r="B1225">
        <v>56</v>
      </c>
      <c r="C1225">
        <v>2348</v>
      </c>
      <c r="E1225">
        <v>2348</v>
      </c>
      <c r="F1225">
        <v>2348</v>
      </c>
      <c r="G1225">
        <v>1760</v>
      </c>
      <c r="I1225">
        <v>2348</v>
      </c>
      <c r="J1225">
        <v>1760</v>
      </c>
    </row>
    <row r="1226" spans="1:10" x14ac:dyDescent="0.3">
      <c r="A1226" t="s">
        <v>688</v>
      </c>
      <c r="B1226">
        <v>56</v>
      </c>
      <c r="G1226">
        <v>30909</v>
      </c>
      <c r="J1226">
        <v>31114</v>
      </c>
    </row>
    <row r="1227" spans="1:10" x14ac:dyDescent="0.3">
      <c r="A1227" t="s">
        <v>689</v>
      </c>
      <c r="B1227">
        <v>56</v>
      </c>
      <c r="G1227">
        <v>-182</v>
      </c>
      <c r="J1227">
        <v>-11</v>
      </c>
    </row>
    <row r="1228" spans="1:10" x14ac:dyDescent="0.3">
      <c r="A1228" t="s">
        <v>690</v>
      </c>
      <c r="B1228">
        <v>56</v>
      </c>
      <c r="G1228">
        <v>0</v>
      </c>
      <c r="J1228">
        <v>0</v>
      </c>
    </row>
    <row r="1229" spans="1:10" x14ac:dyDescent="0.3">
      <c r="A1229" t="s">
        <v>691</v>
      </c>
      <c r="B1229">
        <v>56</v>
      </c>
      <c r="C1229" t="b">
        <v>0</v>
      </c>
      <c r="E1229" t="b">
        <v>0</v>
      </c>
      <c r="F1229" t="b">
        <v>0</v>
      </c>
      <c r="G1229" t="b">
        <v>0</v>
      </c>
      <c r="I1229" t="b">
        <v>0</v>
      </c>
      <c r="J1229" t="b">
        <v>0</v>
      </c>
    </row>
    <row r="1230" spans="1:10" x14ac:dyDescent="0.3">
      <c r="A1230" t="s">
        <v>692</v>
      </c>
      <c r="B1230">
        <v>56</v>
      </c>
      <c r="C1230" t="b">
        <v>0</v>
      </c>
      <c r="E1230" t="b">
        <v>0</v>
      </c>
      <c r="F1230" t="b">
        <v>0</v>
      </c>
      <c r="G1230" t="b">
        <v>0</v>
      </c>
      <c r="I1230" t="b">
        <v>0</v>
      </c>
      <c r="J1230" t="b">
        <v>0</v>
      </c>
    </row>
    <row r="1231" spans="1:10" x14ac:dyDescent="0.3">
      <c r="A1231" t="s">
        <v>678</v>
      </c>
      <c r="B1231">
        <v>57</v>
      </c>
      <c r="C1231">
        <v>61</v>
      </c>
    </row>
    <row r="1232" spans="1:10" x14ac:dyDescent="0.3">
      <c r="A1232" t="s">
        <v>36</v>
      </c>
      <c r="B1232">
        <v>57</v>
      </c>
      <c r="C1232" t="s">
        <v>714</v>
      </c>
    </row>
    <row r="1233" spans="1:3" x14ac:dyDescent="0.3">
      <c r="A1233" t="s">
        <v>503</v>
      </c>
      <c r="B1233">
        <v>57</v>
      </c>
    </row>
    <row r="1234" spans="1:3" x14ac:dyDescent="0.3">
      <c r="A1234" t="s">
        <v>679</v>
      </c>
      <c r="B1234">
        <v>57</v>
      </c>
      <c r="C1234">
        <v>603</v>
      </c>
    </row>
    <row r="1235" spans="1:3" x14ac:dyDescent="0.3">
      <c r="A1235" t="s">
        <v>42</v>
      </c>
      <c r="B1235">
        <v>57</v>
      </c>
      <c r="C1235">
        <v>30</v>
      </c>
    </row>
    <row r="1236" spans="1:3" x14ac:dyDescent="0.3">
      <c r="A1236" t="s">
        <v>680</v>
      </c>
      <c r="B1236">
        <v>57</v>
      </c>
      <c r="C1236">
        <v>13.7</v>
      </c>
    </row>
    <row r="1237" spans="1:3" x14ac:dyDescent="0.3">
      <c r="A1237" t="s">
        <v>41</v>
      </c>
      <c r="B1237">
        <v>57</v>
      </c>
      <c r="C1237">
        <v>0</v>
      </c>
    </row>
    <row r="1238" spans="1:3" x14ac:dyDescent="0.3">
      <c r="A1238" t="s">
        <v>681</v>
      </c>
      <c r="B1238">
        <v>57</v>
      </c>
      <c r="C1238">
        <v>0</v>
      </c>
    </row>
    <row r="1239" spans="1:3" x14ac:dyDescent="0.3">
      <c r="A1239" t="s">
        <v>563</v>
      </c>
      <c r="B1239">
        <v>57</v>
      </c>
      <c r="C1239">
        <v>0</v>
      </c>
    </row>
    <row r="1240" spans="1:3" x14ac:dyDescent="0.3">
      <c r="A1240" t="s">
        <v>682</v>
      </c>
      <c r="B1240">
        <v>57</v>
      </c>
      <c r="C1240">
        <v>0</v>
      </c>
    </row>
    <row r="1241" spans="1:3" x14ac:dyDescent="0.3">
      <c r="A1241" t="s">
        <v>683</v>
      </c>
      <c r="B1241">
        <v>57</v>
      </c>
      <c r="C1241">
        <v>16</v>
      </c>
    </row>
    <row r="1242" spans="1:3" x14ac:dyDescent="0.3">
      <c r="A1242" t="s">
        <v>684</v>
      </c>
      <c r="B1242">
        <v>57</v>
      </c>
      <c r="C1242">
        <v>200</v>
      </c>
    </row>
    <row r="1243" spans="1:3" x14ac:dyDescent="0.3">
      <c r="A1243" t="s">
        <v>685</v>
      </c>
      <c r="B1243">
        <v>57</v>
      </c>
      <c r="C1243">
        <v>1320</v>
      </c>
    </row>
    <row r="1244" spans="1:3" x14ac:dyDescent="0.3">
      <c r="A1244" t="s">
        <v>686</v>
      </c>
      <c r="B1244">
        <v>57</v>
      </c>
      <c r="C1244">
        <v>880</v>
      </c>
    </row>
    <row r="1245" spans="1:3" x14ac:dyDescent="0.3">
      <c r="A1245" t="s">
        <v>687</v>
      </c>
      <c r="B1245">
        <v>57</v>
      </c>
      <c r="C1245">
        <v>1760</v>
      </c>
    </row>
    <row r="1246" spans="1:3" x14ac:dyDescent="0.3">
      <c r="A1246" t="s">
        <v>688</v>
      </c>
      <c r="B1246">
        <v>57</v>
      </c>
    </row>
    <row r="1247" spans="1:3" x14ac:dyDescent="0.3">
      <c r="A1247" t="s">
        <v>689</v>
      </c>
      <c r="B1247">
        <v>57</v>
      </c>
    </row>
    <row r="1248" spans="1:3" x14ac:dyDescent="0.3">
      <c r="A1248" t="s">
        <v>690</v>
      </c>
      <c r="B1248">
        <v>57</v>
      </c>
    </row>
    <row r="1249" spans="1:3" x14ac:dyDescent="0.3">
      <c r="A1249" t="s">
        <v>691</v>
      </c>
      <c r="B1249">
        <v>57</v>
      </c>
      <c r="C1249" t="b">
        <v>0</v>
      </c>
    </row>
    <row r="1250" spans="1:3" x14ac:dyDescent="0.3">
      <c r="A1250" t="s">
        <v>692</v>
      </c>
      <c r="B1250">
        <v>57</v>
      </c>
      <c r="C1250" t="b">
        <v>0</v>
      </c>
    </row>
    <row r="1251" spans="1:3" x14ac:dyDescent="0.3">
      <c r="A1251" t="s">
        <v>678</v>
      </c>
      <c r="B1251">
        <v>58</v>
      </c>
      <c r="C1251">
        <v>60</v>
      </c>
    </row>
    <row r="1252" spans="1:3" x14ac:dyDescent="0.3">
      <c r="A1252" t="s">
        <v>36</v>
      </c>
      <c r="B1252">
        <v>58</v>
      </c>
      <c r="C1252">
        <v>0</v>
      </c>
    </row>
    <row r="1253" spans="1:3" x14ac:dyDescent="0.3">
      <c r="A1253" t="s">
        <v>503</v>
      </c>
      <c r="B1253">
        <v>58</v>
      </c>
    </row>
    <row r="1254" spans="1:3" x14ac:dyDescent="0.3">
      <c r="A1254" t="s">
        <v>679</v>
      </c>
      <c r="B1254">
        <v>58</v>
      </c>
      <c r="C1254">
        <v>729</v>
      </c>
    </row>
    <row r="1255" spans="1:3" x14ac:dyDescent="0.3">
      <c r="A1255" t="s">
        <v>42</v>
      </c>
      <c r="B1255">
        <v>58</v>
      </c>
      <c r="C1255">
        <v>30</v>
      </c>
    </row>
    <row r="1256" spans="1:3" x14ac:dyDescent="0.3">
      <c r="A1256" t="s">
        <v>680</v>
      </c>
      <c r="B1256">
        <v>58</v>
      </c>
      <c r="C1256">
        <v>16.600000000000001</v>
      </c>
    </row>
    <row r="1257" spans="1:3" x14ac:dyDescent="0.3">
      <c r="A1257" t="s">
        <v>41</v>
      </c>
      <c r="B1257">
        <v>58</v>
      </c>
      <c r="C1257">
        <v>0</v>
      </c>
    </row>
    <row r="1258" spans="1:3" x14ac:dyDescent="0.3">
      <c r="A1258" t="s">
        <v>681</v>
      </c>
      <c r="B1258">
        <v>58</v>
      </c>
      <c r="C1258">
        <v>0</v>
      </c>
    </row>
    <row r="1259" spans="1:3" x14ac:dyDescent="0.3">
      <c r="A1259" t="s">
        <v>563</v>
      </c>
      <c r="B1259">
        <v>58</v>
      </c>
      <c r="C1259">
        <v>0</v>
      </c>
    </row>
    <row r="1260" spans="1:3" x14ac:dyDescent="0.3">
      <c r="A1260" t="s">
        <v>682</v>
      </c>
      <c r="B1260">
        <v>58</v>
      </c>
      <c r="C1260">
        <v>0</v>
      </c>
    </row>
    <row r="1261" spans="1:3" x14ac:dyDescent="0.3">
      <c r="A1261" t="s">
        <v>683</v>
      </c>
      <c r="B1261">
        <v>58</v>
      </c>
      <c r="C1261">
        <v>16</v>
      </c>
    </row>
    <row r="1262" spans="1:3" x14ac:dyDescent="0.3">
      <c r="A1262" t="s">
        <v>684</v>
      </c>
      <c r="B1262">
        <v>58</v>
      </c>
      <c r="C1262">
        <v>200</v>
      </c>
    </row>
    <row r="1263" spans="1:3" x14ac:dyDescent="0.3">
      <c r="A1263" t="s">
        <v>685</v>
      </c>
      <c r="B1263">
        <v>58</v>
      </c>
      <c r="C1263">
        <v>1320</v>
      </c>
    </row>
    <row r="1264" spans="1:3" x14ac:dyDescent="0.3">
      <c r="A1264" t="s">
        <v>686</v>
      </c>
      <c r="B1264">
        <v>58</v>
      </c>
      <c r="C1264">
        <v>880</v>
      </c>
    </row>
    <row r="1265" spans="1:4" x14ac:dyDescent="0.3">
      <c r="A1265" t="s">
        <v>687</v>
      </c>
      <c r="B1265">
        <v>58</v>
      </c>
      <c r="C1265">
        <v>1760</v>
      </c>
    </row>
    <row r="1266" spans="1:4" x14ac:dyDescent="0.3">
      <c r="A1266" t="s">
        <v>688</v>
      </c>
      <c r="B1266">
        <v>58</v>
      </c>
    </row>
    <row r="1267" spans="1:4" x14ac:dyDescent="0.3">
      <c r="A1267" t="s">
        <v>689</v>
      </c>
      <c r="B1267">
        <v>58</v>
      </c>
    </row>
    <row r="1268" spans="1:4" x14ac:dyDescent="0.3">
      <c r="A1268" t="s">
        <v>690</v>
      </c>
      <c r="B1268">
        <v>58</v>
      </c>
    </row>
    <row r="1269" spans="1:4" x14ac:dyDescent="0.3">
      <c r="A1269" t="s">
        <v>691</v>
      </c>
      <c r="B1269">
        <v>58</v>
      </c>
      <c r="C1269" t="b">
        <v>0</v>
      </c>
    </row>
    <row r="1270" spans="1:4" x14ac:dyDescent="0.3">
      <c r="A1270" t="s">
        <v>692</v>
      </c>
      <c r="B1270">
        <v>58</v>
      </c>
      <c r="C1270" t="b">
        <v>0</v>
      </c>
    </row>
    <row r="1271" spans="1:4" x14ac:dyDescent="0.3">
      <c r="A1271" t="s">
        <v>678</v>
      </c>
      <c r="B1271">
        <v>59</v>
      </c>
      <c r="D1271">
        <v>99</v>
      </c>
    </row>
    <row r="1272" spans="1:4" x14ac:dyDescent="0.3">
      <c r="A1272" t="s">
        <v>36</v>
      </c>
      <c r="B1272">
        <v>59</v>
      </c>
      <c r="D1272" t="s">
        <v>714</v>
      </c>
    </row>
    <row r="1273" spans="1:4" x14ac:dyDescent="0.3">
      <c r="A1273" t="s">
        <v>503</v>
      </c>
      <c r="B1273">
        <v>59</v>
      </c>
      <c r="D1273" t="s">
        <v>715</v>
      </c>
    </row>
    <row r="1274" spans="1:4" x14ac:dyDescent="0.3">
      <c r="A1274" t="s">
        <v>679</v>
      </c>
      <c r="B1274">
        <v>59</v>
      </c>
      <c r="D1274">
        <v>383</v>
      </c>
    </row>
    <row r="1275" spans="1:4" x14ac:dyDescent="0.3">
      <c r="A1275" t="s">
        <v>42</v>
      </c>
      <c r="B1275">
        <v>59</v>
      </c>
      <c r="D1275">
        <v>30</v>
      </c>
    </row>
    <row r="1276" spans="1:4" x14ac:dyDescent="0.3">
      <c r="A1276" t="s">
        <v>680</v>
      </c>
      <c r="B1276">
        <v>59</v>
      </c>
      <c r="D1276">
        <v>8.6999999999999993</v>
      </c>
    </row>
    <row r="1277" spans="1:4" x14ac:dyDescent="0.3">
      <c r="A1277" t="s">
        <v>41</v>
      </c>
      <c r="B1277">
        <v>59</v>
      </c>
      <c r="D1277">
        <v>0</v>
      </c>
    </row>
    <row r="1278" spans="1:4" x14ac:dyDescent="0.3">
      <c r="A1278" t="s">
        <v>681</v>
      </c>
      <c r="B1278">
        <v>59</v>
      </c>
      <c r="D1278">
        <v>0</v>
      </c>
    </row>
    <row r="1279" spans="1:4" x14ac:dyDescent="0.3">
      <c r="A1279" t="s">
        <v>563</v>
      </c>
      <c r="B1279">
        <v>59</v>
      </c>
      <c r="D1279">
        <v>0</v>
      </c>
    </row>
    <row r="1280" spans="1:4" x14ac:dyDescent="0.3">
      <c r="A1280" t="s">
        <v>682</v>
      </c>
      <c r="B1280">
        <v>59</v>
      </c>
      <c r="D1280">
        <v>0</v>
      </c>
    </row>
    <row r="1281" spans="1:8" x14ac:dyDescent="0.3">
      <c r="A1281" t="s">
        <v>683</v>
      </c>
      <c r="B1281">
        <v>59</v>
      </c>
      <c r="D1281">
        <v>16</v>
      </c>
    </row>
    <row r="1282" spans="1:8" x14ac:dyDescent="0.3">
      <c r="A1282" t="s">
        <v>684</v>
      </c>
      <c r="B1282">
        <v>59</v>
      </c>
      <c r="D1282">
        <v>200</v>
      </c>
    </row>
    <row r="1283" spans="1:8" x14ac:dyDescent="0.3">
      <c r="A1283" t="s">
        <v>685</v>
      </c>
      <c r="B1283">
        <v>59</v>
      </c>
      <c r="D1283">
        <v>1320</v>
      </c>
    </row>
    <row r="1284" spans="1:8" x14ac:dyDescent="0.3">
      <c r="A1284" t="s">
        <v>686</v>
      </c>
      <c r="B1284">
        <v>59</v>
      </c>
      <c r="D1284">
        <v>880</v>
      </c>
    </row>
    <row r="1285" spans="1:8" x14ac:dyDescent="0.3">
      <c r="A1285" t="s">
        <v>687</v>
      </c>
      <c r="B1285">
        <v>59</v>
      </c>
      <c r="D1285">
        <v>1760</v>
      </c>
    </row>
    <row r="1286" spans="1:8" x14ac:dyDescent="0.3">
      <c r="A1286" t="s">
        <v>688</v>
      </c>
      <c r="B1286">
        <v>59</v>
      </c>
    </row>
    <row r="1287" spans="1:8" x14ac:dyDescent="0.3">
      <c r="A1287" t="s">
        <v>689</v>
      </c>
      <c r="B1287">
        <v>59</v>
      </c>
    </row>
    <row r="1288" spans="1:8" x14ac:dyDescent="0.3">
      <c r="A1288" t="s">
        <v>690</v>
      </c>
      <c r="B1288">
        <v>59</v>
      </c>
    </row>
    <row r="1289" spans="1:8" x14ac:dyDescent="0.3">
      <c r="A1289" t="s">
        <v>691</v>
      </c>
      <c r="B1289">
        <v>59</v>
      </c>
      <c r="D1289" t="b">
        <v>0</v>
      </c>
    </row>
    <row r="1290" spans="1:8" x14ac:dyDescent="0.3">
      <c r="A1290" t="s">
        <v>692</v>
      </c>
      <c r="B1290">
        <v>59</v>
      </c>
      <c r="D1290" t="b">
        <v>0</v>
      </c>
    </row>
    <row r="1291" spans="1:8" x14ac:dyDescent="0.3">
      <c r="A1291" t="s">
        <v>678</v>
      </c>
      <c r="B1291">
        <v>60</v>
      </c>
      <c r="D1291">
        <v>58</v>
      </c>
      <c r="E1291">
        <v>97</v>
      </c>
      <c r="H1291">
        <v>56</v>
      </c>
    </row>
    <row r="1292" spans="1:8" x14ac:dyDescent="0.3">
      <c r="A1292" t="s">
        <v>36</v>
      </c>
      <c r="B1292">
        <v>60</v>
      </c>
      <c r="D1292">
        <v>3</v>
      </c>
      <c r="E1292">
        <v>0</v>
      </c>
      <c r="H1292">
        <v>0</v>
      </c>
    </row>
    <row r="1293" spans="1:8" x14ac:dyDescent="0.3">
      <c r="A1293" t="s">
        <v>503</v>
      </c>
      <c r="B1293">
        <v>60</v>
      </c>
    </row>
    <row r="1294" spans="1:8" x14ac:dyDescent="0.3">
      <c r="A1294" t="s">
        <v>679</v>
      </c>
      <c r="B1294">
        <v>60</v>
      </c>
      <c r="D1294">
        <v>729</v>
      </c>
      <c r="E1294">
        <v>192</v>
      </c>
      <c r="H1294">
        <v>165</v>
      </c>
    </row>
    <row r="1295" spans="1:8" x14ac:dyDescent="0.3">
      <c r="A1295" t="s">
        <v>42</v>
      </c>
      <c r="B1295">
        <v>60</v>
      </c>
      <c r="D1295">
        <v>30</v>
      </c>
      <c r="E1295">
        <v>30</v>
      </c>
      <c r="H1295">
        <v>30</v>
      </c>
    </row>
    <row r="1296" spans="1:8" x14ac:dyDescent="0.3">
      <c r="A1296" t="s">
        <v>680</v>
      </c>
      <c r="B1296">
        <v>60</v>
      </c>
      <c r="D1296">
        <v>16.600000000000001</v>
      </c>
      <c r="E1296">
        <v>4.4000000000000004</v>
      </c>
      <c r="H1296">
        <v>3.8</v>
      </c>
    </row>
    <row r="1297" spans="1:8" x14ac:dyDescent="0.3">
      <c r="A1297" t="s">
        <v>41</v>
      </c>
      <c r="B1297">
        <v>60</v>
      </c>
      <c r="D1297">
        <v>0</v>
      </c>
      <c r="E1297">
        <v>0</v>
      </c>
      <c r="H1297">
        <v>0</v>
      </c>
    </row>
    <row r="1298" spans="1:8" x14ac:dyDescent="0.3">
      <c r="A1298" t="s">
        <v>681</v>
      </c>
      <c r="B1298">
        <v>60</v>
      </c>
      <c r="D1298">
        <v>24</v>
      </c>
      <c r="E1298">
        <v>0</v>
      </c>
      <c r="H1298">
        <v>0</v>
      </c>
    </row>
    <row r="1299" spans="1:8" x14ac:dyDescent="0.3">
      <c r="A1299" t="s">
        <v>563</v>
      </c>
      <c r="B1299">
        <v>60</v>
      </c>
      <c r="D1299">
        <v>0</v>
      </c>
      <c r="E1299">
        <v>0</v>
      </c>
      <c r="H1299">
        <v>0</v>
      </c>
    </row>
    <row r="1300" spans="1:8" x14ac:dyDescent="0.3">
      <c r="A1300" t="s">
        <v>682</v>
      </c>
      <c r="B1300">
        <v>60</v>
      </c>
      <c r="D1300">
        <v>0</v>
      </c>
      <c r="E1300">
        <v>0</v>
      </c>
      <c r="H1300">
        <v>0</v>
      </c>
    </row>
    <row r="1301" spans="1:8" x14ac:dyDescent="0.3">
      <c r="A1301" t="s">
        <v>683</v>
      </c>
      <c r="B1301">
        <v>60</v>
      </c>
      <c r="D1301">
        <v>16</v>
      </c>
      <c r="E1301">
        <v>16</v>
      </c>
      <c r="H1301">
        <v>16</v>
      </c>
    </row>
    <row r="1302" spans="1:8" x14ac:dyDescent="0.3">
      <c r="A1302" t="s">
        <v>684</v>
      </c>
      <c r="B1302">
        <v>60</v>
      </c>
      <c r="D1302">
        <v>200</v>
      </c>
      <c r="E1302">
        <v>200</v>
      </c>
      <c r="H1302">
        <v>200</v>
      </c>
    </row>
    <row r="1303" spans="1:8" x14ac:dyDescent="0.3">
      <c r="A1303" t="s">
        <v>685</v>
      </c>
      <c r="B1303">
        <v>60</v>
      </c>
      <c r="D1303">
        <v>1320</v>
      </c>
      <c r="E1303">
        <v>1320</v>
      </c>
      <c r="H1303">
        <v>1320</v>
      </c>
    </row>
    <row r="1304" spans="1:8" x14ac:dyDescent="0.3">
      <c r="A1304" t="s">
        <v>686</v>
      </c>
      <c r="B1304">
        <v>60</v>
      </c>
      <c r="D1304">
        <v>880</v>
      </c>
      <c r="E1304">
        <v>880</v>
      </c>
      <c r="H1304">
        <v>880</v>
      </c>
    </row>
    <row r="1305" spans="1:8" x14ac:dyDescent="0.3">
      <c r="A1305" t="s">
        <v>687</v>
      </c>
      <c r="B1305">
        <v>60</v>
      </c>
      <c r="D1305">
        <v>1760</v>
      </c>
      <c r="E1305">
        <v>1760</v>
      </c>
      <c r="H1305">
        <v>1760</v>
      </c>
    </row>
    <row r="1306" spans="1:8" x14ac:dyDescent="0.3">
      <c r="A1306" t="s">
        <v>688</v>
      </c>
      <c r="B1306">
        <v>60</v>
      </c>
    </row>
    <row r="1307" spans="1:8" x14ac:dyDescent="0.3">
      <c r="A1307" t="s">
        <v>689</v>
      </c>
      <c r="B1307">
        <v>60</v>
      </c>
    </row>
    <row r="1308" spans="1:8" x14ac:dyDescent="0.3">
      <c r="A1308" t="s">
        <v>690</v>
      </c>
      <c r="B1308">
        <v>60</v>
      </c>
    </row>
    <row r="1309" spans="1:8" x14ac:dyDescent="0.3">
      <c r="A1309" t="s">
        <v>691</v>
      </c>
      <c r="B1309">
        <v>60</v>
      </c>
      <c r="D1309" t="b">
        <v>0</v>
      </c>
      <c r="E1309" t="b">
        <v>0</v>
      </c>
      <c r="H1309" t="b">
        <v>0</v>
      </c>
    </row>
    <row r="1310" spans="1:8" x14ac:dyDescent="0.3">
      <c r="A1310" t="s">
        <v>692</v>
      </c>
      <c r="B1310">
        <v>60</v>
      </c>
      <c r="D1310" t="b">
        <v>0</v>
      </c>
      <c r="E1310" t="b">
        <v>0</v>
      </c>
      <c r="H1310" t="b">
        <v>0</v>
      </c>
    </row>
    <row r="1311" spans="1:8" x14ac:dyDescent="0.3">
      <c r="A1311" t="s">
        <v>678</v>
      </c>
      <c r="B1311">
        <v>61</v>
      </c>
      <c r="C1311">
        <v>63</v>
      </c>
      <c r="D1311">
        <v>57</v>
      </c>
      <c r="G1311">
        <v>56</v>
      </c>
    </row>
    <row r="1312" spans="1:8" x14ac:dyDescent="0.3">
      <c r="A1312" t="s">
        <v>36</v>
      </c>
      <c r="B1312">
        <v>61</v>
      </c>
      <c r="C1312">
        <v>1</v>
      </c>
      <c r="D1312">
        <v>0</v>
      </c>
      <c r="G1312">
        <v>2</v>
      </c>
    </row>
    <row r="1313" spans="1:7" x14ac:dyDescent="0.3">
      <c r="A1313" t="s">
        <v>503</v>
      </c>
      <c r="B1313">
        <v>61</v>
      </c>
    </row>
    <row r="1314" spans="1:7" x14ac:dyDescent="0.3">
      <c r="A1314" t="s">
        <v>679</v>
      </c>
      <c r="B1314">
        <v>61</v>
      </c>
      <c r="C1314">
        <v>224</v>
      </c>
      <c r="D1314">
        <v>603</v>
      </c>
      <c r="G1314">
        <v>340</v>
      </c>
    </row>
    <row r="1315" spans="1:7" x14ac:dyDescent="0.3">
      <c r="A1315" t="s">
        <v>42</v>
      </c>
      <c r="B1315">
        <v>61</v>
      </c>
      <c r="C1315">
        <v>30</v>
      </c>
      <c r="D1315">
        <v>30</v>
      </c>
      <c r="G1315">
        <v>30</v>
      </c>
    </row>
    <row r="1316" spans="1:7" x14ac:dyDescent="0.3">
      <c r="A1316" t="s">
        <v>680</v>
      </c>
      <c r="B1316">
        <v>61</v>
      </c>
      <c r="C1316">
        <v>5.0999999999999996</v>
      </c>
      <c r="D1316">
        <v>13.7</v>
      </c>
      <c r="G1316">
        <v>7.7</v>
      </c>
    </row>
    <row r="1317" spans="1:7" x14ac:dyDescent="0.3">
      <c r="A1317" t="s">
        <v>41</v>
      </c>
      <c r="B1317">
        <v>61</v>
      </c>
      <c r="C1317">
        <v>0</v>
      </c>
      <c r="D1317">
        <v>0</v>
      </c>
      <c r="G1317">
        <v>0</v>
      </c>
    </row>
    <row r="1318" spans="1:7" x14ac:dyDescent="0.3">
      <c r="A1318" t="s">
        <v>681</v>
      </c>
      <c r="B1318">
        <v>61</v>
      </c>
      <c r="C1318">
        <v>0</v>
      </c>
      <c r="D1318">
        <v>0</v>
      </c>
      <c r="G1318" t="s">
        <v>716</v>
      </c>
    </row>
    <row r="1319" spans="1:7" x14ac:dyDescent="0.3">
      <c r="A1319" t="s">
        <v>563</v>
      </c>
      <c r="B1319">
        <v>61</v>
      </c>
      <c r="C1319">
        <v>0</v>
      </c>
      <c r="D1319">
        <v>0</v>
      </c>
      <c r="G1319">
        <v>0</v>
      </c>
    </row>
    <row r="1320" spans="1:7" x14ac:dyDescent="0.3">
      <c r="A1320" t="s">
        <v>682</v>
      </c>
      <c r="B1320">
        <v>61</v>
      </c>
      <c r="C1320">
        <v>0</v>
      </c>
      <c r="D1320">
        <v>0</v>
      </c>
      <c r="G1320">
        <v>0</v>
      </c>
    </row>
    <row r="1321" spans="1:7" x14ac:dyDescent="0.3">
      <c r="A1321" t="s">
        <v>683</v>
      </c>
      <c r="B1321">
        <v>61</v>
      </c>
      <c r="C1321">
        <v>16</v>
      </c>
      <c r="D1321">
        <v>16</v>
      </c>
      <c r="G1321">
        <v>16</v>
      </c>
    </row>
    <row r="1322" spans="1:7" x14ac:dyDescent="0.3">
      <c r="A1322" t="s">
        <v>684</v>
      </c>
      <c r="B1322">
        <v>61</v>
      </c>
      <c r="C1322">
        <v>200</v>
      </c>
      <c r="D1322">
        <v>200</v>
      </c>
      <c r="G1322">
        <v>200</v>
      </c>
    </row>
    <row r="1323" spans="1:7" x14ac:dyDescent="0.3">
      <c r="A1323" t="s">
        <v>685</v>
      </c>
      <c r="B1323">
        <v>61</v>
      </c>
      <c r="C1323">
        <v>1320</v>
      </c>
      <c r="D1323">
        <v>1320</v>
      </c>
      <c r="G1323">
        <v>1320</v>
      </c>
    </row>
    <row r="1324" spans="1:7" x14ac:dyDescent="0.3">
      <c r="A1324" t="s">
        <v>686</v>
      </c>
      <c r="B1324">
        <v>61</v>
      </c>
      <c r="C1324">
        <v>880</v>
      </c>
      <c r="D1324">
        <v>880</v>
      </c>
      <c r="G1324">
        <v>880</v>
      </c>
    </row>
    <row r="1325" spans="1:7" x14ac:dyDescent="0.3">
      <c r="A1325" t="s">
        <v>687</v>
      </c>
      <c r="B1325">
        <v>61</v>
      </c>
      <c r="C1325">
        <v>1760</v>
      </c>
      <c r="D1325">
        <v>1760</v>
      </c>
      <c r="G1325">
        <v>1760</v>
      </c>
    </row>
    <row r="1326" spans="1:7" x14ac:dyDescent="0.3">
      <c r="A1326" t="s">
        <v>688</v>
      </c>
      <c r="B1326">
        <v>61</v>
      </c>
      <c r="C1326">
        <v>31202</v>
      </c>
      <c r="G1326">
        <v>31162</v>
      </c>
    </row>
    <row r="1327" spans="1:7" x14ac:dyDescent="0.3">
      <c r="A1327" t="s">
        <v>689</v>
      </c>
      <c r="B1327">
        <v>61</v>
      </c>
      <c r="C1327">
        <v>90</v>
      </c>
      <c r="G1327">
        <v>64</v>
      </c>
    </row>
    <row r="1328" spans="1:7" x14ac:dyDescent="0.3">
      <c r="A1328" t="s">
        <v>690</v>
      </c>
      <c r="B1328">
        <v>61</v>
      </c>
      <c r="C1328">
        <v>0</v>
      </c>
      <c r="G1328">
        <v>0</v>
      </c>
    </row>
    <row r="1329" spans="1:9" x14ac:dyDescent="0.3">
      <c r="A1329" t="s">
        <v>691</v>
      </c>
      <c r="B1329">
        <v>61</v>
      </c>
      <c r="C1329" t="b">
        <v>0</v>
      </c>
      <c r="D1329" t="b">
        <v>0</v>
      </c>
      <c r="G1329" t="b">
        <v>0</v>
      </c>
    </row>
    <row r="1330" spans="1:9" x14ac:dyDescent="0.3">
      <c r="A1330" t="s">
        <v>692</v>
      </c>
      <c r="B1330">
        <v>61</v>
      </c>
      <c r="C1330" t="b">
        <v>0</v>
      </c>
      <c r="D1330" t="b">
        <v>0</v>
      </c>
      <c r="G1330" t="b">
        <v>0</v>
      </c>
    </row>
    <row r="1331" spans="1:9" x14ac:dyDescent="0.3">
      <c r="A1331" t="s">
        <v>678</v>
      </c>
      <c r="B1331">
        <v>62</v>
      </c>
      <c r="E1331">
        <v>56</v>
      </c>
      <c r="F1331">
        <v>64</v>
      </c>
      <c r="I1331">
        <v>63</v>
      </c>
    </row>
    <row r="1332" spans="1:9" x14ac:dyDescent="0.3">
      <c r="A1332" t="s">
        <v>36</v>
      </c>
      <c r="B1332">
        <v>62</v>
      </c>
      <c r="E1332">
        <v>3</v>
      </c>
      <c r="F1332">
        <v>3</v>
      </c>
      <c r="I1332">
        <v>0</v>
      </c>
    </row>
    <row r="1333" spans="1:9" x14ac:dyDescent="0.3">
      <c r="A1333" t="s">
        <v>503</v>
      </c>
      <c r="B1333">
        <v>62</v>
      </c>
      <c r="F1333" t="s">
        <v>695</v>
      </c>
    </row>
    <row r="1334" spans="1:9" x14ac:dyDescent="0.3">
      <c r="A1334" t="s">
        <v>679</v>
      </c>
      <c r="B1334">
        <v>62</v>
      </c>
      <c r="E1334">
        <v>363</v>
      </c>
      <c r="F1334">
        <v>821</v>
      </c>
      <c r="I1334">
        <v>110</v>
      </c>
    </row>
    <row r="1335" spans="1:9" x14ac:dyDescent="0.3">
      <c r="A1335" t="s">
        <v>42</v>
      </c>
      <c r="B1335">
        <v>62</v>
      </c>
      <c r="E1335">
        <v>40</v>
      </c>
      <c r="F1335">
        <v>40</v>
      </c>
      <c r="I1335">
        <v>30</v>
      </c>
    </row>
    <row r="1336" spans="1:9" x14ac:dyDescent="0.3">
      <c r="A1336" t="s">
        <v>680</v>
      </c>
      <c r="B1336">
        <v>62</v>
      </c>
      <c r="E1336">
        <v>6.2</v>
      </c>
      <c r="F1336">
        <v>14</v>
      </c>
      <c r="I1336">
        <v>2.5</v>
      </c>
    </row>
    <row r="1337" spans="1:9" x14ac:dyDescent="0.3">
      <c r="A1337" t="s">
        <v>41</v>
      </c>
      <c r="B1337">
        <v>62</v>
      </c>
      <c r="E1337">
        <v>0</v>
      </c>
      <c r="F1337">
        <v>0</v>
      </c>
      <c r="I1337">
        <v>0</v>
      </c>
    </row>
    <row r="1338" spans="1:9" x14ac:dyDescent="0.3">
      <c r="A1338" t="s">
        <v>681</v>
      </c>
      <c r="B1338">
        <v>62</v>
      </c>
      <c r="E1338">
        <v>24</v>
      </c>
      <c r="F1338">
        <v>24</v>
      </c>
      <c r="I1338">
        <v>0</v>
      </c>
    </row>
    <row r="1339" spans="1:9" x14ac:dyDescent="0.3">
      <c r="A1339" t="s">
        <v>563</v>
      </c>
      <c r="B1339">
        <v>62</v>
      </c>
      <c r="E1339">
        <v>0</v>
      </c>
      <c r="F1339">
        <v>0</v>
      </c>
      <c r="I1339">
        <v>0</v>
      </c>
    </row>
    <row r="1340" spans="1:9" x14ac:dyDescent="0.3">
      <c r="A1340" t="s">
        <v>682</v>
      </c>
      <c r="B1340">
        <v>62</v>
      </c>
      <c r="E1340">
        <v>0</v>
      </c>
      <c r="F1340">
        <v>0</v>
      </c>
      <c r="I1340">
        <v>0</v>
      </c>
    </row>
    <row r="1341" spans="1:9" x14ac:dyDescent="0.3">
      <c r="A1341" t="s">
        <v>683</v>
      </c>
      <c r="B1341">
        <v>62</v>
      </c>
      <c r="E1341">
        <v>16</v>
      </c>
      <c r="F1341">
        <v>16</v>
      </c>
      <c r="I1341">
        <v>16</v>
      </c>
    </row>
    <row r="1342" spans="1:9" x14ac:dyDescent="0.3">
      <c r="A1342" t="s">
        <v>684</v>
      </c>
      <c r="B1342">
        <v>62</v>
      </c>
      <c r="E1342">
        <v>200</v>
      </c>
      <c r="F1342">
        <v>200</v>
      </c>
      <c r="I1342">
        <v>200</v>
      </c>
    </row>
    <row r="1343" spans="1:9" x14ac:dyDescent="0.3">
      <c r="A1343" t="s">
        <v>685</v>
      </c>
      <c r="B1343">
        <v>62</v>
      </c>
      <c r="E1343">
        <v>1761</v>
      </c>
      <c r="F1343">
        <v>1761</v>
      </c>
      <c r="I1343">
        <v>1320</v>
      </c>
    </row>
    <row r="1344" spans="1:9" x14ac:dyDescent="0.3">
      <c r="A1344" t="s">
        <v>686</v>
      </c>
      <c r="B1344">
        <v>62</v>
      </c>
      <c r="E1344">
        <v>1174</v>
      </c>
      <c r="F1344">
        <v>1174</v>
      </c>
      <c r="I1344">
        <v>880</v>
      </c>
    </row>
    <row r="1345" spans="1:9" x14ac:dyDescent="0.3">
      <c r="A1345" t="s">
        <v>687</v>
      </c>
      <c r="B1345">
        <v>62</v>
      </c>
      <c r="E1345">
        <v>2348</v>
      </c>
      <c r="F1345">
        <v>2348</v>
      </c>
      <c r="I1345">
        <v>1760</v>
      </c>
    </row>
    <row r="1346" spans="1:9" x14ac:dyDescent="0.3">
      <c r="A1346" t="s">
        <v>688</v>
      </c>
      <c r="B1346">
        <v>62</v>
      </c>
    </row>
    <row r="1347" spans="1:9" x14ac:dyDescent="0.3">
      <c r="A1347" t="s">
        <v>689</v>
      </c>
      <c r="B1347">
        <v>62</v>
      </c>
    </row>
    <row r="1348" spans="1:9" x14ac:dyDescent="0.3">
      <c r="A1348" t="s">
        <v>690</v>
      </c>
      <c r="B1348">
        <v>62</v>
      </c>
    </row>
    <row r="1349" spans="1:9" x14ac:dyDescent="0.3">
      <c r="A1349" t="s">
        <v>691</v>
      </c>
      <c r="B1349">
        <v>62</v>
      </c>
      <c r="E1349" t="b">
        <v>0</v>
      </c>
      <c r="F1349" t="b">
        <v>0</v>
      </c>
      <c r="I1349" t="b">
        <v>0</v>
      </c>
    </row>
    <row r="1350" spans="1:9" x14ac:dyDescent="0.3">
      <c r="A1350" t="s">
        <v>692</v>
      </c>
      <c r="B1350">
        <v>62</v>
      </c>
      <c r="E1350" t="b">
        <v>0</v>
      </c>
      <c r="F1350" t="b">
        <v>0</v>
      </c>
      <c r="I1350" t="b">
        <v>0</v>
      </c>
    </row>
    <row r="1351" spans="1:9" x14ac:dyDescent="0.3">
      <c r="A1351" t="s">
        <v>678</v>
      </c>
      <c r="B1351">
        <v>63</v>
      </c>
      <c r="H1351">
        <v>62</v>
      </c>
      <c r="I1351">
        <v>61</v>
      </c>
    </row>
    <row r="1352" spans="1:9" x14ac:dyDescent="0.3">
      <c r="A1352" t="s">
        <v>36</v>
      </c>
      <c r="B1352">
        <v>63</v>
      </c>
      <c r="H1352">
        <v>1</v>
      </c>
      <c r="I1352">
        <v>0</v>
      </c>
    </row>
    <row r="1353" spans="1:9" x14ac:dyDescent="0.3">
      <c r="A1353" t="s">
        <v>503</v>
      </c>
      <c r="B1353">
        <v>63</v>
      </c>
    </row>
    <row r="1354" spans="1:9" x14ac:dyDescent="0.3">
      <c r="A1354" t="s">
        <v>679</v>
      </c>
      <c r="B1354">
        <v>63</v>
      </c>
      <c r="H1354">
        <v>110</v>
      </c>
      <c r="I1354">
        <v>224</v>
      </c>
    </row>
    <row r="1355" spans="1:9" x14ac:dyDescent="0.3">
      <c r="A1355" t="s">
        <v>42</v>
      </c>
      <c r="B1355">
        <v>63</v>
      </c>
      <c r="H1355">
        <v>30</v>
      </c>
      <c r="I1355">
        <v>30</v>
      </c>
    </row>
    <row r="1356" spans="1:9" x14ac:dyDescent="0.3">
      <c r="A1356" t="s">
        <v>680</v>
      </c>
      <c r="B1356">
        <v>63</v>
      </c>
      <c r="H1356">
        <v>2.5</v>
      </c>
      <c r="I1356">
        <v>5.0999999999999996</v>
      </c>
    </row>
    <row r="1357" spans="1:9" x14ac:dyDescent="0.3">
      <c r="A1357" t="s">
        <v>41</v>
      </c>
      <c r="B1357">
        <v>63</v>
      </c>
      <c r="H1357">
        <v>0</v>
      </c>
      <c r="I1357">
        <v>0</v>
      </c>
    </row>
    <row r="1358" spans="1:9" x14ac:dyDescent="0.3">
      <c r="A1358" t="s">
        <v>681</v>
      </c>
      <c r="B1358">
        <v>63</v>
      </c>
      <c r="H1358">
        <v>0</v>
      </c>
      <c r="I1358">
        <v>0</v>
      </c>
    </row>
    <row r="1359" spans="1:9" x14ac:dyDescent="0.3">
      <c r="A1359" t="s">
        <v>563</v>
      </c>
      <c r="B1359">
        <v>63</v>
      </c>
      <c r="H1359">
        <v>0</v>
      </c>
      <c r="I1359">
        <v>0</v>
      </c>
    </row>
    <row r="1360" spans="1:9" x14ac:dyDescent="0.3">
      <c r="A1360" t="s">
        <v>682</v>
      </c>
      <c r="B1360">
        <v>63</v>
      </c>
      <c r="H1360">
        <v>0</v>
      </c>
      <c r="I1360">
        <v>0</v>
      </c>
    </row>
    <row r="1361" spans="1:9" x14ac:dyDescent="0.3">
      <c r="A1361" t="s">
        <v>683</v>
      </c>
      <c r="B1361">
        <v>63</v>
      </c>
      <c r="H1361">
        <v>16</v>
      </c>
      <c r="I1361">
        <v>16</v>
      </c>
    </row>
    <row r="1362" spans="1:9" x14ac:dyDescent="0.3">
      <c r="A1362" t="s">
        <v>684</v>
      </c>
      <c r="B1362">
        <v>63</v>
      </c>
      <c r="H1362">
        <v>100</v>
      </c>
      <c r="I1362">
        <v>100</v>
      </c>
    </row>
    <row r="1363" spans="1:9" x14ac:dyDescent="0.3">
      <c r="A1363" t="s">
        <v>685</v>
      </c>
      <c r="B1363">
        <v>63</v>
      </c>
      <c r="H1363">
        <v>1320</v>
      </c>
      <c r="I1363">
        <v>1320</v>
      </c>
    </row>
    <row r="1364" spans="1:9" x14ac:dyDescent="0.3">
      <c r="A1364" t="s">
        <v>686</v>
      </c>
      <c r="B1364">
        <v>63</v>
      </c>
      <c r="H1364">
        <v>880</v>
      </c>
      <c r="I1364">
        <v>880</v>
      </c>
    </row>
    <row r="1365" spans="1:9" x14ac:dyDescent="0.3">
      <c r="A1365" t="s">
        <v>687</v>
      </c>
      <c r="B1365">
        <v>63</v>
      </c>
      <c r="H1365">
        <v>1760</v>
      </c>
      <c r="I1365">
        <v>1760</v>
      </c>
    </row>
    <row r="1366" spans="1:9" x14ac:dyDescent="0.3">
      <c r="A1366" t="s">
        <v>688</v>
      </c>
      <c r="B1366">
        <v>63</v>
      </c>
      <c r="I1366">
        <v>31235</v>
      </c>
    </row>
    <row r="1367" spans="1:9" x14ac:dyDescent="0.3">
      <c r="A1367" t="s">
        <v>689</v>
      </c>
      <c r="B1367">
        <v>63</v>
      </c>
      <c r="I1367">
        <v>-5</v>
      </c>
    </row>
    <row r="1368" spans="1:9" x14ac:dyDescent="0.3">
      <c r="A1368" t="s">
        <v>690</v>
      </c>
      <c r="B1368">
        <v>63</v>
      </c>
      <c r="I1368">
        <v>0</v>
      </c>
    </row>
    <row r="1369" spans="1:9" x14ac:dyDescent="0.3">
      <c r="A1369" t="s">
        <v>691</v>
      </c>
      <c r="B1369">
        <v>63</v>
      </c>
      <c r="H1369" t="b">
        <v>0</v>
      </c>
      <c r="I1369" t="b">
        <v>0</v>
      </c>
    </row>
    <row r="1370" spans="1:9" x14ac:dyDescent="0.3">
      <c r="A1370" t="s">
        <v>692</v>
      </c>
      <c r="B1370">
        <v>63</v>
      </c>
      <c r="H1370" t="b">
        <v>0</v>
      </c>
      <c r="I1370" t="b">
        <v>0</v>
      </c>
    </row>
    <row r="1371" spans="1:9" x14ac:dyDescent="0.3">
      <c r="A1371" t="s">
        <v>678</v>
      </c>
      <c r="B1371">
        <v>64</v>
      </c>
      <c r="C1371">
        <v>66</v>
      </c>
      <c r="D1371">
        <v>65</v>
      </c>
      <c r="E1371">
        <v>62</v>
      </c>
      <c r="F1371">
        <v>67</v>
      </c>
    </row>
    <row r="1372" spans="1:9" x14ac:dyDescent="0.3">
      <c r="A1372" t="s">
        <v>36</v>
      </c>
      <c r="B1372">
        <v>64</v>
      </c>
      <c r="C1372">
        <v>2</v>
      </c>
      <c r="D1372">
        <v>2</v>
      </c>
      <c r="E1372">
        <v>5</v>
      </c>
      <c r="F1372">
        <v>4</v>
      </c>
    </row>
    <row r="1373" spans="1:9" x14ac:dyDescent="0.3">
      <c r="A1373" t="s">
        <v>503</v>
      </c>
      <c r="B1373">
        <v>64</v>
      </c>
      <c r="C1373" t="s">
        <v>717</v>
      </c>
      <c r="D1373" t="s">
        <v>717</v>
      </c>
      <c r="E1373" t="s">
        <v>695</v>
      </c>
      <c r="F1373" t="s">
        <v>695</v>
      </c>
    </row>
    <row r="1374" spans="1:9" x14ac:dyDescent="0.3">
      <c r="A1374" t="s">
        <v>679</v>
      </c>
      <c r="B1374">
        <v>64</v>
      </c>
      <c r="C1374">
        <v>449</v>
      </c>
      <c r="D1374">
        <v>430</v>
      </c>
      <c r="E1374">
        <v>821</v>
      </c>
      <c r="F1374">
        <v>913</v>
      </c>
    </row>
    <row r="1375" spans="1:9" x14ac:dyDescent="0.3">
      <c r="A1375" t="s">
        <v>42</v>
      </c>
      <c r="B1375">
        <v>64</v>
      </c>
      <c r="C1375">
        <v>25</v>
      </c>
      <c r="D1375">
        <v>25</v>
      </c>
      <c r="E1375">
        <v>40</v>
      </c>
      <c r="F1375">
        <v>40</v>
      </c>
    </row>
    <row r="1376" spans="1:9" x14ac:dyDescent="0.3">
      <c r="A1376" t="s">
        <v>680</v>
      </c>
      <c r="B1376">
        <v>64</v>
      </c>
      <c r="C1376">
        <v>12.2</v>
      </c>
      <c r="D1376">
        <v>11.7</v>
      </c>
      <c r="E1376">
        <v>14</v>
      </c>
      <c r="F1376">
        <v>15.6</v>
      </c>
    </row>
    <row r="1377" spans="1:6" x14ac:dyDescent="0.3">
      <c r="A1377" t="s">
        <v>41</v>
      </c>
      <c r="B1377">
        <v>64</v>
      </c>
      <c r="C1377">
        <v>0</v>
      </c>
      <c r="D1377">
        <v>0</v>
      </c>
      <c r="E1377">
        <v>0</v>
      </c>
      <c r="F1377">
        <v>0</v>
      </c>
    </row>
    <row r="1378" spans="1:6" x14ac:dyDescent="0.3">
      <c r="A1378" t="s">
        <v>681</v>
      </c>
      <c r="B1378">
        <v>64</v>
      </c>
      <c r="C1378">
        <v>12</v>
      </c>
      <c r="D1378">
        <v>12</v>
      </c>
      <c r="E1378">
        <v>12</v>
      </c>
      <c r="F1378">
        <v>12</v>
      </c>
    </row>
    <row r="1379" spans="1:6" x14ac:dyDescent="0.3">
      <c r="A1379" t="s">
        <v>563</v>
      </c>
      <c r="B1379">
        <v>64</v>
      </c>
      <c r="C1379">
        <v>0</v>
      </c>
      <c r="D1379">
        <v>0</v>
      </c>
      <c r="E1379">
        <v>0</v>
      </c>
      <c r="F1379">
        <v>0</v>
      </c>
    </row>
    <row r="1380" spans="1:6" x14ac:dyDescent="0.3">
      <c r="A1380" t="s">
        <v>682</v>
      </c>
      <c r="B1380">
        <v>64</v>
      </c>
      <c r="C1380">
        <v>0</v>
      </c>
      <c r="D1380">
        <v>0</v>
      </c>
      <c r="E1380">
        <v>0</v>
      </c>
      <c r="F1380">
        <v>0</v>
      </c>
    </row>
    <row r="1381" spans="1:6" x14ac:dyDescent="0.3">
      <c r="A1381" t="s">
        <v>683</v>
      </c>
      <c r="B1381">
        <v>64</v>
      </c>
      <c r="C1381">
        <v>16</v>
      </c>
      <c r="D1381">
        <v>16</v>
      </c>
      <c r="E1381">
        <v>16</v>
      </c>
      <c r="F1381">
        <v>16</v>
      </c>
    </row>
    <row r="1382" spans="1:6" x14ac:dyDescent="0.3">
      <c r="A1382" t="s">
        <v>684</v>
      </c>
      <c r="B1382">
        <v>64</v>
      </c>
      <c r="C1382">
        <v>500</v>
      </c>
      <c r="D1382">
        <v>500</v>
      </c>
      <c r="E1382">
        <v>500</v>
      </c>
      <c r="F1382">
        <v>500</v>
      </c>
    </row>
    <row r="1383" spans="1:6" x14ac:dyDescent="0.3">
      <c r="A1383" t="s">
        <v>685</v>
      </c>
      <c r="B1383">
        <v>64</v>
      </c>
      <c r="C1383">
        <v>1101</v>
      </c>
      <c r="D1383">
        <v>1101</v>
      </c>
      <c r="E1383">
        <v>1761</v>
      </c>
      <c r="F1383">
        <v>1761</v>
      </c>
    </row>
    <row r="1384" spans="1:6" x14ac:dyDescent="0.3">
      <c r="A1384" t="s">
        <v>686</v>
      </c>
      <c r="B1384">
        <v>64</v>
      </c>
      <c r="C1384">
        <v>734</v>
      </c>
      <c r="D1384">
        <v>734</v>
      </c>
      <c r="E1384">
        <v>1174</v>
      </c>
      <c r="F1384">
        <v>1174</v>
      </c>
    </row>
    <row r="1385" spans="1:6" x14ac:dyDescent="0.3">
      <c r="A1385" t="s">
        <v>687</v>
      </c>
      <c r="B1385">
        <v>64</v>
      </c>
      <c r="C1385">
        <v>1468</v>
      </c>
      <c r="D1385">
        <v>1468</v>
      </c>
      <c r="E1385">
        <v>2348</v>
      </c>
      <c r="F1385">
        <v>2348</v>
      </c>
    </row>
    <row r="1386" spans="1:6" x14ac:dyDescent="0.3">
      <c r="A1386" t="s">
        <v>688</v>
      </c>
      <c r="B1386">
        <v>64</v>
      </c>
      <c r="C1386">
        <v>32181</v>
      </c>
    </row>
    <row r="1387" spans="1:6" x14ac:dyDescent="0.3">
      <c r="A1387" t="s">
        <v>689</v>
      </c>
      <c r="B1387">
        <v>64</v>
      </c>
      <c r="C1387">
        <v>-216</v>
      </c>
    </row>
    <row r="1388" spans="1:6" x14ac:dyDescent="0.3">
      <c r="A1388" t="s">
        <v>690</v>
      </c>
      <c r="B1388">
        <v>64</v>
      </c>
      <c r="C1388">
        <v>0</v>
      </c>
    </row>
    <row r="1389" spans="1:6" x14ac:dyDescent="0.3">
      <c r="A1389" t="s">
        <v>691</v>
      </c>
      <c r="B1389">
        <v>64</v>
      </c>
      <c r="C1389" t="b">
        <v>0</v>
      </c>
      <c r="D1389" t="b">
        <v>0</v>
      </c>
      <c r="E1389" t="b">
        <v>0</v>
      </c>
      <c r="F1389" t="b">
        <v>0</v>
      </c>
    </row>
    <row r="1390" spans="1:6" x14ac:dyDescent="0.3">
      <c r="A1390" t="s">
        <v>692</v>
      </c>
      <c r="B1390">
        <v>64</v>
      </c>
      <c r="C1390" t="b">
        <v>0</v>
      </c>
      <c r="D1390" t="b">
        <v>0</v>
      </c>
      <c r="E1390" t="b">
        <v>0</v>
      </c>
      <c r="F1390" t="b">
        <v>0</v>
      </c>
    </row>
    <row r="1391" spans="1:6" x14ac:dyDescent="0.3">
      <c r="A1391" t="s">
        <v>678</v>
      </c>
      <c r="B1391">
        <v>65</v>
      </c>
      <c r="C1391">
        <v>64</v>
      </c>
    </row>
    <row r="1392" spans="1:6" x14ac:dyDescent="0.3">
      <c r="A1392" t="s">
        <v>36</v>
      </c>
      <c r="B1392">
        <v>65</v>
      </c>
      <c r="C1392">
        <v>1</v>
      </c>
    </row>
    <row r="1393" spans="1:3" x14ac:dyDescent="0.3">
      <c r="A1393" t="s">
        <v>503</v>
      </c>
      <c r="B1393">
        <v>65</v>
      </c>
      <c r="C1393" t="s">
        <v>717</v>
      </c>
    </row>
    <row r="1394" spans="1:3" x14ac:dyDescent="0.3">
      <c r="A1394" t="s">
        <v>679</v>
      </c>
      <c r="B1394">
        <v>65</v>
      </c>
      <c r="C1394">
        <v>430</v>
      </c>
    </row>
    <row r="1395" spans="1:3" x14ac:dyDescent="0.3">
      <c r="A1395" t="s">
        <v>42</v>
      </c>
      <c r="B1395">
        <v>65</v>
      </c>
      <c r="C1395">
        <v>30</v>
      </c>
    </row>
    <row r="1396" spans="1:3" x14ac:dyDescent="0.3">
      <c r="A1396" t="s">
        <v>680</v>
      </c>
      <c r="B1396">
        <v>65</v>
      </c>
      <c r="C1396">
        <v>9.8000000000000007</v>
      </c>
    </row>
    <row r="1397" spans="1:3" x14ac:dyDescent="0.3">
      <c r="A1397" t="s">
        <v>41</v>
      </c>
      <c r="B1397">
        <v>65</v>
      </c>
      <c r="C1397">
        <v>0</v>
      </c>
    </row>
    <row r="1398" spans="1:3" x14ac:dyDescent="0.3">
      <c r="A1398" t="s">
        <v>681</v>
      </c>
      <c r="B1398">
        <v>65</v>
      </c>
      <c r="C1398">
        <v>0</v>
      </c>
    </row>
    <row r="1399" spans="1:3" x14ac:dyDescent="0.3">
      <c r="A1399" t="s">
        <v>563</v>
      </c>
      <c r="B1399">
        <v>65</v>
      </c>
      <c r="C1399">
        <v>0</v>
      </c>
    </row>
    <row r="1400" spans="1:3" x14ac:dyDescent="0.3">
      <c r="A1400" t="s">
        <v>682</v>
      </c>
      <c r="B1400">
        <v>65</v>
      </c>
      <c r="C1400">
        <v>0</v>
      </c>
    </row>
    <row r="1401" spans="1:3" x14ac:dyDescent="0.3">
      <c r="A1401" t="s">
        <v>683</v>
      </c>
      <c r="B1401">
        <v>65</v>
      </c>
      <c r="C1401">
        <v>16</v>
      </c>
    </row>
    <row r="1402" spans="1:3" x14ac:dyDescent="0.3">
      <c r="A1402" t="s">
        <v>684</v>
      </c>
      <c r="B1402">
        <v>65</v>
      </c>
      <c r="C1402">
        <v>200</v>
      </c>
    </row>
    <row r="1403" spans="1:3" x14ac:dyDescent="0.3">
      <c r="A1403" t="s">
        <v>685</v>
      </c>
      <c r="B1403">
        <v>65</v>
      </c>
      <c r="C1403">
        <v>1320</v>
      </c>
    </row>
    <row r="1404" spans="1:3" x14ac:dyDescent="0.3">
      <c r="A1404" t="s">
        <v>686</v>
      </c>
      <c r="B1404">
        <v>65</v>
      </c>
      <c r="C1404">
        <v>880</v>
      </c>
    </row>
    <row r="1405" spans="1:3" x14ac:dyDescent="0.3">
      <c r="A1405" t="s">
        <v>687</v>
      </c>
      <c r="B1405">
        <v>65</v>
      </c>
      <c r="C1405">
        <v>1760</v>
      </c>
    </row>
    <row r="1406" spans="1:3" x14ac:dyDescent="0.3">
      <c r="A1406" t="s">
        <v>688</v>
      </c>
      <c r="B1406">
        <v>65</v>
      </c>
    </row>
    <row r="1407" spans="1:3" x14ac:dyDescent="0.3">
      <c r="A1407" t="s">
        <v>689</v>
      </c>
      <c r="B1407">
        <v>65</v>
      </c>
    </row>
    <row r="1408" spans="1:3" x14ac:dyDescent="0.3">
      <c r="A1408" t="s">
        <v>690</v>
      </c>
      <c r="B1408">
        <v>65</v>
      </c>
    </row>
    <row r="1409" spans="1:4" x14ac:dyDescent="0.3">
      <c r="A1409" t="s">
        <v>691</v>
      </c>
      <c r="B1409">
        <v>65</v>
      </c>
      <c r="C1409" t="b">
        <v>0</v>
      </c>
    </row>
    <row r="1410" spans="1:4" x14ac:dyDescent="0.3">
      <c r="A1410" t="s">
        <v>692</v>
      </c>
      <c r="B1410">
        <v>65</v>
      </c>
      <c r="C1410" t="b">
        <v>0</v>
      </c>
    </row>
    <row r="1411" spans="1:4" x14ac:dyDescent="0.3">
      <c r="A1411" t="s">
        <v>678</v>
      </c>
      <c r="B1411">
        <v>66</v>
      </c>
      <c r="D1411">
        <v>64</v>
      </c>
    </row>
    <row r="1412" spans="1:4" x14ac:dyDescent="0.3">
      <c r="A1412" t="s">
        <v>36</v>
      </c>
      <c r="B1412">
        <v>66</v>
      </c>
      <c r="D1412">
        <v>1</v>
      </c>
    </row>
    <row r="1413" spans="1:4" x14ac:dyDescent="0.3">
      <c r="A1413" t="s">
        <v>503</v>
      </c>
      <c r="B1413">
        <v>66</v>
      </c>
      <c r="D1413" t="s">
        <v>717</v>
      </c>
    </row>
    <row r="1414" spans="1:4" x14ac:dyDescent="0.3">
      <c r="A1414" t="s">
        <v>679</v>
      </c>
      <c r="B1414">
        <v>66</v>
      </c>
      <c r="D1414">
        <v>449</v>
      </c>
    </row>
    <row r="1415" spans="1:4" x14ac:dyDescent="0.3">
      <c r="A1415" t="s">
        <v>42</v>
      </c>
      <c r="B1415">
        <v>66</v>
      </c>
      <c r="D1415">
        <v>30</v>
      </c>
    </row>
    <row r="1416" spans="1:4" x14ac:dyDescent="0.3">
      <c r="A1416" t="s">
        <v>680</v>
      </c>
      <c r="B1416">
        <v>66</v>
      </c>
      <c r="D1416">
        <v>10.199999999999999</v>
      </c>
    </row>
    <row r="1417" spans="1:4" x14ac:dyDescent="0.3">
      <c r="A1417" t="s">
        <v>41</v>
      </c>
      <c r="B1417">
        <v>66</v>
      </c>
      <c r="D1417">
        <v>0</v>
      </c>
    </row>
    <row r="1418" spans="1:4" x14ac:dyDescent="0.3">
      <c r="A1418" t="s">
        <v>681</v>
      </c>
      <c r="B1418">
        <v>66</v>
      </c>
      <c r="D1418">
        <v>0</v>
      </c>
    </row>
    <row r="1419" spans="1:4" x14ac:dyDescent="0.3">
      <c r="A1419" t="s">
        <v>563</v>
      </c>
      <c r="B1419">
        <v>66</v>
      </c>
      <c r="D1419">
        <v>0</v>
      </c>
    </row>
    <row r="1420" spans="1:4" x14ac:dyDescent="0.3">
      <c r="A1420" t="s">
        <v>682</v>
      </c>
      <c r="B1420">
        <v>66</v>
      </c>
      <c r="D1420">
        <v>0</v>
      </c>
    </row>
    <row r="1421" spans="1:4" x14ac:dyDescent="0.3">
      <c r="A1421" t="s">
        <v>683</v>
      </c>
      <c r="B1421">
        <v>66</v>
      </c>
      <c r="D1421">
        <v>16</v>
      </c>
    </row>
    <row r="1422" spans="1:4" x14ac:dyDescent="0.3">
      <c r="A1422" t="s">
        <v>684</v>
      </c>
      <c r="B1422">
        <v>66</v>
      </c>
      <c r="D1422">
        <v>200</v>
      </c>
    </row>
    <row r="1423" spans="1:4" x14ac:dyDescent="0.3">
      <c r="A1423" t="s">
        <v>685</v>
      </c>
      <c r="B1423">
        <v>66</v>
      </c>
      <c r="D1423">
        <v>1320</v>
      </c>
    </row>
    <row r="1424" spans="1:4" x14ac:dyDescent="0.3">
      <c r="A1424" t="s">
        <v>686</v>
      </c>
      <c r="B1424">
        <v>66</v>
      </c>
      <c r="D1424">
        <v>880</v>
      </c>
    </row>
    <row r="1425" spans="1:6" x14ac:dyDescent="0.3">
      <c r="A1425" t="s">
        <v>687</v>
      </c>
      <c r="B1425">
        <v>66</v>
      </c>
      <c r="D1425">
        <v>1760</v>
      </c>
    </row>
    <row r="1426" spans="1:6" x14ac:dyDescent="0.3">
      <c r="A1426" t="s">
        <v>688</v>
      </c>
      <c r="B1426">
        <v>66</v>
      </c>
      <c r="D1426">
        <v>32063</v>
      </c>
    </row>
    <row r="1427" spans="1:6" x14ac:dyDescent="0.3">
      <c r="A1427" t="s">
        <v>689</v>
      </c>
      <c r="B1427">
        <v>66</v>
      </c>
      <c r="D1427">
        <v>-426</v>
      </c>
    </row>
    <row r="1428" spans="1:6" x14ac:dyDescent="0.3">
      <c r="A1428" t="s">
        <v>690</v>
      </c>
      <c r="B1428">
        <v>66</v>
      </c>
      <c r="D1428">
        <v>0</v>
      </c>
    </row>
    <row r="1429" spans="1:6" x14ac:dyDescent="0.3">
      <c r="A1429" t="s">
        <v>691</v>
      </c>
      <c r="B1429">
        <v>66</v>
      </c>
      <c r="D1429" t="b">
        <v>0</v>
      </c>
    </row>
    <row r="1430" spans="1:6" x14ac:dyDescent="0.3">
      <c r="A1430" t="s">
        <v>692</v>
      </c>
      <c r="B1430">
        <v>66</v>
      </c>
      <c r="D1430" t="b">
        <v>0</v>
      </c>
    </row>
    <row r="1431" spans="1:6" x14ac:dyDescent="0.3">
      <c r="A1431" t="s">
        <v>678</v>
      </c>
      <c r="B1431">
        <v>67</v>
      </c>
      <c r="C1431">
        <v>69</v>
      </c>
      <c r="D1431">
        <v>68</v>
      </c>
      <c r="E1431">
        <v>64</v>
      </c>
      <c r="F1431">
        <v>70</v>
      </c>
    </row>
    <row r="1432" spans="1:6" x14ac:dyDescent="0.3">
      <c r="A1432" t="s">
        <v>36</v>
      </c>
      <c r="B1432">
        <v>67</v>
      </c>
      <c r="C1432">
        <v>3</v>
      </c>
      <c r="D1432">
        <v>3</v>
      </c>
      <c r="E1432">
        <v>4</v>
      </c>
      <c r="F1432">
        <v>4</v>
      </c>
    </row>
    <row r="1433" spans="1:6" x14ac:dyDescent="0.3">
      <c r="A1433" t="s">
        <v>503</v>
      </c>
      <c r="B1433">
        <v>67</v>
      </c>
      <c r="C1433" t="s">
        <v>718</v>
      </c>
      <c r="D1433" t="s">
        <v>718</v>
      </c>
      <c r="E1433" t="s">
        <v>695</v>
      </c>
      <c r="F1433" t="s">
        <v>695</v>
      </c>
    </row>
    <row r="1434" spans="1:6" x14ac:dyDescent="0.3">
      <c r="A1434" t="s">
        <v>679</v>
      </c>
      <c r="B1434">
        <v>67</v>
      </c>
      <c r="C1434">
        <v>766</v>
      </c>
      <c r="D1434">
        <v>638</v>
      </c>
      <c r="E1434">
        <v>913</v>
      </c>
      <c r="F1434">
        <v>2943</v>
      </c>
    </row>
    <row r="1435" spans="1:6" x14ac:dyDescent="0.3">
      <c r="A1435" t="s">
        <v>42</v>
      </c>
      <c r="B1435">
        <v>67</v>
      </c>
      <c r="C1435">
        <v>40</v>
      </c>
      <c r="D1435">
        <v>40</v>
      </c>
      <c r="E1435">
        <v>45</v>
      </c>
      <c r="F1435">
        <v>45</v>
      </c>
    </row>
    <row r="1436" spans="1:6" x14ac:dyDescent="0.3">
      <c r="A1436" t="s">
        <v>680</v>
      </c>
      <c r="B1436">
        <v>67</v>
      </c>
      <c r="C1436">
        <v>13.1</v>
      </c>
      <c r="D1436">
        <v>10.9</v>
      </c>
      <c r="E1436">
        <v>13.8</v>
      </c>
      <c r="F1436">
        <v>44.6</v>
      </c>
    </row>
    <row r="1437" spans="1:6" x14ac:dyDescent="0.3">
      <c r="A1437" t="s">
        <v>41</v>
      </c>
      <c r="B1437">
        <v>67</v>
      </c>
      <c r="C1437">
        <v>0</v>
      </c>
      <c r="D1437">
        <v>0</v>
      </c>
      <c r="E1437">
        <v>0</v>
      </c>
      <c r="F1437">
        <v>0</v>
      </c>
    </row>
    <row r="1438" spans="1:6" x14ac:dyDescent="0.3">
      <c r="A1438" t="s">
        <v>681</v>
      </c>
      <c r="B1438">
        <v>67</v>
      </c>
      <c r="C1438">
        <v>12</v>
      </c>
      <c r="D1438">
        <v>12</v>
      </c>
      <c r="E1438">
        <v>12</v>
      </c>
      <c r="F1438">
        <v>12</v>
      </c>
    </row>
    <row r="1439" spans="1:6" x14ac:dyDescent="0.3">
      <c r="A1439" t="s">
        <v>563</v>
      </c>
      <c r="B1439">
        <v>67</v>
      </c>
      <c r="C1439">
        <v>0</v>
      </c>
      <c r="D1439">
        <v>0</v>
      </c>
      <c r="E1439">
        <v>0</v>
      </c>
      <c r="F1439">
        <v>0</v>
      </c>
    </row>
    <row r="1440" spans="1:6" x14ac:dyDescent="0.3">
      <c r="A1440" t="s">
        <v>682</v>
      </c>
      <c r="B1440">
        <v>67</v>
      </c>
      <c r="C1440">
        <v>0</v>
      </c>
      <c r="D1440">
        <v>0</v>
      </c>
      <c r="E1440">
        <v>0</v>
      </c>
      <c r="F1440">
        <v>0</v>
      </c>
    </row>
    <row r="1441" spans="1:6" x14ac:dyDescent="0.3">
      <c r="A1441" t="s">
        <v>683</v>
      </c>
      <c r="B1441">
        <v>67</v>
      </c>
      <c r="C1441">
        <v>16</v>
      </c>
      <c r="D1441">
        <v>16</v>
      </c>
      <c r="E1441">
        <v>16</v>
      </c>
      <c r="F1441">
        <v>16</v>
      </c>
    </row>
    <row r="1442" spans="1:6" x14ac:dyDescent="0.3">
      <c r="A1442" t="s">
        <v>684</v>
      </c>
      <c r="B1442">
        <v>67</v>
      </c>
      <c r="C1442">
        <v>500</v>
      </c>
      <c r="D1442">
        <v>500</v>
      </c>
      <c r="E1442">
        <v>500</v>
      </c>
      <c r="F1442">
        <v>500</v>
      </c>
    </row>
    <row r="1443" spans="1:6" x14ac:dyDescent="0.3">
      <c r="A1443" t="s">
        <v>685</v>
      </c>
      <c r="B1443">
        <v>67</v>
      </c>
      <c r="C1443">
        <v>1761</v>
      </c>
      <c r="D1443">
        <v>1761</v>
      </c>
      <c r="E1443">
        <v>1980</v>
      </c>
      <c r="F1443">
        <v>1980</v>
      </c>
    </row>
    <row r="1444" spans="1:6" x14ac:dyDescent="0.3">
      <c r="A1444" t="s">
        <v>686</v>
      </c>
      <c r="B1444">
        <v>67</v>
      </c>
      <c r="C1444">
        <v>1174</v>
      </c>
      <c r="D1444">
        <v>1174</v>
      </c>
      <c r="E1444">
        <v>1320</v>
      </c>
      <c r="F1444">
        <v>1320</v>
      </c>
    </row>
    <row r="1445" spans="1:6" x14ac:dyDescent="0.3">
      <c r="A1445" t="s">
        <v>687</v>
      </c>
      <c r="B1445">
        <v>67</v>
      </c>
      <c r="C1445">
        <v>2348</v>
      </c>
      <c r="D1445">
        <v>2348</v>
      </c>
      <c r="E1445">
        <v>2640</v>
      </c>
      <c r="F1445">
        <v>2640</v>
      </c>
    </row>
    <row r="1446" spans="1:6" x14ac:dyDescent="0.3">
      <c r="A1446" t="s">
        <v>688</v>
      </c>
      <c r="B1446">
        <v>67</v>
      </c>
    </row>
    <row r="1447" spans="1:6" x14ac:dyDescent="0.3">
      <c r="A1447" t="s">
        <v>689</v>
      </c>
      <c r="B1447">
        <v>67</v>
      </c>
    </row>
    <row r="1448" spans="1:6" x14ac:dyDescent="0.3">
      <c r="A1448" t="s">
        <v>690</v>
      </c>
      <c r="B1448">
        <v>67</v>
      </c>
    </row>
    <row r="1449" spans="1:6" x14ac:dyDescent="0.3">
      <c r="A1449" t="s">
        <v>691</v>
      </c>
      <c r="B1449">
        <v>67</v>
      </c>
      <c r="C1449" t="b">
        <v>0</v>
      </c>
      <c r="D1449" t="b">
        <v>0</v>
      </c>
      <c r="E1449" t="b">
        <v>0</v>
      </c>
      <c r="F1449" t="b">
        <v>0</v>
      </c>
    </row>
    <row r="1450" spans="1:6" x14ac:dyDescent="0.3">
      <c r="A1450" t="s">
        <v>692</v>
      </c>
      <c r="B1450">
        <v>67</v>
      </c>
      <c r="C1450" t="b">
        <v>0</v>
      </c>
      <c r="D1450" t="b">
        <v>0</v>
      </c>
      <c r="E1450" t="b">
        <v>0</v>
      </c>
      <c r="F1450" t="b">
        <v>0</v>
      </c>
    </row>
    <row r="1451" spans="1:6" x14ac:dyDescent="0.3">
      <c r="A1451" t="s">
        <v>678</v>
      </c>
      <c r="B1451">
        <v>68</v>
      </c>
      <c r="C1451">
        <v>67</v>
      </c>
    </row>
    <row r="1452" spans="1:6" x14ac:dyDescent="0.3">
      <c r="A1452" t="s">
        <v>36</v>
      </c>
      <c r="B1452">
        <v>68</v>
      </c>
      <c r="C1452">
        <v>2</v>
      </c>
    </row>
    <row r="1453" spans="1:6" x14ac:dyDescent="0.3">
      <c r="A1453" t="s">
        <v>503</v>
      </c>
      <c r="B1453">
        <v>68</v>
      </c>
      <c r="C1453" t="s">
        <v>718</v>
      </c>
    </row>
    <row r="1454" spans="1:6" x14ac:dyDescent="0.3">
      <c r="A1454" t="s">
        <v>679</v>
      </c>
      <c r="B1454">
        <v>68</v>
      </c>
      <c r="C1454">
        <v>638</v>
      </c>
    </row>
    <row r="1455" spans="1:6" x14ac:dyDescent="0.3">
      <c r="A1455" t="s">
        <v>42</v>
      </c>
      <c r="B1455">
        <v>68</v>
      </c>
      <c r="C1455">
        <v>30</v>
      </c>
    </row>
    <row r="1456" spans="1:6" x14ac:dyDescent="0.3">
      <c r="A1456" t="s">
        <v>680</v>
      </c>
      <c r="B1456">
        <v>68</v>
      </c>
      <c r="C1456">
        <v>14.5</v>
      </c>
    </row>
    <row r="1457" spans="1:4" x14ac:dyDescent="0.3">
      <c r="A1457" t="s">
        <v>41</v>
      </c>
      <c r="B1457">
        <v>68</v>
      </c>
      <c r="C1457">
        <v>0</v>
      </c>
    </row>
    <row r="1458" spans="1:4" x14ac:dyDescent="0.3">
      <c r="A1458" t="s">
        <v>681</v>
      </c>
      <c r="B1458">
        <v>68</v>
      </c>
      <c r="C1458">
        <v>12</v>
      </c>
    </row>
    <row r="1459" spans="1:4" x14ac:dyDescent="0.3">
      <c r="A1459" t="s">
        <v>563</v>
      </c>
      <c r="B1459">
        <v>68</v>
      </c>
      <c r="C1459">
        <v>0</v>
      </c>
    </row>
    <row r="1460" spans="1:4" x14ac:dyDescent="0.3">
      <c r="A1460" t="s">
        <v>682</v>
      </c>
      <c r="B1460">
        <v>68</v>
      </c>
      <c r="C1460">
        <v>0</v>
      </c>
    </row>
    <row r="1461" spans="1:4" x14ac:dyDescent="0.3">
      <c r="A1461" t="s">
        <v>683</v>
      </c>
      <c r="B1461">
        <v>68</v>
      </c>
      <c r="C1461">
        <v>16</v>
      </c>
    </row>
    <row r="1462" spans="1:4" x14ac:dyDescent="0.3">
      <c r="A1462" t="s">
        <v>684</v>
      </c>
      <c r="B1462">
        <v>68</v>
      </c>
      <c r="C1462">
        <v>200</v>
      </c>
    </row>
    <row r="1463" spans="1:4" x14ac:dyDescent="0.3">
      <c r="A1463" t="s">
        <v>685</v>
      </c>
      <c r="B1463">
        <v>68</v>
      </c>
      <c r="C1463">
        <v>1320</v>
      </c>
    </row>
    <row r="1464" spans="1:4" x14ac:dyDescent="0.3">
      <c r="A1464" t="s">
        <v>686</v>
      </c>
      <c r="B1464">
        <v>68</v>
      </c>
      <c r="C1464">
        <v>880</v>
      </c>
    </row>
    <row r="1465" spans="1:4" x14ac:dyDescent="0.3">
      <c r="A1465" t="s">
        <v>687</v>
      </c>
      <c r="B1465">
        <v>68</v>
      </c>
      <c r="C1465">
        <v>1760</v>
      </c>
    </row>
    <row r="1466" spans="1:4" x14ac:dyDescent="0.3">
      <c r="A1466" t="s">
        <v>688</v>
      </c>
      <c r="B1466">
        <v>68</v>
      </c>
    </row>
    <row r="1467" spans="1:4" x14ac:dyDescent="0.3">
      <c r="A1467" t="s">
        <v>689</v>
      </c>
      <c r="B1467">
        <v>68</v>
      </c>
    </row>
    <row r="1468" spans="1:4" x14ac:dyDescent="0.3">
      <c r="A1468" t="s">
        <v>690</v>
      </c>
      <c r="B1468">
        <v>68</v>
      </c>
    </row>
    <row r="1469" spans="1:4" x14ac:dyDescent="0.3">
      <c r="A1469" t="s">
        <v>691</v>
      </c>
      <c r="B1469">
        <v>68</v>
      </c>
      <c r="C1469" t="b">
        <v>0</v>
      </c>
    </row>
    <row r="1470" spans="1:4" x14ac:dyDescent="0.3">
      <c r="A1470" t="s">
        <v>692</v>
      </c>
      <c r="B1470">
        <v>68</v>
      </c>
      <c r="C1470" t="b">
        <v>0</v>
      </c>
    </row>
    <row r="1471" spans="1:4" x14ac:dyDescent="0.3">
      <c r="A1471" t="s">
        <v>678</v>
      </c>
      <c r="B1471">
        <v>69</v>
      </c>
      <c r="D1471">
        <v>67</v>
      </c>
    </row>
    <row r="1472" spans="1:4" x14ac:dyDescent="0.3">
      <c r="A1472" t="s">
        <v>36</v>
      </c>
      <c r="B1472">
        <v>69</v>
      </c>
      <c r="D1472">
        <v>2</v>
      </c>
    </row>
    <row r="1473" spans="1:4" x14ac:dyDescent="0.3">
      <c r="A1473" t="s">
        <v>503</v>
      </c>
      <c r="B1473">
        <v>69</v>
      </c>
      <c r="D1473" t="s">
        <v>718</v>
      </c>
    </row>
    <row r="1474" spans="1:4" x14ac:dyDescent="0.3">
      <c r="A1474" t="s">
        <v>679</v>
      </c>
      <c r="B1474">
        <v>69</v>
      </c>
      <c r="D1474">
        <v>766</v>
      </c>
    </row>
    <row r="1475" spans="1:4" x14ac:dyDescent="0.3">
      <c r="A1475" t="s">
        <v>42</v>
      </c>
      <c r="B1475">
        <v>69</v>
      </c>
      <c r="D1475">
        <v>30</v>
      </c>
    </row>
    <row r="1476" spans="1:4" x14ac:dyDescent="0.3">
      <c r="A1476" t="s">
        <v>680</v>
      </c>
      <c r="B1476">
        <v>69</v>
      </c>
      <c r="D1476">
        <v>17.399999999999999</v>
      </c>
    </row>
    <row r="1477" spans="1:4" x14ac:dyDescent="0.3">
      <c r="A1477" t="s">
        <v>41</v>
      </c>
      <c r="B1477">
        <v>69</v>
      </c>
      <c r="D1477">
        <v>0</v>
      </c>
    </row>
    <row r="1478" spans="1:4" x14ac:dyDescent="0.3">
      <c r="A1478" t="s">
        <v>681</v>
      </c>
      <c r="B1478">
        <v>69</v>
      </c>
      <c r="D1478">
        <v>12</v>
      </c>
    </row>
    <row r="1479" spans="1:4" x14ac:dyDescent="0.3">
      <c r="A1479" t="s">
        <v>563</v>
      </c>
      <c r="B1479">
        <v>69</v>
      </c>
      <c r="D1479">
        <v>0</v>
      </c>
    </row>
    <row r="1480" spans="1:4" x14ac:dyDescent="0.3">
      <c r="A1480" t="s">
        <v>682</v>
      </c>
      <c r="B1480">
        <v>69</v>
      </c>
      <c r="D1480">
        <v>0</v>
      </c>
    </row>
    <row r="1481" spans="1:4" x14ac:dyDescent="0.3">
      <c r="A1481" t="s">
        <v>683</v>
      </c>
      <c r="B1481">
        <v>69</v>
      </c>
      <c r="D1481">
        <v>16</v>
      </c>
    </row>
    <row r="1482" spans="1:4" x14ac:dyDescent="0.3">
      <c r="A1482" t="s">
        <v>684</v>
      </c>
      <c r="B1482">
        <v>69</v>
      </c>
      <c r="D1482">
        <v>200</v>
      </c>
    </row>
    <row r="1483" spans="1:4" x14ac:dyDescent="0.3">
      <c r="A1483" t="s">
        <v>685</v>
      </c>
      <c r="B1483">
        <v>69</v>
      </c>
      <c r="D1483">
        <v>1320</v>
      </c>
    </row>
    <row r="1484" spans="1:4" x14ac:dyDescent="0.3">
      <c r="A1484" t="s">
        <v>686</v>
      </c>
      <c r="B1484">
        <v>69</v>
      </c>
      <c r="D1484">
        <v>880</v>
      </c>
    </row>
    <row r="1485" spans="1:4" x14ac:dyDescent="0.3">
      <c r="A1485" t="s">
        <v>687</v>
      </c>
      <c r="B1485">
        <v>69</v>
      </c>
      <c r="D1485">
        <v>1760</v>
      </c>
    </row>
    <row r="1486" spans="1:4" x14ac:dyDescent="0.3">
      <c r="A1486" t="s">
        <v>688</v>
      </c>
      <c r="B1486">
        <v>69</v>
      </c>
    </row>
    <row r="1487" spans="1:4" x14ac:dyDescent="0.3">
      <c r="A1487" t="s">
        <v>689</v>
      </c>
      <c r="B1487">
        <v>69</v>
      </c>
    </row>
    <row r="1488" spans="1:4" x14ac:dyDescent="0.3">
      <c r="A1488" t="s">
        <v>690</v>
      </c>
      <c r="B1488">
        <v>69</v>
      </c>
    </row>
    <row r="1489" spans="1:6" x14ac:dyDescent="0.3">
      <c r="A1489" t="s">
        <v>691</v>
      </c>
      <c r="B1489">
        <v>69</v>
      </c>
      <c r="D1489" t="b">
        <v>0</v>
      </c>
    </row>
    <row r="1490" spans="1:6" x14ac:dyDescent="0.3">
      <c r="A1490" t="s">
        <v>692</v>
      </c>
      <c r="B1490">
        <v>69</v>
      </c>
      <c r="D1490" t="b">
        <v>0</v>
      </c>
    </row>
    <row r="1491" spans="1:6" x14ac:dyDescent="0.3">
      <c r="A1491" t="s">
        <v>678</v>
      </c>
      <c r="B1491">
        <v>70</v>
      </c>
      <c r="C1491">
        <v>72</v>
      </c>
      <c r="D1491">
        <v>71</v>
      </c>
      <c r="E1491">
        <v>67</v>
      </c>
      <c r="F1491">
        <v>5</v>
      </c>
    </row>
    <row r="1492" spans="1:6" x14ac:dyDescent="0.3">
      <c r="A1492" t="s">
        <v>36</v>
      </c>
      <c r="B1492">
        <v>70</v>
      </c>
      <c r="C1492">
        <v>2</v>
      </c>
      <c r="D1492">
        <v>2</v>
      </c>
      <c r="E1492">
        <v>4</v>
      </c>
      <c r="F1492">
        <v>4</v>
      </c>
    </row>
    <row r="1493" spans="1:6" x14ac:dyDescent="0.3">
      <c r="A1493" t="s">
        <v>503</v>
      </c>
      <c r="B1493">
        <v>70</v>
      </c>
      <c r="C1493" t="s">
        <v>719</v>
      </c>
      <c r="D1493" t="s">
        <v>719</v>
      </c>
      <c r="E1493" t="s">
        <v>695</v>
      </c>
      <c r="F1493" t="s">
        <v>695</v>
      </c>
    </row>
    <row r="1494" spans="1:6" x14ac:dyDescent="0.3">
      <c r="A1494" t="s">
        <v>679</v>
      </c>
      <c r="B1494">
        <v>70</v>
      </c>
      <c r="C1494">
        <v>599</v>
      </c>
      <c r="D1494">
        <v>592</v>
      </c>
      <c r="E1494">
        <v>2943</v>
      </c>
      <c r="F1494">
        <v>1781</v>
      </c>
    </row>
    <row r="1495" spans="1:6" x14ac:dyDescent="0.3">
      <c r="A1495" t="s">
        <v>42</v>
      </c>
      <c r="B1495">
        <v>70</v>
      </c>
      <c r="C1495">
        <v>40</v>
      </c>
      <c r="D1495">
        <v>30</v>
      </c>
      <c r="E1495">
        <v>45</v>
      </c>
      <c r="F1495">
        <v>45</v>
      </c>
    </row>
    <row r="1496" spans="1:6" x14ac:dyDescent="0.3">
      <c r="A1496" t="s">
        <v>680</v>
      </c>
      <c r="B1496">
        <v>70</v>
      </c>
      <c r="C1496">
        <v>10.199999999999999</v>
      </c>
      <c r="D1496">
        <v>13.5</v>
      </c>
      <c r="E1496">
        <v>44.6</v>
      </c>
      <c r="F1496">
        <v>27</v>
      </c>
    </row>
    <row r="1497" spans="1:6" x14ac:dyDescent="0.3">
      <c r="A1497" t="s">
        <v>41</v>
      </c>
      <c r="B1497">
        <v>70</v>
      </c>
      <c r="C1497">
        <v>0</v>
      </c>
      <c r="D1497">
        <v>0</v>
      </c>
      <c r="E1497">
        <v>0</v>
      </c>
      <c r="F1497">
        <v>0</v>
      </c>
    </row>
    <row r="1498" spans="1:6" x14ac:dyDescent="0.3">
      <c r="A1498" t="s">
        <v>681</v>
      </c>
      <c r="B1498">
        <v>70</v>
      </c>
      <c r="C1498">
        <v>12</v>
      </c>
      <c r="D1498">
        <v>12</v>
      </c>
      <c r="E1498">
        <v>12</v>
      </c>
      <c r="F1498">
        <v>12</v>
      </c>
    </row>
    <row r="1499" spans="1:6" x14ac:dyDescent="0.3">
      <c r="A1499" t="s">
        <v>563</v>
      </c>
      <c r="B1499">
        <v>70</v>
      </c>
      <c r="C1499">
        <v>0</v>
      </c>
      <c r="D1499">
        <v>0</v>
      </c>
      <c r="E1499">
        <v>0</v>
      </c>
      <c r="F1499">
        <v>0</v>
      </c>
    </row>
    <row r="1500" spans="1:6" x14ac:dyDescent="0.3">
      <c r="A1500" t="s">
        <v>682</v>
      </c>
      <c r="B1500">
        <v>70</v>
      </c>
      <c r="C1500">
        <v>0</v>
      </c>
      <c r="D1500">
        <v>0</v>
      </c>
      <c r="E1500">
        <v>0</v>
      </c>
      <c r="F1500">
        <v>0</v>
      </c>
    </row>
    <row r="1501" spans="1:6" x14ac:dyDescent="0.3">
      <c r="A1501" t="s">
        <v>683</v>
      </c>
      <c r="B1501">
        <v>70</v>
      </c>
      <c r="C1501">
        <v>16</v>
      </c>
      <c r="D1501">
        <v>16</v>
      </c>
      <c r="E1501">
        <v>16</v>
      </c>
      <c r="F1501">
        <v>16</v>
      </c>
    </row>
    <row r="1502" spans="1:6" x14ac:dyDescent="0.3">
      <c r="A1502" t="s">
        <v>684</v>
      </c>
      <c r="B1502">
        <v>70</v>
      </c>
      <c r="C1502">
        <v>500</v>
      </c>
      <c r="D1502">
        <v>500</v>
      </c>
      <c r="E1502">
        <v>500</v>
      </c>
      <c r="F1502">
        <v>500</v>
      </c>
    </row>
    <row r="1503" spans="1:6" x14ac:dyDescent="0.3">
      <c r="A1503" t="s">
        <v>685</v>
      </c>
      <c r="B1503">
        <v>70</v>
      </c>
      <c r="C1503">
        <v>1761</v>
      </c>
      <c r="D1503">
        <v>1320</v>
      </c>
      <c r="E1503">
        <v>1980</v>
      </c>
      <c r="F1503">
        <v>1980</v>
      </c>
    </row>
    <row r="1504" spans="1:6" x14ac:dyDescent="0.3">
      <c r="A1504" t="s">
        <v>686</v>
      </c>
      <c r="B1504">
        <v>70</v>
      </c>
      <c r="C1504">
        <v>1174</v>
      </c>
      <c r="D1504">
        <v>880</v>
      </c>
      <c r="E1504">
        <v>1320</v>
      </c>
      <c r="F1504">
        <v>1320</v>
      </c>
    </row>
    <row r="1505" spans="1:6" x14ac:dyDescent="0.3">
      <c r="A1505" t="s">
        <v>687</v>
      </c>
      <c r="B1505">
        <v>70</v>
      </c>
      <c r="C1505">
        <v>2348</v>
      </c>
      <c r="D1505">
        <v>1760</v>
      </c>
      <c r="E1505">
        <v>2640</v>
      </c>
      <c r="F1505">
        <v>2640</v>
      </c>
    </row>
    <row r="1506" spans="1:6" x14ac:dyDescent="0.3">
      <c r="A1506" t="s">
        <v>688</v>
      </c>
      <c r="B1506">
        <v>70</v>
      </c>
      <c r="D1506">
        <v>35995</v>
      </c>
    </row>
    <row r="1507" spans="1:6" x14ac:dyDescent="0.3">
      <c r="A1507" t="s">
        <v>689</v>
      </c>
      <c r="B1507">
        <v>70</v>
      </c>
      <c r="D1507">
        <v>110</v>
      </c>
    </row>
    <row r="1508" spans="1:6" x14ac:dyDescent="0.3">
      <c r="A1508" t="s">
        <v>690</v>
      </c>
      <c r="B1508">
        <v>70</v>
      </c>
      <c r="D1508">
        <v>0</v>
      </c>
    </row>
    <row r="1509" spans="1:6" x14ac:dyDescent="0.3">
      <c r="A1509" t="s">
        <v>691</v>
      </c>
      <c r="B1509">
        <v>70</v>
      </c>
      <c r="C1509" t="b">
        <v>0</v>
      </c>
      <c r="D1509" t="b">
        <v>0</v>
      </c>
      <c r="E1509" t="b">
        <v>0</v>
      </c>
      <c r="F1509" t="b">
        <v>0</v>
      </c>
    </row>
    <row r="1510" spans="1:6" x14ac:dyDescent="0.3">
      <c r="A1510" t="s">
        <v>692</v>
      </c>
      <c r="B1510">
        <v>70</v>
      </c>
      <c r="C1510" t="b">
        <v>0</v>
      </c>
      <c r="D1510" t="b">
        <v>0</v>
      </c>
      <c r="E1510" t="b">
        <v>0</v>
      </c>
      <c r="F1510" t="b">
        <v>0</v>
      </c>
    </row>
    <row r="1511" spans="1:6" x14ac:dyDescent="0.3">
      <c r="A1511" t="s">
        <v>678</v>
      </c>
      <c r="B1511">
        <v>71</v>
      </c>
      <c r="C1511">
        <v>70</v>
      </c>
    </row>
    <row r="1512" spans="1:6" x14ac:dyDescent="0.3">
      <c r="A1512" t="s">
        <v>36</v>
      </c>
      <c r="B1512">
        <v>71</v>
      </c>
      <c r="C1512">
        <v>1</v>
      </c>
    </row>
    <row r="1513" spans="1:6" x14ac:dyDescent="0.3">
      <c r="A1513" t="s">
        <v>503</v>
      </c>
      <c r="B1513">
        <v>71</v>
      </c>
      <c r="C1513" t="s">
        <v>719</v>
      </c>
    </row>
    <row r="1514" spans="1:6" x14ac:dyDescent="0.3">
      <c r="A1514" t="s">
        <v>679</v>
      </c>
      <c r="B1514">
        <v>71</v>
      </c>
      <c r="C1514">
        <v>592</v>
      </c>
    </row>
    <row r="1515" spans="1:6" x14ac:dyDescent="0.3">
      <c r="A1515" t="s">
        <v>42</v>
      </c>
      <c r="B1515">
        <v>71</v>
      </c>
      <c r="C1515">
        <v>30</v>
      </c>
    </row>
    <row r="1516" spans="1:6" x14ac:dyDescent="0.3">
      <c r="A1516" t="s">
        <v>680</v>
      </c>
      <c r="B1516">
        <v>71</v>
      </c>
      <c r="C1516">
        <v>13.5</v>
      </c>
    </row>
    <row r="1517" spans="1:6" x14ac:dyDescent="0.3">
      <c r="A1517" t="s">
        <v>41</v>
      </c>
      <c r="B1517">
        <v>71</v>
      </c>
      <c r="C1517">
        <v>0</v>
      </c>
    </row>
    <row r="1518" spans="1:6" x14ac:dyDescent="0.3">
      <c r="A1518" t="s">
        <v>681</v>
      </c>
      <c r="B1518">
        <v>71</v>
      </c>
      <c r="C1518">
        <v>12</v>
      </c>
    </row>
    <row r="1519" spans="1:6" x14ac:dyDescent="0.3">
      <c r="A1519" t="s">
        <v>563</v>
      </c>
      <c r="B1519">
        <v>71</v>
      </c>
      <c r="C1519">
        <v>0</v>
      </c>
    </row>
    <row r="1520" spans="1:6" x14ac:dyDescent="0.3">
      <c r="A1520" t="s">
        <v>682</v>
      </c>
      <c r="B1520">
        <v>71</v>
      </c>
      <c r="C1520">
        <v>0</v>
      </c>
    </row>
    <row r="1521" spans="1:4" x14ac:dyDescent="0.3">
      <c r="A1521" t="s">
        <v>683</v>
      </c>
      <c r="B1521">
        <v>71</v>
      </c>
      <c r="C1521">
        <v>16</v>
      </c>
    </row>
    <row r="1522" spans="1:4" x14ac:dyDescent="0.3">
      <c r="A1522" t="s">
        <v>684</v>
      </c>
      <c r="B1522">
        <v>71</v>
      </c>
      <c r="C1522">
        <v>200</v>
      </c>
    </row>
    <row r="1523" spans="1:4" x14ac:dyDescent="0.3">
      <c r="A1523" t="s">
        <v>685</v>
      </c>
      <c r="B1523">
        <v>71</v>
      </c>
      <c r="C1523">
        <v>1320</v>
      </c>
    </row>
    <row r="1524" spans="1:4" x14ac:dyDescent="0.3">
      <c r="A1524" t="s">
        <v>686</v>
      </c>
      <c r="B1524">
        <v>71</v>
      </c>
      <c r="C1524">
        <v>880</v>
      </c>
    </row>
    <row r="1525" spans="1:4" x14ac:dyDescent="0.3">
      <c r="A1525" t="s">
        <v>687</v>
      </c>
      <c r="B1525">
        <v>71</v>
      </c>
      <c r="C1525">
        <v>1760</v>
      </c>
    </row>
    <row r="1526" spans="1:4" x14ac:dyDescent="0.3">
      <c r="A1526" t="s">
        <v>688</v>
      </c>
      <c r="B1526">
        <v>71</v>
      </c>
      <c r="C1526">
        <v>36097</v>
      </c>
    </row>
    <row r="1527" spans="1:4" x14ac:dyDescent="0.3">
      <c r="A1527" t="s">
        <v>689</v>
      </c>
      <c r="B1527">
        <v>71</v>
      </c>
      <c r="C1527">
        <v>276</v>
      </c>
    </row>
    <row r="1528" spans="1:4" x14ac:dyDescent="0.3">
      <c r="A1528" t="s">
        <v>690</v>
      </c>
      <c r="B1528">
        <v>71</v>
      </c>
      <c r="C1528">
        <v>0</v>
      </c>
    </row>
    <row r="1529" spans="1:4" x14ac:dyDescent="0.3">
      <c r="A1529" t="s">
        <v>691</v>
      </c>
      <c r="B1529">
        <v>71</v>
      </c>
      <c r="C1529" t="b">
        <v>0</v>
      </c>
    </row>
    <row r="1530" spans="1:4" x14ac:dyDescent="0.3">
      <c r="A1530" t="s">
        <v>692</v>
      </c>
      <c r="B1530">
        <v>71</v>
      </c>
      <c r="C1530" t="b">
        <v>0</v>
      </c>
    </row>
    <row r="1531" spans="1:4" x14ac:dyDescent="0.3">
      <c r="A1531" t="s">
        <v>678</v>
      </c>
      <c r="B1531">
        <v>72</v>
      </c>
      <c r="D1531">
        <v>70</v>
      </c>
    </row>
    <row r="1532" spans="1:4" x14ac:dyDescent="0.3">
      <c r="A1532" t="s">
        <v>36</v>
      </c>
      <c r="B1532">
        <v>72</v>
      </c>
      <c r="D1532">
        <v>1</v>
      </c>
    </row>
    <row r="1533" spans="1:4" x14ac:dyDescent="0.3">
      <c r="A1533" t="s">
        <v>503</v>
      </c>
      <c r="B1533">
        <v>72</v>
      </c>
      <c r="D1533" t="s">
        <v>719</v>
      </c>
    </row>
    <row r="1534" spans="1:4" x14ac:dyDescent="0.3">
      <c r="A1534" t="s">
        <v>679</v>
      </c>
      <c r="B1534">
        <v>72</v>
      </c>
      <c r="D1534">
        <v>599</v>
      </c>
    </row>
    <row r="1535" spans="1:4" x14ac:dyDescent="0.3">
      <c r="A1535" t="s">
        <v>42</v>
      </c>
      <c r="B1535">
        <v>72</v>
      </c>
      <c r="D1535">
        <v>30</v>
      </c>
    </row>
    <row r="1536" spans="1:4" x14ac:dyDescent="0.3">
      <c r="A1536" t="s">
        <v>680</v>
      </c>
      <c r="B1536">
        <v>72</v>
      </c>
      <c r="D1536">
        <v>13.6</v>
      </c>
    </row>
    <row r="1537" spans="1:6" x14ac:dyDescent="0.3">
      <c r="A1537" t="s">
        <v>41</v>
      </c>
      <c r="B1537">
        <v>72</v>
      </c>
      <c r="D1537">
        <v>0</v>
      </c>
    </row>
    <row r="1538" spans="1:6" x14ac:dyDescent="0.3">
      <c r="A1538" t="s">
        <v>681</v>
      </c>
      <c r="B1538">
        <v>72</v>
      </c>
      <c r="D1538" t="s">
        <v>699</v>
      </c>
    </row>
    <row r="1539" spans="1:6" x14ac:dyDescent="0.3">
      <c r="A1539" t="s">
        <v>563</v>
      </c>
      <c r="B1539">
        <v>72</v>
      </c>
      <c r="D1539">
        <v>0</v>
      </c>
    </row>
    <row r="1540" spans="1:6" x14ac:dyDescent="0.3">
      <c r="A1540" t="s">
        <v>682</v>
      </c>
      <c r="B1540">
        <v>72</v>
      </c>
      <c r="D1540">
        <v>0</v>
      </c>
    </row>
    <row r="1541" spans="1:6" x14ac:dyDescent="0.3">
      <c r="A1541" t="s">
        <v>683</v>
      </c>
      <c r="B1541">
        <v>72</v>
      </c>
      <c r="D1541">
        <v>16</v>
      </c>
    </row>
    <row r="1542" spans="1:6" x14ac:dyDescent="0.3">
      <c r="A1542" t="s">
        <v>684</v>
      </c>
      <c r="B1542">
        <v>72</v>
      </c>
      <c r="D1542">
        <v>200</v>
      </c>
    </row>
    <row r="1543" spans="1:6" x14ac:dyDescent="0.3">
      <c r="A1543" t="s">
        <v>685</v>
      </c>
      <c r="B1543">
        <v>72</v>
      </c>
      <c r="D1543">
        <v>1320</v>
      </c>
    </row>
    <row r="1544" spans="1:6" x14ac:dyDescent="0.3">
      <c r="A1544" t="s">
        <v>686</v>
      </c>
      <c r="B1544">
        <v>72</v>
      </c>
      <c r="D1544">
        <v>880</v>
      </c>
    </row>
    <row r="1545" spans="1:6" x14ac:dyDescent="0.3">
      <c r="A1545" t="s">
        <v>687</v>
      </c>
      <c r="B1545">
        <v>72</v>
      </c>
      <c r="D1545">
        <v>1760</v>
      </c>
    </row>
    <row r="1546" spans="1:6" x14ac:dyDescent="0.3">
      <c r="A1546" t="s">
        <v>688</v>
      </c>
      <c r="B1546">
        <v>72</v>
      </c>
    </row>
    <row r="1547" spans="1:6" x14ac:dyDescent="0.3">
      <c r="A1547" t="s">
        <v>689</v>
      </c>
      <c r="B1547">
        <v>72</v>
      </c>
    </row>
    <row r="1548" spans="1:6" x14ac:dyDescent="0.3">
      <c r="A1548" t="s">
        <v>690</v>
      </c>
      <c r="B1548">
        <v>72</v>
      </c>
    </row>
    <row r="1549" spans="1:6" x14ac:dyDescent="0.3">
      <c r="A1549" t="s">
        <v>691</v>
      </c>
      <c r="B1549">
        <v>72</v>
      </c>
      <c r="D1549" t="b">
        <v>0</v>
      </c>
    </row>
    <row r="1550" spans="1:6" x14ac:dyDescent="0.3">
      <c r="A1550" t="s">
        <v>692</v>
      </c>
      <c r="B1550">
        <v>72</v>
      </c>
      <c r="D1550" t="b">
        <v>0</v>
      </c>
    </row>
    <row r="1551" spans="1:6" x14ac:dyDescent="0.3">
      <c r="A1551" t="s">
        <v>678</v>
      </c>
      <c r="B1551">
        <v>73</v>
      </c>
      <c r="C1551">
        <v>74</v>
      </c>
      <c r="E1551">
        <v>27</v>
      </c>
      <c r="F1551">
        <v>32</v>
      </c>
    </row>
    <row r="1552" spans="1:6" x14ac:dyDescent="0.3">
      <c r="A1552" t="s">
        <v>36</v>
      </c>
      <c r="B1552">
        <v>73</v>
      </c>
      <c r="C1552">
        <v>2</v>
      </c>
      <c r="E1552">
        <v>3</v>
      </c>
      <c r="F1552">
        <v>4</v>
      </c>
    </row>
    <row r="1553" spans="1:6" x14ac:dyDescent="0.3">
      <c r="A1553" t="s">
        <v>503</v>
      </c>
      <c r="B1553">
        <v>73</v>
      </c>
      <c r="C1553" t="s">
        <v>720</v>
      </c>
      <c r="E1553" t="s">
        <v>695</v>
      </c>
      <c r="F1553" t="s">
        <v>695</v>
      </c>
    </row>
    <row r="1554" spans="1:6" x14ac:dyDescent="0.3">
      <c r="A1554" t="s">
        <v>679</v>
      </c>
      <c r="B1554">
        <v>73</v>
      </c>
      <c r="C1554">
        <v>616</v>
      </c>
      <c r="E1554">
        <v>1322</v>
      </c>
      <c r="F1554">
        <v>1302</v>
      </c>
    </row>
    <row r="1555" spans="1:6" x14ac:dyDescent="0.3">
      <c r="A1555" t="s">
        <v>42</v>
      </c>
      <c r="B1555">
        <v>73</v>
      </c>
      <c r="C1555">
        <v>30</v>
      </c>
      <c r="E1555">
        <v>45</v>
      </c>
      <c r="F1555">
        <v>40</v>
      </c>
    </row>
    <row r="1556" spans="1:6" x14ac:dyDescent="0.3">
      <c r="A1556" t="s">
        <v>680</v>
      </c>
      <c r="B1556">
        <v>73</v>
      </c>
      <c r="C1556">
        <v>14</v>
      </c>
      <c r="E1556">
        <v>20</v>
      </c>
      <c r="F1556">
        <v>22.2</v>
      </c>
    </row>
    <row r="1557" spans="1:6" x14ac:dyDescent="0.3">
      <c r="A1557" t="s">
        <v>41</v>
      </c>
      <c r="B1557">
        <v>73</v>
      </c>
      <c r="C1557">
        <v>0</v>
      </c>
      <c r="E1557">
        <v>0</v>
      </c>
      <c r="F1557">
        <v>0</v>
      </c>
    </row>
    <row r="1558" spans="1:6" x14ac:dyDescent="0.3">
      <c r="A1558" t="s">
        <v>681</v>
      </c>
      <c r="B1558">
        <v>73</v>
      </c>
      <c r="C1558">
        <v>12</v>
      </c>
      <c r="E1558">
        <v>12</v>
      </c>
      <c r="F1558">
        <v>12</v>
      </c>
    </row>
    <row r="1559" spans="1:6" x14ac:dyDescent="0.3">
      <c r="A1559" t="s">
        <v>563</v>
      </c>
      <c r="B1559">
        <v>73</v>
      </c>
      <c r="C1559">
        <v>0</v>
      </c>
      <c r="E1559">
        <v>0</v>
      </c>
      <c r="F1559">
        <v>0</v>
      </c>
    </row>
    <row r="1560" spans="1:6" x14ac:dyDescent="0.3">
      <c r="A1560" t="s">
        <v>682</v>
      </c>
      <c r="B1560">
        <v>73</v>
      </c>
      <c r="C1560">
        <v>0</v>
      </c>
      <c r="E1560">
        <v>0</v>
      </c>
      <c r="F1560">
        <v>0</v>
      </c>
    </row>
    <row r="1561" spans="1:6" x14ac:dyDescent="0.3">
      <c r="A1561" t="s">
        <v>683</v>
      </c>
      <c r="B1561">
        <v>73</v>
      </c>
      <c r="C1561">
        <v>16</v>
      </c>
      <c r="E1561">
        <v>16</v>
      </c>
      <c r="F1561">
        <v>16</v>
      </c>
    </row>
    <row r="1562" spans="1:6" x14ac:dyDescent="0.3">
      <c r="A1562" t="s">
        <v>684</v>
      </c>
      <c r="B1562">
        <v>73</v>
      </c>
      <c r="C1562">
        <v>500</v>
      </c>
      <c r="E1562">
        <v>500</v>
      </c>
      <c r="F1562">
        <v>500</v>
      </c>
    </row>
    <row r="1563" spans="1:6" x14ac:dyDescent="0.3">
      <c r="A1563" t="s">
        <v>685</v>
      </c>
      <c r="B1563">
        <v>73</v>
      </c>
      <c r="C1563">
        <v>1320</v>
      </c>
      <c r="E1563">
        <v>1980</v>
      </c>
      <c r="F1563">
        <v>1761</v>
      </c>
    </row>
    <row r="1564" spans="1:6" x14ac:dyDescent="0.3">
      <c r="A1564" t="s">
        <v>686</v>
      </c>
      <c r="B1564">
        <v>73</v>
      </c>
      <c r="C1564">
        <v>880</v>
      </c>
      <c r="E1564">
        <v>1320</v>
      </c>
      <c r="F1564">
        <v>1174</v>
      </c>
    </row>
    <row r="1565" spans="1:6" x14ac:dyDescent="0.3">
      <c r="A1565" t="s">
        <v>687</v>
      </c>
      <c r="B1565">
        <v>73</v>
      </c>
      <c r="C1565">
        <v>1760</v>
      </c>
      <c r="E1565">
        <v>2640</v>
      </c>
      <c r="F1565">
        <v>2348</v>
      </c>
    </row>
    <row r="1566" spans="1:6" x14ac:dyDescent="0.3">
      <c r="A1566" t="s">
        <v>688</v>
      </c>
      <c r="B1566">
        <v>73</v>
      </c>
    </row>
    <row r="1567" spans="1:6" x14ac:dyDescent="0.3">
      <c r="A1567" t="s">
        <v>689</v>
      </c>
      <c r="B1567">
        <v>73</v>
      </c>
    </row>
    <row r="1568" spans="1:6" x14ac:dyDescent="0.3">
      <c r="A1568" t="s">
        <v>690</v>
      </c>
      <c r="B1568">
        <v>73</v>
      </c>
    </row>
    <row r="1569" spans="1:6" x14ac:dyDescent="0.3">
      <c r="A1569" t="s">
        <v>691</v>
      </c>
      <c r="B1569">
        <v>73</v>
      </c>
      <c r="C1569" t="b">
        <v>0</v>
      </c>
      <c r="E1569" t="b">
        <v>0</v>
      </c>
      <c r="F1569" t="b">
        <v>0</v>
      </c>
    </row>
    <row r="1570" spans="1:6" x14ac:dyDescent="0.3">
      <c r="A1570" t="s">
        <v>692</v>
      </c>
      <c r="B1570">
        <v>73</v>
      </c>
      <c r="C1570" t="b">
        <v>0</v>
      </c>
      <c r="E1570" t="b">
        <v>0</v>
      </c>
      <c r="F1570" t="b">
        <v>0</v>
      </c>
    </row>
    <row r="1571" spans="1:6" x14ac:dyDescent="0.3">
      <c r="A1571" t="s">
        <v>678</v>
      </c>
      <c r="B1571">
        <v>74</v>
      </c>
      <c r="D1571">
        <v>73</v>
      </c>
    </row>
    <row r="1572" spans="1:6" x14ac:dyDescent="0.3">
      <c r="A1572" t="s">
        <v>36</v>
      </c>
      <c r="B1572">
        <v>74</v>
      </c>
      <c r="D1572">
        <v>1</v>
      </c>
    </row>
    <row r="1573" spans="1:6" x14ac:dyDescent="0.3">
      <c r="A1573" t="s">
        <v>503</v>
      </c>
      <c r="B1573">
        <v>74</v>
      </c>
      <c r="D1573" t="s">
        <v>720</v>
      </c>
    </row>
    <row r="1574" spans="1:6" x14ac:dyDescent="0.3">
      <c r="A1574" t="s">
        <v>679</v>
      </c>
      <c r="B1574">
        <v>74</v>
      </c>
      <c r="D1574">
        <v>616</v>
      </c>
    </row>
    <row r="1575" spans="1:6" x14ac:dyDescent="0.3">
      <c r="A1575" t="s">
        <v>42</v>
      </c>
      <c r="B1575">
        <v>74</v>
      </c>
      <c r="D1575">
        <v>30</v>
      </c>
    </row>
    <row r="1576" spans="1:6" x14ac:dyDescent="0.3">
      <c r="A1576" t="s">
        <v>680</v>
      </c>
      <c r="B1576">
        <v>74</v>
      </c>
      <c r="D1576">
        <v>14</v>
      </c>
    </row>
    <row r="1577" spans="1:6" x14ac:dyDescent="0.3">
      <c r="A1577" t="s">
        <v>41</v>
      </c>
      <c r="B1577">
        <v>74</v>
      </c>
      <c r="D1577">
        <v>0</v>
      </c>
    </row>
    <row r="1578" spans="1:6" x14ac:dyDescent="0.3">
      <c r="A1578" t="s">
        <v>681</v>
      </c>
      <c r="B1578">
        <v>74</v>
      </c>
      <c r="D1578">
        <v>0</v>
      </c>
    </row>
    <row r="1579" spans="1:6" x14ac:dyDescent="0.3">
      <c r="A1579" t="s">
        <v>563</v>
      </c>
      <c r="B1579">
        <v>74</v>
      </c>
      <c r="D1579">
        <v>0</v>
      </c>
    </row>
    <row r="1580" spans="1:6" x14ac:dyDescent="0.3">
      <c r="A1580" t="s">
        <v>682</v>
      </c>
      <c r="B1580">
        <v>74</v>
      </c>
      <c r="D1580">
        <v>0</v>
      </c>
    </row>
    <row r="1581" spans="1:6" x14ac:dyDescent="0.3">
      <c r="A1581" t="s">
        <v>683</v>
      </c>
      <c r="B1581">
        <v>74</v>
      </c>
      <c r="D1581">
        <v>16</v>
      </c>
    </row>
    <row r="1582" spans="1:6" x14ac:dyDescent="0.3">
      <c r="A1582" t="s">
        <v>684</v>
      </c>
      <c r="B1582">
        <v>74</v>
      </c>
      <c r="D1582">
        <v>200</v>
      </c>
    </row>
    <row r="1583" spans="1:6" x14ac:dyDescent="0.3">
      <c r="A1583" t="s">
        <v>685</v>
      </c>
      <c r="B1583">
        <v>74</v>
      </c>
      <c r="D1583">
        <v>1320</v>
      </c>
    </row>
    <row r="1584" spans="1:6" x14ac:dyDescent="0.3">
      <c r="A1584" t="s">
        <v>686</v>
      </c>
      <c r="B1584">
        <v>74</v>
      </c>
      <c r="D1584">
        <v>880</v>
      </c>
    </row>
    <row r="1585" spans="1:4" x14ac:dyDescent="0.3">
      <c r="A1585" t="s">
        <v>687</v>
      </c>
      <c r="B1585">
        <v>74</v>
      </c>
      <c r="D1585">
        <v>1760</v>
      </c>
    </row>
    <row r="1586" spans="1:4" x14ac:dyDescent="0.3">
      <c r="A1586" t="s">
        <v>688</v>
      </c>
      <c r="B1586">
        <v>74</v>
      </c>
    </row>
    <row r="1587" spans="1:4" x14ac:dyDescent="0.3">
      <c r="A1587" t="s">
        <v>689</v>
      </c>
      <c r="B1587">
        <v>74</v>
      </c>
    </row>
    <row r="1588" spans="1:4" x14ac:dyDescent="0.3">
      <c r="A1588" t="s">
        <v>690</v>
      </c>
      <c r="B1588">
        <v>74</v>
      </c>
    </row>
    <row r="1589" spans="1:4" x14ac:dyDescent="0.3">
      <c r="A1589" t="s">
        <v>691</v>
      </c>
      <c r="B1589">
        <v>74</v>
      </c>
      <c r="D1589" t="b">
        <v>0</v>
      </c>
    </row>
    <row r="1590" spans="1:4" x14ac:dyDescent="0.3">
      <c r="A1590" t="s">
        <v>692</v>
      </c>
      <c r="B1590">
        <v>74</v>
      </c>
      <c r="D1590" t="b">
        <v>0</v>
      </c>
    </row>
    <row r="1591" spans="1:4" x14ac:dyDescent="0.3">
      <c r="A1591" t="s">
        <v>678</v>
      </c>
      <c r="B1591">
        <v>96</v>
      </c>
      <c r="D1591">
        <v>98</v>
      </c>
    </row>
    <row r="1592" spans="1:4" x14ac:dyDescent="0.3">
      <c r="A1592" t="s">
        <v>36</v>
      </c>
      <c r="B1592">
        <v>96</v>
      </c>
      <c r="D1592" t="s">
        <v>699</v>
      </c>
    </row>
    <row r="1593" spans="1:4" x14ac:dyDescent="0.3">
      <c r="A1593" t="s">
        <v>503</v>
      </c>
      <c r="B1593">
        <v>96</v>
      </c>
    </row>
    <row r="1594" spans="1:4" x14ac:dyDescent="0.3">
      <c r="A1594" t="s">
        <v>679</v>
      </c>
      <c r="B1594">
        <v>96</v>
      </c>
      <c r="D1594">
        <v>523</v>
      </c>
    </row>
    <row r="1595" spans="1:4" x14ac:dyDescent="0.3">
      <c r="A1595" t="s">
        <v>42</v>
      </c>
      <c r="B1595">
        <v>96</v>
      </c>
      <c r="D1595">
        <v>30</v>
      </c>
    </row>
    <row r="1596" spans="1:4" x14ac:dyDescent="0.3">
      <c r="A1596" t="s">
        <v>680</v>
      </c>
      <c r="B1596">
        <v>96</v>
      </c>
      <c r="D1596">
        <v>11.9</v>
      </c>
    </row>
    <row r="1597" spans="1:4" x14ac:dyDescent="0.3">
      <c r="A1597" t="s">
        <v>41</v>
      </c>
      <c r="B1597">
        <v>96</v>
      </c>
      <c r="D1597">
        <v>0</v>
      </c>
    </row>
    <row r="1598" spans="1:4" x14ac:dyDescent="0.3">
      <c r="A1598" t="s">
        <v>681</v>
      </c>
      <c r="B1598">
        <v>96</v>
      </c>
      <c r="D1598">
        <v>0</v>
      </c>
    </row>
    <row r="1599" spans="1:4" x14ac:dyDescent="0.3">
      <c r="A1599" t="s">
        <v>563</v>
      </c>
      <c r="B1599">
        <v>96</v>
      </c>
      <c r="D1599">
        <v>0</v>
      </c>
    </row>
    <row r="1600" spans="1:4" x14ac:dyDescent="0.3">
      <c r="A1600" t="s">
        <v>682</v>
      </c>
      <c r="B1600">
        <v>96</v>
      </c>
      <c r="D1600">
        <v>0</v>
      </c>
    </row>
    <row r="1601" spans="1:10" x14ac:dyDescent="0.3">
      <c r="A1601" t="s">
        <v>683</v>
      </c>
      <c r="B1601">
        <v>96</v>
      </c>
      <c r="D1601">
        <v>16</v>
      </c>
    </row>
    <row r="1602" spans="1:10" x14ac:dyDescent="0.3">
      <c r="A1602" t="s">
        <v>684</v>
      </c>
      <c r="B1602">
        <v>96</v>
      </c>
      <c r="D1602">
        <v>200</v>
      </c>
    </row>
    <row r="1603" spans="1:10" x14ac:dyDescent="0.3">
      <c r="A1603" t="s">
        <v>685</v>
      </c>
      <c r="B1603">
        <v>96</v>
      </c>
      <c r="D1603">
        <v>1320</v>
      </c>
    </row>
    <row r="1604" spans="1:10" x14ac:dyDescent="0.3">
      <c r="A1604" t="s">
        <v>686</v>
      </c>
      <c r="B1604">
        <v>96</v>
      </c>
      <c r="D1604">
        <v>880</v>
      </c>
    </row>
    <row r="1605" spans="1:10" x14ac:dyDescent="0.3">
      <c r="A1605" t="s">
        <v>687</v>
      </c>
      <c r="B1605">
        <v>96</v>
      </c>
      <c r="D1605">
        <v>1760</v>
      </c>
    </row>
    <row r="1606" spans="1:10" x14ac:dyDescent="0.3">
      <c r="A1606" t="s">
        <v>688</v>
      </c>
      <c r="B1606">
        <v>96</v>
      </c>
    </row>
    <row r="1607" spans="1:10" x14ac:dyDescent="0.3">
      <c r="A1607" t="s">
        <v>689</v>
      </c>
      <c r="B1607">
        <v>96</v>
      </c>
    </row>
    <row r="1608" spans="1:10" x14ac:dyDescent="0.3">
      <c r="A1608" t="s">
        <v>690</v>
      </c>
      <c r="B1608">
        <v>96</v>
      </c>
    </row>
    <row r="1609" spans="1:10" x14ac:dyDescent="0.3">
      <c r="A1609" t="s">
        <v>691</v>
      </c>
      <c r="B1609">
        <v>96</v>
      </c>
      <c r="D1609" t="b">
        <v>0</v>
      </c>
    </row>
    <row r="1610" spans="1:10" x14ac:dyDescent="0.3">
      <c r="A1610" t="s">
        <v>692</v>
      </c>
      <c r="B1610">
        <v>96</v>
      </c>
      <c r="D1610" t="b">
        <v>0</v>
      </c>
    </row>
    <row r="1611" spans="1:10" x14ac:dyDescent="0.3">
      <c r="A1611" t="s">
        <v>678</v>
      </c>
      <c r="B1611">
        <v>97</v>
      </c>
      <c r="C1611">
        <v>99</v>
      </c>
      <c r="E1611">
        <v>53</v>
      </c>
      <c r="F1611">
        <v>56</v>
      </c>
      <c r="J1611">
        <v>60</v>
      </c>
    </row>
    <row r="1612" spans="1:10" x14ac:dyDescent="0.3">
      <c r="A1612" t="s">
        <v>36</v>
      </c>
      <c r="B1612">
        <v>97</v>
      </c>
      <c r="C1612">
        <v>0</v>
      </c>
      <c r="E1612">
        <v>4</v>
      </c>
      <c r="F1612">
        <v>3</v>
      </c>
      <c r="J1612">
        <v>1</v>
      </c>
    </row>
    <row r="1613" spans="1:10" x14ac:dyDescent="0.3">
      <c r="A1613" t="s">
        <v>503</v>
      </c>
      <c r="B1613">
        <v>97</v>
      </c>
      <c r="E1613" t="s">
        <v>695</v>
      </c>
    </row>
    <row r="1614" spans="1:10" x14ac:dyDescent="0.3">
      <c r="A1614" t="s">
        <v>679</v>
      </c>
      <c r="B1614">
        <v>97</v>
      </c>
      <c r="C1614">
        <v>233</v>
      </c>
      <c r="E1614">
        <v>1087</v>
      </c>
      <c r="F1614">
        <v>283</v>
      </c>
      <c r="J1614">
        <v>192</v>
      </c>
    </row>
    <row r="1615" spans="1:10" x14ac:dyDescent="0.3">
      <c r="A1615" t="s">
        <v>42</v>
      </c>
      <c r="B1615">
        <v>97</v>
      </c>
      <c r="C1615">
        <v>30</v>
      </c>
      <c r="E1615">
        <v>40</v>
      </c>
      <c r="F1615">
        <v>40</v>
      </c>
      <c r="J1615">
        <v>40</v>
      </c>
    </row>
    <row r="1616" spans="1:10" x14ac:dyDescent="0.3">
      <c r="A1616" t="s">
        <v>680</v>
      </c>
      <c r="B1616">
        <v>97</v>
      </c>
      <c r="C1616">
        <v>5.3</v>
      </c>
      <c r="E1616">
        <v>18.5</v>
      </c>
      <c r="F1616">
        <v>4.8</v>
      </c>
      <c r="J1616">
        <v>3.3</v>
      </c>
    </row>
    <row r="1617" spans="1:10" x14ac:dyDescent="0.3">
      <c r="A1617" t="s">
        <v>41</v>
      </c>
      <c r="B1617">
        <v>97</v>
      </c>
      <c r="C1617">
        <v>0</v>
      </c>
      <c r="E1617">
        <v>0</v>
      </c>
      <c r="F1617">
        <v>0</v>
      </c>
      <c r="J1617">
        <v>0</v>
      </c>
    </row>
    <row r="1618" spans="1:10" x14ac:dyDescent="0.3">
      <c r="A1618" t="s">
        <v>681</v>
      </c>
      <c r="B1618">
        <v>97</v>
      </c>
      <c r="C1618">
        <v>0</v>
      </c>
      <c r="E1618">
        <v>24</v>
      </c>
      <c r="F1618">
        <v>24</v>
      </c>
      <c r="J1618">
        <v>0</v>
      </c>
    </row>
    <row r="1619" spans="1:10" x14ac:dyDescent="0.3">
      <c r="A1619" t="s">
        <v>563</v>
      </c>
      <c r="B1619">
        <v>97</v>
      </c>
      <c r="C1619">
        <v>0</v>
      </c>
      <c r="E1619">
        <v>0</v>
      </c>
      <c r="F1619">
        <v>0</v>
      </c>
      <c r="J1619">
        <v>0</v>
      </c>
    </row>
    <row r="1620" spans="1:10" x14ac:dyDescent="0.3">
      <c r="A1620" t="s">
        <v>682</v>
      </c>
      <c r="B1620">
        <v>97</v>
      </c>
      <c r="C1620">
        <v>0</v>
      </c>
      <c r="E1620">
        <v>0</v>
      </c>
      <c r="F1620">
        <v>1</v>
      </c>
      <c r="J1620">
        <v>0</v>
      </c>
    </row>
    <row r="1621" spans="1:10" x14ac:dyDescent="0.3">
      <c r="A1621" t="s">
        <v>683</v>
      </c>
      <c r="B1621">
        <v>97</v>
      </c>
      <c r="C1621">
        <v>16</v>
      </c>
      <c r="E1621">
        <v>16</v>
      </c>
      <c r="F1621">
        <v>16</v>
      </c>
      <c r="J1621">
        <v>16</v>
      </c>
    </row>
    <row r="1622" spans="1:10" x14ac:dyDescent="0.3">
      <c r="A1622" t="s">
        <v>684</v>
      </c>
      <c r="B1622">
        <v>97</v>
      </c>
      <c r="C1622">
        <v>200</v>
      </c>
      <c r="E1622">
        <v>200</v>
      </c>
      <c r="F1622">
        <v>200</v>
      </c>
      <c r="J1622">
        <v>200</v>
      </c>
    </row>
    <row r="1623" spans="1:10" x14ac:dyDescent="0.3">
      <c r="A1623" t="s">
        <v>685</v>
      </c>
      <c r="B1623">
        <v>97</v>
      </c>
      <c r="C1623">
        <v>1320</v>
      </c>
      <c r="E1623">
        <v>1761</v>
      </c>
      <c r="F1623">
        <v>1761</v>
      </c>
      <c r="J1623">
        <v>1761</v>
      </c>
    </row>
    <row r="1624" spans="1:10" x14ac:dyDescent="0.3">
      <c r="A1624" t="s">
        <v>686</v>
      </c>
      <c r="B1624">
        <v>97</v>
      </c>
      <c r="C1624">
        <v>880</v>
      </c>
      <c r="E1624">
        <v>1174</v>
      </c>
      <c r="F1624">
        <v>1174</v>
      </c>
      <c r="J1624">
        <v>1174</v>
      </c>
    </row>
    <row r="1625" spans="1:10" x14ac:dyDescent="0.3">
      <c r="A1625" t="s">
        <v>687</v>
      </c>
      <c r="B1625">
        <v>97</v>
      </c>
      <c r="C1625">
        <v>1760</v>
      </c>
      <c r="E1625">
        <v>2348</v>
      </c>
      <c r="F1625">
        <v>2348</v>
      </c>
      <c r="J1625">
        <v>2348</v>
      </c>
    </row>
    <row r="1626" spans="1:10" x14ac:dyDescent="0.3">
      <c r="A1626" t="s">
        <v>688</v>
      </c>
      <c r="B1626">
        <v>97</v>
      </c>
    </row>
    <row r="1627" spans="1:10" x14ac:dyDescent="0.3">
      <c r="A1627" t="s">
        <v>689</v>
      </c>
      <c r="B1627">
        <v>97</v>
      </c>
    </row>
    <row r="1628" spans="1:10" x14ac:dyDescent="0.3">
      <c r="A1628" t="s">
        <v>690</v>
      </c>
      <c r="B1628">
        <v>97</v>
      </c>
    </row>
    <row r="1629" spans="1:10" x14ac:dyDescent="0.3">
      <c r="A1629" t="s">
        <v>691</v>
      </c>
      <c r="B1629">
        <v>97</v>
      </c>
      <c r="C1629" t="b">
        <v>0</v>
      </c>
      <c r="E1629" t="b">
        <v>0</v>
      </c>
      <c r="F1629" t="b">
        <v>0</v>
      </c>
      <c r="J1629" t="b">
        <v>0</v>
      </c>
    </row>
    <row r="1630" spans="1:10" x14ac:dyDescent="0.3">
      <c r="A1630" t="s">
        <v>692</v>
      </c>
      <c r="B1630">
        <v>97</v>
      </c>
      <c r="C1630" t="b">
        <v>0</v>
      </c>
      <c r="E1630" t="b">
        <v>0</v>
      </c>
      <c r="F1630" t="b">
        <v>0</v>
      </c>
      <c r="J1630" t="b">
        <v>0</v>
      </c>
    </row>
    <row r="1631" spans="1:10" x14ac:dyDescent="0.3">
      <c r="A1631" t="s">
        <v>678</v>
      </c>
      <c r="B1631">
        <v>98</v>
      </c>
      <c r="C1631">
        <v>96</v>
      </c>
      <c r="D1631">
        <v>56</v>
      </c>
    </row>
    <row r="1632" spans="1:10" x14ac:dyDescent="0.3">
      <c r="A1632" t="s">
        <v>36</v>
      </c>
      <c r="B1632">
        <v>98</v>
      </c>
      <c r="C1632" t="s">
        <v>721</v>
      </c>
      <c r="D1632" t="s">
        <v>699</v>
      </c>
    </row>
    <row r="1633" spans="1:4" x14ac:dyDescent="0.3">
      <c r="A1633" t="s">
        <v>503</v>
      </c>
      <c r="B1633">
        <v>98</v>
      </c>
    </row>
    <row r="1634" spans="1:4" x14ac:dyDescent="0.3">
      <c r="A1634" t="s">
        <v>679</v>
      </c>
      <c r="B1634">
        <v>98</v>
      </c>
      <c r="C1634">
        <v>523</v>
      </c>
      <c r="D1634">
        <v>295</v>
      </c>
    </row>
    <row r="1635" spans="1:4" x14ac:dyDescent="0.3">
      <c r="A1635" t="s">
        <v>42</v>
      </c>
      <c r="B1635">
        <v>98</v>
      </c>
      <c r="C1635">
        <v>30</v>
      </c>
      <c r="D1635">
        <v>30</v>
      </c>
    </row>
    <row r="1636" spans="1:4" x14ac:dyDescent="0.3">
      <c r="A1636" t="s">
        <v>680</v>
      </c>
      <c r="B1636">
        <v>98</v>
      </c>
      <c r="C1636">
        <v>11.9</v>
      </c>
      <c r="D1636">
        <v>6.7</v>
      </c>
    </row>
    <row r="1637" spans="1:4" x14ac:dyDescent="0.3">
      <c r="A1637" t="s">
        <v>41</v>
      </c>
      <c r="B1637">
        <v>98</v>
      </c>
      <c r="C1637">
        <v>0</v>
      </c>
      <c r="D1637">
        <v>0</v>
      </c>
    </row>
    <row r="1638" spans="1:4" x14ac:dyDescent="0.3">
      <c r="A1638" t="s">
        <v>681</v>
      </c>
      <c r="B1638">
        <v>98</v>
      </c>
      <c r="C1638">
        <v>0</v>
      </c>
      <c r="D1638">
        <v>0</v>
      </c>
    </row>
    <row r="1639" spans="1:4" x14ac:dyDescent="0.3">
      <c r="A1639" t="s">
        <v>563</v>
      </c>
      <c r="B1639">
        <v>98</v>
      </c>
      <c r="C1639">
        <v>0</v>
      </c>
      <c r="D1639">
        <v>0</v>
      </c>
    </row>
    <row r="1640" spans="1:4" x14ac:dyDescent="0.3">
      <c r="A1640" t="s">
        <v>682</v>
      </c>
      <c r="B1640">
        <v>98</v>
      </c>
      <c r="C1640">
        <v>0</v>
      </c>
      <c r="D1640">
        <v>0</v>
      </c>
    </row>
    <row r="1641" spans="1:4" x14ac:dyDescent="0.3">
      <c r="A1641" t="s">
        <v>683</v>
      </c>
      <c r="B1641">
        <v>98</v>
      </c>
      <c r="C1641">
        <v>16</v>
      </c>
      <c r="D1641">
        <v>16</v>
      </c>
    </row>
    <row r="1642" spans="1:4" x14ac:dyDescent="0.3">
      <c r="A1642" t="s">
        <v>684</v>
      </c>
      <c r="B1642">
        <v>98</v>
      </c>
      <c r="C1642">
        <v>100</v>
      </c>
      <c r="D1642">
        <v>100</v>
      </c>
    </row>
    <row r="1643" spans="1:4" x14ac:dyDescent="0.3">
      <c r="A1643" t="s">
        <v>685</v>
      </c>
      <c r="B1643">
        <v>98</v>
      </c>
      <c r="C1643">
        <v>1320</v>
      </c>
      <c r="D1643">
        <v>1320</v>
      </c>
    </row>
    <row r="1644" spans="1:4" x14ac:dyDescent="0.3">
      <c r="A1644" t="s">
        <v>686</v>
      </c>
      <c r="B1644">
        <v>98</v>
      </c>
      <c r="C1644">
        <v>880</v>
      </c>
      <c r="D1644">
        <v>880</v>
      </c>
    </row>
    <row r="1645" spans="1:4" x14ac:dyDescent="0.3">
      <c r="A1645" t="s">
        <v>687</v>
      </c>
      <c r="B1645">
        <v>98</v>
      </c>
      <c r="C1645">
        <v>1760</v>
      </c>
      <c r="D1645">
        <v>1760</v>
      </c>
    </row>
    <row r="1646" spans="1:4" x14ac:dyDescent="0.3">
      <c r="A1646" t="s">
        <v>688</v>
      </c>
      <c r="B1646">
        <v>98</v>
      </c>
    </row>
    <row r="1647" spans="1:4" x14ac:dyDescent="0.3">
      <c r="A1647" t="s">
        <v>689</v>
      </c>
      <c r="B1647">
        <v>98</v>
      </c>
    </row>
    <row r="1648" spans="1:4" x14ac:dyDescent="0.3">
      <c r="A1648" t="s">
        <v>690</v>
      </c>
      <c r="B1648">
        <v>98</v>
      </c>
    </row>
    <row r="1649" spans="1:9" x14ac:dyDescent="0.3">
      <c r="A1649" t="s">
        <v>691</v>
      </c>
      <c r="B1649">
        <v>98</v>
      </c>
      <c r="C1649" t="b">
        <v>0</v>
      </c>
      <c r="D1649" t="b">
        <v>0</v>
      </c>
    </row>
    <row r="1650" spans="1:9" x14ac:dyDescent="0.3">
      <c r="A1650" t="s">
        <v>692</v>
      </c>
      <c r="B1650">
        <v>98</v>
      </c>
      <c r="C1650" t="b">
        <v>0</v>
      </c>
      <c r="D1650" t="b">
        <v>0</v>
      </c>
    </row>
    <row r="1651" spans="1:9" x14ac:dyDescent="0.3">
      <c r="A1651" t="s">
        <v>678</v>
      </c>
      <c r="B1651">
        <v>99</v>
      </c>
      <c r="C1651">
        <v>59</v>
      </c>
      <c r="D1651">
        <v>56</v>
      </c>
      <c r="I1651">
        <v>97</v>
      </c>
    </row>
    <row r="1652" spans="1:9" x14ac:dyDescent="0.3">
      <c r="A1652" t="s">
        <v>36</v>
      </c>
      <c r="B1652">
        <v>99</v>
      </c>
      <c r="C1652">
        <v>0</v>
      </c>
      <c r="D1652">
        <v>2</v>
      </c>
      <c r="I1652">
        <v>1</v>
      </c>
    </row>
    <row r="1653" spans="1:9" x14ac:dyDescent="0.3">
      <c r="A1653" t="s">
        <v>503</v>
      </c>
      <c r="B1653">
        <v>99</v>
      </c>
      <c r="C1653" t="s">
        <v>715</v>
      </c>
    </row>
    <row r="1654" spans="1:9" x14ac:dyDescent="0.3">
      <c r="A1654" t="s">
        <v>679</v>
      </c>
      <c r="B1654">
        <v>99</v>
      </c>
      <c r="C1654">
        <v>383</v>
      </c>
      <c r="D1654">
        <v>289</v>
      </c>
      <c r="I1654">
        <v>233</v>
      </c>
    </row>
    <row r="1655" spans="1:9" x14ac:dyDescent="0.3">
      <c r="A1655" t="s">
        <v>42</v>
      </c>
      <c r="B1655">
        <v>99</v>
      </c>
      <c r="C1655">
        <v>30</v>
      </c>
      <c r="D1655">
        <v>30</v>
      </c>
      <c r="I1655">
        <v>30</v>
      </c>
    </row>
    <row r="1656" spans="1:9" x14ac:dyDescent="0.3">
      <c r="A1656" t="s">
        <v>680</v>
      </c>
      <c r="B1656">
        <v>99</v>
      </c>
      <c r="C1656">
        <v>8.6999999999999993</v>
      </c>
      <c r="D1656">
        <v>6.6</v>
      </c>
      <c r="I1656">
        <v>5.3</v>
      </c>
    </row>
    <row r="1657" spans="1:9" x14ac:dyDescent="0.3">
      <c r="A1657" t="s">
        <v>41</v>
      </c>
      <c r="B1657">
        <v>99</v>
      </c>
      <c r="C1657">
        <v>0</v>
      </c>
      <c r="D1657">
        <v>0</v>
      </c>
      <c r="I1657">
        <v>0</v>
      </c>
    </row>
    <row r="1658" spans="1:9" x14ac:dyDescent="0.3">
      <c r="A1658" t="s">
        <v>681</v>
      </c>
      <c r="B1658">
        <v>99</v>
      </c>
      <c r="C1658">
        <v>0</v>
      </c>
      <c r="D1658">
        <v>0</v>
      </c>
      <c r="I1658">
        <v>0</v>
      </c>
    </row>
    <row r="1659" spans="1:9" x14ac:dyDescent="0.3">
      <c r="A1659" t="s">
        <v>563</v>
      </c>
      <c r="B1659">
        <v>99</v>
      </c>
      <c r="C1659">
        <v>0</v>
      </c>
      <c r="D1659">
        <v>0</v>
      </c>
      <c r="I1659">
        <v>0</v>
      </c>
    </row>
    <row r="1660" spans="1:9" x14ac:dyDescent="0.3">
      <c r="A1660" t="s">
        <v>682</v>
      </c>
      <c r="B1660">
        <v>99</v>
      </c>
      <c r="C1660">
        <v>0</v>
      </c>
      <c r="D1660">
        <v>0</v>
      </c>
      <c r="I1660">
        <v>0</v>
      </c>
    </row>
    <row r="1661" spans="1:9" x14ac:dyDescent="0.3">
      <c r="A1661" t="s">
        <v>683</v>
      </c>
      <c r="B1661">
        <v>99</v>
      </c>
      <c r="C1661">
        <v>16</v>
      </c>
      <c r="D1661">
        <v>16</v>
      </c>
      <c r="I1661">
        <v>16</v>
      </c>
    </row>
    <row r="1662" spans="1:9" x14ac:dyDescent="0.3">
      <c r="A1662" t="s">
        <v>684</v>
      </c>
      <c r="B1662">
        <v>99</v>
      </c>
      <c r="C1662">
        <v>200</v>
      </c>
      <c r="D1662">
        <v>200</v>
      </c>
      <c r="I1662">
        <v>200</v>
      </c>
    </row>
    <row r="1663" spans="1:9" x14ac:dyDescent="0.3">
      <c r="A1663" t="s">
        <v>685</v>
      </c>
      <c r="B1663">
        <v>99</v>
      </c>
      <c r="C1663">
        <v>1320</v>
      </c>
      <c r="D1663">
        <v>1320</v>
      </c>
      <c r="I1663">
        <v>1320</v>
      </c>
    </row>
    <row r="1664" spans="1:9" x14ac:dyDescent="0.3">
      <c r="A1664" t="s">
        <v>686</v>
      </c>
      <c r="B1664">
        <v>99</v>
      </c>
      <c r="C1664">
        <v>880</v>
      </c>
      <c r="D1664">
        <v>880</v>
      </c>
      <c r="I1664">
        <v>880</v>
      </c>
    </row>
    <row r="1665" spans="1:9" x14ac:dyDescent="0.3">
      <c r="A1665" t="s">
        <v>687</v>
      </c>
      <c r="B1665">
        <v>99</v>
      </c>
      <c r="C1665">
        <v>1760</v>
      </c>
      <c r="D1665">
        <v>1760</v>
      </c>
      <c r="I1665">
        <v>1760</v>
      </c>
    </row>
    <row r="1666" spans="1:9" x14ac:dyDescent="0.3">
      <c r="A1666" t="s">
        <v>688</v>
      </c>
      <c r="B1666">
        <v>99</v>
      </c>
      <c r="D1666">
        <v>30843</v>
      </c>
    </row>
    <row r="1667" spans="1:9" x14ac:dyDescent="0.3">
      <c r="A1667" t="s">
        <v>689</v>
      </c>
      <c r="B1667">
        <v>99</v>
      </c>
      <c r="D1667">
        <v>-229</v>
      </c>
    </row>
    <row r="1668" spans="1:9" x14ac:dyDescent="0.3">
      <c r="A1668" t="s">
        <v>690</v>
      </c>
      <c r="B1668">
        <v>99</v>
      </c>
      <c r="D1668">
        <v>0</v>
      </c>
    </row>
    <row r="1669" spans="1:9" x14ac:dyDescent="0.3">
      <c r="A1669" t="s">
        <v>691</v>
      </c>
      <c r="B1669">
        <v>99</v>
      </c>
      <c r="C1669" t="b">
        <v>0</v>
      </c>
      <c r="D1669" t="b">
        <v>0</v>
      </c>
      <c r="I1669" t="b">
        <v>0</v>
      </c>
    </row>
    <row r="1670" spans="1:9" x14ac:dyDescent="0.3">
      <c r="A1670" t="s">
        <v>692</v>
      </c>
      <c r="B1670">
        <v>99</v>
      </c>
      <c r="C1670" t="b">
        <v>0</v>
      </c>
      <c r="D1670" t="b">
        <v>0</v>
      </c>
      <c r="I1670" t="b">
        <v>0</v>
      </c>
    </row>
    <row r="1671" spans="1:9" x14ac:dyDescent="0.3">
      <c r="A1671" t="s">
        <v>678</v>
      </c>
      <c r="B1671">
        <v>100</v>
      </c>
      <c r="D1671">
        <v>53</v>
      </c>
    </row>
    <row r="1672" spans="1:9" x14ac:dyDescent="0.3">
      <c r="A1672" t="s">
        <v>36</v>
      </c>
      <c r="B1672">
        <v>100</v>
      </c>
      <c r="D1672" t="s">
        <v>698</v>
      </c>
    </row>
    <row r="1673" spans="1:9" x14ac:dyDescent="0.3">
      <c r="A1673" t="s">
        <v>503</v>
      </c>
      <c r="B1673">
        <v>100</v>
      </c>
    </row>
    <row r="1674" spans="1:9" x14ac:dyDescent="0.3">
      <c r="A1674" t="s">
        <v>679</v>
      </c>
      <c r="B1674">
        <v>100</v>
      </c>
      <c r="D1674">
        <v>249</v>
      </c>
    </row>
    <row r="1675" spans="1:9" x14ac:dyDescent="0.3">
      <c r="A1675" t="s">
        <v>42</v>
      </c>
      <c r="B1675">
        <v>100</v>
      </c>
      <c r="D1675">
        <v>30</v>
      </c>
    </row>
    <row r="1676" spans="1:9" x14ac:dyDescent="0.3">
      <c r="A1676" t="s">
        <v>680</v>
      </c>
      <c r="B1676">
        <v>100</v>
      </c>
      <c r="D1676">
        <v>5.7</v>
      </c>
    </row>
    <row r="1677" spans="1:9" x14ac:dyDescent="0.3">
      <c r="A1677" t="s">
        <v>41</v>
      </c>
      <c r="B1677">
        <v>100</v>
      </c>
      <c r="D1677">
        <v>0</v>
      </c>
    </row>
    <row r="1678" spans="1:9" x14ac:dyDescent="0.3">
      <c r="A1678" t="s">
        <v>681</v>
      </c>
      <c r="B1678">
        <v>100</v>
      </c>
      <c r="D1678">
        <v>0</v>
      </c>
    </row>
    <row r="1679" spans="1:9" x14ac:dyDescent="0.3">
      <c r="A1679" t="s">
        <v>563</v>
      </c>
      <c r="B1679">
        <v>100</v>
      </c>
      <c r="D1679">
        <v>0</v>
      </c>
    </row>
    <row r="1680" spans="1:9" x14ac:dyDescent="0.3">
      <c r="A1680" t="s">
        <v>682</v>
      </c>
      <c r="B1680">
        <v>100</v>
      </c>
      <c r="D1680">
        <v>0</v>
      </c>
    </row>
    <row r="1681" spans="1:26" x14ac:dyDescent="0.3">
      <c r="A1681" t="s">
        <v>683</v>
      </c>
      <c r="B1681">
        <v>100</v>
      </c>
      <c r="D1681">
        <v>16</v>
      </c>
    </row>
    <row r="1682" spans="1:26" x14ac:dyDescent="0.3">
      <c r="A1682" t="s">
        <v>684</v>
      </c>
      <c r="B1682">
        <v>100</v>
      </c>
      <c r="D1682">
        <v>200</v>
      </c>
    </row>
    <row r="1683" spans="1:26" x14ac:dyDescent="0.3">
      <c r="A1683" t="s">
        <v>685</v>
      </c>
      <c r="B1683">
        <v>100</v>
      </c>
      <c r="D1683">
        <v>1320</v>
      </c>
    </row>
    <row r="1684" spans="1:26" x14ac:dyDescent="0.3">
      <c r="A1684" t="s">
        <v>686</v>
      </c>
      <c r="B1684">
        <v>100</v>
      </c>
      <c r="D1684">
        <v>880</v>
      </c>
    </row>
    <row r="1685" spans="1:26" x14ac:dyDescent="0.3">
      <c r="A1685" t="s">
        <v>687</v>
      </c>
      <c r="B1685">
        <v>100</v>
      </c>
      <c r="D1685">
        <v>1760</v>
      </c>
    </row>
    <row r="1686" spans="1:26" x14ac:dyDescent="0.3">
      <c r="A1686" t="s">
        <v>688</v>
      </c>
      <c r="B1686">
        <v>100</v>
      </c>
    </row>
    <row r="1687" spans="1:26" x14ac:dyDescent="0.3">
      <c r="A1687" t="s">
        <v>689</v>
      </c>
      <c r="B1687">
        <v>100</v>
      </c>
    </row>
    <row r="1688" spans="1:26" x14ac:dyDescent="0.3">
      <c r="A1688" t="s">
        <v>690</v>
      </c>
      <c r="B1688">
        <v>100</v>
      </c>
    </row>
    <row r="1689" spans="1:26" x14ac:dyDescent="0.3">
      <c r="A1689" t="s">
        <v>691</v>
      </c>
      <c r="B1689">
        <v>100</v>
      </c>
      <c r="D1689" t="b">
        <v>0</v>
      </c>
    </row>
    <row r="1690" spans="1:26" x14ac:dyDescent="0.3">
      <c r="A1690" t="s">
        <v>692</v>
      </c>
      <c r="B1690">
        <v>100</v>
      </c>
      <c r="D1690" t="b">
        <v>0</v>
      </c>
    </row>
    <row r="1692" spans="1:26" x14ac:dyDescent="0.3">
      <c r="A1692" t="s">
        <v>564</v>
      </c>
    </row>
    <row r="1693" spans="1:26" x14ac:dyDescent="0.3">
      <c r="A1693" t="s">
        <v>722</v>
      </c>
    </row>
    <row r="1694" spans="1:26" x14ac:dyDescent="0.3">
      <c r="A1694" t="s">
        <v>0</v>
      </c>
      <c r="B1694" t="s">
        <v>1</v>
      </c>
      <c r="C1694" t="s">
        <v>2</v>
      </c>
      <c r="D1694" t="s">
        <v>3</v>
      </c>
      <c r="E1694" t="s">
        <v>4</v>
      </c>
      <c r="F1694" t="s">
        <v>5</v>
      </c>
      <c r="G1694" t="s">
        <v>6</v>
      </c>
      <c r="H1694" t="s">
        <v>8</v>
      </c>
      <c r="I1694" t="s">
        <v>9</v>
      </c>
      <c r="J1694" t="s">
        <v>10</v>
      </c>
      <c r="K1694" t="s">
        <v>12</v>
      </c>
      <c r="L1694" t="s">
        <v>13</v>
      </c>
      <c r="M1694" t="s">
        <v>14</v>
      </c>
      <c r="N1694" t="s">
        <v>15</v>
      </c>
      <c r="O1694" t="s">
        <v>16</v>
      </c>
      <c r="P1694" t="s">
        <v>723</v>
      </c>
      <c r="Q1694" t="s">
        <v>17</v>
      </c>
      <c r="R1694" t="s">
        <v>18</v>
      </c>
      <c r="S1694" t="s">
        <v>19</v>
      </c>
      <c r="T1694" t="s">
        <v>20</v>
      </c>
      <c r="U1694" t="s">
        <v>21</v>
      </c>
      <c r="V1694" t="s">
        <v>724</v>
      </c>
      <c r="W1694" t="s">
        <v>22</v>
      </c>
      <c r="X1694" t="s">
        <v>23</v>
      </c>
      <c r="Y1694" t="s">
        <v>24</v>
      </c>
      <c r="Z1694" t="s">
        <v>725</v>
      </c>
    </row>
    <row r="1695" spans="1:26" x14ac:dyDescent="0.3">
      <c r="A1695" t="s">
        <v>34</v>
      </c>
      <c r="B1695">
        <v>3</v>
      </c>
      <c r="D1695">
        <v>2</v>
      </c>
      <c r="E1695">
        <v>2</v>
      </c>
      <c r="F1695">
        <v>2</v>
      </c>
      <c r="H1695">
        <v>1</v>
      </c>
      <c r="I1695">
        <v>1</v>
      </c>
      <c r="J1695">
        <v>1</v>
      </c>
      <c r="L1695">
        <v>4</v>
      </c>
      <c r="M1695">
        <v>4</v>
      </c>
      <c r="N1695">
        <v>4</v>
      </c>
      <c r="P1695">
        <v>6</v>
      </c>
      <c r="R1695">
        <v>6</v>
      </c>
      <c r="S1695">
        <v>6</v>
      </c>
      <c r="T1695">
        <v>6</v>
      </c>
    </row>
    <row r="1696" spans="1:26" x14ac:dyDescent="0.3">
      <c r="A1696" t="s">
        <v>35</v>
      </c>
      <c r="B1696">
        <v>3</v>
      </c>
      <c r="D1696">
        <v>4</v>
      </c>
      <c r="E1696">
        <v>1</v>
      </c>
      <c r="F1696">
        <v>6</v>
      </c>
      <c r="H1696">
        <v>6</v>
      </c>
      <c r="I1696">
        <v>2</v>
      </c>
      <c r="J1696">
        <v>4</v>
      </c>
      <c r="L1696">
        <v>1</v>
      </c>
      <c r="M1696">
        <v>6</v>
      </c>
      <c r="N1696">
        <v>2</v>
      </c>
      <c r="P1696">
        <v>6</v>
      </c>
      <c r="R1696">
        <v>2</v>
      </c>
      <c r="S1696">
        <v>4</v>
      </c>
      <c r="T1696">
        <v>1</v>
      </c>
    </row>
    <row r="1697" spans="1:20" x14ac:dyDescent="0.3">
      <c r="A1697" t="s">
        <v>36</v>
      </c>
      <c r="B1697">
        <v>3</v>
      </c>
      <c r="D1697">
        <v>0</v>
      </c>
      <c r="E1697">
        <v>1</v>
      </c>
      <c r="F1697">
        <v>0</v>
      </c>
      <c r="H1697">
        <v>0</v>
      </c>
      <c r="I1697">
        <v>1</v>
      </c>
      <c r="J1697">
        <v>0</v>
      </c>
      <c r="L1697">
        <v>1</v>
      </c>
      <c r="M1697">
        <v>3</v>
      </c>
      <c r="N1697">
        <v>0</v>
      </c>
      <c r="P1697">
        <v>0</v>
      </c>
      <c r="R1697">
        <v>1</v>
      </c>
      <c r="S1697">
        <v>3</v>
      </c>
      <c r="T1697">
        <v>0</v>
      </c>
    </row>
    <row r="1698" spans="1:20" x14ac:dyDescent="0.3">
      <c r="A1698" t="s">
        <v>37</v>
      </c>
      <c r="B1698">
        <v>3</v>
      </c>
      <c r="D1698">
        <v>0</v>
      </c>
      <c r="E1698">
        <v>3</v>
      </c>
      <c r="H1698">
        <v>0</v>
      </c>
      <c r="I1698">
        <v>3</v>
      </c>
      <c r="L1698">
        <v>0</v>
      </c>
      <c r="M1698">
        <v>2</v>
      </c>
      <c r="R1698">
        <v>0</v>
      </c>
      <c r="S1698">
        <v>2</v>
      </c>
    </row>
    <row r="1699" spans="1:20" x14ac:dyDescent="0.3">
      <c r="A1699" t="s">
        <v>38</v>
      </c>
      <c r="B1699">
        <v>3</v>
      </c>
      <c r="D1699">
        <v>12</v>
      </c>
      <c r="E1699">
        <v>12</v>
      </c>
      <c r="F1699">
        <v>12</v>
      </c>
      <c r="H1699">
        <v>12</v>
      </c>
      <c r="I1699">
        <v>12</v>
      </c>
      <c r="J1699">
        <v>12</v>
      </c>
      <c r="L1699">
        <v>12</v>
      </c>
      <c r="M1699">
        <v>12</v>
      </c>
      <c r="N1699">
        <v>12</v>
      </c>
      <c r="P1699">
        <v>12</v>
      </c>
      <c r="R1699">
        <v>12</v>
      </c>
      <c r="S1699">
        <v>12</v>
      </c>
      <c r="T1699">
        <v>12</v>
      </c>
    </row>
    <row r="1700" spans="1:20" x14ac:dyDescent="0.3">
      <c r="A1700" t="s">
        <v>39</v>
      </c>
      <c r="B1700">
        <v>3</v>
      </c>
      <c r="L1700">
        <v>105</v>
      </c>
      <c r="R1700">
        <v>120</v>
      </c>
    </row>
    <row r="1701" spans="1:20" x14ac:dyDescent="0.3">
      <c r="A1701" t="s">
        <v>726</v>
      </c>
      <c r="B1701">
        <v>3</v>
      </c>
      <c r="L1701">
        <v>25</v>
      </c>
      <c r="R1701">
        <v>25</v>
      </c>
    </row>
    <row r="1702" spans="1:20" x14ac:dyDescent="0.3">
      <c r="A1702" t="s">
        <v>40</v>
      </c>
      <c r="B1702">
        <v>3</v>
      </c>
      <c r="L1702">
        <v>1</v>
      </c>
      <c r="R1702">
        <v>1</v>
      </c>
    </row>
    <row r="1703" spans="1:20" x14ac:dyDescent="0.3">
      <c r="A1703" t="s">
        <v>41</v>
      </c>
      <c r="B1703">
        <v>3</v>
      </c>
    </row>
    <row r="1704" spans="1:20" x14ac:dyDescent="0.3">
      <c r="A1704" t="s">
        <v>42</v>
      </c>
      <c r="B1704">
        <v>3</v>
      </c>
      <c r="E1704">
        <v>30</v>
      </c>
      <c r="I1704">
        <v>30</v>
      </c>
      <c r="M1704">
        <v>40</v>
      </c>
      <c r="S1704">
        <v>40</v>
      </c>
    </row>
    <row r="1705" spans="1:20" x14ac:dyDescent="0.3">
      <c r="A1705" t="s">
        <v>45</v>
      </c>
      <c r="B1705">
        <v>3</v>
      </c>
      <c r="E1705">
        <v>4</v>
      </c>
      <c r="I1705">
        <v>8</v>
      </c>
      <c r="M1705">
        <v>6</v>
      </c>
      <c r="S1705">
        <v>2</v>
      </c>
    </row>
    <row r="1706" spans="1:20" x14ac:dyDescent="0.3">
      <c r="A1706" t="s">
        <v>46</v>
      </c>
      <c r="B1706">
        <v>3</v>
      </c>
      <c r="D1706">
        <v>4</v>
      </c>
      <c r="H1706">
        <v>8</v>
      </c>
      <c r="L1706">
        <v>6</v>
      </c>
      <c r="R1706">
        <v>2</v>
      </c>
    </row>
    <row r="1707" spans="1:20" x14ac:dyDescent="0.3">
      <c r="A1707" t="s">
        <v>49</v>
      </c>
      <c r="B1707">
        <v>3</v>
      </c>
      <c r="D1707">
        <v>5.6</v>
      </c>
      <c r="E1707">
        <v>5.6</v>
      </c>
      <c r="F1707">
        <v>4</v>
      </c>
      <c r="H1707">
        <v>5.6</v>
      </c>
      <c r="I1707">
        <v>5.6</v>
      </c>
      <c r="J1707">
        <v>4</v>
      </c>
      <c r="L1707">
        <v>5</v>
      </c>
      <c r="M1707">
        <v>5</v>
      </c>
      <c r="N1707">
        <v>4</v>
      </c>
      <c r="P1707">
        <v>4</v>
      </c>
      <c r="R1707">
        <v>5</v>
      </c>
      <c r="S1707">
        <v>5</v>
      </c>
      <c r="T1707">
        <v>4</v>
      </c>
    </row>
    <row r="1708" spans="1:20" x14ac:dyDescent="0.3">
      <c r="A1708" t="s">
        <v>727</v>
      </c>
      <c r="B1708">
        <v>3</v>
      </c>
      <c r="D1708">
        <v>0</v>
      </c>
      <c r="E1708">
        <v>0</v>
      </c>
      <c r="F1708">
        <v>0</v>
      </c>
      <c r="H1708">
        <v>0</v>
      </c>
      <c r="I1708">
        <v>0</v>
      </c>
      <c r="J1708">
        <v>0</v>
      </c>
      <c r="L1708">
        <v>0</v>
      </c>
      <c r="M1708">
        <v>0</v>
      </c>
      <c r="N1708">
        <v>0</v>
      </c>
      <c r="P1708">
        <v>0</v>
      </c>
      <c r="R1708">
        <v>0</v>
      </c>
      <c r="S1708">
        <v>0</v>
      </c>
      <c r="T1708">
        <v>0</v>
      </c>
    </row>
    <row r="1709" spans="1:20" x14ac:dyDescent="0.3">
      <c r="A1709" t="s">
        <v>48</v>
      </c>
      <c r="B1709">
        <v>3</v>
      </c>
      <c r="D1709">
        <v>1900</v>
      </c>
      <c r="E1709">
        <v>1900</v>
      </c>
      <c r="F1709">
        <v>1900</v>
      </c>
      <c r="H1709">
        <v>1900</v>
      </c>
      <c r="I1709">
        <v>1900</v>
      </c>
      <c r="J1709">
        <v>1900</v>
      </c>
      <c r="L1709">
        <v>1900</v>
      </c>
      <c r="M1709">
        <v>1900</v>
      </c>
      <c r="N1709">
        <v>1900</v>
      </c>
      <c r="P1709">
        <v>1900</v>
      </c>
      <c r="R1709">
        <v>1900</v>
      </c>
      <c r="S1709">
        <v>1900</v>
      </c>
      <c r="T1709">
        <v>1900</v>
      </c>
    </row>
    <row r="1710" spans="1:20" x14ac:dyDescent="0.3">
      <c r="A1710" t="s">
        <v>728</v>
      </c>
      <c r="B1710">
        <v>3</v>
      </c>
      <c r="D1710">
        <v>0</v>
      </c>
      <c r="E1710">
        <v>1716</v>
      </c>
      <c r="F1710">
        <v>0</v>
      </c>
      <c r="H1710">
        <v>0</v>
      </c>
      <c r="I1710">
        <v>1705</v>
      </c>
      <c r="J1710">
        <v>0</v>
      </c>
      <c r="L1710">
        <v>1770</v>
      </c>
      <c r="M1710">
        <v>5075</v>
      </c>
      <c r="N1710">
        <v>0</v>
      </c>
      <c r="P1710">
        <v>0</v>
      </c>
      <c r="R1710">
        <v>1770</v>
      </c>
      <c r="S1710">
        <v>5075</v>
      </c>
      <c r="T1710">
        <v>0</v>
      </c>
    </row>
    <row r="1711" spans="1:20" x14ac:dyDescent="0.3">
      <c r="A1711" t="s">
        <v>50</v>
      </c>
      <c r="B1711">
        <v>3</v>
      </c>
      <c r="D1711">
        <v>0</v>
      </c>
      <c r="E1711">
        <v>1398</v>
      </c>
      <c r="F1711">
        <v>0</v>
      </c>
      <c r="H1711">
        <v>0</v>
      </c>
      <c r="I1711">
        <v>1463</v>
      </c>
      <c r="J1711">
        <v>0</v>
      </c>
      <c r="L1711">
        <v>296</v>
      </c>
      <c r="M1711">
        <v>5075</v>
      </c>
      <c r="N1711">
        <v>0</v>
      </c>
      <c r="P1711">
        <v>0</v>
      </c>
      <c r="R1711">
        <v>266</v>
      </c>
      <c r="S1711">
        <v>5075</v>
      </c>
      <c r="T1711">
        <v>0</v>
      </c>
    </row>
    <row r="1712" spans="1:20" x14ac:dyDescent="0.3">
      <c r="A1712" t="s">
        <v>729</v>
      </c>
      <c r="B1712">
        <v>3</v>
      </c>
      <c r="D1712">
        <v>1</v>
      </c>
      <c r="E1712">
        <v>1</v>
      </c>
      <c r="F1712">
        <v>1</v>
      </c>
      <c r="H1712">
        <v>1</v>
      </c>
      <c r="I1712">
        <v>1</v>
      </c>
      <c r="J1712">
        <v>1</v>
      </c>
      <c r="L1712">
        <v>1</v>
      </c>
      <c r="M1712">
        <v>1</v>
      </c>
      <c r="N1712">
        <v>1</v>
      </c>
      <c r="P1712">
        <v>1</v>
      </c>
      <c r="R1712">
        <v>1</v>
      </c>
      <c r="S1712">
        <v>1</v>
      </c>
      <c r="T1712">
        <v>1</v>
      </c>
    </row>
    <row r="1713" spans="1:20" x14ac:dyDescent="0.3">
      <c r="A1713" t="s">
        <v>51</v>
      </c>
      <c r="B1713">
        <v>3</v>
      </c>
      <c r="D1713">
        <v>0</v>
      </c>
      <c r="E1713">
        <v>25</v>
      </c>
      <c r="F1713">
        <v>0</v>
      </c>
      <c r="H1713">
        <v>0</v>
      </c>
      <c r="I1713">
        <v>39</v>
      </c>
      <c r="J1713">
        <v>0</v>
      </c>
      <c r="L1713">
        <v>0</v>
      </c>
      <c r="M1713">
        <v>3</v>
      </c>
      <c r="N1713">
        <v>0</v>
      </c>
      <c r="P1713">
        <v>0</v>
      </c>
      <c r="R1713">
        <v>0</v>
      </c>
      <c r="S1713">
        <v>3</v>
      </c>
      <c r="T1713">
        <v>0</v>
      </c>
    </row>
    <row r="1714" spans="1:20" x14ac:dyDescent="0.3">
      <c r="A1714" t="s">
        <v>53</v>
      </c>
      <c r="B1714">
        <v>3</v>
      </c>
      <c r="D1714">
        <v>82</v>
      </c>
      <c r="E1714">
        <v>5</v>
      </c>
      <c r="F1714">
        <v>52</v>
      </c>
      <c r="H1714">
        <v>32</v>
      </c>
      <c r="I1714">
        <v>7</v>
      </c>
      <c r="J1714">
        <v>37</v>
      </c>
      <c r="L1714">
        <v>34</v>
      </c>
      <c r="M1714">
        <v>1303</v>
      </c>
      <c r="N1714">
        <v>19</v>
      </c>
      <c r="P1714">
        <v>0</v>
      </c>
      <c r="R1714">
        <v>46</v>
      </c>
      <c r="S1714">
        <v>1231</v>
      </c>
      <c r="T1714">
        <v>18</v>
      </c>
    </row>
    <row r="1715" spans="1:20" x14ac:dyDescent="0.3">
      <c r="A1715" t="s">
        <v>54</v>
      </c>
      <c r="B1715">
        <v>3</v>
      </c>
      <c r="D1715">
        <v>0</v>
      </c>
      <c r="E1715">
        <v>0</v>
      </c>
      <c r="F1715">
        <v>0</v>
      </c>
      <c r="H1715">
        <v>0</v>
      </c>
      <c r="I1715">
        <v>0</v>
      </c>
      <c r="J1715">
        <v>0</v>
      </c>
      <c r="L1715">
        <v>0</v>
      </c>
      <c r="M1715">
        <v>0</v>
      </c>
      <c r="N1715">
        <v>0</v>
      </c>
      <c r="P1715">
        <v>0</v>
      </c>
      <c r="R1715">
        <v>0</v>
      </c>
      <c r="S1715">
        <v>0</v>
      </c>
      <c r="T1715">
        <v>0</v>
      </c>
    </row>
    <row r="1716" spans="1:20" x14ac:dyDescent="0.3">
      <c r="A1716" t="s">
        <v>55</v>
      </c>
      <c r="B1716">
        <v>3</v>
      </c>
      <c r="D1716">
        <v>0</v>
      </c>
      <c r="E1716">
        <v>0</v>
      </c>
      <c r="F1716">
        <v>0</v>
      </c>
      <c r="H1716">
        <v>0</v>
      </c>
      <c r="I1716">
        <v>0</v>
      </c>
      <c r="J1716">
        <v>0</v>
      </c>
      <c r="L1716">
        <v>0</v>
      </c>
      <c r="M1716">
        <v>0</v>
      </c>
      <c r="N1716">
        <v>0</v>
      </c>
      <c r="P1716">
        <v>0</v>
      </c>
      <c r="R1716">
        <v>0</v>
      </c>
      <c r="S1716">
        <v>0</v>
      </c>
      <c r="T1716">
        <v>0</v>
      </c>
    </row>
    <row r="1717" spans="1:20" x14ac:dyDescent="0.3">
      <c r="A1717" t="s">
        <v>56</v>
      </c>
      <c r="B1717">
        <v>3</v>
      </c>
      <c r="D1717">
        <v>0.92</v>
      </c>
      <c r="E1717">
        <v>0.92</v>
      </c>
      <c r="F1717">
        <v>0.92</v>
      </c>
      <c r="H1717">
        <v>0.92</v>
      </c>
      <c r="I1717">
        <v>0.92</v>
      </c>
      <c r="J1717">
        <v>0.92</v>
      </c>
      <c r="L1717">
        <v>0.92</v>
      </c>
      <c r="M1717">
        <v>0.92</v>
      </c>
      <c r="N1717">
        <v>0.92</v>
      </c>
      <c r="P1717">
        <v>0.92</v>
      </c>
      <c r="R1717">
        <v>0.92</v>
      </c>
      <c r="S1717">
        <v>0.92</v>
      </c>
      <c r="T1717">
        <v>0.92</v>
      </c>
    </row>
    <row r="1718" spans="1:20" x14ac:dyDescent="0.3">
      <c r="A1718" t="s">
        <v>57</v>
      </c>
      <c r="B1718">
        <v>3</v>
      </c>
      <c r="D1718">
        <v>100</v>
      </c>
      <c r="E1718">
        <v>100</v>
      </c>
      <c r="F1718">
        <v>100</v>
      </c>
      <c r="H1718">
        <v>100</v>
      </c>
      <c r="I1718">
        <v>100</v>
      </c>
      <c r="J1718">
        <v>100</v>
      </c>
      <c r="L1718">
        <v>100</v>
      </c>
      <c r="M1718">
        <v>100</v>
      </c>
      <c r="N1718">
        <v>100</v>
      </c>
      <c r="P1718">
        <v>100</v>
      </c>
      <c r="R1718">
        <v>100</v>
      </c>
      <c r="S1718">
        <v>100</v>
      </c>
      <c r="T1718">
        <v>100</v>
      </c>
    </row>
    <row r="1719" spans="1:20" x14ac:dyDescent="0.3">
      <c r="A1719" t="s">
        <v>58</v>
      </c>
      <c r="B1719">
        <v>3</v>
      </c>
      <c r="D1719">
        <v>2</v>
      </c>
      <c r="E1719">
        <v>2</v>
      </c>
      <c r="F1719">
        <v>2</v>
      </c>
      <c r="H1719">
        <v>2</v>
      </c>
      <c r="I1719">
        <v>2</v>
      </c>
      <c r="J1719">
        <v>2</v>
      </c>
      <c r="L1719">
        <v>2</v>
      </c>
      <c r="M1719">
        <v>2</v>
      </c>
      <c r="N1719">
        <v>2</v>
      </c>
      <c r="P1719">
        <v>2</v>
      </c>
      <c r="R1719">
        <v>2</v>
      </c>
      <c r="S1719">
        <v>2</v>
      </c>
      <c r="T1719">
        <v>2</v>
      </c>
    </row>
    <row r="1720" spans="1:20" x14ac:dyDescent="0.3">
      <c r="A1720" t="s">
        <v>59</v>
      </c>
      <c r="B1720">
        <v>3</v>
      </c>
      <c r="D1720">
        <v>0</v>
      </c>
      <c r="E1720">
        <v>0</v>
      </c>
      <c r="F1720">
        <v>0</v>
      </c>
      <c r="H1720">
        <v>0</v>
      </c>
      <c r="I1720">
        <v>0</v>
      </c>
      <c r="J1720">
        <v>0</v>
      </c>
      <c r="L1720">
        <v>0</v>
      </c>
      <c r="M1720">
        <v>0</v>
      </c>
      <c r="N1720">
        <v>0</v>
      </c>
      <c r="P1720">
        <v>0</v>
      </c>
      <c r="R1720">
        <v>0</v>
      </c>
      <c r="S1720">
        <v>0</v>
      </c>
      <c r="T1720">
        <v>0</v>
      </c>
    </row>
    <row r="1721" spans="1:20" x14ac:dyDescent="0.3">
      <c r="A1721" t="s">
        <v>730</v>
      </c>
      <c r="B1721">
        <v>3</v>
      </c>
      <c r="E1721">
        <v>0</v>
      </c>
      <c r="I1721">
        <v>0</v>
      </c>
      <c r="M1721">
        <v>0</v>
      </c>
      <c r="S1721">
        <v>0</v>
      </c>
    </row>
    <row r="1722" spans="1:20" x14ac:dyDescent="0.3">
      <c r="A1722" t="s">
        <v>679</v>
      </c>
      <c r="B1722">
        <v>3</v>
      </c>
      <c r="E1722">
        <v>368</v>
      </c>
      <c r="I1722">
        <v>738</v>
      </c>
      <c r="M1722">
        <v>1111</v>
      </c>
      <c r="S1722">
        <v>1297</v>
      </c>
    </row>
    <row r="1723" spans="1:20" x14ac:dyDescent="0.3">
      <c r="A1723" t="s">
        <v>78</v>
      </c>
      <c r="B1723">
        <v>3</v>
      </c>
      <c r="E1723">
        <v>8.4</v>
      </c>
      <c r="I1723">
        <v>16.8</v>
      </c>
      <c r="M1723">
        <v>18.899999999999999</v>
      </c>
      <c r="S1723">
        <v>22.1</v>
      </c>
    </row>
    <row r="1724" spans="1:20" x14ac:dyDescent="0.3">
      <c r="A1724" t="s">
        <v>731</v>
      </c>
      <c r="B1724">
        <v>3</v>
      </c>
      <c r="F1724">
        <v>0</v>
      </c>
      <c r="J1724">
        <v>0</v>
      </c>
      <c r="N1724">
        <v>0</v>
      </c>
      <c r="T1724">
        <v>0</v>
      </c>
    </row>
    <row r="1725" spans="1:20" x14ac:dyDescent="0.3">
      <c r="A1725" t="s">
        <v>732</v>
      </c>
      <c r="B1725">
        <v>3</v>
      </c>
      <c r="D1725">
        <v>0</v>
      </c>
      <c r="E1725">
        <v>0</v>
      </c>
      <c r="F1725">
        <v>1</v>
      </c>
      <c r="H1725">
        <v>0</v>
      </c>
      <c r="I1725">
        <v>0</v>
      </c>
      <c r="J1725">
        <v>1</v>
      </c>
      <c r="L1725">
        <v>0</v>
      </c>
      <c r="M1725">
        <v>0</v>
      </c>
      <c r="N1725">
        <v>1</v>
      </c>
      <c r="P1725">
        <v>3</v>
      </c>
      <c r="R1725">
        <v>0</v>
      </c>
      <c r="S1725">
        <v>0</v>
      </c>
      <c r="T1725">
        <v>1</v>
      </c>
    </row>
    <row r="1726" spans="1:20" x14ac:dyDescent="0.3">
      <c r="A1726" t="s">
        <v>733</v>
      </c>
      <c r="B1726">
        <v>3</v>
      </c>
      <c r="D1726">
        <v>0</v>
      </c>
      <c r="E1726">
        <v>0</v>
      </c>
      <c r="F1726">
        <v>0</v>
      </c>
      <c r="H1726">
        <v>0</v>
      </c>
      <c r="I1726">
        <v>0</v>
      </c>
      <c r="J1726">
        <v>0</v>
      </c>
      <c r="L1726">
        <v>0</v>
      </c>
      <c r="M1726">
        <v>0</v>
      </c>
      <c r="N1726">
        <v>0</v>
      </c>
      <c r="P1726">
        <v>0</v>
      </c>
      <c r="R1726">
        <v>0</v>
      </c>
      <c r="S1726">
        <v>0</v>
      </c>
      <c r="T1726">
        <v>0</v>
      </c>
    </row>
    <row r="1727" spans="1:20" x14ac:dyDescent="0.3">
      <c r="A1727" t="s">
        <v>52</v>
      </c>
      <c r="B1727">
        <v>3</v>
      </c>
      <c r="D1727">
        <v>1</v>
      </c>
      <c r="E1727">
        <v>1</v>
      </c>
      <c r="F1727">
        <v>1</v>
      </c>
      <c r="H1727">
        <v>1</v>
      </c>
      <c r="I1727">
        <v>1</v>
      </c>
      <c r="J1727">
        <v>1</v>
      </c>
      <c r="L1727">
        <v>1</v>
      </c>
      <c r="M1727">
        <v>1</v>
      </c>
      <c r="N1727">
        <v>1</v>
      </c>
      <c r="P1727">
        <v>1</v>
      </c>
      <c r="R1727">
        <v>1</v>
      </c>
      <c r="S1727">
        <v>1</v>
      </c>
      <c r="T1727">
        <v>1</v>
      </c>
    </row>
    <row r="1728" spans="1:20" x14ac:dyDescent="0.3">
      <c r="A1728" t="s">
        <v>734</v>
      </c>
      <c r="B1728">
        <v>3</v>
      </c>
      <c r="D1728">
        <v>15</v>
      </c>
      <c r="E1728">
        <v>60</v>
      </c>
      <c r="F1728">
        <v>9</v>
      </c>
      <c r="H1728">
        <v>15</v>
      </c>
      <c r="I1728">
        <v>60</v>
      </c>
      <c r="J1728">
        <v>9</v>
      </c>
      <c r="L1728">
        <v>15</v>
      </c>
      <c r="M1728">
        <v>60</v>
      </c>
      <c r="N1728">
        <v>9</v>
      </c>
      <c r="P1728">
        <v>9</v>
      </c>
      <c r="R1728">
        <v>15</v>
      </c>
      <c r="S1728">
        <v>60</v>
      </c>
      <c r="T1728">
        <v>9</v>
      </c>
    </row>
    <row r="1729" spans="1:19" x14ac:dyDescent="0.3">
      <c r="A1729" t="s">
        <v>43</v>
      </c>
      <c r="B1729">
        <v>3</v>
      </c>
      <c r="D1729">
        <v>20</v>
      </c>
      <c r="E1729">
        <v>100</v>
      </c>
      <c r="H1729">
        <v>20</v>
      </c>
      <c r="I1729">
        <v>100</v>
      </c>
      <c r="L1729">
        <v>20</v>
      </c>
      <c r="M1729">
        <v>100</v>
      </c>
      <c r="R1729">
        <v>20</v>
      </c>
      <c r="S1729">
        <v>100</v>
      </c>
    </row>
    <row r="1730" spans="1:19" x14ac:dyDescent="0.3">
      <c r="A1730" t="s">
        <v>44</v>
      </c>
      <c r="B1730">
        <v>3</v>
      </c>
      <c r="D1730">
        <v>0</v>
      </c>
      <c r="E1730">
        <v>0</v>
      </c>
      <c r="H1730">
        <v>0</v>
      </c>
      <c r="I1730">
        <v>0</v>
      </c>
      <c r="L1730">
        <v>0</v>
      </c>
      <c r="M1730">
        <v>0</v>
      </c>
      <c r="R1730">
        <v>0</v>
      </c>
      <c r="S1730">
        <v>0</v>
      </c>
    </row>
    <row r="1731" spans="1:19" x14ac:dyDescent="0.3">
      <c r="A1731" t="s">
        <v>47</v>
      </c>
      <c r="B1731">
        <v>3</v>
      </c>
      <c r="D1731">
        <v>4</v>
      </c>
      <c r="E1731">
        <v>4</v>
      </c>
      <c r="H1731">
        <v>8</v>
      </c>
      <c r="I1731">
        <v>8</v>
      </c>
      <c r="L1731">
        <v>6</v>
      </c>
      <c r="M1731">
        <v>6</v>
      </c>
      <c r="R1731">
        <v>2</v>
      </c>
      <c r="S1731">
        <v>2</v>
      </c>
    </row>
    <row r="1732" spans="1:19" x14ac:dyDescent="0.3">
      <c r="A1732" t="s">
        <v>735</v>
      </c>
      <c r="B1732">
        <v>3</v>
      </c>
      <c r="D1732">
        <v>0</v>
      </c>
      <c r="E1732">
        <v>0</v>
      </c>
      <c r="H1732">
        <v>0</v>
      </c>
      <c r="I1732">
        <v>0</v>
      </c>
      <c r="L1732">
        <v>0</v>
      </c>
      <c r="M1732">
        <v>0</v>
      </c>
      <c r="R1732">
        <v>0</v>
      </c>
      <c r="S1732">
        <v>0</v>
      </c>
    </row>
    <row r="1733" spans="1:19" x14ac:dyDescent="0.3">
      <c r="A1733" t="s">
        <v>736</v>
      </c>
      <c r="B1733">
        <v>3</v>
      </c>
      <c r="D1733">
        <v>0</v>
      </c>
      <c r="E1733">
        <v>0</v>
      </c>
      <c r="H1733">
        <v>0</v>
      </c>
      <c r="I1733">
        <v>0</v>
      </c>
      <c r="L1733">
        <v>0</v>
      </c>
      <c r="M1733">
        <v>0</v>
      </c>
      <c r="R1733">
        <v>0</v>
      </c>
      <c r="S1733">
        <v>0</v>
      </c>
    </row>
    <row r="1734" spans="1:19" x14ac:dyDescent="0.3">
      <c r="A1734" t="s">
        <v>737</v>
      </c>
      <c r="B1734">
        <v>3</v>
      </c>
      <c r="D1734">
        <v>0</v>
      </c>
      <c r="E1734">
        <v>0</v>
      </c>
      <c r="H1734">
        <v>0</v>
      </c>
      <c r="I1734">
        <v>0</v>
      </c>
      <c r="L1734">
        <v>0</v>
      </c>
      <c r="M1734">
        <v>0</v>
      </c>
      <c r="R1734">
        <v>0</v>
      </c>
      <c r="S1734">
        <v>0</v>
      </c>
    </row>
    <row r="1735" spans="1:19" x14ac:dyDescent="0.3">
      <c r="A1735" t="s">
        <v>738</v>
      </c>
      <c r="B1735">
        <v>3</v>
      </c>
      <c r="D1735">
        <v>0</v>
      </c>
      <c r="E1735">
        <v>0</v>
      </c>
      <c r="H1735">
        <v>0</v>
      </c>
      <c r="I1735">
        <v>0</v>
      </c>
      <c r="L1735">
        <v>0</v>
      </c>
      <c r="M1735">
        <v>0</v>
      </c>
      <c r="R1735">
        <v>0</v>
      </c>
      <c r="S1735">
        <v>0</v>
      </c>
    </row>
    <row r="1736" spans="1:19" x14ac:dyDescent="0.3">
      <c r="A1736" t="s">
        <v>739</v>
      </c>
      <c r="B1736">
        <v>3</v>
      </c>
      <c r="D1736">
        <v>1</v>
      </c>
      <c r="E1736">
        <v>2</v>
      </c>
      <c r="H1736">
        <v>1</v>
      </c>
      <c r="I1736">
        <v>2</v>
      </c>
      <c r="L1736">
        <v>1</v>
      </c>
      <c r="M1736">
        <v>2</v>
      </c>
      <c r="R1736">
        <v>1</v>
      </c>
      <c r="S1736">
        <v>2</v>
      </c>
    </row>
    <row r="1737" spans="1:19" x14ac:dyDescent="0.3">
      <c r="A1737" t="s">
        <v>740</v>
      </c>
      <c r="B1737">
        <v>3</v>
      </c>
      <c r="D1737">
        <v>0</v>
      </c>
      <c r="E1737">
        <v>0</v>
      </c>
      <c r="H1737">
        <v>0</v>
      </c>
      <c r="I1737">
        <v>0</v>
      </c>
      <c r="L1737">
        <v>0</v>
      </c>
      <c r="M1737">
        <v>0</v>
      </c>
      <c r="R1737">
        <v>0</v>
      </c>
      <c r="S1737">
        <v>0</v>
      </c>
    </row>
    <row r="1738" spans="1:19" x14ac:dyDescent="0.3">
      <c r="A1738" t="s">
        <v>741</v>
      </c>
      <c r="B1738">
        <v>3</v>
      </c>
      <c r="D1738">
        <v>20</v>
      </c>
      <c r="E1738">
        <v>6</v>
      </c>
      <c r="H1738">
        <v>20</v>
      </c>
      <c r="I1738">
        <v>6</v>
      </c>
      <c r="L1738">
        <v>20</v>
      </c>
      <c r="M1738">
        <v>6</v>
      </c>
      <c r="R1738">
        <v>20</v>
      </c>
      <c r="S1738">
        <v>6</v>
      </c>
    </row>
    <row r="1739" spans="1:19" x14ac:dyDescent="0.3">
      <c r="A1739" t="s">
        <v>742</v>
      </c>
      <c r="B1739">
        <v>3</v>
      </c>
      <c r="D1739">
        <v>3</v>
      </c>
      <c r="E1739">
        <v>3</v>
      </c>
      <c r="H1739">
        <v>3</v>
      </c>
      <c r="I1739">
        <v>3</v>
      </c>
      <c r="L1739">
        <v>3</v>
      </c>
      <c r="M1739">
        <v>3</v>
      </c>
      <c r="R1739">
        <v>3</v>
      </c>
      <c r="S1739">
        <v>3</v>
      </c>
    </row>
    <row r="1740" spans="1:19" x14ac:dyDescent="0.3">
      <c r="A1740" t="s">
        <v>743</v>
      </c>
      <c r="B1740">
        <v>3</v>
      </c>
      <c r="D1740">
        <v>0</v>
      </c>
      <c r="E1740">
        <v>0</v>
      </c>
      <c r="H1740">
        <v>0</v>
      </c>
      <c r="I1740">
        <v>0</v>
      </c>
      <c r="L1740">
        <v>0</v>
      </c>
      <c r="M1740">
        <v>0</v>
      </c>
      <c r="R1740">
        <v>0</v>
      </c>
      <c r="S1740">
        <v>0</v>
      </c>
    </row>
    <row r="1741" spans="1:19" x14ac:dyDescent="0.3">
      <c r="A1741" t="s">
        <v>744</v>
      </c>
      <c r="B1741">
        <v>3</v>
      </c>
      <c r="D1741">
        <v>0</v>
      </c>
      <c r="E1741">
        <v>0</v>
      </c>
      <c r="H1741">
        <v>0</v>
      </c>
      <c r="I1741">
        <v>0</v>
      </c>
      <c r="L1741">
        <v>0</v>
      </c>
      <c r="M1741">
        <v>0</v>
      </c>
      <c r="R1741">
        <v>0</v>
      </c>
      <c r="S1741">
        <v>0</v>
      </c>
    </row>
    <row r="1742" spans="1:19" x14ac:dyDescent="0.3">
      <c r="A1742" t="s">
        <v>745</v>
      </c>
      <c r="B1742">
        <v>3</v>
      </c>
      <c r="D1742">
        <v>0</v>
      </c>
      <c r="E1742">
        <v>0</v>
      </c>
      <c r="H1742">
        <v>0</v>
      </c>
      <c r="I1742">
        <v>0</v>
      </c>
      <c r="L1742">
        <v>0</v>
      </c>
      <c r="M1742">
        <v>0</v>
      </c>
      <c r="R1742">
        <v>0</v>
      </c>
      <c r="S1742">
        <v>0</v>
      </c>
    </row>
    <row r="1743" spans="1:19" x14ac:dyDescent="0.3">
      <c r="A1743" t="s">
        <v>746</v>
      </c>
      <c r="B1743">
        <v>3</v>
      </c>
      <c r="E1743">
        <v>94</v>
      </c>
      <c r="I1743">
        <v>94</v>
      </c>
      <c r="M1743">
        <v>94</v>
      </c>
      <c r="S1743">
        <v>94</v>
      </c>
    </row>
    <row r="1744" spans="1:19" x14ac:dyDescent="0.3">
      <c r="A1744" t="s">
        <v>747</v>
      </c>
      <c r="B1744">
        <v>3</v>
      </c>
      <c r="E1744">
        <v>6</v>
      </c>
      <c r="I1744">
        <v>6</v>
      </c>
      <c r="M1744">
        <v>6</v>
      </c>
      <c r="S1744">
        <v>6</v>
      </c>
    </row>
    <row r="1745" spans="1:20" x14ac:dyDescent="0.3">
      <c r="A1745" t="s">
        <v>748</v>
      </c>
      <c r="B1745">
        <v>3</v>
      </c>
      <c r="E1745">
        <v>3</v>
      </c>
      <c r="I1745">
        <v>3</v>
      </c>
      <c r="M1745">
        <v>3</v>
      </c>
      <c r="S1745">
        <v>3</v>
      </c>
    </row>
    <row r="1746" spans="1:20" x14ac:dyDescent="0.3">
      <c r="A1746" t="s">
        <v>749</v>
      </c>
      <c r="B1746">
        <v>3</v>
      </c>
      <c r="E1746">
        <v>0</v>
      </c>
      <c r="I1746">
        <v>0</v>
      </c>
      <c r="M1746">
        <v>0</v>
      </c>
      <c r="S1746">
        <v>0</v>
      </c>
    </row>
    <row r="1747" spans="1:20" x14ac:dyDescent="0.3">
      <c r="A1747" t="s">
        <v>750</v>
      </c>
      <c r="B1747">
        <v>3</v>
      </c>
      <c r="E1747">
        <v>0</v>
      </c>
      <c r="I1747">
        <v>0</v>
      </c>
      <c r="M1747">
        <v>0</v>
      </c>
      <c r="S1747">
        <v>0</v>
      </c>
    </row>
    <row r="1748" spans="1:20" x14ac:dyDescent="0.3">
      <c r="A1748" t="s">
        <v>405</v>
      </c>
      <c r="B1748">
        <v>3</v>
      </c>
      <c r="E1748">
        <v>0</v>
      </c>
    </row>
    <row r="1749" spans="1:20" x14ac:dyDescent="0.3">
      <c r="A1749" t="s">
        <v>751</v>
      </c>
      <c r="B1749">
        <v>3</v>
      </c>
      <c r="D1749">
        <v>0</v>
      </c>
      <c r="E1749">
        <v>151</v>
      </c>
      <c r="F1749">
        <v>0</v>
      </c>
      <c r="H1749">
        <v>0</v>
      </c>
      <c r="I1749">
        <v>83</v>
      </c>
      <c r="J1749">
        <v>0</v>
      </c>
      <c r="L1749">
        <v>37</v>
      </c>
      <c r="M1749">
        <v>1437</v>
      </c>
      <c r="N1749">
        <v>0</v>
      </c>
      <c r="P1749">
        <v>0</v>
      </c>
      <c r="R1749">
        <v>50</v>
      </c>
      <c r="S1749">
        <v>1358</v>
      </c>
      <c r="T1749">
        <v>0</v>
      </c>
    </row>
    <row r="1750" spans="1:20" x14ac:dyDescent="0.3">
      <c r="A1750" t="s">
        <v>34</v>
      </c>
      <c r="B1750">
        <v>6</v>
      </c>
      <c r="D1750">
        <v>8</v>
      </c>
      <c r="E1750">
        <v>8</v>
      </c>
      <c r="F1750">
        <v>8</v>
      </c>
      <c r="H1750">
        <v>9</v>
      </c>
      <c r="I1750">
        <v>9</v>
      </c>
      <c r="J1750">
        <v>9</v>
      </c>
      <c r="L1750">
        <v>3</v>
      </c>
      <c r="M1750">
        <v>3</v>
      </c>
      <c r="N1750">
        <v>3</v>
      </c>
      <c r="P1750">
        <v>10</v>
      </c>
      <c r="R1750">
        <v>10</v>
      </c>
      <c r="S1750">
        <v>10</v>
      </c>
      <c r="T1750">
        <v>10</v>
      </c>
    </row>
    <row r="1751" spans="1:20" x14ac:dyDescent="0.3">
      <c r="A1751" t="s">
        <v>35</v>
      </c>
      <c r="B1751">
        <v>6</v>
      </c>
      <c r="D1751">
        <v>3</v>
      </c>
      <c r="E1751">
        <v>9</v>
      </c>
      <c r="F1751">
        <v>10</v>
      </c>
      <c r="H1751">
        <v>10</v>
      </c>
      <c r="I1751">
        <v>8</v>
      </c>
      <c r="J1751">
        <v>3</v>
      </c>
      <c r="L1751">
        <v>9</v>
      </c>
      <c r="M1751">
        <v>10</v>
      </c>
      <c r="N1751">
        <v>8</v>
      </c>
      <c r="P1751">
        <v>10</v>
      </c>
      <c r="R1751">
        <v>8</v>
      </c>
      <c r="S1751">
        <v>3</v>
      </c>
      <c r="T1751">
        <v>9</v>
      </c>
    </row>
    <row r="1752" spans="1:20" x14ac:dyDescent="0.3">
      <c r="A1752" t="s">
        <v>36</v>
      </c>
      <c r="B1752">
        <v>6</v>
      </c>
      <c r="D1752">
        <v>2</v>
      </c>
      <c r="E1752">
        <v>0</v>
      </c>
      <c r="F1752">
        <v>1</v>
      </c>
      <c r="H1752">
        <v>1</v>
      </c>
      <c r="I1752">
        <v>0</v>
      </c>
      <c r="J1752">
        <v>1</v>
      </c>
      <c r="L1752">
        <v>1</v>
      </c>
      <c r="M1752">
        <v>3</v>
      </c>
      <c r="N1752">
        <v>1</v>
      </c>
      <c r="P1752">
        <v>0</v>
      </c>
      <c r="R1752">
        <v>1</v>
      </c>
      <c r="S1752">
        <v>3</v>
      </c>
      <c r="T1752">
        <v>0</v>
      </c>
    </row>
    <row r="1753" spans="1:20" x14ac:dyDescent="0.3">
      <c r="A1753" t="s">
        <v>37</v>
      </c>
      <c r="B1753">
        <v>6</v>
      </c>
      <c r="D1753">
        <v>0</v>
      </c>
      <c r="E1753">
        <v>0</v>
      </c>
      <c r="H1753">
        <v>0</v>
      </c>
      <c r="I1753">
        <v>0</v>
      </c>
      <c r="L1753">
        <v>0</v>
      </c>
      <c r="M1753">
        <v>0</v>
      </c>
      <c r="R1753">
        <v>0</v>
      </c>
      <c r="S1753">
        <v>2</v>
      </c>
    </row>
    <row r="1754" spans="1:20" x14ac:dyDescent="0.3">
      <c r="A1754" t="s">
        <v>38</v>
      </c>
      <c r="B1754">
        <v>6</v>
      </c>
      <c r="D1754">
        <v>12</v>
      </c>
      <c r="E1754">
        <v>12</v>
      </c>
      <c r="F1754">
        <v>12</v>
      </c>
      <c r="H1754">
        <v>12</v>
      </c>
      <c r="I1754">
        <v>12</v>
      </c>
      <c r="J1754">
        <v>12</v>
      </c>
      <c r="L1754">
        <v>12</v>
      </c>
      <c r="M1754">
        <v>12</v>
      </c>
      <c r="N1754">
        <v>12</v>
      </c>
      <c r="P1754">
        <v>12</v>
      </c>
      <c r="R1754">
        <v>12</v>
      </c>
      <c r="S1754">
        <v>12</v>
      </c>
      <c r="T1754">
        <v>12</v>
      </c>
    </row>
    <row r="1755" spans="1:20" x14ac:dyDescent="0.3">
      <c r="A1755" t="s">
        <v>39</v>
      </c>
      <c r="B1755">
        <v>6</v>
      </c>
      <c r="L1755">
        <v>100</v>
      </c>
      <c r="N1755">
        <v>244</v>
      </c>
      <c r="R1755">
        <v>244</v>
      </c>
    </row>
    <row r="1756" spans="1:20" x14ac:dyDescent="0.3">
      <c r="A1756" t="s">
        <v>726</v>
      </c>
      <c r="B1756">
        <v>6</v>
      </c>
      <c r="L1756">
        <v>25</v>
      </c>
      <c r="N1756">
        <v>25</v>
      </c>
      <c r="R1756">
        <v>25</v>
      </c>
    </row>
    <row r="1757" spans="1:20" x14ac:dyDescent="0.3">
      <c r="A1757" t="s">
        <v>40</v>
      </c>
      <c r="B1757">
        <v>6</v>
      </c>
      <c r="L1757">
        <v>1</v>
      </c>
      <c r="N1757">
        <v>1</v>
      </c>
      <c r="R1757">
        <v>1</v>
      </c>
    </row>
    <row r="1758" spans="1:20" x14ac:dyDescent="0.3">
      <c r="A1758" t="s">
        <v>41</v>
      </c>
      <c r="B1758">
        <v>6</v>
      </c>
    </row>
    <row r="1759" spans="1:20" x14ac:dyDescent="0.3">
      <c r="A1759" t="s">
        <v>42</v>
      </c>
      <c r="B1759">
        <v>6</v>
      </c>
      <c r="E1759">
        <v>30</v>
      </c>
      <c r="I1759">
        <v>30</v>
      </c>
      <c r="M1759">
        <v>40</v>
      </c>
      <c r="S1759">
        <v>40</v>
      </c>
    </row>
    <row r="1760" spans="1:20" x14ac:dyDescent="0.3">
      <c r="A1760" t="s">
        <v>45</v>
      </c>
      <c r="B1760">
        <v>6</v>
      </c>
      <c r="D1760">
        <v>4</v>
      </c>
      <c r="F1760">
        <v>4</v>
      </c>
      <c r="H1760">
        <v>8</v>
      </c>
      <c r="J1760">
        <v>8</v>
      </c>
      <c r="L1760">
        <v>1</v>
      </c>
      <c r="M1760">
        <v>6</v>
      </c>
      <c r="R1760">
        <v>5</v>
      </c>
      <c r="S1760">
        <v>2</v>
      </c>
    </row>
    <row r="1761" spans="1:20" x14ac:dyDescent="0.3">
      <c r="A1761" t="s">
        <v>46</v>
      </c>
      <c r="B1761">
        <v>6</v>
      </c>
      <c r="D1761">
        <v>4</v>
      </c>
      <c r="F1761">
        <v>4</v>
      </c>
      <c r="H1761">
        <v>8</v>
      </c>
      <c r="J1761">
        <v>8</v>
      </c>
      <c r="L1761">
        <v>6</v>
      </c>
      <c r="N1761">
        <v>6</v>
      </c>
      <c r="R1761">
        <v>2</v>
      </c>
    </row>
    <row r="1762" spans="1:20" x14ac:dyDescent="0.3">
      <c r="A1762" t="s">
        <v>49</v>
      </c>
      <c r="B1762">
        <v>6</v>
      </c>
      <c r="D1762">
        <v>5.8</v>
      </c>
      <c r="E1762">
        <v>4</v>
      </c>
      <c r="F1762">
        <v>5.8</v>
      </c>
      <c r="H1762">
        <v>5.8</v>
      </c>
      <c r="I1762">
        <v>4</v>
      </c>
      <c r="J1762">
        <v>5.8</v>
      </c>
      <c r="L1762">
        <v>4</v>
      </c>
      <c r="M1762">
        <v>5.3</v>
      </c>
      <c r="N1762">
        <v>5.3</v>
      </c>
      <c r="P1762">
        <v>4</v>
      </c>
      <c r="R1762">
        <v>4</v>
      </c>
      <c r="S1762">
        <v>5.3</v>
      </c>
      <c r="T1762">
        <v>4</v>
      </c>
    </row>
    <row r="1763" spans="1:20" x14ac:dyDescent="0.3">
      <c r="A1763" t="s">
        <v>727</v>
      </c>
      <c r="B1763">
        <v>6</v>
      </c>
      <c r="D1763">
        <v>0</v>
      </c>
      <c r="E1763">
        <v>0</v>
      </c>
      <c r="F1763">
        <v>0</v>
      </c>
      <c r="H1763">
        <v>0</v>
      </c>
      <c r="I1763">
        <v>0</v>
      </c>
      <c r="J1763">
        <v>0</v>
      </c>
      <c r="L1763">
        <v>0</v>
      </c>
      <c r="M1763">
        <v>0</v>
      </c>
      <c r="N1763">
        <v>0</v>
      </c>
      <c r="P1763">
        <v>0</v>
      </c>
      <c r="R1763">
        <v>0</v>
      </c>
      <c r="S1763">
        <v>0</v>
      </c>
      <c r="T1763">
        <v>0</v>
      </c>
    </row>
    <row r="1764" spans="1:20" x14ac:dyDescent="0.3">
      <c r="A1764" t="s">
        <v>48</v>
      </c>
      <c r="B1764">
        <v>6</v>
      </c>
      <c r="D1764">
        <v>1900</v>
      </c>
      <c r="E1764">
        <v>1900</v>
      </c>
      <c r="F1764">
        <v>1900</v>
      </c>
      <c r="H1764">
        <v>1900</v>
      </c>
      <c r="I1764">
        <v>1900</v>
      </c>
      <c r="J1764">
        <v>1900</v>
      </c>
      <c r="L1764">
        <v>1900</v>
      </c>
      <c r="M1764">
        <v>1900</v>
      </c>
      <c r="N1764">
        <v>1900</v>
      </c>
      <c r="P1764">
        <v>1900</v>
      </c>
      <c r="R1764">
        <v>1900</v>
      </c>
      <c r="S1764">
        <v>1900</v>
      </c>
      <c r="T1764">
        <v>1900</v>
      </c>
    </row>
    <row r="1765" spans="1:20" x14ac:dyDescent="0.3">
      <c r="A1765" t="s">
        <v>728</v>
      </c>
      <c r="B1765">
        <v>6</v>
      </c>
      <c r="D1765">
        <v>3433</v>
      </c>
      <c r="E1765">
        <v>0</v>
      </c>
      <c r="F1765">
        <v>1583</v>
      </c>
      <c r="H1765">
        <v>1770</v>
      </c>
      <c r="I1765">
        <v>0</v>
      </c>
      <c r="J1765">
        <v>1583</v>
      </c>
      <c r="L1765">
        <v>1770</v>
      </c>
      <c r="M1765">
        <v>5085</v>
      </c>
      <c r="N1765">
        <v>1583</v>
      </c>
      <c r="P1765">
        <v>0</v>
      </c>
      <c r="R1765">
        <v>1770</v>
      </c>
      <c r="S1765">
        <v>5055</v>
      </c>
      <c r="T1765">
        <v>0</v>
      </c>
    </row>
    <row r="1766" spans="1:20" x14ac:dyDescent="0.3">
      <c r="A1766" t="s">
        <v>50</v>
      </c>
      <c r="B1766">
        <v>6</v>
      </c>
      <c r="D1766">
        <v>3433</v>
      </c>
      <c r="E1766">
        <v>0</v>
      </c>
      <c r="F1766">
        <v>1583</v>
      </c>
      <c r="H1766">
        <v>1770</v>
      </c>
      <c r="I1766">
        <v>0</v>
      </c>
      <c r="J1766">
        <v>1583</v>
      </c>
      <c r="L1766">
        <v>261</v>
      </c>
      <c r="M1766">
        <v>5085</v>
      </c>
      <c r="N1766">
        <v>1583</v>
      </c>
      <c r="P1766">
        <v>0</v>
      </c>
      <c r="R1766">
        <v>224</v>
      </c>
      <c r="S1766">
        <v>5055</v>
      </c>
      <c r="T1766">
        <v>0</v>
      </c>
    </row>
    <row r="1767" spans="1:20" x14ac:dyDescent="0.3">
      <c r="A1767" t="s">
        <v>729</v>
      </c>
      <c r="B1767">
        <v>6</v>
      </c>
      <c r="D1767">
        <v>1</v>
      </c>
      <c r="E1767">
        <v>1</v>
      </c>
      <c r="F1767">
        <v>1</v>
      </c>
      <c r="H1767">
        <v>1</v>
      </c>
      <c r="I1767">
        <v>1</v>
      </c>
      <c r="J1767">
        <v>1</v>
      </c>
      <c r="L1767">
        <v>1</v>
      </c>
      <c r="M1767">
        <v>1</v>
      </c>
      <c r="N1767">
        <v>1</v>
      </c>
      <c r="P1767">
        <v>1</v>
      </c>
      <c r="R1767">
        <v>1</v>
      </c>
      <c r="S1767">
        <v>1</v>
      </c>
      <c r="T1767">
        <v>1</v>
      </c>
    </row>
    <row r="1768" spans="1:20" x14ac:dyDescent="0.3">
      <c r="A1768" t="s">
        <v>51</v>
      </c>
      <c r="B1768">
        <v>6</v>
      </c>
      <c r="D1768">
        <v>0</v>
      </c>
      <c r="E1768">
        <v>0</v>
      </c>
      <c r="F1768">
        <v>110</v>
      </c>
      <c r="H1768">
        <v>0</v>
      </c>
      <c r="I1768">
        <v>0</v>
      </c>
      <c r="J1768">
        <v>110</v>
      </c>
      <c r="L1768">
        <v>0</v>
      </c>
      <c r="M1768">
        <v>0</v>
      </c>
      <c r="N1768">
        <v>115</v>
      </c>
      <c r="P1768">
        <v>0</v>
      </c>
      <c r="R1768">
        <v>0</v>
      </c>
      <c r="S1768">
        <v>6</v>
      </c>
      <c r="T1768">
        <v>0</v>
      </c>
    </row>
    <row r="1769" spans="1:20" x14ac:dyDescent="0.3">
      <c r="A1769" t="s">
        <v>53</v>
      </c>
      <c r="B1769">
        <v>6</v>
      </c>
      <c r="D1769">
        <v>66</v>
      </c>
      <c r="E1769">
        <v>0</v>
      </c>
      <c r="F1769">
        <v>61</v>
      </c>
      <c r="H1769">
        <v>48</v>
      </c>
      <c r="I1769">
        <v>0</v>
      </c>
      <c r="J1769">
        <v>84</v>
      </c>
      <c r="L1769">
        <v>54</v>
      </c>
      <c r="M1769">
        <v>1187</v>
      </c>
      <c r="N1769">
        <v>23</v>
      </c>
      <c r="P1769">
        <v>0</v>
      </c>
      <c r="R1769">
        <v>86</v>
      </c>
      <c r="S1769">
        <v>1070</v>
      </c>
      <c r="T1769">
        <v>42</v>
      </c>
    </row>
    <row r="1770" spans="1:20" x14ac:dyDescent="0.3">
      <c r="A1770" t="s">
        <v>54</v>
      </c>
      <c r="B1770">
        <v>6</v>
      </c>
      <c r="D1770">
        <v>0</v>
      </c>
      <c r="E1770">
        <v>0</v>
      </c>
      <c r="F1770">
        <v>0</v>
      </c>
      <c r="H1770">
        <v>0</v>
      </c>
      <c r="I1770">
        <v>0</v>
      </c>
      <c r="J1770">
        <v>0</v>
      </c>
      <c r="L1770">
        <v>0</v>
      </c>
      <c r="M1770">
        <v>0</v>
      </c>
      <c r="N1770">
        <v>0</v>
      </c>
      <c r="P1770">
        <v>0</v>
      </c>
      <c r="R1770">
        <v>0</v>
      </c>
      <c r="S1770">
        <v>0</v>
      </c>
      <c r="T1770">
        <v>0</v>
      </c>
    </row>
    <row r="1771" spans="1:20" x14ac:dyDescent="0.3">
      <c r="A1771" t="s">
        <v>55</v>
      </c>
      <c r="B1771">
        <v>6</v>
      </c>
      <c r="D1771">
        <v>0</v>
      </c>
      <c r="E1771">
        <v>0</v>
      </c>
      <c r="F1771">
        <v>0</v>
      </c>
      <c r="H1771">
        <v>0</v>
      </c>
      <c r="I1771">
        <v>0</v>
      </c>
      <c r="J1771">
        <v>0</v>
      </c>
      <c r="L1771">
        <v>0</v>
      </c>
      <c r="M1771">
        <v>0</v>
      </c>
      <c r="N1771">
        <v>0</v>
      </c>
      <c r="P1771">
        <v>0</v>
      </c>
      <c r="R1771">
        <v>0</v>
      </c>
      <c r="S1771">
        <v>0</v>
      </c>
      <c r="T1771">
        <v>0</v>
      </c>
    </row>
    <row r="1772" spans="1:20" x14ac:dyDescent="0.3">
      <c r="A1772" t="s">
        <v>56</v>
      </c>
      <c r="B1772">
        <v>6</v>
      </c>
      <c r="D1772">
        <v>0.92</v>
      </c>
      <c r="E1772">
        <v>0.92</v>
      </c>
      <c r="F1772">
        <v>0.92</v>
      </c>
      <c r="H1772">
        <v>0.92</v>
      </c>
      <c r="I1772">
        <v>0.92</v>
      </c>
      <c r="J1772">
        <v>0.92</v>
      </c>
      <c r="L1772">
        <v>0.92</v>
      </c>
      <c r="M1772">
        <v>0.92</v>
      </c>
      <c r="N1772">
        <v>0.92</v>
      </c>
      <c r="P1772">
        <v>0.92</v>
      </c>
      <c r="R1772">
        <v>0.92</v>
      </c>
      <c r="S1772">
        <v>0.92</v>
      </c>
      <c r="T1772">
        <v>0.92</v>
      </c>
    </row>
    <row r="1773" spans="1:20" x14ac:dyDescent="0.3">
      <c r="A1773" t="s">
        <v>57</v>
      </c>
      <c r="B1773">
        <v>6</v>
      </c>
      <c r="D1773">
        <v>100</v>
      </c>
      <c r="E1773">
        <v>100</v>
      </c>
      <c r="F1773">
        <v>100</v>
      </c>
      <c r="H1773">
        <v>100</v>
      </c>
      <c r="I1773">
        <v>100</v>
      </c>
      <c r="J1773">
        <v>100</v>
      </c>
      <c r="L1773">
        <v>100</v>
      </c>
      <c r="M1773">
        <v>100</v>
      </c>
      <c r="N1773">
        <v>100</v>
      </c>
      <c r="P1773">
        <v>100</v>
      </c>
      <c r="R1773">
        <v>100</v>
      </c>
      <c r="S1773">
        <v>100</v>
      </c>
      <c r="T1773">
        <v>100</v>
      </c>
    </row>
    <row r="1774" spans="1:20" x14ac:dyDescent="0.3">
      <c r="A1774" t="s">
        <v>58</v>
      </c>
      <c r="B1774">
        <v>6</v>
      </c>
      <c r="D1774">
        <v>2</v>
      </c>
      <c r="E1774">
        <v>2</v>
      </c>
      <c r="F1774">
        <v>2</v>
      </c>
      <c r="H1774">
        <v>2</v>
      </c>
      <c r="I1774">
        <v>2</v>
      </c>
      <c r="J1774">
        <v>2</v>
      </c>
      <c r="L1774">
        <v>2</v>
      </c>
      <c r="M1774">
        <v>2</v>
      </c>
      <c r="N1774">
        <v>2</v>
      </c>
      <c r="P1774">
        <v>2</v>
      </c>
      <c r="R1774">
        <v>2</v>
      </c>
      <c r="S1774">
        <v>2</v>
      </c>
      <c r="T1774">
        <v>2</v>
      </c>
    </row>
    <row r="1775" spans="1:20" x14ac:dyDescent="0.3">
      <c r="A1775" t="s">
        <v>59</v>
      </c>
      <c r="B1775">
        <v>6</v>
      </c>
      <c r="D1775">
        <v>0</v>
      </c>
      <c r="E1775">
        <v>0</v>
      </c>
      <c r="F1775">
        <v>0</v>
      </c>
      <c r="H1775">
        <v>0</v>
      </c>
      <c r="I1775">
        <v>0</v>
      </c>
      <c r="J1775">
        <v>0</v>
      </c>
      <c r="L1775">
        <v>0</v>
      </c>
      <c r="M1775">
        <v>0</v>
      </c>
      <c r="N1775">
        <v>0</v>
      </c>
      <c r="P1775">
        <v>0</v>
      </c>
      <c r="R1775">
        <v>0</v>
      </c>
      <c r="S1775">
        <v>0</v>
      </c>
      <c r="T1775">
        <v>0</v>
      </c>
    </row>
    <row r="1776" spans="1:20" x14ac:dyDescent="0.3">
      <c r="A1776" t="s">
        <v>730</v>
      </c>
      <c r="B1776">
        <v>6</v>
      </c>
      <c r="E1776">
        <v>0</v>
      </c>
      <c r="I1776">
        <v>0</v>
      </c>
      <c r="M1776">
        <v>0</v>
      </c>
      <c r="S1776">
        <v>0</v>
      </c>
    </row>
    <row r="1777" spans="1:20" x14ac:dyDescent="0.3">
      <c r="A1777" t="s">
        <v>679</v>
      </c>
      <c r="B1777">
        <v>6</v>
      </c>
      <c r="E1777">
        <v>532</v>
      </c>
      <c r="I1777">
        <v>345</v>
      </c>
      <c r="M1777">
        <v>1297</v>
      </c>
      <c r="S1777">
        <v>2616</v>
      </c>
    </row>
    <row r="1778" spans="1:20" x14ac:dyDescent="0.3">
      <c r="A1778" t="s">
        <v>78</v>
      </c>
      <c r="B1778">
        <v>6</v>
      </c>
      <c r="E1778">
        <v>12.1</v>
      </c>
      <c r="I1778">
        <v>7.8</v>
      </c>
      <c r="M1778">
        <v>22.1</v>
      </c>
      <c r="S1778">
        <v>44.6</v>
      </c>
    </row>
    <row r="1779" spans="1:20" x14ac:dyDescent="0.3">
      <c r="A1779" t="s">
        <v>731</v>
      </c>
      <c r="B1779">
        <v>6</v>
      </c>
      <c r="F1779">
        <v>0</v>
      </c>
      <c r="J1779">
        <v>0</v>
      </c>
      <c r="N1779">
        <v>0</v>
      </c>
      <c r="T1779">
        <v>0</v>
      </c>
    </row>
    <row r="1780" spans="1:20" x14ac:dyDescent="0.3">
      <c r="A1780" t="s">
        <v>732</v>
      </c>
      <c r="B1780">
        <v>6</v>
      </c>
      <c r="D1780">
        <v>0</v>
      </c>
      <c r="E1780">
        <v>0</v>
      </c>
      <c r="F1780">
        <v>1</v>
      </c>
      <c r="H1780">
        <v>0</v>
      </c>
      <c r="I1780">
        <v>0</v>
      </c>
      <c r="J1780">
        <v>1</v>
      </c>
      <c r="L1780">
        <v>0</v>
      </c>
      <c r="M1780">
        <v>0</v>
      </c>
      <c r="N1780">
        <v>1</v>
      </c>
      <c r="P1780">
        <v>3</v>
      </c>
      <c r="R1780">
        <v>0</v>
      </c>
      <c r="S1780">
        <v>0</v>
      </c>
      <c r="T1780">
        <v>1</v>
      </c>
    </row>
    <row r="1781" spans="1:20" x14ac:dyDescent="0.3">
      <c r="A1781" t="s">
        <v>733</v>
      </c>
      <c r="B1781">
        <v>6</v>
      </c>
      <c r="D1781">
        <v>0</v>
      </c>
      <c r="E1781">
        <v>0</v>
      </c>
      <c r="F1781">
        <v>0</v>
      </c>
      <c r="H1781">
        <v>0</v>
      </c>
      <c r="I1781">
        <v>0</v>
      </c>
      <c r="J1781">
        <v>0</v>
      </c>
      <c r="L1781">
        <v>0</v>
      </c>
      <c r="M1781">
        <v>0</v>
      </c>
      <c r="N1781">
        <v>0</v>
      </c>
      <c r="P1781">
        <v>0</v>
      </c>
      <c r="R1781">
        <v>0</v>
      </c>
      <c r="S1781">
        <v>0</v>
      </c>
      <c r="T1781">
        <v>0</v>
      </c>
    </row>
    <row r="1782" spans="1:20" x14ac:dyDescent="0.3">
      <c r="A1782" t="s">
        <v>52</v>
      </c>
      <c r="B1782">
        <v>6</v>
      </c>
      <c r="D1782">
        <v>1</v>
      </c>
      <c r="E1782">
        <v>1</v>
      </c>
      <c r="F1782">
        <v>1</v>
      </c>
      <c r="H1782">
        <v>1</v>
      </c>
      <c r="I1782">
        <v>1</v>
      </c>
      <c r="J1782">
        <v>1</v>
      </c>
      <c r="L1782">
        <v>1</v>
      </c>
      <c r="M1782">
        <v>1</v>
      </c>
      <c r="N1782">
        <v>1</v>
      </c>
      <c r="P1782">
        <v>1</v>
      </c>
      <c r="R1782">
        <v>1</v>
      </c>
      <c r="S1782">
        <v>1</v>
      </c>
      <c r="T1782">
        <v>1</v>
      </c>
    </row>
    <row r="1783" spans="1:20" x14ac:dyDescent="0.3">
      <c r="A1783" t="s">
        <v>734</v>
      </c>
      <c r="B1783">
        <v>6</v>
      </c>
      <c r="D1783">
        <v>15</v>
      </c>
      <c r="E1783">
        <v>60</v>
      </c>
      <c r="F1783">
        <v>9</v>
      </c>
      <c r="H1783">
        <v>15</v>
      </c>
      <c r="I1783">
        <v>60</v>
      </c>
      <c r="J1783">
        <v>9</v>
      </c>
      <c r="L1783">
        <v>15</v>
      </c>
      <c r="M1783">
        <v>60</v>
      </c>
      <c r="N1783">
        <v>9</v>
      </c>
      <c r="P1783">
        <v>9</v>
      </c>
      <c r="R1783">
        <v>15</v>
      </c>
      <c r="S1783">
        <v>60</v>
      </c>
      <c r="T1783">
        <v>9</v>
      </c>
    </row>
    <row r="1784" spans="1:20" x14ac:dyDescent="0.3">
      <c r="A1784" t="s">
        <v>43</v>
      </c>
      <c r="B1784">
        <v>6</v>
      </c>
      <c r="D1784">
        <v>20</v>
      </c>
      <c r="F1784">
        <v>20</v>
      </c>
      <c r="H1784">
        <v>20</v>
      </c>
      <c r="J1784">
        <v>20</v>
      </c>
      <c r="L1784">
        <v>20</v>
      </c>
      <c r="M1784">
        <v>100</v>
      </c>
      <c r="N1784">
        <v>20</v>
      </c>
      <c r="R1784">
        <v>20</v>
      </c>
      <c r="S1784">
        <v>100</v>
      </c>
    </row>
    <row r="1785" spans="1:20" x14ac:dyDescent="0.3">
      <c r="A1785" t="s">
        <v>44</v>
      </c>
      <c r="B1785">
        <v>6</v>
      </c>
      <c r="D1785">
        <v>0</v>
      </c>
      <c r="F1785">
        <v>0</v>
      </c>
      <c r="H1785">
        <v>0</v>
      </c>
      <c r="J1785">
        <v>0</v>
      </c>
      <c r="L1785">
        <v>0</v>
      </c>
      <c r="M1785">
        <v>0</v>
      </c>
      <c r="N1785">
        <v>0</v>
      </c>
      <c r="R1785">
        <v>0</v>
      </c>
      <c r="S1785">
        <v>0</v>
      </c>
    </row>
    <row r="1786" spans="1:20" x14ac:dyDescent="0.3">
      <c r="A1786" t="s">
        <v>47</v>
      </c>
      <c r="B1786">
        <v>6</v>
      </c>
      <c r="D1786">
        <v>4</v>
      </c>
      <c r="F1786">
        <v>4</v>
      </c>
      <c r="H1786">
        <v>8</v>
      </c>
      <c r="J1786">
        <v>8</v>
      </c>
      <c r="L1786">
        <v>1</v>
      </c>
      <c r="M1786">
        <v>6</v>
      </c>
      <c r="N1786">
        <v>6</v>
      </c>
      <c r="R1786">
        <v>5</v>
      </c>
      <c r="S1786">
        <v>2</v>
      </c>
    </row>
    <row r="1787" spans="1:20" x14ac:dyDescent="0.3">
      <c r="A1787" t="s">
        <v>735</v>
      </c>
      <c r="B1787">
        <v>6</v>
      </c>
      <c r="D1787">
        <v>0</v>
      </c>
      <c r="F1787">
        <v>0</v>
      </c>
      <c r="H1787">
        <v>0</v>
      </c>
      <c r="J1787">
        <v>0</v>
      </c>
      <c r="L1787">
        <v>0</v>
      </c>
      <c r="M1787">
        <v>0</v>
      </c>
      <c r="N1787">
        <v>0</v>
      </c>
      <c r="R1787">
        <v>0</v>
      </c>
      <c r="S1787">
        <v>0</v>
      </c>
    </row>
    <row r="1788" spans="1:20" x14ac:dyDescent="0.3">
      <c r="A1788" t="s">
        <v>736</v>
      </c>
      <c r="B1788">
        <v>6</v>
      </c>
      <c r="D1788">
        <v>0</v>
      </c>
      <c r="F1788">
        <v>0</v>
      </c>
      <c r="H1788">
        <v>0</v>
      </c>
      <c r="J1788">
        <v>0</v>
      </c>
      <c r="L1788">
        <v>0</v>
      </c>
      <c r="M1788">
        <v>0</v>
      </c>
      <c r="N1788">
        <v>0</v>
      </c>
      <c r="R1788">
        <v>0</v>
      </c>
      <c r="S1788">
        <v>0</v>
      </c>
    </row>
    <row r="1789" spans="1:20" x14ac:dyDescent="0.3">
      <c r="A1789" t="s">
        <v>737</v>
      </c>
      <c r="B1789">
        <v>6</v>
      </c>
      <c r="D1789">
        <v>0</v>
      </c>
      <c r="F1789">
        <v>0</v>
      </c>
      <c r="H1789">
        <v>0</v>
      </c>
      <c r="J1789">
        <v>0</v>
      </c>
      <c r="L1789">
        <v>0</v>
      </c>
      <c r="M1789">
        <v>0</v>
      </c>
      <c r="N1789">
        <v>0</v>
      </c>
      <c r="R1789">
        <v>0</v>
      </c>
      <c r="S1789">
        <v>0</v>
      </c>
    </row>
    <row r="1790" spans="1:20" x14ac:dyDescent="0.3">
      <c r="A1790" t="s">
        <v>738</v>
      </c>
      <c r="B1790">
        <v>6</v>
      </c>
      <c r="D1790">
        <v>0</v>
      </c>
      <c r="F1790">
        <v>0</v>
      </c>
      <c r="H1790">
        <v>0</v>
      </c>
      <c r="J1790">
        <v>0</v>
      </c>
      <c r="L1790">
        <v>0</v>
      </c>
      <c r="M1790">
        <v>0</v>
      </c>
      <c r="N1790">
        <v>0</v>
      </c>
      <c r="R1790">
        <v>0</v>
      </c>
      <c r="S1790">
        <v>0</v>
      </c>
    </row>
    <row r="1791" spans="1:20" x14ac:dyDescent="0.3">
      <c r="A1791" t="s">
        <v>739</v>
      </c>
      <c r="B1791">
        <v>6</v>
      </c>
      <c r="D1791">
        <v>1</v>
      </c>
      <c r="F1791">
        <v>1</v>
      </c>
      <c r="H1791">
        <v>1</v>
      </c>
      <c r="J1791">
        <v>1</v>
      </c>
      <c r="L1791">
        <v>1</v>
      </c>
      <c r="M1791">
        <v>2</v>
      </c>
      <c r="N1791">
        <v>1</v>
      </c>
      <c r="R1791">
        <v>1</v>
      </c>
      <c r="S1791">
        <v>2</v>
      </c>
    </row>
    <row r="1792" spans="1:20" x14ac:dyDescent="0.3">
      <c r="A1792" t="s">
        <v>740</v>
      </c>
      <c r="B1792">
        <v>6</v>
      </c>
      <c r="D1792">
        <v>0</v>
      </c>
      <c r="F1792">
        <v>0</v>
      </c>
      <c r="H1792">
        <v>0</v>
      </c>
      <c r="J1792">
        <v>0</v>
      </c>
      <c r="L1792">
        <v>0</v>
      </c>
      <c r="M1792">
        <v>0</v>
      </c>
      <c r="N1792">
        <v>0</v>
      </c>
      <c r="R1792">
        <v>0</v>
      </c>
      <c r="S1792">
        <v>0</v>
      </c>
    </row>
    <row r="1793" spans="1:20" x14ac:dyDescent="0.3">
      <c r="A1793" t="s">
        <v>741</v>
      </c>
      <c r="B1793">
        <v>6</v>
      </c>
      <c r="D1793">
        <v>20</v>
      </c>
      <c r="F1793">
        <v>20</v>
      </c>
      <c r="H1793">
        <v>20</v>
      </c>
      <c r="J1793">
        <v>20</v>
      </c>
      <c r="L1793">
        <v>20</v>
      </c>
      <c r="M1793">
        <v>6</v>
      </c>
      <c r="N1793">
        <v>20</v>
      </c>
      <c r="R1793">
        <v>20</v>
      </c>
      <c r="S1793">
        <v>6</v>
      </c>
    </row>
    <row r="1794" spans="1:20" x14ac:dyDescent="0.3">
      <c r="A1794" t="s">
        <v>742</v>
      </c>
      <c r="B1794">
        <v>6</v>
      </c>
      <c r="D1794">
        <v>3</v>
      </c>
      <c r="F1794">
        <v>3</v>
      </c>
      <c r="H1794">
        <v>3</v>
      </c>
      <c r="J1794">
        <v>3</v>
      </c>
      <c r="L1794">
        <v>3</v>
      </c>
      <c r="M1794">
        <v>3</v>
      </c>
      <c r="N1794">
        <v>3</v>
      </c>
      <c r="R1794">
        <v>3</v>
      </c>
      <c r="S1794">
        <v>3</v>
      </c>
    </row>
    <row r="1795" spans="1:20" x14ac:dyDescent="0.3">
      <c r="A1795" t="s">
        <v>743</v>
      </c>
      <c r="B1795">
        <v>6</v>
      </c>
      <c r="D1795">
        <v>0</v>
      </c>
      <c r="F1795">
        <v>0</v>
      </c>
      <c r="H1795">
        <v>0</v>
      </c>
      <c r="J1795">
        <v>0</v>
      </c>
      <c r="L1795">
        <v>0</v>
      </c>
      <c r="M1795">
        <v>0</v>
      </c>
      <c r="N1795">
        <v>0</v>
      </c>
      <c r="R1795">
        <v>0</v>
      </c>
      <c r="S1795">
        <v>0</v>
      </c>
    </row>
    <row r="1796" spans="1:20" x14ac:dyDescent="0.3">
      <c r="A1796" t="s">
        <v>744</v>
      </c>
      <c r="B1796">
        <v>6</v>
      </c>
      <c r="D1796">
        <v>0</v>
      </c>
      <c r="F1796">
        <v>0</v>
      </c>
      <c r="H1796">
        <v>0</v>
      </c>
      <c r="J1796">
        <v>0</v>
      </c>
      <c r="L1796">
        <v>0</v>
      </c>
      <c r="M1796">
        <v>0</v>
      </c>
      <c r="N1796">
        <v>0</v>
      </c>
      <c r="R1796">
        <v>0</v>
      </c>
      <c r="S1796">
        <v>0</v>
      </c>
    </row>
    <row r="1797" spans="1:20" x14ac:dyDescent="0.3">
      <c r="A1797" t="s">
        <v>745</v>
      </c>
      <c r="B1797">
        <v>6</v>
      </c>
      <c r="D1797">
        <v>0</v>
      </c>
      <c r="F1797">
        <v>0</v>
      </c>
      <c r="H1797">
        <v>0</v>
      </c>
      <c r="J1797">
        <v>0</v>
      </c>
      <c r="L1797">
        <v>0</v>
      </c>
      <c r="M1797">
        <v>0</v>
      </c>
      <c r="N1797">
        <v>0</v>
      </c>
      <c r="R1797">
        <v>0</v>
      </c>
      <c r="S1797">
        <v>0</v>
      </c>
    </row>
    <row r="1798" spans="1:20" x14ac:dyDescent="0.3">
      <c r="A1798" t="s">
        <v>746</v>
      </c>
      <c r="B1798">
        <v>6</v>
      </c>
      <c r="M1798">
        <v>94</v>
      </c>
      <c r="S1798">
        <v>94</v>
      </c>
    </row>
    <row r="1799" spans="1:20" x14ac:dyDescent="0.3">
      <c r="A1799" t="s">
        <v>747</v>
      </c>
      <c r="B1799">
        <v>6</v>
      </c>
      <c r="M1799">
        <v>6</v>
      </c>
      <c r="S1799">
        <v>6</v>
      </c>
    </row>
    <row r="1800" spans="1:20" x14ac:dyDescent="0.3">
      <c r="A1800" t="s">
        <v>748</v>
      </c>
      <c r="B1800">
        <v>6</v>
      </c>
      <c r="M1800">
        <v>3</v>
      </c>
      <c r="S1800">
        <v>3</v>
      </c>
    </row>
    <row r="1801" spans="1:20" x14ac:dyDescent="0.3">
      <c r="A1801" t="s">
        <v>749</v>
      </c>
      <c r="B1801">
        <v>6</v>
      </c>
      <c r="M1801">
        <v>0</v>
      </c>
      <c r="S1801">
        <v>0</v>
      </c>
    </row>
    <row r="1802" spans="1:20" x14ac:dyDescent="0.3">
      <c r="A1802" t="s">
        <v>750</v>
      </c>
      <c r="B1802">
        <v>6</v>
      </c>
      <c r="E1802">
        <v>0</v>
      </c>
      <c r="I1802">
        <v>0</v>
      </c>
      <c r="M1802">
        <v>0</v>
      </c>
      <c r="S1802">
        <v>0</v>
      </c>
    </row>
    <row r="1803" spans="1:20" x14ac:dyDescent="0.3">
      <c r="A1803" t="s">
        <v>405</v>
      </c>
      <c r="B1803">
        <v>6</v>
      </c>
      <c r="E1803">
        <v>0</v>
      </c>
    </row>
    <row r="1804" spans="1:20" x14ac:dyDescent="0.3">
      <c r="A1804" t="s">
        <v>751</v>
      </c>
      <c r="B1804">
        <v>6</v>
      </c>
      <c r="D1804">
        <v>72</v>
      </c>
      <c r="E1804">
        <v>0</v>
      </c>
      <c r="F1804">
        <v>66</v>
      </c>
      <c r="H1804">
        <v>52</v>
      </c>
      <c r="I1804">
        <v>0</v>
      </c>
      <c r="J1804">
        <v>91</v>
      </c>
      <c r="L1804">
        <v>59</v>
      </c>
      <c r="M1804">
        <v>1290</v>
      </c>
      <c r="N1804">
        <v>25</v>
      </c>
      <c r="P1804">
        <v>0</v>
      </c>
      <c r="R1804">
        <v>93</v>
      </c>
      <c r="S1804">
        <v>1209</v>
      </c>
      <c r="T1804">
        <v>0</v>
      </c>
    </row>
    <row r="1805" spans="1:20" x14ac:dyDescent="0.3">
      <c r="A1805" t="s">
        <v>34</v>
      </c>
      <c r="B1805">
        <v>10</v>
      </c>
      <c r="D1805">
        <v>12</v>
      </c>
      <c r="E1805">
        <v>12</v>
      </c>
      <c r="F1805">
        <v>12</v>
      </c>
      <c r="H1805">
        <v>11</v>
      </c>
      <c r="I1805">
        <v>11</v>
      </c>
      <c r="J1805">
        <v>11</v>
      </c>
      <c r="L1805">
        <v>6</v>
      </c>
      <c r="M1805">
        <v>6</v>
      </c>
      <c r="N1805">
        <v>6</v>
      </c>
      <c r="P1805">
        <v>13</v>
      </c>
      <c r="R1805">
        <v>13</v>
      </c>
      <c r="S1805">
        <v>13</v>
      </c>
      <c r="T1805">
        <v>13</v>
      </c>
    </row>
    <row r="1806" spans="1:20" x14ac:dyDescent="0.3">
      <c r="A1806" t="s">
        <v>35</v>
      </c>
      <c r="B1806">
        <v>10</v>
      </c>
      <c r="D1806">
        <v>6</v>
      </c>
      <c r="E1806">
        <v>11</v>
      </c>
      <c r="F1806">
        <v>13</v>
      </c>
      <c r="H1806">
        <v>13</v>
      </c>
      <c r="I1806">
        <v>12</v>
      </c>
      <c r="J1806">
        <v>6</v>
      </c>
      <c r="L1806">
        <v>11</v>
      </c>
      <c r="M1806">
        <v>13</v>
      </c>
      <c r="N1806">
        <v>12</v>
      </c>
      <c r="P1806">
        <v>13</v>
      </c>
      <c r="R1806">
        <v>12</v>
      </c>
      <c r="S1806">
        <v>6</v>
      </c>
      <c r="T1806">
        <v>11</v>
      </c>
    </row>
    <row r="1807" spans="1:20" x14ac:dyDescent="0.3">
      <c r="A1807" t="s">
        <v>36</v>
      </c>
      <c r="B1807">
        <v>10</v>
      </c>
      <c r="D1807">
        <v>1</v>
      </c>
      <c r="E1807">
        <v>2</v>
      </c>
      <c r="F1807">
        <v>0</v>
      </c>
      <c r="H1807">
        <v>1</v>
      </c>
      <c r="I1807">
        <v>2</v>
      </c>
      <c r="J1807">
        <v>0</v>
      </c>
      <c r="L1807">
        <v>1</v>
      </c>
      <c r="M1807">
        <v>3</v>
      </c>
      <c r="N1807">
        <v>1</v>
      </c>
      <c r="P1807">
        <v>0</v>
      </c>
      <c r="R1807">
        <v>1</v>
      </c>
      <c r="S1807">
        <v>3</v>
      </c>
      <c r="T1807">
        <v>0</v>
      </c>
    </row>
    <row r="1808" spans="1:20" x14ac:dyDescent="0.3">
      <c r="A1808" t="s">
        <v>37</v>
      </c>
      <c r="B1808">
        <v>10</v>
      </c>
      <c r="D1808">
        <v>0</v>
      </c>
      <c r="E1808">
        <v>2</v>
      </c>
      <c r="H1808">
        <v>0</v>
      </c>
      <c r="I1808">
        <v>2</v>
      </c>
      <c r="L1808">
        <v>0</v>
      </c>
      <c r="M1808">
        <v>0</v>
      </c>
      <c r="R1808">
        <v>0</v>
      </c>
      <c r="S1808">
        <v>2</v>
      </c>
    </row>
    <row r="1809" spans="1:20" x14ac:dyDescent="0.3">
      <c r="A1809" t="s">
        <v>38</v>
      </c>
      <c r="B1809">
        <v>10</v>
      </c>
      <c r="D1809">
        <v>12</v>
      </c>
      <c r="E1809">
        <v>12</v>
      </c>
      <c r="F1809">
        <v>12</v>
      </c>
      <c r="H1809">
        <v>12</v>
      </c>
      <c r="I1809">
        <v>12</v>
      </c>
      <c r="J1809">
        <v>12</v>
      </c>
      <c r="L1809">
        <v>12</v>
      </c>
      <c r="M1809">
        <v>12</v>
      </c>
      <c r="N1809">
        <v>12</v>
      </c>
      <c r="P1809">
        <v>12</v>
      </c>
      <c r="R1809">
        <v>12</v>
      </c>
      <c r="S1809">
        <v>12</v>
      </c>
      <c r="T1809">
        <v>12</v>
      </c>
    </row>
    <row r="1810" spans="1:20" x14ac:dyDescent="0.3">
      <c r="A1810" t="s">
        <v>39</v>
      </c>
      <c r="B1810">
        <v>10</v>
      </c>
      <c r="D1810">
        <v>170</v>
      </c>
      <c r="H1810">
        <v>200</v>
      </c>
      <c r="L1810">
        <v>235</v>
      </c>
      <c r="N1810">
        <v>235</v>
      </c>
      <c r="R1810">
        <v>235</v>
      </c>
    </row>
    <row r="1811" spans="1:20" x14ac:dyDescent="0.3">
      <c r="A1811" t="s">
        <v>726</v>
      </c>
      <c r="B1811">
        <v>10</v>
      </c>
      <c r="D1811">
        <v>25</v>
      </c>
      <c r="H1811">
        <v>25</v>
      </c>
      <c r="L1811">
        <v>25</v>
      </c>
      <c r="N1811">
        <v>25</v>
      </c>
      <c r="R1811">
        <v>25</v>
      </c>
    </row>
    <row r="1812" spans="1:20" x14ac:dyDescent="0.3">
      <c r="A1812" t="s">
        <v>40</v>
      </c>
      <c r="B1812">
        <v>10</v>
      </c>
      <c r="D1812">
        <v>1</v>
      </c>
      <c r="H1812">
        <v>1</v>
      </c>
      <c r="L1812">
        <v>1</v>
      </c>
      <c r="N1812">
        <v>1</v>
      </c>
      <c r="R1812">
        <v>1</v>
      </c>
    </row>
    <row r="1813" spans="1:20" x14ac:dyDescent="0.3">
      <c r="A1813" t="s">
        <v>41</v>
      </c>
      <c r="B1813">
        <v>10</v>
      </c>
    </row>
    <row r="1814" spans="1:20" x14ac:dyDescent="0.3">
      <c r="A1814" t="s">
        <v>42</v>
      </c>
      <c r="B1814">
        <v>10</v>
      </c>
      <c r="E1814">
        <v>40</v>
      </c>
      <c r="I1814">
        <v>35</v>
      </c>
      <c r="M1814">
        <v>40</v>
      </c>
      <c r="S1814">
        <v>40</v>
      </c>
    </row>
    <row r="1815" spans="1:20" x14ac:dyDescent="0.3">
      <c r="A1815" t="s">
        <v>45</v>
      </c>
      <c r="B1815">
        <v>10</v>
      </c>
      <c r="D1815">
        <v>7</v>
      </c>
      <c r="E1815">
        <v>4</v>
      </c>
      <c r="H1815">
        <v>3</v>
      </c>
      <c r="I1815">
        <v>8</v>
      </c>
      <c r="L1815">
        <v>1</v>
      </c>
      <c r="M1815">
        <v>6</v>
      </c>
      <c r="R1815">
        <v>5</v>
      </c>
      <c r="S1815">
        <v>2</v>
      </c>
    </row>
    <row r="1816" spans="1:20" x14ac:dyDescent="0.3">
      <c r="A1816" t="s">
        <v>46</v>
      </c>
      <c r="B1816">
        <v>10</v>
      </c>
      <c r="D1816">
        <v>4</v>
      </c>
      <c r="H1816">
        <v>8</v>
      </c>
      <c r="L1816">
        <v>6</v>
      </c>
      <c r="N1816">
        <v>6</v>
      </c>
      <c r="R1816">
        <v>2</v>
      </c>
    </row>
    <row r="1817" spans="1:20" x14ac:dyDescent="0.3">
      <c r="A1817" t="s">
        <v>49</v>
      </c>
      <c r="B1817">
        <v>10</v>
      </c>
      <c r="D1817">
        <v>4</v>
      </c>
      <c r="E1817">
        <v>6.1</v>
      </c>
      <c r="F1817">
        <v>4</v>
      </c>
      <c r="H1817">
        <v>4</v>
      </c>
      <c r="I1817">
        <v>6.1</v>
      </c>
      <c r="J1817">
        <v>4</v>
      </c>
      <c r="L1817">
        <v>4</v>
      </c>
      <c r="M1817">
        <v>5.3</v>
      </c>
      <c r="N1817">
        <v>5.3</v>
      </c>
      <c r="P1817">
        <v>4</v>
      </c>
      <c r="R1817">
        <v>4</v>
      </c>
      <c r="S1817">
        <v>5.3</v>
      </c>
      <c r="T1817">
        <v>4</v>
      </c>
    </row>
    <row r="1818" spans="1:20" x14ac:dyDescent="0.3">
      <c r="A1818" t="s">
        <v>727</v>
      </c>
      <c r="B1818">
        <v>10</v>
      </c>
      <c r="D1818">
        <v>0</v>
      </c>
      <c r="E1818">
        <v>0</v>
      </c>
      <c r="F1818">
        <v>0</v>
      </c>
      <c r="H1818">
        <v>0</v>
      </c>
      <c r="I1818">
        <v>0</v>
      </c>
      <c r="J1818">
        <v>0</v>
      </c>
      <c r="L1818">
        <v>0</v>
      </c>
      <c r="M1818">
        <v>0</v>
      </c>
      <c r="N1818">
        <v>0</v>
      </c>
      <c r="P1818">
        <v>0</v>
      </c>
      <c r="R1818">
        <v>0</v>
      </c>
      <c r="S1818">
        <v>0</v>
      </c>
      <c r="T1818">
        <v>0</v>
      </c>
    </row>
    <row r="1819" spans="1:20" x14ac:dyDescent="0.3">
      <c r="A1819" t="s">
        <v>48</v>
      </c>
      <c r="B1819">
        <v>10</v>
      </c>
      <c r="D1819">
        <v>1900</v>
      </c>
      <c r="E1819">
        <v>1900</v>
      </c>
      <c r="F1819">
        <v>1900</v>
      </c>
      <c r="H1819">
        <v>1900</v>
      </c>
      <c r="I1819">
        <v>1900</v>
      </c>
      <c r="J1819">
        <v>1900</v>
      </c>
      <c r="L1819">
        <v>1900</v>
      </c>
      <c r="M1819">
        <v>1900</v>
      </c>
      <c r="N1819">
        <v>1900</v>
      </c>
      <c r="P1819">
        <v>1900</v>
      </c>
      <c r="R1819">
        <v>1900</v>
      </c>
      <c r="S1819">
        <v>1900</v>
      </c>
      <c r="T1819">
        <v>1900</v>
      </c>
    </row>
    <row r="1820" spans="1:20" x14ac:dyDescent="0.3">
      <c r="A1820" t="s">
        <v>728</v>
      </c>
      <c r="B1820">
        <v>10</v>
      </c>
      <c r="D1820">
        <v>1770</v>
      </c>
      <c r="E1820">
        <v>3383</v>
      </c>
      <c r="F1820">
        <v>0</v>
      </c>
      <c r="H1820">
        <v>1770</v>
      </c>
      <c r="I1820">
        <v>3362</v>
      </c>
      <c r="J1820">
        <v>0</v>
      </c>
      <c r="L1820">
        <v>1770</v>
      </c>
      <c r="M1820">
        <v>5085</v>
      </c>
      <c r="N1820">
        <v>1583</v>
      </c>
      <c r="P1820">
        <v>0</v>
      </c>
      <c r="R1820">
        <v>1770</v>
      </c>
      <c r="S1820">
        <v>5029</v>
      </c>
      <c r="T1820">
        <v>0</v>
      </c>
    </row>
    <row r="1821" spans="1:20" x14ac:dyDescent="0.3">
      <c r="A1821" t="s">
        <v>50</v>
      </c>
      <c r="B1821">
        <v>10</v>
      </c>
      <c r="D1821">
        <v>879</v>
      </c>
      <c r="E1821">
        <v>3383</v>
      </c>
      <c r="F1821">
        <v>0</v>
      </c>
      <c r="H1821">
        <v>1090</v>
      </c>
      <c r="I1821">
        <v>3362</v>
      </c>
      <c r="J1821">
        <v>0</v>
      </c>
      <c r="L1821">
        <v>214</v>
      </c>
      <c r="M1821">
        <v>5085</v>
      </c>
      <c r="N1821">
        <v>1583</v>
      </c>
      <c r="P1821">
        <v>0</v>
      </c>
      <c r="R1821">
        <v>330</v>
      </c>
      <c r="S1821">
        <v>5029</v>
      </c>
      <c r="T1821">
        <v>0</v>
      </c>
    </row>
    <row r="1822" spans="1:20" x14ac:dyDescent="0.3">
      <c r="A1822" t="s">
        <v>729</v>
      </c>
      <c r="B1822">
        <v>10</v>
      </c>
      <c r="D1822">
        <v>1</v>
      </c>
      <c r="E1822">
        <v>1</v>
      </c>
      <c r="F1822">
        <v>1</v>
      </c>
      <c r="H1822">
        <v>1</v>
      </c>
      <c r="I1822">
        <v>1</v>
      </c>
      <c r="J1822">
        <v>1</v>
      </c>
      <c r="L1822">
        <v>1</v>
      </c>
      <c r="M1822">
        <v>1</v>
      </c>
      <c r="N1822">
        <v>1</v>
      </c>
      <c r="P1822">
        <v>1</v>
      </c>
      <c r="R1822">
        <v>1</v>
      </c>
      <c r="S1822">
        <v>1</v>
      </c>
      <c r="T1822">
        <v>1</v>
      </c>
    </row>
    <row r="1823" spans="1:20" x14ac:dyDescent="0.3">
      <c r="A1823" t="s">
        <v>51</v>
      </c>
      <c r="B1823">
        <v>10</v>
      </c>
      <c r="D1823">
        <v>0</v>
      </c>
      <c r="E1823">
        <v>52</v>
      </c>
      <c r="F1823">
        <v>0</v>
      </c>
      <c r="H1823">
        <v>0</v>
      </c>
      <c r="I1823">
        <v>72</v>
      </c>
      <c r="J1823">
        <v>0</v>
      </c>
      <c r="L1823">
        <v>0</v>
      </c>
      <c r="M1823">
        <v>0</v>
      </c>
      <c r="N1823">
        <v>101</v>
      </c>
      <c r="P1823">
        <v>0</v>
      </c>
      <c r="R1823">
        <v>0</v>
      </c>
      <c r="S1823">
        <v>10</v>
      </c>
      <c r="T1823">
        <v>0</v>
      </c>
    </row>
    <row r="1824" spans="1:20" x14ac:dyDescent="0.3">
      <c r="A1824" t="s">
        <v>53</v>
      </c>
      <c r="B1824">
        <v>10</v>
      </c>
      <c r="D1824">
        <v>103</v>
      </c>
      <c r="E1824">
        <v>177</v>
      </c>
      <c r="F1824">
        <v>73</v>
      </c>
      <c r="H1824">
        <v>293</v>
      </c>
      <c r="I1824">
        <v>198</v>
      </c>
      <c r="J1824">
        <v>100</v>
      </c>
      <c r="L1824">
        <v>131</v>
      </c>
      <c r="M1824">
        <v>1032</v>
      </c>
      <c r="N1824">
        <v>93</v>
      </c>
      <c r="P1824">
        <v>0</v>
      </c>
      <c r="R1824">
        <v>69</v>
      </c>
      <c r="S1824">
        <v>920</v>
      </c>
      <c r="T1824">
        <v>73</v>
      </c>
    </row>
    <row r="1825" spans="1:20" x14ac:dyDescent="0.3">
      <c r="A1825" t="s">
        <v>54</v>
      </c>
      <c r="B1825">
        <v>10</v>
      </c>
      <c r="D1825">
        <v>0</v>
      </c>
      <c r="E1825">
        <v>0</v>
      </c>
      <c r="F1825">
        <v>0</v>
      </c>
      <c r="H1825">
        <v>0</v>
      </c>
      <c r="I1825">
        <v>0</v>
      </c>
      <c r="J1825">
        <v>0</v>
      </c>
      <c r="L1825">
        <v>0</v>
      </c>
      <c r="M1825">
        <v>0</v>
      </c>
      <c r="N1825">
        <v>0</v>
      </c>
      <c r="P1825">
        <v>0</v>
      </c>
      <c r="R1825">
        <v>0</v>
      </c>
      <c r="S1825">
        <v>0</v>
      </c>
      <c r="T1825">
        <v>0</v>
      </c>
    </row>
    <row r="1826" spans="1:20" x14ac:dyDescent="0.3">
      <c r="A1826" t="s">
        <v>55</v>
      </c>
      <c r="B1826">
        <v>10</v>
      </c>
      <c r="D1826">
        <v>0</v>
      </c>
      <c r="E1826">
        <v>0</v>
      </c>
      <c r="F1826">
        <v>0</v>
      </c>
      <c r="H1826">
        <v>0</v>
      </c>
      <c r="I1826">
        <v>0</v>
      </c>
      <c r="J1826">
        <v>0</v>
      </c>
      <c r="L1826">
        <v>0</v>
      </c>
      <c r="M1826">
        <v>0</v>
      </c>
      <c r="N1826">
        <v>0</v>
      </c>
      <c r="P1826">
        <v>0</v>
      </c>
      <c r="R1826">
        <v>0</v>
      </c>
      <c r="S1826">
        <v>0</v>
      </c>
      <c r="T1826">
        <v>0</v>
      </c>
    </row>
    <row r="1827" spans="1:20" x14ac:dyDescent="0.3">
      <c r="A1827" t="s">
        <v>56</v>
      </c>
      <c r="B1827">
        <v>10</v>
      </c>
      <c r="D1827">
        <v>0.92</v>
      </c>
      <c r="E1827">
        <v>0.92</v>
      </c>
      <c r="F1827">
        <v>0.92</v>
      </c>
      <c r="H1827">
        <v>0.92</v>
      </c>
      <c r="I1827">
        <v>0.92</v>
      </c>
      <c r="J1827">
        <v>0.92</v>
      </c>
      <c r="L1827">
        <v>0.92</v>
      </c>
      <c r="M1827">
        <v>0.92</v>
      </c>
      <c r="N1827">
        <v>0.92</v>
      </c>
      <c r="P1827">
        <v>0.92</v>
      </c>
      <c r="R1827">
        <v>0.92</v>
      </c>
      <c r="S1827">
        <v>0.92</v>
      </c>
      <c r="T1827">
        <v>0.92</v>
      </c>
    </row>
    <row r="1828" spans="1:20" x14ac:dyDescent="0.3">
      <c r="A1828" t="s">
        <v>57</v>
      </c>
      <c r="B1828">
        <v>10</v>
      </c>
      <c r="D1828">
        <v>100</v>
      </c>
      <c r="E1828">
        <v>100</v>
      </c>
      <c r="F1828">
        <v>100</v>
      </c>
      <c r="H1828">
        <v>100</v>
      </c>
      <c r="I1828">
        <v>100</v>
      </c>
      <c r="J1828">
        <v>100</v>
      </c>
      <c r="L1828">
        <v>100</v>
      </c>
      <c r="M1828">
        <v>100</v>
      </c>
      <c r="N1828">
        <v>100</v>
      </c>
      <c r="P1828">
        <v>100</v>
      </c>
      <c r="R1828">
        <v>100</v>
      </c>
      <c r="S1828">
        <v>100</v>
      </c>
      <c r="T1828">
        <v>100</v>
      </c>
    </row>
    <row r="1829" spans="1:20" x14ac:dyDescent="0.3">
      <c r="A1829" t="s">
        <v>58</v>
      </c>
      <c r="B1829">
        <v>10</v>
      </c>
      <c r="D1829">
        <v>2</v>
      </c>
      <c r="E1829">
        <v>2</v>
      </c>
      <c r="F1829">
        <v>2</v>
      </c>
      <c r="H1829">
        <v>2</v>
      </c>
      <c r="I1829">
        <v>2</v>
      </c>
      <c r="J1829">
        <v>2</v>
      </c>
      <c r="L1829">
        <v>2</v>
      </c>
      <c r="M1829">
        <v>2</v>
      </c>
      <c r="N1829">
        <v>2</v>
      </c>
      <c r="P1829">
        <v>2</v>
      </c>
      <c r="R1829">
        <v>2</v>
      </c>
      <c r="S1829">
        <v>2</v>
      </c>
      <c r="T1829">
        <v>2</v>
      </c>
    </row>
    <row r="1830" spans="1:20" x14ac:dyDescent="0.3">
      <c r="A1830" t="s">
        <v>59</v>
      </c>
      <c r="B1830">
        <v>10</v>
      </c>
      <c r="D1830">
        <v>0</v>
      </c>
      <c r="E1830">
        <v>0</v>
      </c>
      <c r="F1830">
        <v>0</v>
      </c>
      <c r="H1830">
        <v>0</v>
      </c>
      <c r="I1830">
        <v>0</v>
      </c>
      <c r="J1830">
        <v>0</v>
      </c>
      <c r="L1830">
        <v>0</v>
      </c>
      <c r="M1830">
        <v>0</v>
      </c>
      <c r="N1830">
        <v>0</v>
      </c>
      <c r="P1830">
        <v>0</v>
      </c>
      <c r="R1830">
        <v>0</v>
      </c>
      <c r="S1830">
        <v>0</v>
      </c>
      <c r="T1830">
        <v>0</v>
      </c>
    </row>
    <row r="1831" spans="1:20" x14ac:dyDescent="0.3">
      <c r="A1831" t="s">
        <v>730</v>
      </c>
      <c r="B1831">
        <v>10</v>
      </c>
      <c r="E1831">
        <v>0</v>
      </c>
      <c r="I1831">
        <v>0</v>
      </c>
      <c r="M1831">
        <v>0</v>
      </c>
      <c r="S1831">
        <v>0</v>
      </c>
    </row>
    <row r="1832" spans="1:20" x14ac:dyDescent="0.3">
      <c r="A1832" t="s">
        <v>679</v>
      </c>
      <c r="B1832">
        <v>10</v>
      </c>
      <c r="E1832">
        <v>652</v>
      </c>
      <c r="I1832">
        <v>536</v>
      </c>
      <c r="M1832">
        <v>2616</v>
      </c>
      <c r="S1832">
        <v>2633</v>
      </c>
    </row>
    <row r="1833" spans="1:20" x14ac:dyDescent="0.3">
      <c r="A1833" t="s">
        <v>78</v>
      </c>
      <c r="B1833">
        <v>10</v>
      </c>
      <c r="E1833">
        <v>11.1</v>
      </c>
      <c r="I1833">
        <v>10.4</v>
      </c>
      <c r="M1833">
        <v>44.6</v>
      </c>
      <c r="S1833">
        <v>44.9</v>
      </c>
    </row>
    <row r="1834" spans="1:20" x14ac:dyDescent="0.3">
      <c r="A1834" t="s">
        <v>731</v>
      </c>
      <c r="B1834">
        <v>10</v>
      </c>
      <c r="F1834">
        <v>0</v>
      </c>
      <c r="J1834">
        <v>0</v>
      </c>
      <c r="N1834">
        <v>0</v>
      </c>
      <c r="T1834">
        <v>0</v>
      </c>
    </row>
    <row r="1835" spans="1:20" x14ac:dyDescent="0.3">
      <c r="A1835" t="s">
        <v>732</v>
      </c>
      <c r="B1835">
        <v>10</v>
      </c>
      <c r="D1835">
        <v>0</v>
      </c>
      <c r="E1835">
        <v>0</v>
      </c>
      <c r="F1835">
        <v>1</v>
      </c>
      <c r="H1835">
        <v>0</v>
      </c>
      <c r="I1835">
        <v>0</v>
      </c>
      <c r="J1835">
        <v>1</v>
      </c>
      <c r="L1835">
        <v>0</v>
      </c>
      <c r="M1835">
        <v>0</v>
      </c>
      <c r="N1835">
        <v>1</v>
      </c>
      <c r="P1835">
        <v>3</v>
      </c>
      <c r="R1835">
        <v>0</v>
      </c>
      <c r="S1835">
        <v>0</v>
      </c>
      <c r="T1835">
        <v>1</v>
      </c>
    </row>
    <row r="1836" spans="1:20" x14ac:dyDescent="0.3">
      <c r="A1836" t="s">
        <v>733</v>
      </c>
      <c r="B1836">
        <v>10</v>
      </c>
      <c r="D1836">
        <v>0</v>
      </c>
      <c r="E1836">
        <v>0</v>
      </c>
      <c r="F1836">
        <v>0</v>
      </c>
      <c r="H1836">
        <v>0</v>
      </c>
      <c r="I1836">
        <v>0</v>
      </c>
      <c r="J1836">
        <v>0</v>
      </c>
      <c r="L1836">
        <v>0</v>
      </c>
      <c r="M1836">
        <v>0</v>
      </c>
      <c r="N1836">
        <v>0</v>
      </c>
      <c r="P1836">
        <v>0</v>
      </c>
      <c r="R1836">
        <v>0</v>
      </c>
      <c r="S1836">
        <v>0</v>
      </c>
      <c r="T1836">
        <v>0</v>
      </c>
    </row>
    <row r="1837" spans="1:20" x14ac:dyDescent="0.3">
      <c r="A1837" t="s">
        <v>52</v>
      </c>
      <c r="B1837">
        <v>10</v>
      </c>
      <c r="D1837">
        <v>1</v>
      </c>
      <c r="E1837">
        <v>1</v>
      </c>
      <c r="F1837">
        <v>1</v>
      </c>
      <c r="H1837">
        <v>1</v>
      </c>
      <c r="I1837">
        <v>1</v>
      </c>
      <c r="J1837">
        <v>1</v>
      </c>
      <c r="L1837">
        <v>1</v>
      </c>
      <c r="M1837">
        <v>1</v>
      </c>
      <c r="N1837">
        <v>1</v>
      </c>
      <c r="P1837">
        <v>1</v>
      </c>
      <c r="R1837">
        <v>1</v>
      </c>
      <c r="S1837">
        <v>1</v>
      </c>
      <c r="T1837">
        <v>1</v>
      </c>
    </row>
    <row r="1838" spans="1:20" x14ac:dyDescent="0.3">
      <c r="A1838" t="s">
        <v>734</v>
      </c>
      <c r="B1838">
        <v>10</v>
      </c>
      <c r="D1838">
        <v>15</v>
      </c>
      <c r="E1838">
        <v>60</v>
      </c>
      <c r="F1838">
        <v>9</v>
      </c>
      <c r="H1838">
        <v>15</v>
      </c>
      <c r="I1838">
        <v>60</v>
      </c>
      <c r="J1838">
        <v>9</v>
      </c>
      <c r="L1838">
        <v>15</v>
      </c>
      <c r="M1838">
        <v>60</v>
      </c>
      <c r="N1838">
        <v>9</v>
      </c>
      <c r="P1838">
        <v>9</v>
      </c>
      <c r="R1838">
        <v>15</v>
      </c>
      <c r="S1838">
        <v>60</v>
      </c>
      <c r="T1838">
        <v>9</v>
      </c>
    </row>
    <row r="1839" spans="1:20" x14ac:dyDescent="0.3">
      <c r="A1839" t="s">
        <v>43</v>
      </c>
      <c r="B1839">
        <v>10</v>
      </c>
      <c r="D1839">
        <v>20</v>
      </c>
      <c r="E1839">
        <v>100</v>
      </c>
      <c r="H1839">
        <v>20</v>
      </c>
      <c r="I1839">
        <v>100</v>
      </c>
      <c r="L1839">
        <v>20</v>
      </c>
      <c r="M1839">
        <v>100</v>
      </c>
      <c r="N1839">
        <v>20</v>
      </c>
      <c r="R1839">
        <v>20</v>
      </c>
      <c r="S1839">
        <v>100</v>
      </c>
    </row>
    <row r="1840" spans="1:20" x14ac:dyDescent="0.3">
      <c r="A1840" t="s">
        <v>44</v>
      </c>
      <c r="B1840">
        <v>10</v>
      </c>
      <c r="D1840">
        <v>0</v>
      </c>
      <c r="E1840">
        <v>0</v>
      </c>
      <c r="H1840">
        <v>0</v>
      </c>
      <c r="I1840">
        <v>0</v>
      </c>
      <c r="L1840">
        <v>0</v>
      </c>
      <c r="M1840">
        <v>0</v>
      </c>
      <c r="N1840">
        <v>0</v>
      </c>
      <c r="R1840">
        <v>0</v>
      </c>
      <c r="S1840">
        <v>0</v>
      </c>
    </row>
    <row r="1841" spans="1:19" x14ac:dyDescent="0.3">
      <c r="A1841" t="s">
        <v>47</v>
      </c>
      <c r="B1841">
        <v>10</v>
      </c>
      <c r="D1841">
        <v>7</v>
      </c>
      <c r="E1841">
        <v>4</v>
      </c>
      <c r="H1841">
        <v>3</v>
      </c>
      <c r="I1841">
        <v>8</v>
      </c>
      <c r="L1841">
        <v>1</v>
      </c>
      <c r="M1841">
        <v>6</v>
      </c>
      <c r="N1841">
        <v>6</v>
      </c>
      <c r="R1841">
        <v>5</v>
      </c>
      <c r="S1841">
        <v>2</v>
      </c>
    </row>
    <row r="1842" spans="1:19" x14ac:dyDescent="0.3">
      <c r="A1842" t="s">
        <v>735</v>
      </c>
      <c r="B1842">
        <v>10</v>
      </c>
      <c r="D1842">
        <v>0</v>
      </c>
      <c r="E1842">
        <v>0</v>
      </c>
      <c r="H1842">
        <v>0</v>
      </c>
      <c r="I1842">
        <v>0</v>
      </c>
      <c r="L1842">
        <v>0</v>
      </c>
      <c r="M1842">
        <v>0</v>
      </c>
      <c r="N1842">
        <v>0</v>
      </c>
      <c r="R1842">
        <v>0</v>
      </c>
      <c r="S1842">
        <v>0</v>
      </c>
    </row>
    <row r="1843" spans="1:19" x14ac:dyDescent="0.3">
      <c r="A1843" t="s">
        <v>736</v>
      </c>
      <c r="B1843">
        <v>10</v>
      </c>
      <c r="D1843">
        <v>0</v>
      </c>
      <c r="E1843">
        <v>0</v>
      </c>
      <c r="H1843">
        <v>0</v>
      </c>
      <c r="I1843">
        <v>0</v>
      </c>
      <c r="L1843">
        <v>0</v>
      </c>
      <c r="M1843">
        <v>0</v>
      </c>
      <c r="N1843">
        <v>0</v>
      </c>
      <c r="R1843">
        <v>0</v>
      </c>
      <c r="S1843">
        <v>0</v>
      </c>
    </row>
    <row r="1844" spans="1:19" x14ac:dyDescent="0.3">
      <c r="A1844" t="s">
        <v>737</v>
      </c>
      <c r="B1844">
        <v>10</v>
      </c>
      <c r="D1844">
        <v>0</v>
      </c>
      <c r="E1844">
        <v>0</v>
      </c>
      <c r="H1844">
        <v>0</v>
      </c>
      <c r="I1844">
        <v>0</v>
      </c>
      <c r="L1844">
        <v>0</v>
      </c>
      <c r="M1844">
        <v>0</v>
      </c>
      <c r="N1844">
        <v>0</v>
      </c>
      <c r="R1844">
        <v>0</v>
      </c>
      <c r="S1844">
        <v>0</v>
      </c>
    </row>
    <row r="1845" spans="1:19" x14ac:dyDescent="0.3">
      <c r="A1845" t="s">
        <v>738</v>
      </c>
      <c r="B1845">
        <v>10</v>
      </c>
      <c r="D1845">
        <v>0</v>
      </c>
      <c r="E1845">
        <v>0</v>
      </c>
      <c r="H1845">
        <v>0</v>
      </c>
      <c r="I1845">
        <v>0</v>
      </c>
      <c r="L1845">
        <v>0</v>
      </c>
      <c r="M1845">
        <v>0</v>
      </c>
      <c r="N1845">
        <v>0</v>
      </c>
      <c r="R1845">
        <v>0</v>
      </c>
      <c r="S1845">
        <v>0</v>
      </c>
    </row>
    <row r="1846" spans="1:19" x14ac:dyDescent="0.3">
      <c r="A1846" t="s">
        <v>739</v>
      </c>
      <c r="B1846">
        <v>10</v>
      </c>
      <c r="D1846">
        <v>1</v>
      </c>
      <c r="E1846">
        <v>2</v>
      </c>
      <c r="H1846">
        <v>1</v>
      </c>
      <c r="I1846">
        <v>2</v>
      </c>
      <c r="L1846">
        <v>1</v>
      </c>
      <c r="M1846">
        <v>2</v>
      </c>
      <c r="N1846">
        <v>1</v>
      </c>
      <c r="R1846">
        <v>1</v>
      </c>
      <c r="S1846">
        <v>2</v>
      </c>
    </row>
    <row r="1847" spans="1:19" x14ac:dyDescent="0.3">
      <c r="A1847" t="s">
        <v>740</v>
      </c>
      <c r="B1847">
        <v>10</v>
      </c>
      <c r="D1847">
        <v>0</v>
      </c>
      <c r="E1847">
        <v>0</v>
      </c>
      <c r="H1847">
        <v>0</v>
      </c>
      <c r="I1847">
        <v>0</v>
      </c>
      <c r="L1847">
        <v>0</v>
      </c>
      <c r="M1847">
        <v>0</v>
      </c>
      <c r="N1847">
        <v>0</v>
      </c>
      <c r="R1847">
        <v>0</v>
      </c>
      <c r="S1847">
        <v>0</v>
      </c>
    </row>
    <row r="1848" spans="1:19" x14ac:dyDescent="0.3">
      <c r="A1848" t="s">
        <v>741</v>
      </c>
      <c r="B1848">
        <v>10</v>
      </c>
      <c r="D1848">
        <v>20</v>
      </c>
      <c r="E1848">
        <v>6</v>
      </c>
      <c r="H1848">
        <v>20</v>
      </c>
      <c r="I1848">
        <v>6</v>
      </c>
      <c r="L1848">
        <v>20</v>
      </c>
      <c r="M1848">
        <v>6</v>
      </c>
      <c r="N1848">
        <v>20</v>
      </c>
      <c r="R1848">
        <v>20</v>
      </c>
      <c r="S1848">
        <v>6</v>
      </c>
    </row>
    <row r="1849" spans="1:19" x14ac:dyDescent="0.3">
      <c r="A1849" t="s">
        <v>742</v>
      </c>
      <c r="B1849">
        <v>10</v>
      </c>
      <c r="D1849">
        <v>3</v>
      </c>
      <c r="E1849">
        <v>3</v>
      </c>
      <c r="H1849">
        <v>3</v>
      </c>
      <c r="I1849">
        <v>3</v>
      </c>
      <c r="L1849">
        <v>3</v>
      </c>
      <c r="M1849">
        <v>3</v>
      </c>
      <c r="N1849">
        <v>3</v>
      </c>
      <c r="R1849">
        <v>3</v>
      </c>
      <c r="S1849">
        <v>3</v>
      </c>
    </row>
    <row r="1850" spans="1:19" x14ac:dyDescent="0.3">
      <c r="A1850" t="s">
        <v>743</v>
      </c>
      <c r="B1850">
        <v>10</v>
      </c>
      <c r="D1850">
        <v>0</v>
      </c>
      <c r="E1850">
        <v>0</v>
      </c>
      <c r="H1850">
        <v>0</v>
      </c>
      <c r="I1850">
        <v>0</v>
      </c>
      <c r="L1850">
        <v>0</v>
      </c>
      <c r="M1850">
        <v>0</v>
      </c>
      <c r="N1850">
        <v>0</v>
      </c>
      <c r="R1850">
        <v>0</v>
      </c>
      <c r="S1850">
        <v>0</v>
      </c>
    </row>
    <row r="1851" spans="1:19" x14ac:dyDescent="0.3">
      <c r="A1851" t="s">
        <v>744</v>
      </c>
      <c r="B1851">
        <v>10</v>
      </c>
      <c r="D1851">
        <v>0</v>
      </c>
      <c r="E1851">
        <v>0</v>
      </c>
      <c r="H1851">
        <v>0</v>
      </c>
      <c r="I1851">
        <v>0</v>
      </c>
      <c r="L1851">
        <v>0</v>
      </c>
      <c r="M1851">
        <v>0</v>
      </c>
      <c r="N1851">
        <v>0</v>
      </c>
      <c r="R1851">
        <v>0</v>
      </c>
      <c r="S1851">
        <v>0</v>
      </c>
    </row>
    <row r="1852" spans="1:19" x14ac:dyDescent="0.3">
      <c r="A1852" t="s">
        <v>745</v>
      </c>
      <c r="B1852">
        <v>10</v>
      </c>
      <c r="D1852">
        <v>0</v>
      </c>
      <c r="E1852">
        <v>0</v>
      </c>
      <c r="H1852">
        <v>0</v>
      </c>
      <c r="I1852">
        <v>0</v>
      </c>
      <c r="L1852">
        <v>0</v>
      </c>
      <c r="M1852">
        <v>0</v>
      </c>
      <c r="N1852">
        <v>0</v>
      </c>
      <c r="R1852">
        <v>0</v>
      </c>
      <c r="S1852">
        <v>0</v>
      </c>
    </row>
    <row r="1853" spans="1:19" x14ac:dyDescent="0.3">
      <c r="A1853" t="s">
        <v>746</v>
      </c>
      <c r="B1853">
        <v>10</v>
      </c>
      <c r="E1853">
        <v>94</v>
      </c>
      <c r="I1853">
        <v>94</v>
      </c>
      <c r="M1853">
        <v>94</v>
      </c>
      <c r="S1853">
        <v>94</v>
      </c>
    </row>
    <row r="1854" spans="1:19" x14ac:dyDescent="0.3">
      <c r="A1854" t="s">
        <v>747</v>
      </c>
      <c r="B1854">
        <v>10</v>
      </c>
      <c r="E1854">
        <v>6</v>
      </c>
      <c r="I1854">
        <v>6</v>
      </c>
      <c r="M1854">
        <v>6</v>
      </c>
      <c r="S1854">
        <v>6</v>
      </c>
    </row>
    <row r="1855" spans="1:19" x14ac:dyDescent="0.3">
      <c r="A1855" t="s">
        <v>748</v>
      </c>
      <c r="B1855">
        <v>10</v>
      </c>
      <c r="E1855">
        <v>3</v>
      </c>
      <c r="I1855">
        <v>3</v>
      </c>
      <c r="M1855">
        <v>3</v>
      </c>
      <c r="S1855">
        <v>3</v>
      </c>
    </row>
    <row r="1856" spans="1:19" x14ac:dyDescent="0.3">
      <c r="A1856" t="s">
        <v>749</v>
      </c>
      <c r="B1856">
        <v>10</v>
      </c>
      <c r="E1856">
        <v>0</v>
      </c>
      <c r="I1856">
        <v>0</v>
      </c>
      <c r="M1856">
        <v>0</v>
      </c>
      <c r="S1856">
        <v>0</v>
      </c>
    </row>
    <row r="1857" spans="1:20" x14ac:dyDescent="0.3">
      <c r="A1857" t="s">
        <v>750</v>
      </c>
      <c r="B1857">
        <v>10</v>
      </c>
      <c r="E1857">
        <v>0</v>
      </c>
      <c r="I1857">
        <v>0</v>
      </c>
      <c r="M1857">
        <v>0</v>
      </c>
      <c r="S1857">
        <v>0</v>
      </c>
    </row>
    <row r="1858" spans="1:20" x14ac:dyDescent="0.3">
      <c r="A1858" t="s">
        <v>405</v>
      </c>
      <c r="B1858">
        <v>10</v>
      </c>
      <c r="E1858">
        <v>0</v>
      </c>
    </row>
    <row r="1859" spans="1:20" x14ac:dyDescent="0.3">
      <c r="A1859" t="s">
        <v>751</v>
      </c>
      <c r="B1859">
        <v>10</v>
      </c>
      <c r="D1859">
        <v>112</v>
      </c>
      <c r="E1859">
        <v>271</v>
      </c>
      <c r="F1859">
        <v>0</v>
      </c>
      <c r="H1859">
        <v>318</v>
      </c>
      <c r="I1859">
        <v>324</v>
      </c>
      <c r="J1859">
        <v>0</v>
      </c>
      <c r="L1859">
        <v>142</v>
      </c>
      <c r="M1859">
        <v>1122</v>
      </c>
      <c r="N1859">
        <v>101</v>
      </c>
      <c r="P1859">
        <v>0</v>
      </c>
      <c r="R1859">
        <v>75</v>
      </c>
      <c r="S1859">
        <v>1079</v>
      </c>
      <c r="T1859">
        <v>0</v>
      </c>
    </row>
    <row r="1860" spans="1:20" x14ac:dyDescent="0.3">
      <c r="A1860" t="s">
        <v>34</v>
      </c>
      <c r="B1860">
        <v>13</v>
      </c>
      <c r="H1860">
        <v>15</v>
      </c>
      <c r="J1860">
        <v>15</v>
      </c>
      <c r="L1860">
        <v>10</v>
      </c>
      <c r="M1860">
        <v>10</v>
      </c>
      <c r="P1860">
        <v>16</v>
      </c>
      <c r="S1860">
        <v>16</v>
      </c>
      <c r="T1860">
        <v>16</v>
      </c>
    </row>
    <row r="1861" spans="1:20" x14ac:dyDescent="0.3">
      <c r="A1861" t="s">
        <v>35</v>
      </c>
      <c r="B1861">
        <v>13</v>
      </c>
      <c r="H1861">
        <v>16</v>
      </c>
      <c r="J1861">
        <v>10</v>
      </c>
      <c r="L1861">
        <v>15</v>
      </c>
      <c r="M1861">
        <v>16</v>
      </c>
      <c r="P1861">
        <v>16</v>
      </c>
      <c r="S1861">
        <v>10</v>
      </c>
      <c r="T1861">
        <v>15</v>
      </c>
    </row>
    <row r="1862" spans="1:20" x14ac:dyDescent="0.3">
      <c r="A1862" t="s">
        <v>36</v>
      </c>
      <c r="B1862">
        <v>13</v>
      </c>
      <c r="H1862">
        <v>1</v>
      </c>
      <c r="J1862">
        <v>1</v>
      </c>
      <c r="L1862">
        <v>1</v>
      </c>
      <c r="M1862">
        <v>3</v>
      </c>
      <c r="P1862">
        <v>1</v>
      </c>
      <c r="S1862">
        <v>3</v>
      </c>
      <c r="T1862">
        <v>0</v>
      </c>
    </row>
    <row r="1863" spans="1:20" x14ac:dyDescent="0.3">
      <c r="A1863" t="s">
        <v>37</v>
      </c>
      <c r="B1863">
        <v>13</v>
      </c>
      <c r="H1863">
        <v>0</v>
      </c>
      <c r="L1863">
        <v>0</v>
      </c>
      <c r="M1863">
        <v>0</v>
      </c>
      <c r="S1863">
        <v>2</v>
      </c>
    </row>
    <row r="1864" spans="1:20" x14ac:dyDescent="0.3">
      <c r="A1864" t="s">
        <v>38</v>
      </c>
      <c r="B1864">
        <v>13</v>
      </c>
      <c r="H1864">
        <v>12</v>
      </c>
      <c r="J1864">
        <v>12</v>
      </c>
      <c r="L1864">
        <v>12</v>
      </c>
      <c r="M1864">
        <v>12</v>
      </c>
      <c r="P1864">
        <v>12</v>
      </c>
      <c r="S1864">
        <v>12</v>
      </c>
      <c r="T1864">
        <v>12</v>
      </c>
    </row>
    <row r="1865" spans="1:20" x14ac:dyDescent="0.3">
      <c r="A1865" t="s">
        <v>39</v>
      </c>
      <c r="B1865">
        <v>13</v>
      </c>
      <c r="L1865">
        <v>150</v>
      </c>
      <c r="P1865">
        <v>120</v>
      </c>
    </row>
    <row r="1866" spans="1:20" x14ac:dyDescent="0.3">
      <c r="A1866" t="s">
        <v>726</v>
      </c>
      <c r="B1866">
        <v>13</v>
      </c>
      <c r="L1866">
        <v>25</v>
      </c>
      <c r="P1866">
        <v>25</v>
      </c>
    </row>
    <row r="1867" spans="1:20" x14ac:dyDescent="0.3">
      <c r="A1867" t="s">
        <v>40</v>
      </c>
      <c r="B1867">
        <v>13</v>
      </c>
      <c r="L1867">
        <v>1</v>
      </c>
      <c r="P1867">
        <v>1</v>
      </c>
    </row>
    <row r="1868" spans="1:20" x14ac:dyDescent="0.3">
      <c r="A1868" t="s">
        <v>41</v>
      </c>
      <c r="B1868">
        <v>13</v>
      </c>
    </row>
    <row r="1869" spans="1:20" x14ac:dyDescent="0.3">
      <c r="A1869" t="s">
        <v>42</v>
      </c>
      <c r="B1869">
        <v>13</v>
      </c>
      <c r="H1869">
        <v>25</v>
      </c>
      <c r="M1869">
        <v>40</v>
      </c>
      <c r="S1869">
        <v>40</v>
      </c>
    </row>
    <row r="1870" spans="1:20" x14ac:dyDescent="0.3">
      <c r="A1870" t="s">
        <v>45</v>
      </c>
      <c r="B1870">
        <v>13</v>
      </c>
      <c r="H1870">
        <v>2</v>
      </c>
      <c r="J1870">
        <v>2</v>
      </c>
      <c r="M1870">
        <v>1</v>
      </c>
      <c r="S1870">
        <v>1</v>
      </c>
    </row>
    <row r="1871" spans="1:20" x14ac:dyDescent="0.3">
      <c r="A1871" t="s">
        <v>46</v>
      </c>
      <c r="B1871">
        <v>13</v>
      </c>
      <c r="J1871">
        <v>2</v>
      </c>
      <c r="L1871">
        <v>1</v>
      </c>
      <c r="P1871">
        <v>1</v>
      </c>
    </row>
    <row r="1872" spans="1:20" x14ac:dyDescent="0.3">
      <c r="A1872" t="s">
        <v>49</v>
      </c>
      <c r="B1872">
        <v>13</v>
      </c>
      <c r="H1872">
        <v>5.6</v>
      </c>
      <c r="J1872">
        <v>5.6</v>
      </c>
      <c r="L1872">
        <v>5</v>
      </c>
      <c r="M1872">
        <v>5</v>
      </c>
      <c r="P1872">
        <v>5</v>
      </c>
      <c r="S1872">
        <v>5</v>
      </c>
      <c r="T1872">
        <v>4</v>
      </c>
    </row>
    <row r="1873" spans="1:20" x14ac:dyDescent="0.3">
      <c r="A1873" t="s">
        <v>727</v>
      </c>
      <c r="B1873">
        <v>13</v>
      </c>
      <c r="H1873">
        <v>0</v>
      </c>
      <c r="J1873">
        <v>0</v>
      </c>
      <c r="L1873">
        <v>0</v>
      </c>
      <c r="M1873">
        <v>0</v>
      </c>
      <c r="P1873">
        <v>0</v>
      </c>
      <c r="S1873">
        <v>0</v>
      </c>
      <c r="T1873">
        <v>0</v>
      </c>
    </row>
    <row r="1874" spans="1:20" x14ac:dyDescent="0.3">
      <c r="A1874" t="s">
        <v>48</v>
      </c>
      <c r="B1874">
        <v>13</v>
      </c>
      <c r="H1874">
        <v>1900</v>
      </c>
      <c r="J1874">
        <v>1900</v>
      </c>
      <c r="L1874">
        <v>1900</v>
      </c>
      <c r="M1874">
        <v>1900</v>
      </c>
      <c r="P1874">
        <v>1900</v>
      </c>
      <c r="S1874">
        <v>1900</v>
      </c>
      <c r="T1874">
        <v>1900</v>
      </c>
    </row>
    <row r="1875" spans="1:20" x14ac:dyDescent="0.3">
      <c r="A1875" t="s">
        <v>728</v>
      </c>
      <c r="B1875">
        <v>13</v>
      </c>
      <c r="H1875">
        <v>1770</v>
      </c>
      <c r="J1875">
        <v>1583</v>
      </c>
      <c r="L1875">
        <v>1770</v>
      </c>
      <c r="M1875">
        <v>5085</v>
      </c>
      <c r="P1875">
        <v>1863</v>
      </c>
      <c r="S1875">
        <v>5060</v>
      </c>
      <c r="T1875">
        <v>0</v>
      </c>
    </row>
    <row r="1876" spans="1:20" x14ac:dyDescent="0.3">
      <c r="A1876" t="s">
        <v>50</v>
      </c>
      <c r="B1876">
        <v>13</v>
      </c>
      <c r="H1876">
        <v>1770</v>
      </c>
      <c r="J1876">
        <v>1583</v>
      </c>
      <c r="L1876">
        <v>281</v>
      </c>
      <c r="M1876">
        <v>5085</v>
      </c>
      <c r="P1876">
        <v>1863</v>
      </c>
      <c r="S1876">
        <v>5060</v>
      </c>
      <c r="T1876">
        <v>0</v>
      </c>
    </row>
    <row r="1877" spans="1:20" x14ac:dyDescent="0.3">
      <c r="A1877" t="s">
        <v>729</v>
      </c>
      <c r="B1877">
        <v>13</v>
      </c>
      <c r="H1877">
        <v>1</v>
      </c>
      <c r="J1877">
        <v>1</v>
      </c>
      <c r="L1877">
        <v>1</v>
      </c>
      <c r="M1877">
        <v>1</v>
      </c>
      <c r="P1877">
        <v>1</v>
      </c>
      <c r="S1877">
        <v>1</v>
      </c>
      <c r="T1877">
        <v>1</v>
      </c>
    </row>
    <row r="1878" spans="1:20" x14ac:dyDescent="0.3">
      <c r="A1878" t="s">
        <v>51</v>
      </c>
      <c r="B1878">
        <v>13</v>
      </c>
      <c r="H1878">
        <v>0</v>
      </c>
      <c r="J1878">
        <v>63</v>
      </c>
      <c r="L1878">
        <v>0</v>
      </c>
      <c r="M1878">
        <v>0</v>
      </c>
      <c r="P1878">
        <v>0</v>
      </c>
      <c r="S1878">
        <v>8</v>
      </c>
      <c r="T1878">
        <v>0</v>
      </c>
    </row>
    <row r="1879" spans="1:20" x14ac:dyDescent="0.3">
      <c r="A1879" t="s">
        <v>53</v>
      </c>
      <c r="B1879">
        <v>13</v>
      </c>
      <c r="H1879">
        <v>47</v>
      </c>
      <c r="J1879">
        <v>60</v>
      </c>
      <c r="L1879">
        <v>51</v>
      </c>
      <c r="M1879">
        <v>1426</v>
      </c>
      <c r="P1879">
        <v>0</v>
      </c>
      <c r="S1879">
        <v>1246</v>
      </c>
      <c r="T1879">
        <v>40</v>
      </c>
    </row>
    <row r="1880" spans="1:20" x14ac:dyDescent="0.3">
      <c r="A1880" t="s">
        <v>54</v>
      </c>
      <c r="B1880">
        <v>13</v>
      </c>
      <c r="H1880">
        <v>0</v>
      </c>
      <c r="J1880">
        <v>0</v>
      </c>
      <c r="L1880">
        <v>0</v>
      </c>
      <c r="M1880">
        <v>0</v>
      </c>
      <c r="P1880">
        <v>0</v>
      </c>
      <c r="S1880">
        <v>0</v>
      </c>
      <c r="T1880">
        <v>0</v>
      </c>
    </row>
    <row r="1881" spans="1:20" x14ac:dyDescent="0.3">
      <c r="A1881" t="s">
        <v>55</v>
      </c>
      <c r="B1881">
        <v>13</v>
      </c>
      <c r="H1881">
        <v>0</v>
      </c>
      <c r="J1881">
        <v>0</v>
      </c>
      <c r="L1881">
        <v>0</v>
      </c>
      <c r="M1881">
        <v>0</v>
      </c>
      <c r="P1881">
        <v>0</v>
      </c>
      <c r="S1881">
        <v>0</v>
      </c>
      <c r="T1881">
        <v>0</v>
      </c>
    </row>
    <row r="1882" spans="1:20" x14ac:dyDescent="0.3">
      <c r="A1882" t="s">
        <v>56</v>
      </c>
      <c r="B1882">
        <v>13</v>
      </c>
      <c r="H1882">
        <v>0.92</v>
      </c>
      <c r="J1882">
        <v>0.92</v>
      </c>
      <c r="L1882">
        <v>0.92</v>
      </c>
      <c r="M1882">
        <v>0.92</v>
      </c>
      <c r="P1882">
        <v>0.92</v>
      </c>
      <c r="S1882">
        <v>0.92</v>
      </c>
      <c r="T1882">
        <v>0.92</v>
      </c>
    </row>
    <row r="1883" spans="1:20" x14ac:dyDescent="0.3">
      <c r="A1883" t="s">
        <v>57</v>
      </c>
      <c r="B1883">
        <v>13</v>
      </c>
      <c r="H1883">
        <v>100</v>
      </c>
      <c r="J1883">
        <v>100</v>
      </c>
      <c r="L1883">
        <v>100</v>
      </c>
      <c r="M1883">
        <v>100</v>
      </c>
      <c r="P1883">
        <v>100</v>
      </c>
      <c r="S1883">
        <v>100</v>
      </c>
      <c r="T1883">
        <v>100</v>
      </c>
    </row>
    <row r="1884" spans="1:20" x14ac:dyDescent="0.3">
      <c r="A1884" t="s">
        <v>58</v>
      </c>
      <c r="B1884">
        <v>13</v>
      </c>
      <c r="H1884">
        <v>2</v>
      </c>
      <c r="J1884">
        <v>2</v>
      </c>
      <c r="L1884">
        <v>2</v>
      </c>
      <c r="M1884">
        <v>2</v>
      </c>
      <c r="P1884">
        <v>2</v>
      </c>
      <c r="S1884">
        <v>2</v>
      </c>
      <c r="T1884">
        <v>2</v>
      </c>
    </row>
    <row r="1885" spans="1:20" x14ac:dyDescent="0.3">
      <c r="A1885" t="s">
        <v>59</v>
      </c>
      <c r="B1885">
        <v>13</v>
      </c>
      <c r="H1885">
        <v>0</v>
      </c>
      <c r="J1885">
        <v>0</v>
      </c>
      <c r="L1885">
        <v>0</v>
      </c>
      <c r="M1885">
        <v>0</v>
      </c>
      <c r="P1885">
        <v>0</v>
      </c>
      <c r="S1885">
        <v>0</v>
      </c>
      <c r="T1885">
        <v>0</v>
      </c>
    </row>
    <row r="1886" spans="1:20" x14ac:dyDescent="0.3">
      <c r="A1886" t="s">
        <v>730</v>
      </c>
      <c r="B1886">
        <v>13</v>
      </c>
      <c r="H1886">
        <v>0</v>
      </c>
      <c r="M1886">
        <v>0</v>
      </c>
      <c r="S1886">
        <v>0</v>
      </c>
    </row>
    <row r="1887" spans="1:20" x14ac:dyDescent="0.3">
      <c r="A1887" t="s">
        <v>679</v>
      </c>
      <c r="B1887">
        <v>13</v>
      </c>
      <c r="H1887">
        <v>265</v>
      </c>
      <c r="M1887">
        <v>2633</v>
      </c>
      <c r="S1887">
        <v>1317</v>
      </c>
    </row>
    <row r="1888" spans="1:20" x14ac:dyDescent="0.3">
      <c r="A1888" t="s">
        <v>78</v>
      </c>
      <c r="B1888">
        <v>13</v>
      </c>
      <c r="H1888">
        <v>7.2</v>
      </c>
      <c r="M1888">
        <v>44.9</v>
      </c>
      <c r="S1888">
        <v>22.4</v>
      </c>
    </row>
    <row r="1889" spans="1:20" x14ac:dyDescent="0.3">
      <c r="A1889" t="s">
        <v>731</v>
      </c>
      <c r="B1889">
        <v>13</v>
      </c>
      <c r="J1889">
        <v>0</v>
      </c>
      <c r="M1889">
        <v>0</v>
      </c>
      <c r="T1889">
        <v>0</v>
      </c>
    </row>
    <row r="1890" spans="1:20" x14ac:dyDescent="0.3">
      <c r="A1890" t="s">
        <v>732</v>
      </c>
      <c r="B1890">
        <v>13</v>
      </c>
      <c r="H1890">
        <v>0</v>
      </c>
      <c r="J1890">
        <v>1</v>
      </c>
      <c r="L1890">
        <v>0</v>
      </c>
      <c r="M1890">
        <v>0</v>
      </c>
      <c r="P1890">
        <v>3</v>
      </c>
      <c r="S1890">
        <v>0</v>
      </c>
      <c r="T1890">
        <v>1</v>
      </c>
    </row>
    <row r="1891" spans="1:20" x14ac:dyDescent="0.3">
      <c r="A1891" t="s">
        <v>733</v>
      </c>
      <c r="B1891">
        <v>13</v>
      </c>
      <c r="H1891">
        <v>0</v>
      </c>
      <c r="J1891">
        <v>0</v>
      </c>
      <c r="L1891">
        <v>0</v>
      </c>
      <c r="M1891">
        <v>0</v>
      </c>
      <c r="P1891">
        <v>0</v>
      </c>
      <c r="S1891">
        <v>0</v>
      </c>
      <c r="T1891">
        <v>0</v>
      </c>
    </row>
    <row r="1892" spans="1:20" x14ac:dyDescent="0.3">
      <c r="A1892" t="s">
        <v>52</v>
      </c>
      <c r="B1892">
        <v>13</v>
      </c>
      <c r="H1892">
        <v>1</v>
      </c>
      <c r="J1892">
        <v>1</v>
      </c>
      <c r="L1892">
        <v>1</v>
      </c>
      <c r="M1892">
        <v>1</v>
      </c>
      <c r="P1892">
        <v>1</v>
      </c>
      <c r="S1892">
        <v>1</v>
      </c>
      <c r="T1892">
        <v>1</v>
      </c>
    </row>
    <row r="1893" spans="1:20" x14ac:dyDescent="0.3">
      <c r="A1893" t="s">
        <v>734</v>
      </c>
      <c r="B1893">
        <v>13</v>
      </c>
      <c r="H1893">
        <v>15</v>
      </c>
      <c r="J1893">
        <v>9</v>
      </c>
      <c r="L1893">
        <v>15</v>
      </c>
      <c r="M1893">
        <v>60</v>
      </c>
      <c r="P1893">
        <v>9</v>
      </c>
      <c r="S1893">
        <v>60</v>
      </c>
      <c r="T1893">
        <v>9</v>
      </c>
    </row>
    <row r="1894" spans="1:20" x14ac:dyDescent="0.3">
      <c r="A1894" t="s">
        <v>43</v>
      </c>
      <c r="B1894">
        <v>13</v>
      </c>
      <c r="H1894">
        <v>20</v>
      </c>
      <c r="J1894">
        <v>20</v>
      </c>
      <c r="L1894">
        <v>20</v>
      </c>
      <c r="M1894">
        <v>100</v>
      </c>
      <c r="P1894">
        <v>20</v>
      </c>
      <c r="S1894">
        <v>100</v>
      </c>
    </row>
    <row r="1895" spans="1:20" x14ac:dyDescent="0.3">
      <c r="A1895" t="s">
        <v>44</v>
      </c>
      <c r="B1895">
        <v>13</v>
      </c>
      <c r="H1895">
        <v>0</v>
      </c>
      <c r="J1895">
        <v>0</v>
      </c>
      <c r="L1895">
        <v>0</v>
      </c>
      <c r="M1895">
        <v>0</v>
      </c>
      <c r="P1895">
        <v>0</v>
      </c>
      <c r="S1895">
        <v>0</v>
      </c>
    </row>
    <row r="1896" spans="1:20" x14ac:dyDescent="0.3">
      <c r="A1896" t="s">
        <v>47</v>
      </c>
      <c r="B1896">
        <v>13</v>
      </c>
      <c r="H1896">
        <v>2</v>
      </c>
      <c r="J1896">
        <v>2</v>
      </c>
      <c r="L1896">
        <v>1</v>
      </c>
      <c r="M1896">
        <v>1</v>
      </c>
      <c r="P1896">
        <v>1</v>
      </c>
      <c r="S1896">
        <v>1</v>
      </c>
    </row>
    <row r="1897" spans="1:20" x14ac:dyDescent="0.3">
      <c r="A1897" t="s">
        <v>735</v>
      </c>
      <c r="B1897">
        <v>13</v>
      </c>
      <c r="H1897">
        <v>0</v>
      </c>
      <c r="J1897">
        <v>0</v>
      </c>
      <c r="L1897">
        <v>0</v>
      </c>
      <c r="M1897">
        <v>0</v>
      </c>
      <c r="P1897">
        <v>0</v>
      </c>
      <c r="S1897">
        <v>0</v>
      </c>
    </row>
    <row r="1898" spans="1:20" x14ac:dyDescent="0.3">
      <c r="A1898" t="s">
        <v>736</v>
      </c>
      <c r="B1898">
        <v>13</v>
      </c>
      <c r="H1898">
        <v>0</v>
      </c>
      <c r="J1898">
        <v>0</v>
      </c>
      <c r="L1898">
        <v>0</v>
      </c>
      <c r="M1898">
        <v>0</v>
      </c>
      <c r="P1898">
        <v>0</v>
      </c>
      <c r="S1898">
        <v>0</v>
      </c>
    </row>
    <row r="1899" spans="1:20" x14ac:dyDescent="0.3">
      <c r="A1899" t="s">
        <v>737</v>
      </c>
      <c r="B1899">
        <v>13</v>
      </c>
      <c r="H1899">
        <v>0</v>
      </c>
      <c r="J1899">
        <v>0</v>
      </c>
      <c r="L1899">
        <v>0</v>
      </c>
      <c r="M1899">
        <v>0</v>
      </c>
      <c r="P1899">
        <v>0</v>
      </c>
      <c r="S1899">
        <v>0</v>
      </c>
    </row>
    <row r="1900" spans="1:20" x14ac:dyDescent="0.3">
      <c r="A1900" t="s">
        <v>738</v>
      </c>
      <c r="B1900">
        <v>13</v>
      </c>
      <c r="H1900">
        <v>0</v>
      </c>
      <c r="J1900">
        <v>0</v>
      </c>
      <c r="L1900">
        <v>0</v>
      </c>
      <c r="M1900">
        <v>0</v>
      </c>
      <c r="P1900">
        <v>0</v>
      </c>
      <c r="S1900">
        <v>0</v>
      </c>
    </row>
    <row r="1901" spans="1:20" x14ac:dyDescent="0.3">
      <c r="A1901" t="s">
        <v>739</v>
      </c>
      <c r="B1901">
        <v>13</v>
      </c>
      <c r="H1901">
        <v>1</v>
      </c>
      <c r="J1901">
        <v>1</v>
      </c>
      <c r="L1901">
        <v>1</v>
      </c>
      <c r="M1901">
        <v>2</v>
      </c>
      <c r="P1901">
        <v>1</v>
      </c>
      <c r="S1901">
        <v>2</v>
      </c>
    </row>
    <row r="1902" spans="1:20" x14ac:dyDescent="0.3">
      <c r="A1902" t="s">
        <v>740</v>
      </c>
      <c r="B1902">
        <v>13</v>
      </c>
      <c r="H1902">
        <v>0</v>
      </c>
      <c r="J1902">
        <v>0</v>
      </c>
      <c r="L1902">
        <v>0</v>
      </c>
      <c r="M1902">
        <v>0</v>
      </c>
      <c r="P1902">
        <v>0</v>
      </c>
      <c r="S1902">
        <v>0</v>
      </c>
    </row>
    <row r="1903" spans="1:20" x14ac:dyDescent="0.3">
      <c r="A1903" t="s">
        <v>741</v>
      </c>
      <c r="B1903">
        <v>13</v>
      </c>
      <c r="H1903">
        <v>20</v>
      </c>
      <c r="J1903">
        <v>20</v>
      </c>
      <c r="L1903">
        <v>20</v>
      </c>
      <c r="M1903">
        <v>6</v>
      </c>
      <c r="P1903">
        <v>20</v>
      </c>
      <c r="S1903">
        <v>6</v>
      </c>
    </row>
    <row r="1904" spans="1:20" x14ac:dyDescent="0.3">
      <c r="A1904" t="s">
        <v>742</v>
      </c>
      <c r="B1904">
        <v>13</v>
      </c>
      <c r="H1904">
        <v>3</v>
      </c>
      <c r="J1904">
        <v>3</v>
      </c>
      <c r="L1904">
        <v>3</v>
      </c>
      <c r="M1904">
        <v>3</v>
      </c>
      <c r="P1904">
        <v>3</v>
      </c>
      <c r="S1904">
        <v>3</v>
      </c>
    </row>
    <row r="1905" spans="1:20" x14ac:dyDescent="0.3">
      <c r="A1905" t="s">
        <v>743</v>
      </c>
      <c r="B1905">
        <v>13</v>
      </c>
      <c r="H1905">
        <v>0</v>
      </c>
      <c r="J1905">
        <v>0</v>
      </c>
      <c r="L1905">
        <v>0</v>
      </c>
      <c r="M1905">
        <v>0</v>
      </c>
      <c r="P1905">
        <v>0</v>
      </c>
      <c r="S1905">
        <v>0</v>
      </c>
    </row>
    <row r="1906" spans="1:20" x14ac:dyDescent="0.3">
      <c r="A1906" t="s">
        <v>744</v>
      </c>
      <c r="B1906">
        <v>13</v>
      </c>
      <c r="H1906">
        <v>0</v>
      </c>
      <c r="J1906">
        <v>0</v>
      </c>
      <c r="L1906">
        <v>0</v>
      </c>
      <c r="M1906">
        <v>0</v>
      </c>
      <c r="P1906">
        <v>0</v>
      </c>
      <c r="S1906">
        <v>0</v>
      </c>
    </row>
    <row r="1907" spans="1:20" x14ac:dyDescent="0.3">
      <c r="A1907" t="s">
        <v>745</v>
      </c>
      <c r="B1907">
        <v>13</v>
      </c>
      <c r="H1907">
        <v>0</v>
      </c>
      <c r="J1907">
        <v>0</v>
      </c>
      <c r="L1907">
        <v>0</v>
      </c>
      <c r="M1907">
        <v>0</v>
      </c>
      <c r="P1907">
        <v>0</v>
      </c>
      <c r="S1907">
        <v>0</v>
      </c>
    </row>
    <row r="1908" spans="1:20" x14ac:dyDescent="0.3">
      <c r="A1908" t="s">
        <v>746</v>
      </c>
      <c r="B1908">
        <v>13</v>
      </c>
      <c r="M1908">
        <v>94</v>
      </c>
      <c r="S1908">
        <v>94</v>
      </c>
    </row>
    <row r="1909" spans="1:20" x14ac:dyDescent="0.3">
      <c r="A1909" t="s">
        <v>747</v>
      </c>
      <c r="B1909">
        <v>13</v>
      </c>
      <c r="M1909">
        <v>6</v>
      </c>
      <c r="S1909">
        <v>6</v>
      </c>
    </row>
    <row r="1910" spans="1:20" x14ac:dyDescent="0.3">
      <c r="A1910" t="s">
        <v>748</v>
      </c>
      <c r="B1910">
        <v>13</v>
      </c>
      <c r="M1910">
        <v>3</v>
      </c>
      <c r="S1910">
        <v>3</v>
      </c>
    </row>
    <row r="1911" spans="1:20" x14ac:dyDescent="0.3">
      <c r="A1911" t="s">
        <v>749</v>
      </c>
      <c r="B1911">
        <v>13</v>
      </c>
      <c r="M1911">
        <v>0</v>
      </c>
      <c r="S1911">
        <v>0</v>
      </c>
    </row>
    <row r="1912" spans="1:20" x14ac:dyDescent="0.3">
      <c r="A1912" t="s">
        <v>750</v>
      </c>
      <c r="B1912">
        <v>13</v>
      </c>
      <c r="H1912">
        <v>0</v>
      </c>
      <c r="M1912">
        <v>0</v>
      </c>
      <c r="S1912">
        <v>0</v>
      </c>
    </row>
    <row r="1913" spans="1:20" x14ac:dyDescent="0.3">
      <c r="A1913" t="s">
        <v>405</v>
      </c>
      <c r="B1913">
        <v>13</v>
      </c>
      <c r="M1913">
        <v>0</v>
      </c>
    </row>
    <row r="1914" spans="1:20" x14ac:dyDescent="0.3">
      <c r="A1914" t="s">
        <v>751</v>
      </c>
      <c r="B1914">
        <v>13</v>
      </c>
      <c r="H1914">
        <v>51</v>
      </c>
      <c r="J1914">
        <v>65</v>
      </c>
      <c r="L1914">
        <v>55</v>
      </c>
      <c r="M1914">
        <v>1550</v>
      </c>
      <c r="P1914">
        <v>0</v>
      </c>
      <c r="S1914">
        <v>1397</v>
      </c>
      <c r="T1914">
        <v>0</v>
      </c>
    </row>
    <row r="1915" spans="1:20" x14ac:dyDescent="0.3">
      <c r="A1915" t="s">
        <v>34</v>
      </c>
      <c r="B1915">
        <v>16</v>
      </c>
      <c r="D1915">
        <v>20</v>
      </c>
      <c r="E1915">
        <v>20</v>
      </c>
      <c r="F1915">
        <v>20</v>
      </c>
      <c r="H1915">
        <v>19</v>
      </c>
      <c r="I1915">
        <v>19</v>
      </c>
      <c r="J1915">
        <v>19</v>
      </c>
      <c r="L1915">
        <v>13</v>
      </c>
      <c r="M1915">
        <v>13</v>
      </c>
      <c r="N1915">
        <v>13</v>
      </c>
      <c r="P1915">
        <v>21</v>
      </c>
      <c r="R1915">
        <v>21</v>
      </c>
      <c r="S1915">
        <v>21</v>
      </c>
      <c r="T1915">
        <v>21</v>
      </c>
    </row>
    <row r="1916" spans="1:20" x14ac:dyDescent="0.3">
      <c r="A1916" t="s">
        <v>35</v>
      </c>
      <c r="B1916">
        <v>16</v>
      </c>
      <c r="D1916">
        <v>13</v>
      </c>
      <c r="E1916">
        <v>19</v>
      </c>
      <c r="F1916">
        <v>21</v>
      </c>
      <c r="H1916">
        <v>21</v>
      </c>
      <c r="I1916">
        <v>20</v>
      </c>
      <c r="J1916">
        <v>13</v>
      </c>
      <c r="L1916">
        <v>19</v>
      </c>
      <c r="M1916">
        <v>21</v>
      </c>
      <c r="N1916">
        <v>20</v>
      </c>
      <c r="P1916">
        <v>21</v>
      </c>
      <c r="R1916">
        <v>20</v>
      </c>
      <c r="S1916">
        <v>13</v>
      </c>
      <c r="T1916">
        <v>19</v>
      </c>
    </row>
    <row r="1917" spans="1:20" x14ac:dyDescent="0.3">
      <c r="A1917" t="s">
        <v>36</v>
      </c>
      <c r="B1917">
        <v>16</v>
      </c>
      <c r="D1917">
        <v>1</v>
      </c>
      <c r="E1917">
        <v>1</v>
      </c>
      <c r="F1917">
        <v>1</v>
      </c>
      <c r="H1917">
        <v>1</v>
      </c>
      <c r="I1917">
        <v>1</v>
      </c>
      <c r="J1917">
        <v>0</v>
      </c>
      <c r="L1917">
        <v>1</v>
      </c>
      <c r="M1917">
        <v>3</v>
      </c>
      <c r="N1917">
        <v>1</v>
      </c>
      <c r="P1917">
        <v>0</v>
      </c>
      <c r="R1917">
        <v>1</v>
      </c>
      <c r="S1917">
        <v>3</v>
      </c>
      <c r="T1917">
        <v>1</v>
      </c>
    </row>
    <row r="1918" spans="1:20" x14ac:dyDescent="0.3">
      <c r="A1918" t="s">
        <v>37</v>
      </c>
      <c r="B1918">
        <v>16</v>
      </c>
      <c r="D1918">
        <v>0</v>
      </c>
      <c r="E1918">
        <v>0</v>
      </c>
      <c r="H1918">
        <v>0</v>
      </c>
      <c r="I1918">
        <v>2</v>
      </c>
      <c r="L1918">
        <v>0</v>
      </c>
      <c r="M1918">
        <v>0</v>
      </c>
      <c r="R1918">
        <v>0</v>
      </c>
      <c r="S1918">
        <v>0</v>
      </c>
    </row>
    <row r="1919" spans="1:20" x14ac:dyDescent="0.3">
      <c r="A1919" t="s">
        <v>38</v>
      </c>
      <c r="B1919">
        <v>16</v>
      </c>
      <c r="D1919">
        <v>12</v>
      </c>
      <c r="E1919">
        <v>12</v>
      </c>
      <c r="F1919">
        <v>12</v>
      </c>
      <c r="H1919">
        <v>12</v>
      </c>
      <c r="I1919">
        <v>12</v>
      </c>
      <c r="J1919">
        <v>12</v>
      </c>
      <c r="L1919">
        <v>12</v>
      </c>
      <c r="M1919">
        <v>12</v>
      </c>
      <c r="N1919">
        <v>12</v>
      </c>
      <c r="P1919">
        <v>12</v>
      </c>
      <c r="R1919">
        <v>12</v>
      </c>
      <c r="S1919">
        <v>12</v>
      </c>
      <c r="T1919">
        <v>12</v>
      </c>
    </row>
    <row r="1920" spans="1:20" x14ac:dyDescent="0.3">
      <c r="A1920" t="s">
        <v>39</v>
      </c>
      <c r="B1920">
        <v>16</v>
      </c>
      <c r="D1920">
        <v>120</v>
      </c>
      <c r="F1920">
        <v>120</v>
      </c>
      <c r="L1920">
        <v>125</v>
      </c>
      <c r="N1920">
        <v>130</v>
      </c>
      <c r="R1920">
        <v>125</v>
      </c>
      <c r="T1920">
        <v>115</v>
      </c>
    </row>
    <row r="1921" spans="1:20" x14ac:dyDescent="0.3">
      <c r="A1921" t="s">
        <v>726</v>
      </c>
      <c r="B1921">
        <v>16</v>
      </c>
      <c r="D1921">
        <v>25</v>
      </c>
      <c r="F1921">
        <v>25</v>
      </c>
      <c r="L1921">
        <v>25</v>
      </c>
      <c r="N1921">
        <v>25</v>
      </c>
      <c r="R1921">
        <v>25</v>
      </c>
      <c r="T1921">
        <v>25</v>
      </c>
    </row>
    <row r="1922" spans="1:20" x14ac:dyDescent="0.3">
      <c r="A1922" t="s">
        <v>40</v>
      </c>
      <c r="B1922">
        <v>16</v>
      </c>
      <c r="D1922">
        <v>1</v>
      </c>
      <c r="F1922">
        <v>1</v>
      </c>
      <c r="L1922">
        <v>1</v>
      </c>
      <c r="N1922">
        <v>1</v>
      </c>
      <c r="R1922">
        <v>1</v>
      </c>
      <c r="T1922">
        <v>1</v>
      </c>
    </row>
    <row r="1923" spans="1:20" x14ac:dyDescent="0.3">
      <c r="A1923" t="s">
        <v>41</v>
      </c>
      <c r="B1923">
        <v>16</v>
      </c>
    </row>
    <row r="1924" spans="1:20" x14ac:dyDescent="0.3">
      <c r="A1924" t="s">
        <v>42</v>
      </c>
      <c r="B1924">
        <v>16</v>
      </c>
      <c r="E1924">
        <v>25</v>
      </c>
      <c r="I1924">
        <v>25</v>
      </c>
      <c r="M1924">
        <v>40</v>
      </c>
      <c r="S1924">
        <v>40</v>
      </c>
    </row>
    <row r="1925" spans="1:20" x14ac:dyDescent="0.3">
      <c r="A1925" t="s">
        <v>45</v>
      </c>
      <c r="B1925">
        <v>16</v>
      </c>
      <c r="E1925">
        <v>2</v>
      </c>
      <c r="I1925">
        <v>2</v>
      </c>
      <c r="M1925">
        <v>1</v>
      </c>
      <c r="N1925">
        <v>1</v>
      </c>
      <c r="S1925">
        <v>1</v>
      </c>
      <c r="T1925">
        <v>1</v>
      </c>
    </row>
    <row r="1926" spans="1:20" x14ac:dyDescent="0.3">
      <c r="A1926" t="s">
        <v>46</v>
      </c>
      <c r="B1926">
        <v>16</v>
      </c>
      <c r="D1926">
        <v>2</v>
      </c>
      <c r="F1926">
        <v>2</v>
      </c>
      <c r="H1926">
        <v>2</v>
      </c>
      <c r="L1926">
        <v>1</v>
      </c>
      <c r="N1926">
        <v>1</v>
      </c>
      <c r="R1926">
        <v>1</v>
      </c>
      <c r="T1926">
        <v>1</v>
      </c>
    </row>
    <row r="1927" spans="1:20" x14ac:dyDescent="0.3">
      <c r="A1927" t="s">
        <v>49</v>
      </c>
      <c r="B1927">
        <v>16</v>
      </c>
      <c r="D1927">
        <v>6.2</v>
      </c>
      <c r="E1927">
        <v>6.2</v>
      </c>
      <c r="F1927">
        <v>6.2</v>
      </c>
      <c r="H1927">
        <v>6.2</v>
      </c>
      <c r="I1927">
        <v>6.2</v>
      </c>
      <c r="J1927">
        <v>4</v>
      </c>
      <c r="L1927">
        <v>5</v>
      </c>
      <c r="M1927">
        <v>5</v>
      </c>
      <c r="N1927">
        <v>5</v>
      </c>
      <c r="P1927">
        <v>4</v>
      </c>
      <c r="R1927">
        <v>5</v>
      </c>
      <c r="S1927">
        <v>5</v>
      </c>
      <c r="T1927">
        <v>5</v>
      </c>
    </row>
    <row r="1928" spans="1:20" x14ac:dyDescent="0.3">
      <c r="A1928" t="s">
        <v>727</v>
      </c>
      <c r="B1928">
        <v>16</v>
      </c>
      <c r="D1928">
        <v>0</v>
      </c>
      <c r="E1928">
        <v>0</v>
      </c>
      <c r="F1928">
        <v>0</v>
      </c>
      <c r="H1928">
        <v>0</v>
      </c>
      <c r="I1928">
        <v>0</v>
      </c>
      <c r="J1928">
        <v>0</v>
      </c>
      <c r="L1928">
        <v>0</v>
      </c>
      <c r="M1928">
        <v>0</v>
      </c>
      <c r="N1928">
        <v>0</v>
      </c>
      <c r="P1928">
        <v>0</v>
      </c>
      <c r="R1928">
        <v>0</v>
      </c>
      <c r="S1928">
        <v>0</v>
      </c>
      <c r="T1928">
        <v>0</v>
      </c>
    </row>
    <row r="1929" spans="1:20" x14ac:dyDescent="0.3">
      <c r="A1929" t="s">
        <v>48</v>
      </c>
      <c r="B1929">
        <v>16</v>
      </c>
      <c r="D1929">
        <v>1900</v>
      </c>
      <c r="E1929">
        <v>1900</v>
      </c>
      <c r="F1929">
        <v>1900</v>
      </c>
      <c r="H1929">
        <v>1900</v>
      </c>
      <c r="I1929">
        <v>1900</v>
      </c>
      <c r="J1929">
        <v>1900</v>
      </c>
      <c r="L1929">
        <v>1900</v>
      </c>
      <c r="M1929">
        <v>1900</v>
      </c>
      <c r="N1929">
        <v>1900</v>
      </c>
      <c r="P1929">
        <v>1900</v>
      </c>
      <c r="R1929">
        <v>1900</v>
      </c>
      <c r="S1929">
        <v>1900</v>
      </c>
      <c r="T1929">
        <v>1900</v>
      </c>
    </row>
    <row r="1930" spans="1:20" x14ac:dyDescent="0.3">
      <c r="A1930" t="s">
        <v>728</v>
      </c>
      <c r="B1930">
        <v>16</v>
      </c>
      <c r="D1930">
        <v>1770</v>
      </c>
      <c r="E1930">
        <v>1863</v>
      </c>
      <c r="F1930">
        <v>1583</v>
      </c>
      <c r="H1930">
        <v>1770</v>
      </c>
      <c r="I1930">
        <v>1742</v>
      </c>
      <c r="J1930">
        <v>0</v>
      </c>
      <c r="L1930">
        <v>1770</v>
      </c>
      <c r="M1930">
        <v>5085</v>
      </c>
      <c r="N1930">
        <v>1583</v>
      </c>
      <c r="P1930">
        <v>0</v>
      </c>
      <c r="R1930">
        <v>1770</v>
      </c>
      <c r="S1930">
        <v>5085</v>
      </c>
      <c r="T1930">
        <v>1583</v>
      </c>
    </row>
    <row r="1931" spans="1:20" x14ac:dyDescent="0.3">
      <c r="A1931" t="s">
        <v>50</v>
      </c>
      <c r="B1931">
        <v>16</v>
      </c>
      <c r="D1931">
        <v>1188</v>
      </c>
      <c r="E1931">
        <v>1863</v>
      </c>
      <c r="F1931">
        <v>1583</v>
      </c>
      <c r="H1931">
        <v>1259</v>
      </c>
      <c r="I1931">
        <v>1742</v>
      </c>
      <c r="J1931">
        <v>0</v>
      </c>
      <c r="L1931">
        <v>153</v>
      </c>
      <c r="M1931">
        <v>5085</v>
      </c>
      <c r="N1931">
        <v>1583</v>
      </c>
      <c r="P1931">
        <v>0</v>
      </c>
      <c r="R1931">
        <v>309</v>
      </c>
      <c r="S1931">
        <v>5085</v>
      </c>
      <c r="T1931">
        <v>1583</v>
      </c>
    </row>
    <row r="1932" spans="1:20" x14ac:dyDescent="0.3">
      <c r="A1932" t="s">
        <v>729</v>
      </c>
      <c r="B1932">
        <v>16</v>
      </c>
      <c r="D1932">
        <v>1</v>
      </c>
      <c r="E1932">
        <v>1</v>
      </c>
      <c r="F1932">
        <v>1</v>
      </c>
      <c r="H1932">
        <v>1</v>
      </c>
      <c r="I1932">
        <v>1</v>
      </c>
      <c r="J1932">
        <v>1</v>
      </c>
      <c r="L1932">
        <v>1</v>
      </c>
      <c r="M1932">
        <v>1</v>
      </c>
      <c r="N1932">
        <v>1</v>
      </c>
      <c r="P1932">
        <v>1</v>
      </c>
      <c r="R1932">
        <v>1</v>
      </c>
      <c r="S1932">
        <v>1</v>
      </c>
      <c r="T1932">
        <v>1</v>
      </c>
    </row>
    <row r="1933" spans="1:20" x14ac:dyDescent="0.3">
      <c r="A1933" t="s">
        <v>51</v>
      </c>
      <c r="B1933">
        <v>16</v>
      </c>
      <c r="D1933">
        <v>0</v>
      </c>
      <c r="E1933">
        <v>0</v>
      </c>
      <c r="F1933">
        <v>65</v>
      </c>
      <c r="H1933">
        <v>0</v>
      </c>
      <c r="I1933">
        <v>21</v>
      </c>
      <c r="J1933">
        <v>0</v>
      </c>
      <c r="L1933">
        <v>0</v>
      </c>
      <c r="M1933">
        <v>0</v>
      </c>
      <c r="N1933">
        <v>73</v>
      </c>
      <c r="P1933">
        <v>0</v>
      </c>
      <c r="R1933">
        <v>0</v>
      </c>
      <c r="S1933">
        <v>0</v>
      </c>
      <c r="T1933">
        <v>50</v>
      </c>
    </row>
    <row r="1934" spans="1:20" x14ac:dyDescent="0.3">
      <c r="A1934" t="s">
        <v>53</v>
      </c>
      <c r="B1934">
        <v>16</v>
      </c>
      <c r="D1934">
        <v>154</v>
      </c>
      <c r="E1934">
        <v>113</v>
      </c>
      <c r="F1934">
        <v>96</v>
      </c>
      <c r="H1934">
        <v>107</v>
      </c>
      <c r="I1934">
        <v>75</v>
      </c>
      <c r="J1934">
        <v>58</v>
      </c>
      <c r="L1934">
        <v>97</v>
      </c>
      <c r="M1934">
        <v>1213</v>
      </c>
      <c r="N1934">
        <v>67</v>
      </c>
      <c r="P1934">
        <v>0</v>
      </c>
      <c r="R1934">
        <v>100</v>
      </c>
      <c r="S1934">
        <v>1674</v>
      </c>
      <c r="T1934">
        <v>68</v>
      </c>
    </row>
    <row r="1935" spans="1:20" x14ac:dyDescent="0.3">
      <c r="A1935" t="s">
        <v>54</v>
      </c>
      <c r="B1935">
        <v>16</v>
      </c>
      <c r="D1935">
        <v>0</v>
      </c>
      <c r="E1935">
        <v>0</v>
      </c>
      <c r="F1935">
        <v>0</v>
      </c>
      <c r="H1935">
        <v>0</v>
      </c>
      <c r="I1935">
        <v>0</v>
      </c>
      <c r="J1935">
        <v>0</v>
      </c>
      <c r="L1935">
        <v>0</v>
      </c>
      <c r="M1935">
        <v>0</v>
      </c>
      <c r="N1935">
        <v>0</v>
      </c>
      <c r="P1935">
        <v>0</v>
      </c>
      <c r="R1935">
        <v>0</v>
      </c>
      <c r="S1935">
        <v>0</v>
      </c>
      <c r="T1935">
        <v>0</v>
      </c>
    </row>
    <row r="1936" spans="1:20" x14ac:dyDescent="0.3">
      <c r="A1936" t="s">
        <v>55</v>
      </c>
      <c r="B1936">
        <v>16</v>
      </c>
      <c r="D1936">
        <v>0</v>
      </c>
      <c r="E1936">
        <v>0</v>
      </c>
      <c r="F1936">
        <v>0</v>
      </c>
      <c r="H1936">
        <v>0</v>
      </c>
      <c r="I1936">
        <v>0</v>
      </c>
      <c r="J1936">
        <v>0</v>
      </c>
      <c r="L1936">
        <v>0</v>
      </c>
      <c r="M1936">
        <v>0</v>
      </c>
      <c r="N1936">
        <v>0</v>
      </c>
      <c r="P1936">
        <v>0</v>
      </c>
      <c r="R1936">
        <v>0</v>
      </c>
      <c r="S1936">
        <v>0</v>
      </c>
      <c r="T1936">
        <v>0</v>
      </c>
    </row>
    <row r="1937" spans="1:20" x14ac:dyDescent="0.3">
      <c r="A1937" t="s">
        <v>56</v>
      </c>
      <c r="B1937">
        <v>16</v>
      </c>
      <c r="D1937">
        <v>0.92</v>
      </c>
      <c r="E1937">
        <v>0.92</v>
      </c>
      <c r="F1937">
        <v>0.92</v>
      </c>
      <c r="H1937">
        <v>0.92</v>
      </c>
      <c r="I1937">
        <v>0.92</v>
      </c>
      <c r="J1937">
        <v>0.92</v>
      </c>
      <c r="L1937">
        <v>0.92</v>
      </c>
      <c r="M1937">
        <v>0.92</v>
      </c>
      <c r="N1937">
        <v>0.92</v>
      </c>
      <c r="P1937">
        <v>0.92</v>
      </c>
      <c r="R1937">
        <v>0.92</v>
      </c>
      <c r="S1937">
        <v>0.92</v>
      </c>
      <c r="T1937">
        <v>0.92</v>
      </c>
    </row>
    <row r="1938" spans="1:20" x14ac:dyDescent="0.3">
      <c r="A1938" t="s">
        <v>57</v>
      </c>
      <c r="B1938">
        <v>16</v>
      </c>
      <c r="D1938">
        <v>100</v>
      </c>
      <c r="E1938">
        <v>100</v>
      </c>
      <c r="F1938">
        <v>100</v>
      </c>
      <c r="H1938">
        <v>100</v>
      </c>
      <c r="I1938">
        <v>100</v>
      </c>
      <c r="J1938">
        <v>100</v>
      </c>
      <c r="L1938">
        <v>100</v>
      </c>
      <c r="M1938">
        <v>100</v>
      </c>
      <c r="N1938">
        <v>100</v>
      </c>
      <c r="P1938">
        <v>100</v>
      </c>
      <c r="R1938">
        <v>100</v>
      </c>
      <c r="S1938">
        <v>100</v>
      </c>
      <c r="T1938">
        <v>100</v>
      </c>
    </row>
    <row r="1939" spans="1:20" x14ac:dyDescent="0.3">
      <c r="A1939" t="s">
        <v>58</v>
      </c>
      <c r="B1939">
        <v>16</v>
      </c>
      <c r="D1939">
        <v>2</v>
      </c>
      <c r="E1939">
        <v>2</v>
      </c>
      <c r="F1939">
        <v>2</v>
      </c>
      <c r="H1939">
        <v>2</v>
      </c>
      <c r="I1939">
        <v>2</v>
      </c>
      <c r="J1939">
        <v>2</v>
      </c>
      <c r="L1939">
        <v>2</v>
      </c>
      <c r="M1939">
        <v>2</v>
      </c>
      <c r="N1939">
        <v>2</v>
      </c>
      <c r="P1939">
        <v>2</v>
      </c>
      <c r="R1939">
        <v>2</v>
      </c>
      <c r="S1939">
        <v>2</v>
      </c>
      <c r="T1939">
        <v>2</v>
      </c>
    </row>
    <row r="1940" spans="1:20" x14ac:dyDescent="0.3">
      <c r="A1940" t="s">
        <v>59</v>
      </c>
      <c r="B1940">
        <v>16</v>
      </c>
      <c r="D1940">
        <v>0</v>
      </c>
      <c r="E1940">
        <v>0</v>
      </c>
      <c r="F1940">
        <v>0</v>
      </c>
      <c r="H1940">
        <v>0</v>
      </c>
      <c r="I1940">
        <v>0</v>
      </c>
      <c r="J1940">
        <v>0</v>
      </c>
      <c r="L1940">
        <v>0</v>
      </c>
      <c r="M1940">
        <v>0</v>
      </c>
      <c r="N1940">
        <v>0</v>
      </c>
      <c r="P1940">
        <v>0</v>
      </c>
      <c r="R1940">
        <v>0</v>
      </c>
      <c r="S1940">
        <v>0</v>
      </c>
      <c r="T1940">
        <v>0</v>
      </c>
    </row>
    <row r="1941" spans="1:20" x14ac:dyDescent="0.3">
      <c r="A1941" t="s">
        <v>730</v>
      </c>
      <c r="B1941">
        <v>16</v>
      </c>
      <c r="E1941">
        <v>0</v>
      </c>
      <c r="I1941">
        <v>0</v>
      </c>
      <c r="M1941">
        <v>0</v>
      </c>
      <c r="S1941">
        <v>0</v>
      </c>
    </row>
    <row r="1942" spans="1:20" x14ac:dyDescent="0.3">
      <c r="A1942" t="s">
        <v>679</v>
      </c>
      <c r="B1942">
        <v>16</v>
      </c>
      <c r="E1942">
        <v>276</v>
      </c>
      <c r="I1942">
        <v>361</v>
      </c>
      <c r="M1942">
        <v>1317</v>
      </c>
      <c r="S1942">
        <v>1275</v>
      </c>
    </row>
    <row r="1943" spans="1:20" x14ac:dyDescent="0.3">
      <c r="A1943" t="s">
        <v>78</v>
      </c>
      <c r="B1943">
        <v>16</v>
      </c>
      <c r="E1943">
        <v>7.5</v>
      </c>
      <c r="I1943">
        <v>9.8000000000000007</v>
      </c>
      <c r="M1943">
        <v>22.4</v>
      </c>
      <c r="S1943">
        <v>21.7</v>
      </c>
    </row>
    <row r="1944" spans="1:20" x14ac:dyDescent="0.3">
      <c r="A1944" t="s">
        <v>731</v>
      </c>
      <c r="B1944">
        <v>16</v>
      </c>
      <c r="F1944">
        <v>0</v>
      </c>
      <c r="J1944">
        <v>0</v>
      </c>
      <c r="N1944">
        <v>0</v>
      </c>
      <c r="T1944">
        <v>0</v>
      </c>
    </row>
    <row r="1945" spans="1:20" x14ac:dyDescent="0.3">
      <c r="A1945" t="s">
        <v>732</v>
      </c>
      <c r="B1945">
        <v>16</v>
      </c>
      <c r="D1945">
        <v>0</v>
      </c>
      <c r="E1945">
        <v>0</v>
      </c>
      <c r="F1945">
        <v>1</v>
      </c>
      <c r="H1945">
        <v>0</v>
      </c>
      <c r="I1945">
        <v>0</v>
      </c>
      <c r="J1945">
        <v>1</v>
      </c>
      <c r="L1945">
        <v>0</v>
      </c>
      <c r="M1945">
        <v>0</v>
      </c>
      <c r="N1945">
        <v>1</v>
      </c>
      <c r="P1945">
        <v>3</v>
      </c>
      <c r="R1945">
        <v>0</v>
      </c>
      <c r="S1945">
        <v>0</v>
      </c>
      <c r="T1945">
        <v>1</v>
      </c>
    </row>
    <row r="1946" spans="1:20" x14ac:dyDescent="0.3">
      <c r="A1946" t="s">
        <v>733</v>
      </c>
      <c r="B1946">
        <v>16</v>
      </c>
      <c r="D1946">
        <v>0</v>
      </c>
      <c r="E1946">
        <v>0</v>
      </c>
      <c r="F1946">
        <v>0</v>
      </c>
      <c r="H1946">
        <v>0</v>
      </c>
      <c r="I1946">
        <v>0</v>
      </c>
      <c r="J1946">
        <v>0</v>
      </c>
      <c r="L1946">
        <v>0</v>
      </c>
      <c r="M1946">
        <v>0</v>
      </c>
      <c r="N1946">
        <v>0</v>
      </c>
      <c r="P1946">
        <v>0</v>
      </c>
      <c r="R1946">
        <v>0</v>
      </c>
      <c r="S1946">
        <v>0</v>
      </c>
      <c r="T1946">
        <v>0</v>
      </c>
    </row>
    <row r="1947" spans="1:20" x14ac:dyDescent="0.3">
      <c r="A1947" t="s">
        <v>52</v>
      </c>
      <c r="B1947">
        <v>16</v>
      </c>
      <c r="D1947">
        <v>1</v>
      </c>
      <c r="E1947">
        <v>1</v>
      </c>
      <c r="F1947">
        <v>1</v>
      </c>
      <c r="H1947">
        <v>1</v>
      </c>
      <c r="I1947">
        <v>1</v>
      </c>
      <c r="J1947">
        <v>1</v>
      </c>
      <c r="L1947">
        <v>1</v>
      </c>
      <c r="M1947">
        <v>1</v>
      </c>
      <c r="N1947">
        <v>1</v>
      </c>
      <c r="P1947">
        <v>1</v>
      </c>
      <c r="R1947">
        <v>1</v>
      </c>
      <c r="S1947">
        <v>1</v>
      </c>
      <c r="T1947">
        <v>1</v>
      </c>
    </row>
    <row r="1948" spans="1:20" x14ac:dyDescent="0.3">
      <c r="A1948" t="s">
        <v>734</v>
      </c>
      <c r="B1948">
        <v>16</v>
      </c>
      <c r="D1948">
        <v>15</v>
      </c>
      <c r="E1948">
        <v>60</v>
      </c>
      <c r="F1948">
        <v>9</v>
      </c>
      <c r="H1948">
        <v>15</v>
      </c>
      <c r="I1948">
        <v>60</v>
      </c>
      <c r="J1948">
        <v>9</v>
      </c>
      <c r="L1948">
        <v>15</v>
      </c>
      <c r="M1948">
        <v>60</v>
      </c>
      <c r="N1948">
        <v>9</v>
      </c>
      <c r="P1948">
        <v>9</v>
      </c>
      <c r="R1948">
        <v>15</v>
      </c>
      <c r="S1948">
        <v>60</v>
      </c>
      <c r="T1948">
        <v>9</v>
      </c>
    </row>
    <row r="1949" spans="1:20" x14ac:dyDescent="0.3">
      <c r="A1949" t="s">
        <v>43</v>
      </c>
      <c r="B1949">
        <v>16</v>
      </c>
      <c r="D1949">
        <v>20</v>
      </c>
      <c r="E1949">
        <v>100</v>
      </c>
      <c r="F1949">
        <v>20</v>
      </c>
      <c r="H1949">
        <v>20</v>
      </c>
      <c r="I1949">
        <v>100</v>
      </c>
      <c r="L1949">
        <v>20</v>
      </c>
      <c r="M1949">
        <v>100</v>
      </c>
      <c r="N1949">
        <v>20</v>
      </c>
      <c r="R1949">
        <v>20</v>
      </c>
      <c r="S1949">
        <v>100</v>
      </c>
      <c r="T1949">
        <v>20</v>
      </c>
    </row>
    <row r="1950" spans="1:20" x14ac:dyDescent="0.3">
      <c r="A1950" t="s">
        <v>44</v>
      </c>
      <c r="B1950">
        <v>16</v>
      </c>
      <c r="D1950">
        <v>0</v>
      </c>
      <c r="E1950">
        <v>0</v>
      </c>
      <c r="F1950">
        <v>0</v>
      </c>
      <c r="H1950">
        <v>0</v>
      </c>
      <c r="I1950">
        <v>0</v>
      </c>
      <c r="L1950">
        <v>0</v>
      </c>
      <c r="M1950">
        <v>0</v>
      </c>
      <c r="N1950">
        <v>0</v>
      </c>
      <c r="R1950">
        <v>0</v>
      </c>
      <c r="S1950">
        <v>0</v>
      </c>
      <c r="T1950">
        <v>0</v>
      </c>
    </row>
    <row r="1951" spans="1:20" x14ac:dyDescent="0.3">
      <c r="A1951" t="s">
        <v>47</v>
      </c>
      <c r="B1951">
        <v>16</v>
      </c>
      <c r="D1951">
        <v>2</v>
      </c>
      <c r="E1951">
        <v>2</v>
      </c>
      <c r="F1951">
        <v>2</v>
      </c>
      <c r="H1951">
        <v>2</v>
      </c>
      <c r="I1951">
        <v>2</v>
      </c>
      <c r="L1951">
        <v>1</v>
      </c>
      <c r="M1951">
        <v>1</v>
      </c>
      <c r="N1951">
        <v>1</v>
      </c>
      <c r="R1951">
        <v>1</v>
      </c>
      <c r="S1951">
        <v>1</v>
      </c>
      <c r="T1951">
        <v>1</v>
      </c>
    </row>
    <row r="1952" spans="1:20" x14ac:dyDescent="0.3">
      <c r="A1952" t="s">
        <v>735</v>
      </c>
      <c r="B1952">
        <v>16</v>
      </c>
      <c r="D1952">
        <v>0</v>
      </c>
      <c r="E1952">
        <v>0</v>
      </c>
      <c r="F1952">
        <v>0</v>
      </c>
      <c r="H1952">
        <v>0</v>
      </c>
      <c r="I1952">
        <v>0</v>
      </c>
      <c r="L1952">
        <v>0</v>
      </c>
      <c r="M1952">
        <v>0</v>
      </c>
      <c r="N1952">
        <v>0</v>
      </c>
      <c r="R1952">
        <v>0</v>
      </c>
      <c r="S1952">
        <v>0</v>
      </c>
      <c r="T1952">
        <v>0</v>
      </c>
    </row>
    <row r="1953" spans="1:20" x14ac:dyDescent="0.3">
      <c r="A1953" t="s">
        <v>736</v>
      </c>
      <c r="B1953">
        <v>16</v>
      </c>
      <c r="D1953">
        <v>0</v>
      </c>
      <c r="E1953">
        <v>0</v>
      </c>
      <c r="F1953">
        <v>0</v>
      </c>
      <c r="H1953">
        <v>0</v>
      </c>
      <c r="I1953">
        <v>0</v>
      </c>
      <c r="L1953">
        <v>0</v>
      </c>
      <c r="M1953">
        <v>0</v>
      </c>
      <c r="N1953">
        <v>0</v>
      </c>
      <c r="R1953">
        <v>0</v>
      </c>
      <c r="S1953">
        <v>0</v>
      </c>
      <c r="T1953">
        <v>0</v>
      </c>
    </row>
    <row r="1954" spans="1:20" x14ac:dyDescent="0.3">
      <c r="A1954" t="s">
        <v>737</v>
      </c>
      <c r="B1954">
        <v>16</v>
      </c>
      <c r="D1954">
        <v>0</v>
      </c>
      <c r="E1954">
        <v>0</v>
      </c>
      <c r="F1954">
        <v>0</v>
      </c>
      <c r="H1954">
        <v>0</v>
      </c>
      <c r="I1954">
        <v>0</v>
      </c>
      <c r="L1954">
        <v>0</v>
      </c>
      <c r="M1954">
        <v>0</v>
      </c>
      <c r="N1954">
        <v>0</v>
      </c>
      <c r="R1954">
        <v>0</v>
      </c>
      <c r="S1954">
        <v>0</v>
      </c>
      <c r="T1954">
        <v>0</v>
      </c>
    </row>
    <row r="1955" spans="1:20" x14ac:dyDescent="0.3">
      <c r="A1955" t="s">
        <v>738</v>
      </c>
      <c r="B1955">
        <v>16</v>
      </c>
      <c r="D1955">
        <v>0</v>
      </c>
      <c r="E1955">
        <v>0</v>
      </c>
      <c r="F1955">
        <v>0</v>
      </c>
      <c r="H1955">
        <v>0</v>
      </c>
      <c r="I1955">
        <v>0</v>
      </c>
      <c r="L1955">
        <v>0</v>
      </c>
      <c r="M1955">
        <v>0</v>
      </c>
      <c r="N1955">
        <v>0</v>
      </c>
      <c r="R1955">
        <v>0</v>
      </c>
      <c r="S1955">
        <v>0</v>
      </c>
      <c r="T1955">
        <v>0</v>
      </c>
    </row>
    <row r="1956" spans="1:20" x14ac:dyDescent="0.3">
      <c r="A1956" t="s">
        <v>739</v>
      </c>
      <c r="B1956">
        <v>16</v>
      </c>
      <c r="D1956">
        <v>1</v>
      </c>
      <c r="E1956">
        <v>2</v>
      </c>
      <c r="F1956">
        <v>1</v>
      </c>
      <c r="H1956">
        <v>1</v>
      </c>
      <c r="I1956">
        <v>2</v>
      </c>
      <c r="L1956">
        <v>1</v>
      </c>
      <c r="M1956">
        <v>2</v>
      </c>
      <c r="N1956">
        <v>1</v>
      </c>
      <c r="R1956">
        <v>1</v>
      </c>
      <c r="S1956">
        <v>2</v>
      </c>
      <c r="T1956">
        <v>1</v>
      </c>
    </row>
    <row r="1957" spans="1:20" x14ac:dyDescent="0.3">
      <c r="A1957" t="s">
        <v>740</v>
      </c>
      <c r="B1957">
        <v>16</v>
      </c>
      <c r="D1957">
        <v>0</v>
      </c>
      <c r="E1957">
        <v>0</v>
      </c>
      <c r="F1957">
        <v>0</v>
      </c>
      <c r="H1957">
        <v>0</v>
      </c>
      <c r="I1957">
        <v>0</v>
      </c>
      <c r="L1957">
        <v>0</v>
      </c>
      <c r="M1957">
        <v>0</v>
      </c>
      <c r="N1957">
        <v>0</v>
      </c>
      <c r="R1957">
        <v>0</v>
      </c>
      <c r="S1957">
        <v>0</v>
      </c>
      <c r="T1957">
        <v>0</v>
      </c>
    </row>
    <row r="1958" spans="1:20" x14ac:dyDescent="0.3">
      <c r="A1958" t="s">
        <v>741</v>
      </c>
      <c r="B1958">
        <v>16</v>
      </c>
      <c r="D1958">
        <v>20</v>
      </c>
      <c r="E1958">
        <v>6</v>
      </c>
      <c r="F1958">
        <v>20</v>
      </c>
      <c r="H1958">
        <v>20</v>
      </c>
      <c r="I1958">
        <v>6</v>
      </c>
      <c r="L1958">
        <v>20</v>
      </c>
      <c r="M1958">
        <v>6</v>
      </c>
      <c r="N1958">
        <v>20</v>
      </c>
      <c r="R1958">
        <v>20</v>
      </c>
      <c r="S1958">
        <v>6</v>
      </c>
      <c r="T1958">
        <v>20</v>
      </c>
    </row>
    <row r="1959" spans="1:20" x14ac:dyDescent="0.3">
      <c r="A1959" t="s">
        <v>742</v>
      </c>
      <c r="B1959">
        <v>16</v>
      </c>
      <c r="D1959">
        <v>3</v>
      </c>
      <c r="E1959">
        <v>3</v>
      </c>
      <c r="F1959">
        <v>3</v>
      </c>
      <c r="H1959">
        <v>3</v>
      </c>
      <c r="I1959">
        <v>3</v>
      </c>
      <c r="L1959">
        <v>3</v>
      </c>
      <c r="M1959">
        <v>3</v>
      </c>
      <c r="N1959">
        <v>3</v>
      </c>
      <c r="R1959">
        <v>3</v>
      </c>
      <c r="S1959">
        <v>3</v>
      </c>
      <c r="T1959">
        <v>3</v>
      </c>
    </row>
    <row r="1960" spans="1:20" x14ac:dyDescent="0.3">
      <c r="A1960" t="s">
        <v>743</v>
      </c>
      <c r="B1960">
        <v>16</v>
      </c>
      <c r="D1960">
        <v>0</v>
      </c>
      <c r="E1960">
        <v>0</v>
      </c>
      <c r="F1960">
        <v>0</v>
      </c>
      <c r="H1960">
        <v>0</v>
      </c>
      <c r="I1960">
        <v>0</v>
      </c>
      <c r="L1960">
        <v>0</v>
      </c>
      <c r="M1960">
        <v>0</v>
      </c>
      <c r="N1960">
        <v>0</v>
      </c>
      <c r="R1960">
        <v>0</v>
      </c>
      <c r="S1960">
        <v>0</v>
      </c>
      <c r="T1960">
        <v>0</v>
      </c>
    </row>
    <row r="1961" spans="1:20" x14ac:dyDescent="0.3">
      <c r="A1961" t="s">
        <v>744</v>
      </c>
      <c r="B1961">
        <v>16</v>
      </c>
      <c r="D1961">
        <v>0</v>
      </c>
      <c r="E1961">
        <v>0</v>
      </c>
      <c r="F1961">
        <v>0</v>
      </c>
      <c r="H1961">
        <v>0</v>
      </c>
      <c r="I1961">
        <v>0</v>
      </c>
      <c r="L1961">
        <v>0</v>
      </c>
      <c r="M1961">
        <v>0</v>
      </c>
      <c r="N1961">
        <v>0</v>
      </c>
      <c r="R1961">
        <v>0</v>
      </c>
      <c r="S1961">
        <v>0</v>
      </c>
      <c r="T1961">
        <v>0</v>
      </c>
    </row>
    <row r="1962" spans="1:20" x14ac:dyDescent="0.3">
      <c r="A1962" t="s">
        <v>745</v>
      </c>
      <c r="B1962">
        <v>16</v>
      </c>
      <c r="D1962">
        <v>0</v>
      </c>
      <c r="E1962">
        <v>0</v>
      </c>
      <c r="F1962">
        <v>0</v>
      </c>
      <c r="H1962">
        <v>0</v>
      </c>
      <c r="I1962">
        <v>0</v>
      </c>
      <c r="L1962">
        <v>0</v>
      </c>
      <c r="M1962">
        <v>0</v>
      </c>
      <c r="N1962">
        <v>0</v>
      </c>
      <c r="R1962">
        <v>0</v>
      </c>
      <c r="S1962">
        <v>0</v>
      </c>
      <c r="T1962">
        <v>0</v>
      </c>
    </row>
    <row r="1963" spans="1:20" x14ac:dyDescent="0.3">
      <c r="A1963" t="s">
        <v>746</v>
      </c>
      <c r="B1963">
        <v>16</v>
      </c>
      <c r="E1963">
        <v>94</v>
      </c>
      <c r="I1963">
        <v>94</v>
      </c>
      <c r="M1963">
        <v>94</v>
      </c>
      <c r="S1963">
        <v>94</v>
      </c>
    </row>
    <row r="1964" spans="1:20" x14ac:dyDescent="0.3">
      <c r="A1964" t="s">
        <v>747</v>
      </c>
      <c r="B1964">
        <v>16</v>
      </c>
      <c r="E1964">
        <v>6</v>
      </c>
      <c r="I1964">
        <v>6</v>
      </c>
      <c r="M1964">
        <v>6</v>
      </c>
      <c r="S1964">
        <v>6</v>
      </c>
    </row>
    <row r="1965" spans="1:20" x14ac:dyDescent="0.3">
      <c r="A1965" t="s">
        <v>748</v>
      </c>
      <c r="B1965">
        <v>16</v>
      </c>
      <c r="E1965">
        <v>3</v>
      </c>
      <c r="I1965">
        <v>3</v>
      </c>
      <c r="M1965">
        <v>3</v>
      </c>
      <c r="S1965">
        <v>3</v>
      </c>
    </row>
    <row r="1966" spans="1:20" x14ac:dyDescent="0.3">
      <c r="A1966" t="s">
        <v>749</v>
      </c>
      <c r="B1966">
        <v>16</v>
      </c>
      <c r="E1966">
        <v>0</v>
      </c>
      <c r="I1966">
        <v>0</v>
      </c>
      <c r="M1966">
        <v>0</v>
      </c>
      <c r="S1966">
        <v>0</v>
      </c>
    </row>
    <row r="1967" spans="1:20" x14ac:dyDescent="0.3">
      <c r="A1967" t="s">
        <v>750</v>
      </c>
      <c r="B1967">
        <v>16</v>
      </c>
      <c r="E1967">
        <v>0</v>
      </c>
      <c r="I1967">
        <v>0</v>
      </c>
      <c r="M1967">
        <v>0</v>
      </c>
      <c r="S1967">
        <v>0</v>
      </c>
    </row>
    <row r="1968" spans="1:20" x14ac:dyDescent="0.3">
      <c r="A1968" t="s">
        <v>405</v>
      </c>
      <c r="B1968">
        <v>16</v>
      </c>
      <c r="E1968">
        <v>0</v>
      </c>
    </row>
    <row r="1969" spans="1:20" x14ac:dyDescent="0.3">
      <c r="A1969" t="s">
        <v>751</v>
      </c>
      <c r="B1969">
        <v>16</v>
      </c>
      <c r="D1969">
        <v>167</v>
      </c>
      <c r="E1969">
        <v>123</v>
      </c>
      <c r="F1969">
        <v>104</v>
      </c>
      <c r="H1969">
        <v>116</v>
      </c>
      <c r="I1969">
        <v>145</v>
      </c>
      <c r="J1969">
        <v>0</v>
      </c>
      <c r="L1969">
        <v>105</v>
      </c>
      <c r="M1969">
        <v>1318</v>
      </c>
      <c r="N1969">
        <v>73</v>
      </c>
      <c r="P1969">
        <v>0</v>
      </c>
      <c r="R1969">
        <v>109</v>
      </c>
      <c r="S1969">
        <v>1820</v>
      </c>
      <c r="T1969">
        <v>74</v>
      </c>
    </row>
    <row r="1970" spans="1:20" x14ac:dyDescent="0.3">
      <c r="A1970" t="s">
        <v>34</v>
      </c>
      <c r="B1970">
        <v>21</v>
      </c>
      <c r="D1970">
        <v>23</v>
      </c>
      <c r="E1970">
        <v>23</v>
      </c>
      <c r="F1970">
        <v>23</v>
      </c>
      <c r="H1970">
        <v>22</v>
      </c>
      <c r="I1970">
        <v>22</v>
      </c>
      <c r="J1970">
        <v>22</v>
      </c>
      <c r="L1970">
        <v>16</v>
      </c>
      <c r="M1970">
        <v>16</v>
      </c>
      <c r="N1970">
        <v>16</v>
      </c>
      <c r="P1970">
        <v>24</v>
      </c>
      <c r="R1970">
        <v>24</v>
      </c>
      <c r="S1970">
        <v>24</v>
      </c>
      <c r="T1970">
        <v>24</v>
      </c>
    </row>
    <row r="1971" spans="1:20" x14ac:dyDescent="0.3">
      <c r="A1971" t="s">
        <v>35</v>
      </c>
      <c r="B1971">
        <v>21</v>
      </c>
      <c r="D1971">
        <v>16</v>
      </c>
      <c r="E1971">
        <v>22</v>
      </c>
      <c r="F1971">
        <v>24</v>
      </c>
      <c r="H1971">
        <v>24</v>
      </c>
      <c r="I1971">
        <v>23</v>
      </c>
      <c r="J1971">
        <v>16</v>
      </c>
      <c r="L1971">
        <v>22</v>
      </c>
      <c r="M1971">
        <v>24</v>
      </c>
      <c r="N1971">
        <v>23</v>
      </c>
      <c r="P1971">
        <v>24</v>
      </c>
      <c r="R1971">
        <v>23</v>
      </c>
      <c r="S1971">
        <v>16</v>
      </c>
      <c r="T1971">
        <v>22</v>
      </c>
    </row>
    <row r="1972" spans="1:20" x14ac:dyDescent="0.3">
      <c r="A1972" t="s">
        <v>36</v>
      </c>
      <c r="B1972">
        <v>21</v>
      </c>
      <c r="D1972">
        <v>2</v>
      </c>
      <c r="E1972">
        <v>3</v>
      </c>
      <c r="F1972">
        <v>0</v>
      </c>
      <c r="H1972">
        <v>2</v>
      </c>
      <c r="I1972">
        <v>3</v>
      </c>
      <c r="J1972">
        <v>0</v>
      </c>
      <c r="L1972">
        <v>2</v>
      </c>
      <c r="M1972">
        <v>3</v>
      </c>
      <c r="N1972">
        <v>1</v>
      </c>
      <c r="P1972">
        <v>0</v>
      </c>
      <c r="R1972">
        <v>2</v>
      </c>
      <c r="S1972">
        <v>3</v>
      </c>
      <c r="T1972">
        <v>0</v>
      </c>
    </row>
    <row r="1973" spans="1:20" x14ac:dyDescent="0.3">
      <c r="A1973" t="s">
        <v>37</v>
      </c>
      <c r="B1973">
        <v>21</v>
      </c>
      <c r="D1973">
        <v>0</v>
      </c>
      <c r="E1973">
        <v>2</v>
      </c>
      <c r="H1973">
        <v>0</v>
      </c>
      <c r="I1973">
        <v>2</v>
      </c>
      <c r="L1973">
        <v>0</v>
      </c>
      <c r="M1973">
        <v>0</v>
      </c>
      <c r="R1973">
        <v>0</v>
      </c>
      <c r="S1973">
        <v>0</v>
      </c>
    </row>
    <row r="1974" spans="1:20" x14ac:dyDescent="0.3">
      <c r="A1974" t="s">
        <v>38</v>
      </c>
      <c r="B1974">
        <v>21</v>
      </c>
      <c r="D1974">
        <v>12</v>
      </c>
      <c r="E1974">
        <v>12</v>
      </c>
      <c r="F1974">
        <v>12</v>
      </c>
      <c r="H1974">
        <v>12</v>
      </c>
      <c r="I1974">
        <v>12</v>
      </c>
      <c r="J1974">
        <v>12</v>
      </c>
      <c r="L1974">
        <v>12</v>
      </c>
      <c r="M1974">
        <v>12</v>
      </c>
      <c r="N1974">
        <v>12</v>
      </c>
      <c r="P1974">
        <v>12</v>
      </c>
      <c r="R1974">
        <v>12</v>
      </c>
      <c r="S1974">
        <v>12</v>
      </c>
      <c r="T1974">
        <v>12</v>
      </c>
    </row>
    <row r="1975" spans="1:20" x14ac:dyDescent="0.3">
      <c r="A1975" t="s">
        <v>39</v>
      </c>
      <c r="B1975">
        <v>21</v>
      </c>
      <c r="D1975">
        <v>250</v>
      </c>
      <c r="H1975">
        <v>235</v>
      </c>
      <c r="L1975">
        <v>245</v>
      </c>
      <c r="N1975">
        <v>215</v>
      </c>
      <c r="R1975">
        <v>250</v>
      </c>
    </row>
    <row r="1976" spans="1:20" x14ac:dyDescent="0.3">
      <c r="A1976" t="s">
        <v>726</v>
      </c>
      <c r="B1976">
        <v>21</v>
      </c>
      <c r="D1976">
        <v>25</v>
      </c>
      <c r="H1976">
        <v>25</v>
      </c>
      <c r="L1976">
        <v>25</v>
      </c>
      <c r="N1976">
        <v>25</v>
      </c>
      <c r="R1976">
        <v>25</v>
      </c>
    </row>
    <row r="1977" spans="1:20" x14ac:dyDescent="0.3">
      <c r="A1977" t="s">
        <v>40</v>
      </c>
      <c r="B1977">
        <v>21</v>
      </c>
      <c r="D1977">
        <v>2</v>
      </c>
      <c r="H1977">
        <v>2</v>
      </c>
      <c r="L1977">
        <v>2</v>
      </c>
      <c r="N1977">
        <v>1</v>
      </c>
      <c r="R1977">
        <v>2</v>
      </c>
    </row>
    <row r="1978" spans="1:20" x14ac:dyDescent="0.3">
      <c r="A1978" t="s">
        <v>41</v>
      </c>
      <c r="B1978">
        <v>21</v>
      </c>
    </row>
    <row r="1979" spans="1:20" x14ac:dyDescent="0.3">
      <c r="A1979" t="s">
        <v>42</v>
      </c>
      <c r="B1979">
        <v>21</v>
      </c>
      <c r="E1979">
        <v>40</v>
      </c>
      <c r="I1979">
        <v>40</v>
      </c>
      <c r="M1979">
        <v>40</v>
      </c>
      <c r="S1979">
        <v>40</v>
      </c>
    </row>
    <row r="1980" spans="1:20" x14ac:dyDescent="0.3">
      <c r="A1980" t="s">
        <v>45</v>
      </c>
      <c r="B1980">
        <v>21</v>
      </c>
      <c r="D1980">
        <v>7</v>
      </c>
      <c r="E1980">
        <v>4</v>
      </c>
      <c r="H1980">
        <v>3</v>
      </c>
      <c r="I1980">
        <v>8</v>
      </c>
      <c r="L1980">
        <v>1</v>
      </c>
      <c r="M1980">
        <v>6</v>
      </c>
      <c r="R1980">
        <v>5</v>
      </c>
      <c r="S1980">
        <v>2</v>
      </c>
    </row>
    <row r="1981" spans="1:20" x14ac:dyDescent="0.3">
      <c r="A1981" t="s">
        <v>46</v>
      </c>
      <c r="B1981">
        <v>21</v>
      </c>
      <c r="D1981">
        <v>4</v>
      </c>
      <c r="H1981">
        <v>8</v>
      </c>
      <c r="L1981">
        <v>6</v>
      </c>
      <c r="N1981">
        <v>6</v>
      </c>
      <c r="R1981">
        <v>2</v>
      </c>
    </row>
    <row r="1982" spans="1:20" x14ac:dyDescent="0.3">
      <c r="A1982" t="s">
        <v>49</v>
      </c>
      <c r="B1982">
        <v>21</v>
      </c>
      <c r="D1982">
        <v>5</v>
      </c>
      <c r="E1982">
        <v>6.1</v>
      </c>
      <c r="F1982">
        <v>4</v>
      </c>
      <c r="H1982">
        <v>5</v>
      </c>
      <c r="I1982">
        <v>6.1</v>
      </c>
      <c r="J1982">
        <v>4</v>
      </c>
      <c r="L1982">
        <v>5</v>
      </c>
      <c r="M1982">
        <v>5.6</v>
      </c>
      <c r="N1982">
        <v>5.6</v>
      </c>
      <c r="P1982">
        <v>4</v>
      </c>
      <c r="R1982">
        <v>5</v>
      </c>
      <c r="S1982">
        <v>5.6</v>
      </c>
      <c r="T1982">
        <v>4</v>
      </c>
    </row>
    <row r="1983" spans="1:20" x14ac:dyDescent="0.3">
      <c r="A1983" t="s">
        <v>727</v>
      </c>
      <c r="B1983">
        <v>21</v>
      </c>
      <c r="D1983">
        <v>0</v>
      </c>
      <c r="E1983">
        <v>0</v>
      </c>
      <c r="F1983">
        <v>0</v>
      </c>
      <c r="H1983">
        <v>0</v>
      </c>
      <c r="I1983">
        <v>0</v>
      </c>
      <c r="J1983">
        <v>0</v>
      </c>
      <c r="L1983">
        <v>0</v>
      </c>
      <c r="M1983">
        <v>0</v>
      </c>
      <c r="N1983">
        <v>0</v>
      </c>
      <c r="P1983">
        <v>0</v>
      </c>
      <c r="R1983">
        <v>0</v>
      </c>
      <c r="S1983">
        <v>0</v>
      </c>
      <c r="T1983">
        <v>0</v>
      </c>
    </row>
    <row r="1984" spans="1:20" x14ac:dyDescent="0.3">
      <c r="A1984" t="s">
        <v>48</v>
      </c>
      <c r="B1984">
        <v>21</v>
      </c>
      <c r="D1984">
        <v>1900</v>
      </c>
      <c r="E1984">
        <v>1900</v>
      </c>
      <c r="F1984">
        <v>1900</v>
      </c>
      <c r="H1984">
        <v>1900</v>
      </c>
      <c r="I1984">
        <v>1900</v>
      </c>
      <c r="J1984">
        <v>1900</v>
      </c>
      <c r="L1984">
        <v>1900</v>
      </c>
      <c r="M1984">
        <v>1900</v>
      </c>
      <c r="N1984">
        <v>1900</v>
      </c>
      <c r="P1984">
        <v>1900</v>
      </c>
      <c r="R1984">
        <v>1900</v>
      </c>
      <c r="S1984">
        <v>1900</v>
      </c>
      <c r="T1984">
        <v>1900</v>
      </c>
    </row>
    <row r="1985" spans="1:20" x14ac:dyDescent="0.3">
      <c r="A1985" t="s">
        <v>728</v>
      </c>
      <c r="B1985">
        <v>21</v>
      </c>
      <c r="D1985">
        <v>3433</v>
      </c>
      <c r="E1985">
        <v>4902</v>
      </c>
      <c r="F1985">
        <v>0</v>
      </c>
      <c r="H1985">
        <v>3433</v>
      </c>
      <c r="I1985">
        <v>4862</v>
      </c>
      <c r="J1985">
        <v>0</v>
      </c>
      <c r="L1985">
        <v>3433</v>
      </c>
      <c r="M1985">
        <v>5085</v>
      </c>
      <c r="N1985">
        <v>1583</v>
      </c>
      <c r="P1985">
        <v>0</v>
      </c>
      <c r="R1985">
        <v>3433</v>
      </c>
      <c r="S1985">
        <v>5045</v>
      </c>
      <c r="T1985">
        <v>0</v>
      </c>
    </row>
    <row r="1986" spans="1:20" x14ac:dyDescent="0.3">
      <c r="A1986" t="s">
        <v>50</v>
      </c>
      <c r="B1986">
        <v>21</v>
      </c>
      <c r="D1986">
        <v>1980</v>
      </c>
      <c r="E1986">
        <v>4902</v>
      </c>
      <c r="F1986">
        <v>0</v>
      </c>
      <c r="H1986">
        <v>1619</v>
      </c>
      <c r="I1986">
        <v>4862</v>
      </c>
      <c r="J1986">
        <v>0</v>
      </c>
      <c r="L1986">
        <v>452</v>
      </c>
      <c r="M1986">
        <v>5085</v>
      </c>
      <c r="N1986">
        <v>1583</v>
      </c>
      <c r="P1986">
        <v>0</v>
      </c>
      <c r="R1986">
        <v>643</v>
      </c>
      <c r="S1986">
        <v>5045</v>
      </c>
      <c r="T1986">
        <v>0</v>
      </c>
    </row>
    <row r="1987" spans="1:20" x14ac:dyDescent="0.3">
      <c r="A1987" t="s">
        <v>729</v>
      </c>
      <c r="B1987">
        <v>21</v>
      </c>
      <c r="D1987">
        <v>1</v>
      </c>
      <c r="E1987">
        <v>1</v>
      </c>
      <c r="F1987">
        <v>1</v>
      </c>
      <c r="H1987">
        <v>1</v>
      </c>
      <c r="I1987">
        <v>1</v>
      </c>
      <c r="J1987">
        <v>1</v>
      </c>
      <c r="L1987">
        <v>1</v>
      </c>
      <c r="M1987">
        <v>1</v>
      </c>
      <c r="N1987">
        <v>1</v>
      </c>
      <c r="P1987">
        <v>1</v>
      </c>
      <c r="R1987">
        <v>1</v>
      </c>
      <c r="S1987">
        <v>1</v>
      </c>
      <c r="T1987">
        <v>1</v>
      </c>
    </row>
    <row r="1988" spans="1:20" x14ac:dyDescent="0.3">
      <c r="A1988" t="s">
        <v>51</v>
      </c>
      <c r="B1988">
        <v>21</v>
      </c>
      <c r="D1988">
        <v>0</v>
      </c>
      <c r="E1988">
        <v>63</v>
      </c>
      <c r="F1988">
        <v>0</v>
      </c>
      <c r="H1988">
        <v>0</v>
      </c>
      <c r="I1988">
        <v>83</v>
      </c>
      <c r="J1988">
        <v>0</v>
      </c>
      <c r="L1988">
        <v>0</v>
      </c>
      <c r="M1988">
        <v>0</v>
      </c>
      <c r="N1988">
        <v>175</v>
      </c>
      <c r="P1988">
        <v>0</v>
      </c>
      <c r="R1988">
        <v>0</v>
      </c>
      <c r="S1988">
        <v>8</v>
      </c>
      <c r="T1988">
        <v>0</v>
      </c>
    </row>
    <row r="1989" spans="1:20" x14ac:dyDescent="0.3">
      <c r="A1989" t="s">
        <v>53</v>
      </c>
      <c r="B1989">
        <v>21</v>
      </c>
      <c r="D1989">
        <v>86</v>
      </c>
      <c r="E1989">
        <v>195</v>
      </c>
      <c r="F1989">
        <v>63</v>
      </c>
      <c r="H1989">
        <v>196</v>
      </c>
      <c r="I1989">
        <v>210</v>
      </c>
      <c r="J1989">
        <v>88</v>
      </c>
      <c r="L1989">
        <v>106</v>
      </c>
      <c r="M1989">
        <v>1230</v>
      </c>
      <c r="N1989">
        <v>74</v>
      </c>
      <c r="P1989">
        <v>0</v>
      </c>
      <c r="R1989">
        <v>65</v>
      </c>
      <c r="S1989">
        <v>1045</v>
      </c>
      <c r="T1989">
        <v>59</v>
      </c>
    </row>
    <row r="1990" spans="1:20" x14ac:dyDescent="0.3">
      <c r="A1990" t="s">
        <v>54</v>
      </c>
      <c r="B1990">
        <v>21</v>
      </c>
      <c r="D1990">
        <v>0</v>
      </c>
      <c r="E1990">
        <v>0</v>
      </c>
      <c r="F1990">
        <v>0</v>
      </c>
      <c r="H1990">
        <v>0</v>
      </c>
      <c r="I1990">
        <v>0</v>
      </c>
      <c r="J1990">
        <v>0</v>
      </c>
      <c r="L1990">
        <v>0</v>
      </c>
      <c r="M1990">
        <v>0</v>
      </c>
      <c r="N1990">
        <v>0</v>
      </c>
      <c r="P1990">
        <v>0</v>
      </c>
      <c r="R1990">
        <v>0</v>
      </c>
      <c r="S1990">
        <v>0</v>
      </c>
      <c r="T1990">
        <v>0</v>
      </c>
    </row>
    <row r="1991" spans="1:20" x14ac:dyDescent="0.3">
      <c r="A1991" t="s">
        <v>55</v>
      </c>
      <c r="B1991">
        <v>21</v>
      </c>
      <c r="D1991">
        <v>0</v>
      </c>
      <c r="E1991">
        <v>0</v>
      </c>
      <c r="F1991">
        <v>0</v>
      </c>
      <c r="H1991">
        <v>0</v>
      </c>
      <c r="I1991">
        <v>0</v>
      </c>
      <c r="J1991">
        <v>0</v>
      </c>
      <c r="L1991">
        <v>0</v>
      </c>
      <c r="M1991">
        <v>0</v>
      </c>
      <c r="N1991">
        <v>0</v>
      </c>
      <c r="P1991">
        <v>0</v>
      </c>
      <c r="R1991">
        <v>0</v>
      </c>
      <c r="S1991">
        <v>0</v>
      </c>
      <c r="T1991">
        <v>0</v>
      </c>
    </row>
    <row r="1992" spans="1:20" x14ac:dyDescent="0.3">
      <c r="A1992" t="s">
        <v>56</v>
      </c>
      <c r="B1992">
        <v>21</v>
      </c>
      <c r="D1992">
        <v>0.92</v>
      </c>
      <c r="E1992">
        <v>0.92</v>
      </c>
      <c r="F1992">
        <v>0.92</v>
      </c>
      <c r="H1992">
        <v>0.92</v>
      </c>
      <c r="I1992">
        <v>0.92</v>
      </c>
      <c r="J1992">
        <v>0.92</v>
      </c>
      <c r="L1992">
        <v>0.92</v>
      </c>
      <c r="M1992">
        <v>0.92</v>
      </c>
      <c r="N1992">
        <v>0.92</v>
      </c>
      <c r="P1992">
        <v>0.92</v>
      </c>
      <c r="R1992">
        <v>0.92</v>
      </c>
      <c r="S1992">
        <v>0.92</v>
      </c>
      <c r="T1992">
        <v>0.92</v>
      </c>
    </row>
    <row r="1993" spans="1:20" x14ac:dyDescent="0.3">
      <c r="A1993" t="s">
        <v>57</v>
      </c>
      <c r="B1993">
        <v>21</v>
      </c>
      <c r="D1993">
        <v>100</v>
      </c>
      <c r="E1993">
        <v>100</v>
      </c>
      <c r="F1993">
        <v>100</v>
      </c>
      <c r="H1993">
        <v>100</v>
      </c>
      <c r="I1993">
        <v>100</v>
      </c>
      <c r="J1993">
        <v>100</v>
      </c>
      <c r="L1993">
        <v>100</v>
      </c>
      <c r="M1993">
        <v>100</v>
      </c>
      <c r="N1993">
        <v>100</v>
      </c>
      <c r="P1993">
        <v>100</v>
      </c>
      <c r="R1993">
        <v>100</v>
      </c>
      <c r="S1993">
        <v>100</v>
      </c>
      <c r="T1993">
        <v>100</v>
      </c>
    </row>
    <row r="1994" spans="1:20" x14ac:dyDescent="0.3">
      <c r="A1994" t="s">
        <v>58</v>
      </c>
      <c r="B1994">
        <v>21</v>
      </c>
      <c r="D1994">
        <v>2</v>
      </c>
      <c r="E1994">
        <v>2</v>
      </c>
      <c r="F1994">
        <v>2</v>
      </c>
      <c r="H1994">
        <v>2</v>
      </c>
      <c r="I1994">
        <v>2</v>
      </c>
      <c r="J1994">
        <v>2</v>
      </c>
      <c r="L1994">
        <v>2</v>
      </c>
      <c r="M1994">
        <v>2</v>
      </c>
      <c r="N1994">
        <v>2</v>
      </c>
      <c r="P1994">
        <v>2</v>
      </c>
      <c r="R1994">
        <v>2</v>
      </c>
      <c r="S1994">
        <v>2</v>
      </c>
      <c r="T1994">
        <v>2</v>
      </c>
    </row>
    <row r="1995" spans="1:20" x14ac:dyDescent="0.3">
      <c r="A1995" t="s">
        <v>59</v>
      </c>
      <c r="B1995">
        <v>21</v>
      </c>
      <c r="D1995">
        <v>0</v>
      </c>
      <c r="E1995">
        <v>0</v>
      </c>
      <c r="F1995">
        <v>0</v>
      </c>
      <c r="H1995">
        <v>0</v>
      </c>
      <c r="I1995">
        <v>0</v>
      </c>
      <c r="J1995">
        <v>0</v>
      </c>
      <c r="L1995">
        <v>0</v>
      </c>
      <c r="M1995">
        <v>0</v>
      </c>
      <c r="N1995">
        <v>0</v>
      </c>
      <c r="P1995">
        <v>0</v>
      </c>
      <c r="R1995">
        <v>0</v>
      </c>
      <c r="S1995">
        <v>0</v>
      </c>
      <c r="T1995">
        <v>0</v>
      </c>
    </row>
    <row r="1996" spans="1:20" x14ac:dyDescent="0.3">
      <c r="A1996" t="s">
        <v>730</v>
      </c>
      <c r="B1996">
        <v>21</v>
      </c>
      <c r="E1996">
        <v>0</v>
      </c>
      <c r="I1996">
        <v>0</v>
      </c>
      <c r="M1996">
        <v>0</v>
      </c>
      <c r="S1996">
        <v>0</v>
      </c>
    </row>
    <row r="1997" spans="1:20" x14ac:dyDescent="0.3">
      <c r="A1997" t="s">
        <v>679</v>
      </c>
      <c r="B1997">
        <v>21</v>
      </c>
      <c r="E1997">
        <v>473</v>
      </c>
      <c r="I1997">
        <v>742</v>
      </c>
      <c r="M1997">
        <v>1275</v>
      </c>
      <c r="S1997">
        <v>1358</v>
      </c>
    </row>
    <row r="1998" spans="1:20" x14ac:dyDescent="0.3">
      <c r="A1998" t="s">
        <v>78</v>
      </c>
      <c r="B1998">
        <v>21</v>
      </c>
      <c r="E1998">
        <v>8.1</v>
      </c>
      <c r="I1998">
        <v>12.6</v>
      </c>
      <c r="M1998">
        <v>21.7</v>
      </c>
      <c r="S1998">
        <v>23.1</v>
      </c>
    </row>
    <row r="1999" spans="1:20" x14ac:dyDescent="0.3">
      <c r="A1999" t="s">
        <v>731</v>
      </c>
      <c r="B1999">
        <v>21</v>
      </c>
      <c r="F1999">
        <v>0</v>
      </c>
      <c r="J1999">
        <v>0</v>
      </c>
      <c r="N1999">
        <v>0</v>
      </c>
      <c r="T1999">
        <v>0</v>
      </c>
    </row>
    <row r="2000" spans="1:20" x14ac:dyDescent="0.3">
      <c r="A2000" t="s">
        <v>732</v>
      </c>
      <c r="B2000">
        <v>21</v>
      </c>
      <c r="D2000">
        <v>0</v>
      </c>
      <c r="E2000">
        <v>0</v>
      </c>
      <c r="F2000">
        <v>1</v>
      </c>
      <c r="H2000">
        <v>0</v>
      </c>
      <c r="I2000">
        <v>0</v>
      </c>
      <c r="J2000">
        <v>1</v>
      </c>
      <c r="L2000">
        <v>0</v>
      </c>
      <c r="M2000">
        <v>0</v>
      </c>
      <c r="N2000">
        <v>1</v>
      </c>
      <c r="P2000">
        <v>3</v>
      </c>
      <c r="R2000">
        <v>0</v>
      </c>
      <c r="S2000">
        <v>0</v>
      </c>
      <c r="T2000">
        <v>1</v>
      </c>
    </row>
    <row r="2001" spans="1:20" x14ac:dyDescent="0.3">
      <c r="A2001" t="s">
        <v>733</v>
      </c>
      <c r="B2001">
        <v>21</v>
      </c>
      <c r="D2001">
        <v>0</v>
      </c>
      <c r="E2001">
        <v>0</v>
      </c>
      <c r="F2001">
        <v>0</v>
      </c>
      <c r="H2001">
        <v>0</v>
      </c>
      <c r="I2001">
        <v>0</v>
      </c>
      <c r="J2001">
        <v>0</v>
      </c>
      <c r="L2001">
        <v>0</v>
      </c>
      <c r="M2001">
        <v>0</v>
      </c>
      <c r="N2001">
        <v>0</v>
      </c>
      <c r="P2001">
        <v>0</v>
      </c>
      <c r="R2001">
        <v>0</v>
      </c>
      <c r="S2001">
        <v>0</v>
      </c>
      <c r="T2001">
        <v>0</v>
      </c>
    </row>
    <row r="2002" spans="1:20" x14ac:dyDescent="0.3">
      <c r="A2002" t="s">
        <v>52</v>
      </c>
      <c r="B2002">
        <v>21</v>
      </c>
      <c r="D2002">
        <v>1</v>
      </c>
      <c r="E2002">
        <v>1</v>
      </c>
      <c r="F2002">
        <v>1</v>
      </c>
      <c r="H2002">
        <v>1</v>
      </c>
      <c r="I2002">
        <v>1</v>
      </c>
      <c r="J2002">
        <v>1</v>
      </c>
      <c r="L2002">
        <v>1</v>
      </c>
      <c r="M2002">
        <v>1</v>
      </c>
      <c r="N2002">
        <v>1</v>
      </c>
      <c r="P2002">
        <v>1</v>
      </c>
      <c r="R2002">
        <v>1</v>
      </c>
      <c r="S2002">
        <v>1</v>
      </c>
      <c r="T2002">
        <v>1</v>
      </c>
    </row>
    <row r="2003" spans="1:20" x14ac:dyDescent="0.3">
      <c r="A2003" t="s">
        <v>734</v>
      </c>
      <c r="B2003">
        <v>21</v>
      </c>
      <c r="D2003">
        <v>15</v>
      </c>
      <c r="E2003">
        <v>60</v>
      </c>
      <c r="F2003">
        <v>9</v>
      </c>
      <c r="H2003">
        <v>15</v>
      </c>
      <c r="I2003">
        <v>60</v>
      </c>
      <c r="J2003">
        <v>9</v>
      </c>
      <c r="L2003">
        <v>15</v>
      </c>
      <c r="M2003">
        <v>60</v>
      </c>
      <c r="N2003">
        <v>9</v>
      </c>
      <c r="P2003">
        <v>9</v>
      </c>
      <c r="R2003">
        <v>15</v>
      </c>
      <c r="S2003">
        <v>60</v>
      </c>
      <c r="T2003">
        <v>9</v>
      </c>
    </row>
    <row r="2004" spans="1:20" x14ac:dyDescent="0.3">
      <c r="A2004" t="s">
        <v>43</v>
      </c>
      <c r="B2004">
        <v>21</v>
      </c>
      <c r="D2004">
        <v>20</v>
      </c>
      <c r="E2004">
        <v>100</v>
      </c>
      <c r="H2004">
        <v>20</v>
      </c>
      <c r="I2004">
        <v>100</v>
      </c>
      <c r="L2004">
        <v>20</v>
      </c>
      <c r="M2004">
        <v>100</v>
      </c>
      <c r="N2004">
        <v>20</v>
      </c>
      <c r="R2004">
        <v>20</v>
      </c>
      <c r="S2004">
        <v>100</v>
      </c>
    </row>
    <row r="2005" spans="1:20" x14ac:dyDescent="0.3">
      <c r="A2005" t="s">
        <v>44</v>
      </c>
      <c r="B2005">
        <v>21</v>
      </c>
      <c r="D2005">
        <v>0</v>
      </c>
      <c r="E2005">
        <v>0</v>
      </c>
      <c r="H2005">
        <v>0</v>
      </c>
      <c r="I2005">
        <v>0</v>
      </c>
      <c r="L2005">
        <v>0</v>
      </c>
      <c r="M2005">
        <v>0</v>
      </c>
      <c r="N2005">
        <v>0</v>
      </c>
      <c r="R2005">
        <v>0</v>
      </c>
      <c r="S2005">
        <v>0</v>
      </c>
    </row>
    <row r="2006" spans="1:20" x14ac:dyDescent="0.3">
      <c r="A2006" t="s">
        <v>47</v>
      </c>
      <c r="B2006">
        <v>21</v>
      </c>
      <c r="D2006">
        <v>7</v>
      </c>
      <c r="E2006">
        <v>4</v>
      </c>
      <c r="H2006">
        <v>3</v>
      </c>
      <c r="I2006">
        <v>8</v>
      </c>
      <c r="L2006">
        <v>1</v>
      </c>
      <c r="M2006">
        <v>6</v>
      </c>
      <c r="N2006">
        <v>6</v>
      </c>
      <c r="R2006">
        <v>5</v>
      </c>
      <c r="S2006">
        <v>2</v>
      </c>
    </row>
    <row r="2007" spans="1:20" x14ac:dyDescent="0.3">
      <c r="A2007" t="s">
        <v>735</v>
      </c>
      <c r="B2007">
        <v>21</v>
      </c>
      <c r="D2007">
        <v>0</v>
      </c>
      <c r="E2007">
        <v>0</v>
      </c>
      <c r="H2007">
        <v>0</v>
      </c>
      <c r="I2007">
        <v>0</v>
      </c>
      <c r="L2007">
        <v>0</v>
      </c>
      <c r="M2007">
        <v>0</v>
      </c>
      <c r="N2007">
        <v>0</v>
      </c>
      <c r="R2007">
        <v>0</v>
      </c>
      <c r="S2007">
        <v>0</v>
      </c>
    </row>
    <row r="2008" spans="1:20" x14ac:dyDescent="0.3">
      <c r="A2008" t="s">
        <v>736</v>
      </c>
      <c r="B2008">
        <v>21</v>
      </c>
      <c r="D2008">
        <v>0</v>
      </c>
      <c r="E2008">
        <v>0</v>
      </c>
      <c r="H2008">
        <v>0</v>
      </c>
      <c r="I2008">
        <v>0</v>
      </c>
      <c r="L2008">
        <v>0</v>
      </c>
      <c r="M2008">
        <v>0</v>
      </c>
      <c r="N2008">
        <v>0</v>
      </c>
      <c r="R2008">
        <v>0</v>
      </c>
      <c r="S2008">
        <v>0</v>
      </c>
    </row>
    <row r="2009" spans="1:20" x14ac:dyDescent="0.3">
      <c r="A2009" t="s">
        <v>737</v>
      </c>
      <c r="B2009">
        <v>21</v>
      </c>
      <c r="D2009">
        <v>0</v>
      </c>
      <c r="E2009">
        <v>0</v>
      </c>
      <c r="H2009">
        <v>0</v>
      </c>
      <c r="I2009">
        <v>0</v>
      </c>
      <c r="L2009">
        <v>0</v>
      </c>
      <c r="M2009">
        <v>0</v>
      </c>
      <c r="N2009">
        <v>0</v>
      </c>
      <c r="R2009">
        <v>0</v>
      </c>
      <c r="S2009">
        <v>0</v>
      </c>
    </row>
    <row r="2010" spans="1:20" x14ac:dyDescent="0.3">
      <c r="A2010" t="s">
        <v>738</v>
      </c>
      <c r="B2010">
        <v>21</v>
      </c>
      <c r="D2010">
        <v>0</v>
      </c>
      <c r="E2010">
        <v>0</v>
      </c>
      <c r="H2010">
        <v>0</v>
      </c>
      <c r="I2010">
        <v>0</v>
      </c>
      <c r="L2010">
        <v>0</v>
      </c>
      <c r="M2010">
        <v>0</v>
      </c>
      <c r="N2010">
        <v>0</v>
      </c>
      <c r="R2010">
        <v>0</v>
      </c>
      <c r="S2010">
        <v>0</v>
      </c>
    </row>
    <row r="2011" spans="1:20" x14ac:dyDescent="0.3">
      <c r="A2011" t="s">
        <v>739</v>
      </c>
      <c r="B2011">
        <v>21</v>
      </c>
      <c r="D2011">
        <v>1</v>
      </c>
      <c r="E2011">
        <v>2</v>
      </c>
      <c r="H2011">
        <v>1</v>
      </c>
      <c r="I2011">
        <v>2</v>
      </c>
      <c r="L2011">
        <v>1</v>
      </c>
      <c r="M2011">
        <v>2</v>
      </c>
      <c r="N2011">
        <v>1</v>
      </c>
      <c r="R2011">
        <v>1</v>
      </c>
      <c r="S2011">
        <v>2</v>
      </c>
    </row>
    <row r="2012" spans="1:20" x14ac:dyDescent="0.3">
      <c r="A2012" t="s">
        <v>740</v>
      </c>
      <c r="B2012">
        <v>21</v>
      </c>
      <c r="D2012">
        <v>0</v>
      </c>
      <c r="E2012">
        <v>0</v>
      </c>
      <c r="H2012">
        <v>0</v>
      </c>
      <c r="I2012">
        <v>0</v>
      </c>
      <c r="L2012">
        <v>0</v>
      </c>
      <c r="M2012">
        <v>0</v>
      </c>
      <c r="N2012">
        <v>0</v>
      </c>
      <c r="R2012">
        <v>0</v>
      </c>
      <c r="S2012">
        <v>0</v>
      </c>
    </row>
    <row r="2013" spans="1:20" x14ac:dyDescent="0.3">
      <c r="A2013" t="s">
        <v>741</v>
      </c>
      <c r="B2013">
        <v>21</v>
      </c>
      <c r="D2013">
        <v>20</v>
      </c>
      <c r="E2013">
        <v>6</v>
      </c>
      <c r="H2013">
        <v>20</v>
      </c>
      <c r="I2013">
        <v>6</v>
      </c>
      <c r="L2013">
        <v>20</v>
      </c>
      <c r="M2013">
        <v>6</v>
      </c>
      <c r="N2013">
        <v>20</v>
      </c>
      <c r="R2013">
        <v>20</v>
      </c>
      <c r="S2013">
        <v>6</v>
      </c>
    </row>
    <row r="2014" spans="1:20" x14ac:dyDescent="0.3">
      <c r="A2014" t="s">
        <v>742</v>
      </c>
      <c r="B2014">
        <v>21</v>
      </c>
      <c r="D2014">
        <v>3</v>
      </c>
      <c r="E2014">
        <v>3</v>
      </c>
      <c r="H2014">
        <v>3</v>
      </c>
      <c r="I2014">
        <v>3</v>
      </c>
      <c r="L2014">
        <v>3</v>
      </c>
      <c r="M2014">
        <v>3</v>
      </c>
      <c r="N2014">
        <v>3</v>
      </c>
      <c r="R2014">
        <v>3</v>
      </c>
      <c r="S2014">
        <v>3</v>
      </c>
    </row>
    <row r="2015" spans="1:20" x14ac:dyDescent="0.3">
      <c r="A2015" t="s">
        <v>743</v>
      </c>
      <c r="B2015">
        <v>21</v>
      </c>
      <c r="D2015">
        <v>0</v>
      </c>
      <c r="E2015">
        <v>0</v>
      </c>
      <c r="H2015">
        <v>0</v>
      </c>
      <c r="I2015">
        <v>0</v>
      </c>
      <c r="L2015">
        <v>0</v>
      </c>
      <c r="M2015">
        <v>0</v>
      </c>
      <c r="N2015">
        <v>0</v>
      </c>
      <c r="R2015">
        <v>0</v>
      </c>
      <c r="S2015">
        <v>0</v>
      </c>
    </row>
    <row r="2016" spans="1:20" x14ac:dyDescent="0.3">
      <c r="A2016" t="s">
        <v>744</v>
      </c>
      <c r="B2016">
        <v>21</v>
      </c>
      <c r="D2016">
        <v>0</v>
      </c>
      <c r="E2016">
        <v>0</v>
      </c>
      <c r="H2016">
        <v>0</v>
      </c>
      <c r="I2016">
        <v>0</v>
      </c>
      <c r="L2016">
        <v>0</v>
      </c>
      <c r="M2016">
        <v>0</v>
      </c>
      <c r="N2016">
        <v>0</v>
      </c>
      <c r="R2016">
        <v>0</v>
      </c>
      <c r="S2016">
        <v>0</v>
      </c>
    </row>
    <row r="2017" spans="1:20" x14ac:dyDescent="0.3">
      <c r="A2017" t="s">
        <v>745</v>
      </c>
      <c r="B2017">
        <v>21</v>
      </c>
      <c r="D2017">
        <v>0</v>
      </c>
      <c r="E2017">
        <v>0</v>
      </c>
      <c r="H2017">
        <v>0</v>
      </c>
      <c r="I2017">
        <v>0</v>
      </c>
      <c r="L2017">
        <v>0</v>
      </c>
      <c r="M2017">
        <v>0</v>
      </c>
      <c r="N2017">
        <v>0</v>
      </c>
      <c r="R2017">
        <v>0</v>
      </c>
      <c r="S2017">
        <v>0</v>
      </c>
    </row>
    <row r="2018" spans="1:20" x14ac:dyDescent="0.3">
      <c r="A2018" t="s">
        <v>746</v>
      </c>
      <c r="B2018">
        <v>21</v>
      </c>
      <c r="E2018">
        <v>94</v>
      </c>
      <c r="I2018">
        <v>94</v>
      </c>
      <c r="M2018">
        <v>94</v>
      </c>
      <c r="S2018">
        <v>94</v>
      </c>
    </row>
    <row r="2019" spans="1:20" x14ac:dyDescent="0.3">
      <c r="A2019" t="s">
        <v>747</v>
      </c>
      <c r="B2019">
        <v>21</v>
      </c>
      <c r="E2019">
        <v>6</v>
      </c>
      <c r="I2019">
        <v>6</v>
      </c>
      <c r="M2019">
        <v>6</v>
      </c>
      <c r="S2019">
        <v>6</v>
      </c>
    </row>
    <row r="2020" spans="1:20" x14ac:dyDescent="0.3">
      <c r="A2020" t="s">
        <v>748</v>
      </c>
      <c r="B2020">
        <v>21</v>
      </c>
      <c r="E2020">
        <v>3</v>
      </c>
      <c r="I2020">
        <v>3</v>
      </c>
      <c r="M2020">
        <v>3</v>
      </c>
      <c r="S2020">
        <v>3</v>
      </c>
    </row>
    <row r="2021" spans="1:20" x14ac:dyDescent="0.3">
      <c r="A2021" t="s">
        <v>749</v>
      </c>
      <c r="B2021">
        <v>21</v>
      </c>
      <c r="E2021">
        <v>0</v>
      </c>
      <c r="I2021">
        <v>0</v>
      </c>
      <c r="M2021">
        <v>0</v>
      </c>
      <c r="S2021">
        <v>0</v>
      </c>
    </row>
    <row r="2022" spans="1:20" x14ac:dyDescent="0.3">
      <c r="A2022" t="s">
        <v>750</v>
      </c>
      <c r="B2022">
        <v>21</v>
      </c>
      <c r="E2022">
        <v>0</v>
      </c>
      <c r="I2022">
        <v>0</v>
      </c>
      <c r="M2022">
        <v>0</v>
      </c>
      <c r="S2022">
        <v>0</v>
      </c>
    </row>
    <row r="2023" spans="1:20" x14ac:dyDescent="0.3">
      <c r="A2023" t="s">
        <v>405</v>
      </c>
      <c r="B2023">
        <v>21</v>
      </c>
      <c r="E2023">
        <v>0</v>
      </c>
    </row>
    <row r="2024" spans="1:20" x14ac:dyDescent="0.3">
      <c r="A2024" t="s">
        <v>751</v>
      </c>
      <c r="B2024">
        <v>21</v>
      </c>
      <c r="D2024">
        <v>93</v>
      </c>
      <c r="E2024">
        <v>280</v>
      </c>
      <c r="F2024">
        <v>0</v>
      </c>
      <c r="H2024">
        <v>213</v>
      </c>
      <c r="I2024">
        <v>324</v>
      </c>
      <c r="J2024">
        <v>0</v>
      </c>
      <c r="L2024">
        <v>115</v>
      </c>
      <c r="M2024">
        <v>1337</v>
      </c>
      <c r="N2024">
        <v>80</v>
      </c>
      <c r="P2024">
        <v>0</v>
      </c>
      <c r="R2024">
        <v>71</v>
      </c>
      <c r="S2024">
        <v>1200</v>
      </c>
      <c r="T2024">
        <v>0</v>
      </c>
    </row>
    <row r="2025" spans="1:20" x14ac:dyDescent="0.3">
      <c r="A2025" t="s">
        <v>34</v>
      </c>
      <c r="B2025">
        <v>24</v>
      </c>
      <c r="D2025">
        <v>26</v>
      </c>
      <c r="E2025">
        <v>26</v>
      </c>
      <c r="F2025">
        <v>26</v>
      </c>
      <c r="H2025">
        <v>25</v>
      </c>
      <c r="I2025">
        <v>25</v>
      </c>
      <c r="J2025">
        <v>25</v>
      </c>
      <c r="L2025">
        <v>21</v>
      </c>
      <c r="M2025">
        <v>21</v>
      </c>
      <c r="N2025">
        <v>21</v>
      </c>
      <c r="P2025">
        <v>27</v>
      </c>
      <c r="R2025">
        <v>27</v>
      </c>
      <c r="S2025">
        <v>27</v>
      </c>
      <c r="T2025">
        <v>27</v>
      </c>
    </row>
    <row r="2026" spans="1:20" x14ac:dyDescent="0.3">
      <c r="A2026" t="s">
        <v>35</v>
      </c>
      <c r="B2026">
        <v>24</v>
      </c>
      <c r="D2026">
        <v>21</v>
      </c>
      <c r="E2026">
        <v>25</v>
      </c>
      <c r="F2026">
        <v>27</v>
      </c>
      <c r="H2026">
        <v>27</v>
      </c>
      <c r="I2026">
        <v>26</v>
      </c>
      <c r="J2026">
        <v>21</v>
      </c>
      <c r="L2026">
        <v>25</v>
      </c>
      <c r="M2026">
        <v>27</v>
      </c>
      <c r="N2026">
        <v>26</v>
      </c>
      <c r="P2026">
        <v>27</v>
      </c>
      <c r="R2026">
        <v>26</v>
      </c>
      <c r="S2026">
        <v>21</v>
      </c>
      <c r="T2026">
        <v>25</v>
      </c>
    </row>
    <row r="2027" spans="1:20" x14ac:dyDescent="0.3">
      <c r="A2027" t="s">
        <v>36</v>
      </c>
      <c r="B2027">
        <v>24</v>
      </c>
      <c r="D2027">
        <v>0</v>
      </c>
      <c r="E2027">
        <v>1</v>
      </c>
      <c r="F2027">
        <v>0</v>
      </c>
      <c r="H2027">
        <v>0</v>
      </c>
      <c r="I2027">
        <v>1</v>
      </c>
      <c r="J2027">
        <v>0</v>
      </c>
      <c r="L2027">
        <v>1</v>
      </c>
      <c r="M2027">
        <v>3</v>
      </c>
      <c r="N2027">
        <v>0</v>
      </c>
      <c r="P2027">
        <v>0</v>
      </c>
      <c r="R2027">
        <v>1</v>
      </c>
      <c r="S2027">
        <v>3</v>
      </c>
      <c r="T2027">
        <v>0</v>
      </c>
    </row>
    <row r="2028" spans="1:20" x14ac:dyDescent="0.3">
      <c r="A2028" t="s">
        <v>37</v>
      </c>
      <c r="B2028">
        <v>24</v>
      </c>
      <c r="D2028">
        <v>0</v>
      </c>
      <c r="E2028">
        <v>3</v>
      </c>
      <c r="H2028">
        <v>0</v>
      </c>
      <c r="I2028">
        <v>3</v>
      </c>
      <c r="L2028">
        <v>0</v>
      </c>
      <c r="M2028">
        <v>2</v>
      </c>
      <c r="R2028">
        <v>0</v>
      </c>
      <c r="S2028">
        <v>2</v>
      </c>
    </row>
    <row r="2029" spans="1:20" x14ac:dyDescent="0.3">
      <c r="A2029" t="s">
        <v>38</v>
      </c>
      <c r="B2029">
        <v>24</v>
      </c>
      <c r="D2029">
        <v>12</v>
      </c>
      <c r="E2029">
        <v>12</v>
      </c>
      <c r="F2029">
        <v>12</v>
      </c>
      <c r="H2029">
        <v>12</v>
      </c>
      <c r="I2029">
        <v>12</v>
      </c>
      <c r="J2029">
        <v>12</v>
      </c>
      <c r="L2029">
        <v>12</v>
      </c>
      <c r="M2029">
        <v>12</v>
      </c>
      <c r="N2029">
        <v>12</v>
      </c>
      <c r="P2029">
        <v>12</v>
      </c>
      <c r="R2029">
        <v>12</v>
      </c>
      <c r="S2029">
        <v>12</v>
      </c>
      <c r="T2029">
        <v>12</v>
      </c>
    </row>
    <row r="2030" spans="1:20" x14ac:dyDescent="0.3">
      <c r="A2030" t="s">
        <v>39</v>
      </c>
      <c r="B2030">
        <v>24</v>
      </c>
      <c r="L2030">
        <v>110</v>
      </c>
      <c r="R2030">
        <v>100</v>
      </c>
    </row>
    <row r="2031" spans="1:20" x14ac:dyDescent="0.3">
      <c r="A2031" t="s">
        <v>726</v>
      </c>
      <c r="B2031">
        <v>24</v>
      </c>
      <c r="L2031">
        <v>25</v>
      </c>
      <c r="R2031">
        <v>25</v>
      </c>
    </row>
    <row r="2032" spans="1:20" x14ac:dyDescent="0.3">
      <c r="A2032" t="s">
        <v>40</v>
      </c>
      <c r="B2032">
        <v>24</v>
      </c>
      <c r="L2032">
        <v>1</v>
      </c>
      <c r="R2032">
        <v>1</v>
      </c>
    </row>
    <row r="2033" spans="1:20" x14ac:dyDescent="0.3">
      <c r="A2033" t="s">
        <v>41</v>
      </c>
      <c r="B2033">
        <v>24</v>
      </c>
    </row>
    <row r="2034" spans="1:20" x14ac:dyDescent="0.3">
      <c r="A2034" t="s">
        <v>42</v>
      </c>
      <c r="B2034">
        <v>24</v>
      </c>
      <c r="E2034">
        <v>25</v>
      </c>
      <c r="I2034">
        <v>25</v>
      </c>
      <c r="M2034">
        <v>40</v>
      </c>
      <c r="S2034">
        <v>40</v>
      </c>
    </row>
    <row r="2035" spans="1:20" x14ac:dyDescent="0.3">
      <c r="A2035" t="s">
        <v>45</v>
      </c>
      <c r="B2035">
        <v>24</v>
      </c>
      <c r="E2035">
        <v>2</v>
      </c>
      <c r="I2035">
        <v>2</v>
      </c>
      <c r="M2035">
        <v>1</v>
      </c>
      <c r="S2035">
        <v>1</v>
      </c>
    </row>
    <row r="2036" spans="1:20" x14ac:dyDescent="0.3">
      <c r="A2036" t="s">
        <v>46</v>
      </c>
      <c r="B2036">
        <v>24</v>
      </c>
      <c r="D2036">
        <v>2</v>
      </c>
      <c r="H2036">
        <v>2</v>
      </c>
      <c r="L2036">
        <v>1</v>
      </c>
      <c r="R2036">
        <v>1</v>
      </c>
    </row>
    <row r="2037" spans="1:20" x14ac:dyDescent="0.3">
      <c r="A2037" t="s">
        <v>49</v>
      </c>
      <c r="B2037">
        <v>24</v>
      </c>
      <c r="D2037">
        <v>5.6</v>
      </c>
      <c r="E2037">
        <v>5.6</v>
      </c>
      <c r="F2037">
        <v>4</v>
      </c>
      <c r="H2037">
        <v>5.6</v>
      </c>
      <c r="I2037">
        <v>5.6</v>
      </c>
      <c r="J2037">
        <v>4</v>
      </c>
      <c r="L2037">
        <v>5</v>
      </c>
      <c r="M2037">
        <v>5</v>
      </c>
      <c r="N2037">
        <v>4</v>
      </c>
      <c r="P2037">
        <v>4</v>
      </c>
      <c r="R2037">
        <v>5</v>
      </c>
      <c r="S2037">
        <v>5</v>
      </c>
      <c r="T2037">
        <v>4</v>
      </c>
    </row>
    <row r="2038" spans="1:20" x14ac:dyDescent="0.3">
      <c r="A2038" t="s">
        <v>727</v>
      </c>
      <c r="B2038">
        <v>24</v>
      </c>
      <c r="D2038">
        <v>0</v>
      </c>
      <c r="E2038">
        <v>0</v>
      </c>
      <c r="F2038">
        <v>0</v>
      </c>
      <c r="H2038">
        <v>0</v>
      </c>
      <c r="I2038">
        <v>0</v>
      </c>
      <c r="J2038">
        <v>0</v>
      </c>
      <c r="L2038">
        <v>0</v>
      </c>
      <c r="M2038">
        <v>0</v>
      </c>
      <c r="N2038">
        <v>0</v>
      </c>
      <c r="P2038">
        <v>0</v>
      </c>
      <c r="R2038">
        <v>0</v>
      </c>
      <c r="S2038">
        <v>0</v>
      </c>
      <c r="T2038">
        <v>0</v>
      </c>
    </row>
    <row r="2039" spans="1:20" x14ac:dyDescent="0.3">
      <c r="A2039" t="s">
        <v>48</v>
      </c>
      <c r="B2039">
        <v>24</v>
      </c>
      <c r="D2039">
        <v>1900</v>
      </c>
      <c r="E2039">
        <v>1900</v>
      </c>
      <c r="F2039">
        <v>1900</v>
      </c>
      <c r="H2039">
        <v>1900</v>
      </c>
      <c r="I2039">
        <v>1900</v>
      </c>
      <c r="J2039">
        <v>1900</v>
      </c>
      <c r="L2039">
        <v>1900</v>
      </c>
      <c r="M2039">
        <v>1900</v>
      </c>
      <c r="N2039">
        <v>1900</v>
      </c>
      <c r="P2039">
        <v>1900</v>
      </c>
      <c r="R2039">
        <v>1900</v>
      </c>
      <c r="S2039">
        <v>1900</v>
      </c>
      <c r="T2039">
        <v>1900</v>
      </c>
    </row>
    <row r="2040" spans="1:20" x14ac:dyDescent="0.3">
      <c r="A2040" t="s">
        <v>728</v>
      </c>
      <c r="B2040">
        <v>24</v>
      </c>
      <c r="D2040">
        <v>0</v>
      </c>
      <c r="E2040">
        <v>1754</v>
      </c>
      <c r="F2040">
        <v>0</v>
      </c>
      <c r="H2040">
        <v>0</v>
      </c>
      <c r="I2040">
        <v>1732</v>
      </c>
      <c r="J2040">
        <v>0</v>
      </c>
      <c r="L2040">
        <v>1770</v>
      </c>
      <c r="M2040">
        <v>5060</v>
      </c>
      <c r="N2040">
        <v>0</v>
      </c>
      <c r="P2040">
        <v>0</v>
      </c>
      <c r="R2040">
        <v>1770</v>
      </c>
      <c r="S2040">
        <v>5045</v>
      </c>
      <c r="T2040">
        <v>0</v>
      </c>
    </row>
    <row r="2041" spans="1:20" x14ac:dyDescent="0.3">
      <c r="A2041" t="s">
        <v>50</v>
      </c>
      <c r="B2041">
        <v>24</v>
      </c>
      <c r="D2041">
        <v>0</v>
      </c>
      <c r="E2041">
        <v>1518</v>
      </c>
      <c r="F2041">
        <v>0</v>
      </c>
      <c r="H2041">
        <v>0</v>
      </c>
      <c r="I2041">
        <v>1563</v>
      </c>
      <c r="J2041">
        <v>0</v>
      </c>
      <c r="L2041">
        <v>319</v>
      </c>
      <c r="M2041">
        <v>5060</v>
      </c>
      <c r="N2041">
        <v>0</v>
      </c>
      <c r="P2041">
        <v>0</v>
      </c>
      <c r="R2041">
        <v>319</v>
      </c>
      <c r="S2041">
        <v>5045</v>
      </c>
      <c r="T2041">
        <v>0</v>
      </c>
    </row>
    <row r="2042" spans="1:20" x14ac:dyDescent="0.3">
      <c r="A2042" t="s">
        <v>729</v>
      </c>
      <c r="B2042">
        <v>24</v>
      </c>
      <c r="D2042">
        <v>1</v>
      </c>
      <c r="E2042">
        <v>1</v>
      </c>
      <c r="F2042">
        <v>1</v>
      </c>
      <c r="H2042">
        <v>1</v>
      </c>
      <c r="I2042">
        <v>1</v>
      </c>
      <c r="J2042">
        <v>1</v>
      </c>
      <c r="L2042">
        <v>1</v>
      </c>
      <c r="M2042">
        <v>1</v>
      </c>
      <c r="N2042">
        <v>1</v>
      </c>
      <c r="P2042">
        <v>1</v>
      </c>
      <c r="R2042">
        <v>1</v>
      </c>
      <c r="S2042">
        <v>1</v>
      </c>
      <c r="T2042">
        <v>1</v>
      </c>
    </row>
    <row r="2043" spans="1:20" x14ac:dyDescent="0.3">
      <c r="A2043" t="s">
        <v>51</v>
      </c>
      <c r="B2043">
        <v>24</v>
      </c>
      <c r="D2043">
        <v>0</v>
      </c>
      <c r="E2043">
        <v>9</v>
      </c>
      <c r="F2043">
        <v>0</v>
      </c>
      <c r="H2043">
        <v>0</v>
      </c>
      <c r="I2043">
        <v>18</v>
      </c>
      <c r="J2043">
        <v>0</v>
      </c>
      <c r="L2043">
        <v>0</v>
      </c>
      <c r="M2043">
        <v>10</v>
      </c>
      <c r="N2043">
        <v>0</v>
      </c>
      <c r="P2043">
        <v>0</v>
      </c>
      <c r="R2043">
        <v>0</v>
      </c>
      <c r="S2043">
        <v>16</v>
      </c>
      <c r="T2043">
        <v>0</v>
      </c>
    </row>
    <row r="2044" spans="1:20" x14ac:dyDescent="0.3">
      <c r="A2044" t="s">
        <v>53</v>
      </c>
      <c r="B2044">
        <v>24</v>
      </c>
      <c r="D2044">
        <v>48</v>
      </c>
      <c r="E2044">
        <v>37</v>
      </c>
      <c r="F2044">
        <v>35</v>
      </c>
      <c r="H2044">
        <v>44</v>
      </c>
      <c r="I2044">
        <v>41</v>
      </c>
      <c r="J2044">
        <v>60</v>
      </c>
      <c r="L2044">
        <v>35</v>
      </c>
      <c r="M2044">
        <v>1253</v>
      </c>
      <c r="N2044">
        <v>44</v>
      </c>
      <c r="P2044">
        <v>0</v>
      </c>
      <c r="R2044">
        <v>61</v>
      </c>
      <c r="S2044">
        <v>1079</v>
      </c>
      <c r="T2044">
        <v>60</v>
      </c>
    </row>
    <row r="2045" spans="1:20" x14ac:dyDescent="0.3">
      <c r="A2045" t="s">
        <v>54</v>
      </c>
      <c r="B2045">
        <v>24</v>
      </c>
      <c r="D2045">
        <v>0</v>
      </c>
      <c r="E2045">
        <v>0</v>
      </c>
      <c r="F2045">
        <v>0</v>
      </c>
      <c r="H2045">
        <v>0</v>
      </c>
      <c r="I2045">
        <v>0</v>
      </c>
      <c r="J2045">
        <v>0</v>
      </c>
      <c r="L2045">
        <v>0</v>
      </c>
      <c r="M2045">
        <v>0</v>
      </c>
      <c r="N2045">
        <v>0</v>
      </c>
      <c r="P2045">
        <v>0</v>
      </c>
      <c r="R2045">
        <v>0</v>
      </c>
      <c r="S2045">
        <v>0</v>
      </c>
      <c r="T2045">
        <v>0</v>
      </c>
    </row>
    <row r="2046" spans="1:20" x14ac:dyDescent="0.3">
      <c r="A2046" t="s">
        <v>55</v>
      </c>
      <c r="B2046">
        <v>24</v>
      </c>
      <c r="D2046">
        <v>0</v>
      </c>
      <c r="E2046">
        <v>0</v>
      </c>
      <c r="F2046">
        <v>0</v>
      </c>
      <c r="H2046">
        <v>0</v>
      </c>
      <c r="I2046">
        <v>0</v>
      </c>
      <c r="J2046">
        <v>0</v>
      </c>
      <c r="L2046">
        <v>0</v>
      </c>
      <c r="M2046">
        <v>0</v>
      </c>
      <c r="N2046">
        <v>0</v>
      </c>
      <c r="P2046">
        <v>0</v>
      </c>
      <c r="R2046">
        <v>0</v>
      </c>
      <c r="S2046">
        <v>0</v>
      </c>
      <c r="T2046">
        <v>0</v>
      </c>
    </row>
    <row r="2047" spans="1:20" x14ac:dyDescent="0.3">
      <c r="A2047" t="s">
        <v>56</v>
      </c>
      <c r="B2047">
        <v>24</v>
      </c>
      <c r="D2047">
        <v>0.92</v>
      </c>
      <c r="E2047">
        <v>0.92</v>
      </c>
      <c r="F2047">
        <v>0.92</v>
      </c>
      <c r="H2047">
        <v>0.92</v>
      </c>
      <c r="I2047">
        <v>0.92</v>
      </c>
      <c r="J2047">
        <v>0.92</v>
      </c>
      <c r="L2047">
        <v>0.92</v>
      </c>
      <c r="M2047">
        <v>0.92</v>
      </c>
      <c r="N2047">
        <v>0.92</v>
      </c>
      <c r="P2047">
        <v>0.92</v>
      </c>
      <c r="R2047">
        <v>0.92</v>
      </c>
      <c r="S2047">
        <v>0.92</v>
      </c>
      <c r="T2047">
        <v>0.92</v>
      </c>
    </row>
    <row r="2048" spans="1:20" x14ac:dyDescent="0.3">
      <c r="A2048" t="s">
        <v>57</v>
      </c>
      <c r="B2048">
        <v>24</v>
      </c>
      <c r="D2048">
        <v>100</v>
      </c>
      <c r="E2048">
        <v>100</v>
      </c>
      <c r="F2048">
        <v>100</v>
      </c>
      <c r="H2048">
        <v>100</v>
      </c>
      <c r="I2048">
        <v>100</v>
      </c>
      <c r="J2048">
        <v>100</v>
      </c>
      <c r="L2048">
        <v>100</v>
      </c>
      <c r="M2048">
        <v>100</v>
      </c>
      <c r="N2048">
        <v>100</v>
      </c>
      <c r="P2048">
        <v>100</v>
      </c>
      <c r="R2048">
        <v>100</v>
      </c>
      <c r="S2048">
        <v>100</v>
      </c>
      <c r="T2048">
        <v>100</v>
      </c>
    </row>
    <row r="2049" spans="1:20" x14ac:dyDescent="0.3">
      <c r="A2049" t="s">
        <v>58</v>
      </c>
      <c r="B2049">
        <v>24</v>
      </c>
      <c r="D2049">
        <v>2</v>
      </c>
      <c r="E2049">
        <v>2</v>
      </c>
      <c r="F2049">
        <v>2</v>
      </c>
      <c r="H2049">
        <v>2</v>
      </c>
      <c r="I2049">
        <v>2</v>
      </c>
      <c r="J2049">
        <v>2</v>
      </c>
      <c r="L2049">
        <v>2</v>
      </c>
      <c r="M2049">
        <v>2</v>
      </c>
      <c r="N2049">
        <v>2</v>
      </c>
      <c r="P2049">
        <v>2</v>
      </c>
      <c r="R2049">
        <v>2</v>
      </c>
      <c r="S2049">
        <v>2</v>
      </c>
      <c r="T2049">
        <v>2</v>
      </c>
    </row>
    <row r="2050" spans="1:20" x14ac:dyDescent="0.3">
      <c r="A2050" t="s">
        <v>59</v>
      </c>
      <c r="B2050">
        <v>24</v>
      </c>
      <c r="D2050">
        <v>0</v>
      </c>
      <c r="E2050">
        <v>0</v>
      </c>
      <c r="F2050">
        <v>0</v>
      </c>
      <c r="H2050">
        <v>0</v>
      </c>
      <c r="I2050">
        <v>0</v>
      </c>
      <c r="J2050">
        <v>0</v>
      </c>
      <c r="L2050">
        <v>0</v>
      </c>
      <c r="M2050">
        <v>0</v>
      </c>
      <c r="N2050">
        <v>0</v>
      </c>
      <c r="P2050">
        <v>0</v>
      </c>
      <c r="R2050">
        <v>0</v>
      </c>
      <c r="S2050">
        <v>0</v>
      </c>
      <c r="T2050">
        <v>0</v>
      </c>
    </row>
    <row r="2051" spans="1:20" x14ac:dyDescent="0.3">
      <c r="A2051" t="s">
        <v>730</v>
      </c>
      <c r="B2051">
        <v>24</v>
      </c>
      <c r="E2051">
        <v>0</v>
      </c>
      <c r="I2051">
        <v>0</v>
      </c>
      <c r="M2051">
        <v>0</v>
      </c>
      <c r="S2051">
        <v>0</v>
      </c>
    </row>
    <row r="2052" spans="1:20" x14ac:dyDescent="0.3">
      <c r="A2052" t="s">
        <v>679</v>
      </c>
      <c r="B2052">
        <v>24</v>
      </c>
      <c r="E2052">
        <v>527</v>
      </c>
      <c r="I2052">
        <v>551</v>
      </c>
      <c r="M2052">
        <v>1358</v>
      </c>
      <c r="S2052">
        <v>1300</v>
      </c>
    </row>
    <row r="2053" spans="1:20" x14ac:dyDescent="0.3">
      <c r="A2053" t="s">
        <v>78</v>
      </c>
      <c r="B2053">
        <v>24</v>
      </c>
      <c r="E2053">
        <v>14.4</v>
      </c>
      <c r="I2053">
        <v>15</v>
      </c>
      <c r="M2053">
        <v>23.1</v>
      </c>
      <c r="S2053">
        <v>22.2</v>
      </c>
    </row>
    <row r="2054" spans="1:20" x14ac:dyDescent="0.3">
      <c r="A2054" t="s">
        <v>731</v>
      </c>
      <c r="B2054">
        <v>24</v>
      </c>
      <c r="F2054">
        <v>0</v>
      </c>
      <c r="J2054">
        <v>0</v>
      </c>
      <c r="N2054">
        <v>0</v>
      </c>
      <c r="T2054">
        <v>0</v>
      </c>
    </row>
    <row r="2055" spans="1:20" x14ac:dyDescent="0.3">
      <c r="A2055" t="s">
        <v>732</v>
      </c>
      <c r="B2055">
        <v>24</v>
      </c>
      <c r="D2055">
        <v>0</v>
      </c>
      <c r="E2055">
        <v>0</v>
      </c>
      <c r="F2055">
        <v>1</v>
      </c>
      <c r="H2055">
        <v>0</v>
      </c>
      <c r="I2055">
        <v>0</v>
      </c>
      <c r="J2055">
        <v>1</v>
      </c>
      <c r="L2055">
        <v>0</v>
      </c>
      <c r="M2055">
        <v>0</v>
      </c>
      <c r="N2055">
        <v>1</v>
      </c>
      <c r="P2055">
        <v>3</v>
      </c>
      <c r="R2055">
        <v>0</v>
      </c>
      <c r="S2055">
        <v>0</v>
      </c>
      <c r="T2055">
        <v>1</v>
      </c>
    </row>
    <row r="2056" spans="1:20" x14ac:dyDescent="0.3">
      <c r="A2056" t="s">
        <v>733</v>
      </c>
      <c r="B2056">
        <v>24</v>
      </c>
      <c r="D2056">
        <v>0</v>
      </c>
      <c r="E2056">
        <v>0</v>
      </c>
      <c r="F2056">
        <v>0</v>
      </c>
      <c r="H2056">
        <v>0</v>
      </c>
      <c r="I2056">
        <v>0</v>
      </c>
      <c r="J2056">
        <v>0</v>
      </c>
      <c r="L2056">
        <v>0</v>
      </c>
      <c r="M2056">
        <v>0</v>
      </c>
      <c r="N2056">
        <v>0</v>
      </c>
      <c r="P2056">
        <v>0</v>
      </c>
      <c r="R2056">
        <v>0</v>
      </c>
      <c r="S2056">
        <v>0</v>
      </c>
      <c r="T2056">
        <v>0</v>
      </c>
    </row>
    <row r="2057" spans="1:20" x14ac:dyDescent="0.3">
      <c r="A2057" t="s">
        <v>52</v>
      </c>
      <c r="B2057">
        <v>24</v>
      </c>
      <c r="D2057">
        <v>1</v>
      </c>
      <c r="E2057">
        <v>1</v>
      </c>
      <c r="F2057">
        <v>1</v>
      </c>
      <c r="H2057">
        <v>1</v>
      </c>
      <c r="I2057">
        <v>1</v>
      </c>
      <c r="J2057">
        <v>1</v>
      </c>
      <c r="L2057">
        <v>1</v>
      </c>
      <c r="M2057">
        <v>1</v>
      </c>
      <c r="N2057">
        <v>1</v>
      </c>
      <c r="P2057">
        <v>1</v>
      </c>
      <c r="R2057">
        <v>1</v>
      </c>
      <c r="S2057">
        <v>1</v>
      </c>
      <c r="T2057">
        <v>1</v>
      </c>
    </row>
    <row r="2058" spans="1:20" x14ac:dyDescent="0.3">
      <c r="A2058" t="s">
        <v>734</v>
      </c>
      <c r="B2058">
        <v>24</v>
      </c>
      <c r="D2058">
        <v>15</v>
      </c>
      <c r="E2058">
        <v>60</v>
      </c>
      <c r="F2058">
        <v>9</v>
      </c>
      <c r="H2058">
        <v>15</v>
      </c>
      <c r="I2058">
        <v>60</v>
      </c>
      <c r="J2058">
        <v>9</v>
      </c>
      <c r="L2058">
        <v>15</v>
      </c>
      <c r="M2058">
        <v>60</v>
      </c>
      <c r="N2058">
        <v>9</v>
      </c>
      <c r="P2058">
        <v>9</v>
      </c>
      <c r="R2058">
        <v>15</v>
      </c>
      <c r="S2058">
        <v>60</v>
      </c>
      <c r="T2058">
        <v>9</v>
      </c>
    </row>
    <row r="2059" spans="1:20" x14ac:dyDescent="0.3">
      <c r="A2059" t="s">
        <v>43</v>
      </c>
      <c r="B2059">
        <v>24</v>
      </c>
      <c r="D2059">
        <v>20</v>
      </c>
      <c r="E2059">
        <v>100</v>
      </c>
      <c r="H2059">
        <v>20</v>
      </c>
      <c r="I2059">
        <v>100</v>
      </c>
      <c r="L2059">
        <v>20</v>
      </c>
      <c r="M2059">
        <v>100</v>
      </c>
      <c r="R2059">
        <v>20</v>
      </c>
      <c r="S2059">
        <v>100</v>
      </c>
    </row>
    <row r="2060" spans="1:20" x14ac:dyDescent="0.3">
      <c r="A2060" t="s">
        <v>44</v>
      </c>
      <c r="B2060">
        <v>24</v>
      </c>
      <c r="D2060">
        <v>0</v>
      </c>
      <c r="E2060">
        <v>0</v>
      </c>
      <c r="H2060">
        <v>0</v>
      </c>
      <c r="I2060">
        <v>0</v>
      </c>
      <c r="L2060">
        <v>0</v>
      </c>
      <c r="M2060">
        <v>0</v>
      </c>
      <c r="R2060">
        <v>0</v>
      </c>
      <c r="S2060">
        <v>0</v>
      </c>
    </row>
    <row r="2061" spans="1:20" x14ac:dyDescent="0.3">
      <c r="A2061" t="s">
        <v>47</v>
      </c>
      <c r="B2061">
        <v>24</v>
      </c>
      <c r="D2061">
        <v>2</v>
      </c>
      <c r="E2061">
        <v>2</v>
      </c>
      <c r="H2061">
        <v>2</v>
      </c>
      <c r="I2061">
        <v>2</v>
      </c>
      <c r="L2061">
        <v>1</v>
      </c>
      <c r="M2061">
        <v>1</v>
      </c>
      <c r="R2061">
        <v>1</v>
      </c>
      <c r="S2061">
        <v>1</v>
      </c>
    </row>
    <row r="2062" spans="1:20" x14ac:dyDescent="0.3">
      <c r="A2062" t="s">
        <v>735</v>
      </c>
      <c r="B2062">
        <v>24</v>
      </c>
      <c r="D2062">
        <v>0</v>
      </c>
      <c r="E2062">
        <v>0</v>
      </c>
      <c r="H2062">
        <v>0</v>
      </c>
      <c r="I2062">
        <v>0</v>
      </c>
      <c r="L2062">
        <v>0</v>
      </c>
      <c r="M2062">
        <v>0</v>
      </c>
      <c r="R2062">
        <v>0</v>
      </c>
      <c r="S2062">
        <v>0</v>
      </c>
    </row>
    <row r="2063" spans="1:20" x14ac:dyDescent="0.3">
      <c r="A2063" t="s">
        <v>736</v>
      </c>
      <c r="B2063">
        <v>24</v>
      </c>
      <c r="D2063">
        <v>0</v>
      </c>
      <c r="E2063">
        <v>0</v>
      </c>
      <c r="H2063">
        <v>0</v>
      </c>
      <c r="I2063">
        <v>0</v>
      </c>
      <c r="L2063">
        <v>0</v>
      </c>
      <c r="M2063">
        <v>0</v>
      </c>
      <c r="R2063">
        <v>0</v>
      </c>
      <c r="S2063">
        <v>0</v>
      </c>
    </row>
    <row r="2064" spans="1:20" x14ac:dyDescent="0.3">
      <c r="A2064" t="s">
        <v>737</v>
      </c>
      <c r="B2064">
        <v>24</v>
      </c>
      <c r="D2064">
        <v>0</v>
      </c>
      <c r="E2064">
        <v>0</v>
      </c>
      <c r="H2064">
        <v>0</v>
      </c>
      <c r="I2064">
        <v>0</v>
      </c>
      <c r="L2064">
        <v>0</v>
      </c>
      <c r="M2064">
        <v>0</v>
      </c>
      <c r="R2064">
        <v>0</v>
      </c>
      <c r="S2064">
        <v>0</v>
      </c>
    </row>
    <row r="2065" spans="1:20" x14ac:dyDescent="0.3">
      <c r="A2065" t="s">
        <v>738</v>
      </c>
      <c r="B2065">
        <v>24</v>
      </c>
      <c r="D2065">
        <v>0</v>
      </c>
      <c r="E2065">
        <v>0</v>
      </c>
      <c r="H2065">
        <v>0</v>
      </c>
      <c r="I2065">
        <v>0</v>
      </c>
      <c r="L2065">
        <v>0</v>
      </c>
      <c r="M2065">
        <v>0</v>
      </c>
      <c r="R2065">
        <v>0</v>
      </c>
      <c r="S2065">
        <v>0</v>
      </c>
    </row>
    <row r="2066" spans="1:20" x14ac:dyDescent="0.3">
      <c r="A2066" t="s">
        <v>739</v>
      </c>
      <c r="B2066">
        <v>24</v>
      </c>
      <c r="D2066">
        <v>1</v>
      </c>
      <c r="E2066">
        <v>2</v>
      </c>
      <c r="H2066">
        <v>1</v>
      </c>
      <c r="I2066">
        <v>2</v>
      </c>
      <c r="L2066">
        <v>1</v>
      </c>
      <c r="M2066">
        <v>2</v>
      </c>
      <c r="R2066">
        <v>1</v>
      </c>
      <c r="S2066">
        <v>2</v>
      </c>
    </row>
    <row r="2067" spans="1:20" x14ac:dyDescent="0.3">
      <c r="A2067" t="s">
        <v>740</v>
      </c>
      <c r="B2067">
        <v>24</v>
      </c>
      <c r="D2067">
        <v>0</v>
      </c>
      <c r="E2067">
        <v>0</v>
      </c>
      <c r="H2067">
        <v>0</v>
      </c>
      <c r="I2067">
        <v>0</v>
      </c>
      <c r="L2067">
        <v>0</v>
      </c>
      <c r="M2067">
        <v>0</v>
      </c>
      <c r="R2067">
        <v>0</v>
      </c>
      <c r="S2067">
        <v>0</v>
      </c>
    </row>
    <row r="2068" spans="1:20" x14ac:dyDescent="0.3">
      <c r="A2068" t="s">
        <v>741</v>
      </c>
      <c r="B2068">
        <v>24</v>
      </c>
      <c r="D2068">
        <v>20</v>
      </c>
      <c r="E2068">
        <v>6</v>
      </c>
      <c r="H2068">
        <v>20</v>
      </c>
      <c r="I2068">
        <v>6</v>
      </c>
      <c r="L2068">
        <v>20</v>
      </c>
      <c r="M2068">
        <v>6</v>
      </c>
      <c r="R2068">
        <v>20</v>
      </c>
      <c r="S2068">
        <v>6</v>
      </c>
    </row>
    <row r="2069" spans="1:20" x14ac:dyDescent="0.3">
      <c r="A2069" t="s">
        <v>742</v>
      </c>
      <c r="B2069">
        <v>24</v>
      </c>
      <c r="D2069">
        <v>3</v>
      </c>
      <c r="E2069">
        <v>3</v>
      </c>
      <c r="H2069">
        <v>3</v>
      </c>
      <c r="I2069">
        <v>3</v>
      </c>
      <c r="L2069">
        <v>3</v>
      </c>
      <c r="M2069">
        <v>3</v>
      </c>
      <c r="R2069">
        <v>3</v>
      </c>
      <c r="S2069">
        <v>3</v>
      </c>
    </row>
    <row r="2070" spans="1:20" x14ac:dyDescent="0.3">
      <c r="A2070" t="s">
        <v>743</v>
      </c>
      <c r="B2070">
        <v>24</v>
      </c>
      <c r="D2070">
        <v>0</v>
      </c>
      <c r="E2070">
        <v>0</v>
      </c>
      <c r="H2070">
        <v>0</v>
      </c>
      <c r="I2070">
        <v>0</v>
      </c>
      <c r="L2070">
        <v>0</v>
      </c>
      <c r="M2070">
        <v>0</v>
      </c>
      <c r="R2070">
        <v>0</v>
      </c>
      <c r="S2070">
        <v>0</v>
      </c>
    </row>
    <row r="2071" spans="1:20" x14ac:dyDescent="0.3">
      <c r="A2071" t="s">
        <v>744</v>
      </c>
      <c r="B2071">
        <v>24</v>
      </c>
      <c r="D2071">
        <v>0</v>
      </c>
      <c r="E2071">
        <v>0</v>
      </c>
      <c r="H2071">
        <v>0</v>
      </c>
      <c r="I2071">
        <v>0</v>
      </c>
      <c r="L2071">
        <v>0</v>
      </c>
      <c r="M2071">
        <v>0</v>
      </c>
      <c r="R2071">
        <v>0</v>
      </c>
      <c r="S2071">
        <v>0</v>
      </c>
    </row>
    <row r="2072" spans="1:20" x14ac:dyDescent="0.3">
      <c r="A2072" t="s">
        <v>745</v>
      </c>
      <c r="B2072">
        <v>24</v>
      </c>
      <c r="D2072">
        <v>0</v>
      </c>
      <c r="E2072">
        <v>0</v>
      </c>
      <c r="H2072">
        <v>0</v>
      </c>
      <c r="I2072">
        <v>0</v>
      </c>
      <c r="L2072">
        <v>0</v>
      </c>
      <c r="M2072">
        <v>0</v>
      </c>
      <c r="R2072">
        <v>0</v>
      </c>
      <c r="S2072">
        <v>0</v>
      </c>
    </row>
    <row r="2073" spans="1:20" x14ac:dyDescent="0.3">
      <c r="A2073" t="s">
        <v>746</v>
      </c>
      <c r="B2073">
        <v>24</v>
      </c>
      <c r="E2073">
        <v>94</v>
      </c>
      <c r="I2073">
        <v>94</v>
      </c>
      <c r="M2073">
        <v>94</v>
      </c>
      <c r="S2073">
        <v>94</v>
      </c>
    </row>
    <row r="2074" spans="1:20" x14ac:dyDescent="0.3">
      <c r="A2074" t="s">
        <v>747</v>
      </c>
      <c r="B2074">
        <v>24</v>
      </c>
      <c r="E2074">
        <v>6</v>
      </c>
      <c r="I2074">
        <v>6</v>
      </c>
      <c r="M2074">
        <v>6</v>
      </c>
      <c r="S2074">
        <v>6</v>
      </c>
    </row>
    <row r="2075" spans="1:20" x14ac:dyDescent="0.3">
      <c r="A2075" t="s">
        <v>748</v>
      </c>
      <c r="B2075">
        <v>24</v>
      </c>
      <c r="E2075">
        <v>3</v>
      </c>
      <c r="I2075">
        <v>3</v>
      </c>
      <c r="M2075">
        <v>3</v>
      </c>
      <c r="S2075">
        <v>3</v>
      </c>
    </row>
    <row r="2076" spans="1:20" x14ac:dyDescent="0.3">
      <c r="A2076" t="s">
        <v>749</v>
      </c>
      <c r="B2076">
        <v>24</v>
      </c>
      <c r="E2076">
        <v>0</v>
      </c>
      <c r="I2076">
        <v>0</v>
      </c>
      <c r="M2076">
        <v>0</v>
      </c>
      <c r="S2076">
        <v>0</v>
      </c>
    </row>
    <row r="2077" spans="1:20" x14ac:dyDescent="0.3">
      <c r="A2077" t="s">
        <v>750</v>
      </c>
      <c r="B2077">
        <v>24</v>
      </c>
      <c r="E2077">
        <v>0</v>
      </c>
      <c r="I2077">
        <v>0</v>
      </c>
      <c r="M2077">
        <v>0</v>
      </c>
      <c r="S2077">
        <v>0</v>
      </c>
    </row>
    <row r="2078" spans="1:20" x14ac:dyDescent="0.3">
      <c r="A2078" t="s">
        <v>405</v>
      </c>
      <c r="B2078">
        <v>24</v>
      </c>
      <c r="E2078">
        <v>0</v>
      </c>
    </row>
    <row r="2079" spans="1:20" x14ac:dyDescent="0.3">
      <c r="A2079" t="s">
        <v>751</v>
      </c>
      <c r="B2079">
        <v>24</v>
      </c>
      <c r="D2079">
        <v>0</v>
      </c>
      <c r="E2079">
        <v>130</v>
      </c>
      <c r="F2079">
        <v>0</v>
      </c>
      <c r="H2079">
        <v>0</v>
      </c>
      <c r="I2079">
        <v>158</v>
      </c>
      <c r="J2079">
        <v>0</v>
      </c>
      <c r="L2079">
        <v>38</v>
      </c>
      <c r="M2079">
        <v>1410</v>
      </c>
      <c r="N2079">
        <v>0</v>
      </c>
      <c r="P2079">
        <v>0</v>
      </c>
      <c r="R2079">
        <v>66</v>
      </c>
      <c r="S2079">
        <v>1238</v>
      </c>
      <c r="T2079">
        <v>0</v>
      </c>
    </row>
    <row r="2080" spans="1:20" x14ac:dyDescent="0.3">
      <c r="A2080" t="s">
        <v>34</v>
      </c>
      <c r="B2080">
        <v>27</v>
      </c>
      <c r="D2080">
        <v>30</v>
      </c>
      <c r="E2080">
        <v>30</v>
      </c>
      <c r="F2080">
        <v>30</v>
      </c>
      <c r="H2080">
        <v>31</v>
      </c>
      <c r="I2080">
        <v>31</v>
      </c>
      <c r="J2080">
        <v>31</v>
      </c>
      <c r="L2080">
        <v>24</v>
      </c>
      <c r="M2080">
        <v>24</v>
      </c>
      <c r="N2080">
        <v>24</v>
      </c>
      <c r="P2080">
        <v>73</v>
      </c>
      <c r="R2080">
        <v>73</v>
      </c>
      <c r="S2080">
        <v>73</v>
      </c>
      <c r="T2080">
        <v>73</v>
      </c>
    </row>
    <row r="2081" spans="1:20" x14ac:dyDescent="0.3">
      <c r="A2081" t="s">
        <v>35</v>
      </c>
      <c r="B2081">
        <v>27</v>
      </c>
      <c r="D2081">
        <v>24</v>
      </c>
      <c r="E2081">
        <v>31</v>
      </c>
      <c r="F2081">
        <v>73</v>
      </c>
      <c r="H2081">
        <v>73</v>
      </c>
      <c r="I2081">
        <v>30</v>
      </c>
      <c r="J2081">
        <v>24</v>
      </c>
      <c r="L2081">
        <v>31</v>
      </c>
      <c r="M2081">
        <v>73</v>
      </c>
      <c r="N2081">
        <v>30</v>
      </c>
      <c r="P2081">
        <v>73</v>
      </c>
      <c r="R2081">
        <v>30</v>
      </c>
      <c r="S2081">
        <v>24</v>
      </c>
      <c r="T2081">
        <v>31</v>
      </c>
    </row>
    <row r="2082" spans="1:20" x14ac:dyDescent="0.3">
      <c r="A2082" t="s">
        <v>36</v>
      </c>
      <c r="B2082">
        <v>27</v>
      </c>
      <c r="D2082">
        <v>1</v>
      </c>
      <c r="E2082">
        <v>1</v>
      </c>
      <c r="F2082">
        <v>1</v>
      </c>
      <c r="H2082">
        <v>1</v>
      </c>
      <c r="I2082">
        <v>1</v>
      </c>
      <c r="J2082">
        <v>0</v>
      </c>
      <c r="L2082">
        <v>1</v>
      </c>
      <c r="M2082">
        <v>3</v>
      </c>
      <c r="N2082">
        <v>0</v>
      </c>
      <c r="P2082">
        <v>0</v>
      </c>
      <c r="R2082">
        <v>1</v>
      </c>
      <c r="S2082">
        <v>3</v>
      </c>
      <c r="T2082">
        <v>0</v>
      </c>
    </row>
    <row r="2083" spans="1:20" x14ac:dyDescent="0.3">
      <c r="A2083" t="s">
        <v>37</v>
      </c>
      <c r="B2083">
        <v>27</v>
      </c>
      <c r="D2083">
        <v>0</v>
      </c>
      <c r="E2083">
        <v>0</v>
      </c>
      <c r="H2083">
        <v>0</v>
      </c>
      <c r="I2083">
        <v>2</v>
      </c>
      <c r="L2083">
        <v>0</v>
      </c>
      <c r="M2083">
        <v>2</v>
      </c>
      <c r="R2083">
        <v>0</v>
      </c>
      <c r="S2083">
        <v>2</v>
      </c>
    </row>
    <row r="2084" spans="1:20" x14ac:dyDescent="0.3">
      <c r="A2084" t="s">
        <v>38</v>
      </c>
      <c r="B2084">
        <v>27</v>
      </c>
      <c r="D2084">
        <v>12</v>
      </c>
      <c r="E2084">
        <v>12</v>
      </c>
      <c r="F2084">
        <v>12</v>
      </c>
      <c r="H2084">
        <v>12</v>
      </c>
      <c r="I2084">
        <v>12</v>
      </c>
      <c r="J2084">
        <v>12</v>
      </c>
      <c r="L2084">
        <v>12</v>
      </c>
      <c r="M2084">
        <v>12</v>
      </c>
      <c r="N2084">
        <v>12</v>
      </c>
      <c r="P2084">
        <v>12</v>
      </c>
      <c r="R2084">
        <v>12</v>
      </c>
      <c r="S2084">
        <v>12</v>
      </c>
      <c r="T2084">
        <v>12</v>
      </c>
    </row>
    <row r="2085" spans="1:20" x14ac:dyDescent="0.3">
      <c r="A2085" t="s">
        <v>39</v>
      </c>
      <c r="B2085">
        <v>27</v>
      </c>
      <c r="D2085">
        <v>100</v>
      </c>
      <c r="F2085">
        <v>100</v>
      </c>
      <c r="H2085">
        <v>160</v>
      </c>
      <c r="L2085">
        <v>160</v>
      </c>
      <c r="R2085">
        <v>150</v>
      </c>
    </row>
    <row r="2086" spans="1:20" x14ac:dyDescent="0.3">
      <c r="A2086" t="s">
        <v>726</v>
      </c>
      <c r="B2086">
        <v>27</v>
      </c>
      <c r="D2086">
        <v>25</v>
      </c>
      <c r="F2086">
        <v>25</v>
      </c>
      <c r="H2086">
        <v>25</v>
      </c>
      <c r="L2086">
        <v>25</v>
      </c>
      <c r="R2086">
        <v>25</v>
      </c>
    </row>
    <row r="2087" spans="1:20" x14ac:dyDescent="0.3">
      <c r="A2087" t="s">
        <v>40</v>
      </c>
      <c r="B2087">
        <v>27</v>
      </c>
      <c r="D2087">
        <v>1</v>
      </c>
      <c r="F2087">
        <v>1</v>
      </c>
      <c r="H2087">
        <v>1</v>
      </c>
      <c r="L2087">
        <v>1</v>
      </c>
      <c r="R2087">
        <v>1</v>
      </c>
    </row>
    <row r="2088" spans="1:20" x14ac:dyDescent="0.3">
      <c r="A2088" t="s">
        <v>41</v>
      </c>
      <c r="B2088">
        <v>27</v>
      </c>
    </row>
    <row r="2089" spans="1:20" x14ac:dyDescent="0.3">
      <c r="A2089" t="s">
        <v>42</v>
      </c>
      <c r="B2089">
        <v>27</v>
      </c>
      <c r="E2089">
        <v>30</v>
      </c>
      <c r="I2089">
        <v>25</v>
      </c>
      <c r="M2089">
        <v>45</v>
      </c>
      <c r="S2089">
        <v>40</v>
      </c>
    </row>
    <row r="2090" spans="1:20" x14ac:dyDescent="0.3">
      <c r="A2090" t="s">
        <v>45</v>
      </c>
      <c r="B2090">
        <v>27</v>
      </c>
      <c r="E2090">
        <v>2</v>
      </c>
      <c r="I2090">
        <v>2</v>
      </c>
      <c r="M2090">
        <v>1</v>
      </c>
      <c r="S2090">
        <v>1</v>
      </c>
    </row>
    <row r="2091" spans="1:20" x14ac:dyDescent="0.3">
      <c r="A2091" t="s">
        <v>46</v>
      </c>
      <c r="B2091">
        <v>27</v>
      </c>
      <c r="D2091">
        <v>2</v>
      </c>
      <c r="F2091">
        <v>2</v>
      </c>
      <c r="H2091">
        <v>2</v>
      </c>
      <c r="L2091">
        <v>1</v>
      </c>
      <c r="R2091">
        <v>1</v>
      </c>
    </row>
    <row r="2092" spans="1:20" x14ac:dyDescent="0.3">
      <c r="A2092" t="s">
        <v>49</v>
      </c>
      <c r="B2092">
        <v>27</v>
      </c>
      <c r="D2092">
        <v>5.8</v>
      </c>
      <c r="E2092">
        <v>5.8</v>
      </c>
      <c r="F2092">
        <v>5.8</v>
      </c>
      <c r="H2092">
        <v>5.8</v>
      </c>
      <c r="I2092">
        <v>5.8</v>
      </c>
      <c r="J2092">
        <v>4</v>
      </c>
      <c r="L2092">
        <v>5.3</v>
      </c>
      <c r="M2092">
        <v>5.3</v>
      </c>
      <c r="N2092">
        <v>4</v>
      </c>
      <c r="P2092">
        <v>4</v>
      </c>
      <c r="R2092">
        <v>5.3</v>
      </c>
      <c r="S2092">
        <v>5.3</v>
      </c>
      <c r="T2092">
        <v>4</v>
      </c>
    </row>
    <row r="2093" spans="1:20" x14ac:dyDescent="0.3">
      <c r="A2093" t="s">
        <v>727</v>
      </c>
      <c r="B2093">
        <v>27</v>
      </c>
      <c r="D2093">
        <v>0</v>
      </c>
      <c r="E2093">
        <v>0</v>
      </c>
      <c r="F2093">
        <v>0</v>
      </c>
      <c r="H2093">
        <v>0</v>
      </c>
      <c r="I2093">
        <v>0</v>
      </c>
      <c r="J2093">
        <v>0</v>
      </c>
      <c r="L2093">
        <v>0</v>
      </c>
      <c r="M2093">
        <v>0</v>
      </c>
      <c r="N2093">
        <v>0</v>
      </c>
      <c r="P2093">
        <v>0</v>
      </c>
      <c r="R2093">
        <v>0</v>
      </c>
      <c r="S2093">
        <v>0</v>
      </c>
      <c r="T2093">
        <v>0</v>
      </c>
    </row>
    <row r="2094" spans="1:20" x14ac:dyDescent="0.3">
      <c r="A2094" t="s">
        <v>48</v>
      </c>
      <c r="B2094">
        <v>27</v>
      </c>
      <c r="D2094">
        <v>1900</v>
      </c>
      <c r="E2094">
        <v>1900</v>
      </c>
      <c r="F2094">
        <v>1900</v>
      </c>
      <c r="H2094">
        <v>1900</v>
      </c>
      <c r="I2094">
        <v>1900</v>
      </c>
      <c r="J2094">
        <v>1900</v>
      </c>
      <c r="L2094">
        <v>1900</v>
      </c>
      <c r="M2094">
        <v>1900</v>
      </c>
      <c r="N2094">
        <v>1900</v>
      </c>
      <c r="P2094">
        <v>1900</v>
      </c>
      <c r="R2094">
        <v>1900</v>
      </c>
      <c r="S2094">
        <v>1900</v>
      </c>
      <c r="T2094">
        <v>1900</v>
      </c>
    </row>
    <row r="2095" spans="1:20" x14ac:dyDescent="0.3">
      <c r="A2095" t="s">
        <v>728</v>
      </c>
      <c r="B2095">
        <v>27</v>
      </c>
      <c r="D2095">
        <v>1770</v>
      </c>
      <c r="E2095">
        <v>1863</v>
      </c>
      <c r="F2095">
        <v>1583</v>
      </c>
      <c r="H2095">
        <v>1770</v>
      </c>
      <c r="I2095">
        <v>1697</v>
      </c>
      <c r="J2095">
        <v>0</v>
      </c>
      <c r="L2095">
        <v>1770</v>
      </c>
      <c r="M2095">
        <v>5070</v>
      </c>
      <c r="N2095">
        <v>0</v>
      </c>
      <c r="P2095">
        <v>0</v>
      </c>
      <c r="R2095">
        <v>1770</v>
      </c>
      <c r="S2095">
        <v>5060</v>
      </c>
      <c r="T2095">
        <v>0</v>
      </c>
    </row>
    <row r="2096" spans="1:20" x14ac:dyDescent="0.3">
      <c r="A2096" t="s">
        <v>50</v>
      </c>
      <c r="B2096">
        <v>27</v>
      </c>
      <c r="D2096">
        <v>1289</v>
      </c>
      <c r="E2096">
        <v>1863</v>
      </c>
      <c r="F2096">
        <v>1583</v>
      </c>
      <c r="H2096">
        <v>1367</v>
      </c>
      <c r="I2096">
        <v>1697</v>
      </c>
      <c r="J2096">
        <v>0</v>
      </c>
      <c r="L2096">
        <v>376</v>
      </c>
      <c r="M2096">
        <v>5070</v>
      </c>
      <c r="N2096">
        <v>0</v>
      </c>
      <c r="P2096">
        <v>0</v>
      </c>
      <c r="R2096">
        <v>328</v>
      </c>
      <c r="S2096">
        <v>5060</v>
      </c>
      <c r="T2096">
        <v>0</v>
      </c>
    </row>
    <row r="2097" spans="1:20" x14ac:dyDescent="0.3">
      <c r="A2097" t="s">
        <v>729</v>
      </c>
      <c r="B2097">
        <v>27</v>
      </c>
      <c r="D2097">
        <v>1</v>
      </c>
      <c r="E2097">
        <v>1</v>
      </c>
      <c r="F2097">
        <v>1</v>
      </c>
      <c r="H2097">
        <v>1</v>
      </c>
      <c r="I2097">
        <v>1</v>
      </c>
      <c r="J2097">
        <v>1</v>
      </c>
      <c r="L2097">
        <v>1</v>
      </c>
      <c r="M2097">
        <v>1</v>
      </c>
      <c r="N2097">
        <v>1</v>
      </c>
      <c r="P2097">
        <v>1</v>
      </c>
      <c r="R2097">
        <v>1</v>
      </c>
      <c r="S2097">
        <v>1</v>
      </c>
      <c r="T2097">
        <v>1</v>
      </c>
    </row>
    <row r="2098" spans="1:20" x14ac:dyDescent="0.3">
      <c r="A2098" t="s">
        <v>51</v>
      </c>
      <c r="B2098">
        <v>27</v>
      </c>
      <c r="D2098">
        <v>0</v>
      </c>
      <c r="E2098">
        <v>0</v>
      </c>
      <c r="F2098">
        <v>42</v>
      </c>
      <c r="H2098">
        <v>0</v>
      </c>
      <c r="I2098">
        <v>57</v>
      </c>
      <c r="J2098">
        <v>0</v>
      </c>
      <c r="L2098">
        <v>0</v>
      </c>
      <c r="M2098">
        <v>4</v>
      </c>
      <c r="N2098">
        <v>0</v>
      </c>
      <c r="P2098">
        <v>0</v>
      </c>
      <c r="R2098">
        <v>0</v>
      </c>
      <c r="S2098">
        <v>10</v>
      </c>
      <c r="T2098">
        <v>0</v>
      </c>
    </row>
    <row r="2099" spans="1:20" x14ac:dyDescent="0.3">
      <c r="A2099" t="s">
        <v>53</v>
      </c>
      <c r="B2099">
        <v>27</v>
      </c>
      <c r="D2099">
        <v>33</v>
      </c>
      <c r="E2099">
        <v>32</v>
      </c>
      <c r="F2099">
        <v>39</v>
      </c>
      <c r="H2099">
        <v>56</v>
      </c>
      <c r="I2099">
        <v>38</v>
      </c>
      <c r="J2099">
        <v>55</v>
      </c>
      <c r="L2099">
        <v>44</v>
      </c>
      <c r="M2099">
        <v>1186</v>
      </c>
      <c r="N2099">
        <v>20</v>
      </c>
      <c r="P2099">
        <v>0</v>
      </c>
      <c r="R2099">
        <v>27</v>
      </c>
      <c r="S2099">
        <v>1064</v>
      </c>
      <c r="T2099">
        <v>40</v>
      </c>
    </row>
    <row r="2100" spans="1:20" x14ac:dyDescent="0.3">
      <c r="A2100" t="s">
        <v>54</v>
      </c>
      <c r="B2100">
        <v>27</v>
      </c>
      <c r="D2100">
        <v>0</v>
      </c>
      <c r="E2100">
        <v>0</v>
      </c>
      <c r="F2100">
        <v>0</v>
      </c>
      <c r="H2100">
        <v>0</v>
      </c>
      <c r="I2100">
        <v>0</v>
      </c>
      <c r="J2100">
        <v>0</v>
      </c>
      <c r="L2100">
        <v>0</v>
      </c>
      <c r="M2100">
        <v>0</v>
      </c>
      <c r="N2100">
        <v>0</v>
      </c>
      <c r="P2100">
        <v>0</v>
      </c>
      <c r="R2100">
        <v>0</v>
      </c>
      <c r="S2100">
        <v>0</v>
      </c>
      <c r="T2100">
        <v>0</v>
      </c>
    </row>
    <row r="2101" spans="1:20" x14ac:dyDescent="0.3">
      <c r="A2101" t="s">
        <v>55</v>
      </c>
      <c r="B2101">
        <v>27</v>
      </c>
      <c r="D2101">
        <v>0</v>
      </c>
      <c r="E2101">
        <v>0</v>
      </c>
      <c r="F2101">
        <v>0</v>
      </c>
      <c r="H2101">
        <v>0</v>
      </c>
      <c r="I2101">
        <v>0</v>
      </c>
      <c r="J2101">
        <v>0</v>
      </c>
      <c r="L2101">
        <v>0</v>
      </c>
      <c r="M2101">
        <v>0</v>
      </c>
      <c r="N2101">
        <v>0</v>
      </c>
      <c r="P2101">
        <v>0</v>
      </c>
      <c r="R2101">
        <v>0</v>
      </c>
      <c r="S2101">
        <v>0</v>
      </c>
      <c r="T2101">
        <v>0</v>
      </c>
    </row>
    <row r="2102" spans="1:20" x14ac:dyDescent="0.3">
      <c r="A2102" t="s">
        <v>56</v>
      </c>
      <c r="B2102">
        <v>27</v>
      </c>
      <c r="D2102">
        <v>0.92</v>
      </c>
      <c r="E2102">
        <v>0.92</v>
      </c>
      <c r="F2102">
        <v>0.92</v>
      </c>
      <c r="H2102">
        <v>0.92</v>
      </c>
      <c r="I2102">
        <v>0.92</v>
      </c>
      <c r="J2102">
        <v>0.92</v>
      </c>
      <c r="L2102">
        <v>0.92</v>
      </c>
      <c r="M2102">
        <v>0.92</v>
      </c>
      <c r="N2102">
        <v>0.92</v>
      </c>
      <c r="P2102">
        <v>0.92</v>
      </c>
      <c r="R2102">
        <v>0.92</v>
      </c>
      <c r="S2102">
        <v>0.92</v>
      </c>
      <c r="T2102">
        <v>0.92</v>
      </c>
    </row>
    <row r="2103" spans="1:20" x14ac:dyDescent="0.3">
      <c r="A2103" t="s">
        <v>57</v>
      </c>
      <c r="B2103">
        <v>27</v>
      </c>
      <c r="D2103">
        <v>100</v>
      </c>
      <c r="E2103">
        <v>100</v>
      </c>
      <c r="F2103">
        <v>100</v>
      </c>
      <c r="H2103">
        <v>100</v>
      </c>
      <c r="I2103">
        <v>100</v>
      </c>
      <c r="J2103">
        <v>100</v>
      </c>
      <c r="L2103">
        <v>100</v>
      </c>
      <c r="M2103">
        <v>100</v>
      </c>
      <c r="N2103">
        <v>100</v>
      </c>
      <c r="P2103">
        <v>100</v>
      </c>
      <c r="R2103">
        <v>100</v>
      </c>
      <c r="S2103">
        <v>100</v>
      </c>
      <c r="T2103">
        <v>100</v>
      </c>
    </row>
    <row r="2104" spans="1:20" x14ac:dyDescent="0.3">
      <c r="A2104" t="s">
        <v>58</v>
      </c>
      <c r="B2104">
        <v>27</v>
      </c>
      <c r="D2104">
        <v>2</v>
      </c>
      <c r="E2104">
        <v>2</v>
      </c>
      <c r="F2104">
        <v>2</v>
      </c>
      <c r="H2104">
        <v>2</v>
      </c>
      <c r="I2104">
        <v>2</v>
      </c>
      <c r="J2104">
        <v>2</v>
      </c>
      <c r="L2104">
        <v>2</v>
      </c>
      <c r="M2104">
        <v>2</v>
      </c>
      <c r="N2104">
        <v>2</v>
      </c>
      <c r="P2104">
        <v>2</v>
      </c>
      <c r="R2104">
        <v>2</v>
      </c>
      <c r="S2104">
        <v>2</v>
      </c>
      <c r="T2104">
        <v>2</v>
      </c>
    </row>
    <row r="2105" spans="1:20" x14ac:dyDescent="0.3">
      <c r="A2105" t="s">
        <v>59</v>
      </c>
      <c r="B2105">
        <v>27</v>
      </c>
      <c r="D2105">
        <v>0</v>
      </c>
      <c r="E2105">
        <v>0</v>
      </c>
      <c r="F2105">
        <v>0</v>
      </c>
      <c r="H2105">
        <v>0</v>
      </c>
      <c r="I2105">
        <v>0</v>
      </c>
      <c r="J2105">
        <v>0</v>
      </c>
      <c r="L2105">
        <v>0</v>
      </c>
      <c r="M2105">
        <v>0</v>
      </c>
      <c r="N2105">
        <v>0</v>
      </c>
      <c r="P2105">
        <v>0</v>
      </c>
      <c r="R2105">
        <v>0</v>
      </c>
      <c r="S2105">
        <v>0</v>
      </c>
      <c r="T2105">
        <v>0</v>
      </c>
    </row>
    <row r="2106" spans="1:20" x14ac:dyDescent="0.3">
      <c r="A2106" t="s">
        <v>730</v>
      </c>
      <c r="B2106">
        <v>27</v>
      </c>
      <c r="E2106">
        <v>0</v>
      </c>
      <c r="I2106">
        <v>0</v>
      </c>
      <c r="M2106">
        <v>0</v>
      </c>
      <c r="S2106">
        <v>0</v>
      </c>
    </row>
    <row r="2107" spans="1:20" x14ac:dyDescent="0.3">
      <c r="A2107" t="s">
        <v>679</v>
      </c>
      <c r="B2107">
        <v>27</v>
      </c>
      <c r="E2107">
        <v>403</v>
      </c>
      <c r="I2107">
        <v>311</v>
      </c>
      <c r="M2107">
        <v>1300</v>
      </c>
      <c r="S2107">
        <v>1322</v>
      </c>
    </row>
    <row r="2108" spans="1:20" x14ac:dyDescent="0.3">
      <c r="A2108" t="s">
        <v>78</v>
      </c>
      <c r="B2108">
        <v>27</v>
      </c>
      <c r="E2108">
        <v>9.1999999999999993</v>
      </c>
      <c r="I2108">
        <v>8.5</v>
      </c>
      <c r="M2108">
        <v>19.7</v>
      </c>
      <c r="S2108">
        <v>22.5</v>
      </c>
    </row>
    <row r="2109" spans="1:20" x14ac:dyDescent="0.3">
      <c r="A2109" t="s">
        <v>731</v>
      </c>
      <c r="B2109">
        <v>27</v>
      </c>
      <c r="F2109">
        <v>0</v>
      </c>
      <c r="J2109">
        <v>0</v>
      </c>
      <c r="N2109">
        <v>0</v>
      </c>
      <c r="T2109">
        <v>0</v>
      </c>
    </row>
    <row r="2110" spans="1:20" x14ac:dyDescent="0.3">
      <c r="A2110" t="s">
        <v>732</v>
      </c>
      <c r="B2110">
        <v>27</v>
      </c>
      <c r="D2110">
        <v>0</v>
      </c>
      <c r="E2110">
        <v>0</v>
      </c>
      <c r="F2110">
        <v>1</v>
      </c>
      <c r="H2110">
        <v>0</v>
      </c>
      <c r="I2110">
        <v>0</v>
      </c>
      <c r="J2110">
        <v>1</v>
      </c>
      <c r="L2110">
        <v>0</v>
      </c>
      <c r="M2110">
        <v>0</v>
      </c>
      <c r="N2110">
        <v>1</v>
      </c>
      <c r="P2110">
        <v>3</v>
      </c>
      <c r="R2110">
        <v>0</v>
      </c>
      <c r="S2110">
        <v>0</v>
      </c>
      <c r="T2110">
        <v>1</v>
      </c>
    </row>
    <row r="2111" spans="1:20" x14ac:dyDescent="0.3">
      <c r="A2111" t="s">
        <v>733</v>
      </c>
      <c r="B2111">
        <v>27</v>
      </c>
      <c r="D2111">
        <v>0</v>
      </c>
      <c r="E2111">
        <v>0</v>
      </c>
      <c r="F2111">
        <v>0</v>
      </c>
      <c r="H2111">
        <v>0</v>
      </c>
      <c r="I2111">
        <v>0</v>
      </c>
      <c r="J2111">
        <v>0</v>
      </c>
      <c r="L2111">
        <v>0</v>
      </c>
      <c r="M2111">
        <v>0</v>
      </c>
      <c r="N2111">
        <v>0</v>
      </c>
      <c r="P2111">
        <v>0</v>
      </c>
      <c r="R2111">
        <v>0</v>
      </c>
      <c r="S2111">
        <v>0</v>
      </c>
      <c r="T2111">
        <v>0</v>
      </c>
    </row>
    <row r="2112" spans="1:20" x14ac:dyDescent="0.3">
      <c r="A2112" t="s">
        <v>52</v>
      </c>
      <c r="B2112">
        <v>27</v>
      </c>
      <c r="D2112">
        <v>1</v>
      </c>
      <c r="E2112">
        <v>1</v>
      </c>
      <c r="F2112">
        <v>1</v>
      </c>
      <c r="H2112">
        <v>1</v>
      </c>
      <c r="I2112">
        <v>1</v>
      </c>
      <c r="J2112">
        <v>1</v>
      </c>
      <c r="L2112">
        <v>1</v>
      </c>
      <c r="M2112">
        <v>1</v>
      </c>
      <c r="N2112">
        <v>1</v>
      </c>
      <c r="P2112">
        <v>1</v>
      </c>
      <c r="R2112">
        <v>1</v>
      </c>
      <c r="S2112">
        <v>1</v>
      </c>
      <c r="T2112">
        <v>1</v>
      </c>
    </row>
    <row r="2113" spans="1:20" x14ac:dyDescent="0.3">
      <c r="A2113" t="s">
        <v>734</v>
      </c>
      <c r="B2113">
        <v>27</v>
      </c>
      <c r="D2113">
        <v>15</v>
      </c>
      <c r="E2113">
        <v>60</v>
      </c>
      <c r="F2113">
        <v>9</v>
      </c>
      <c r="H2113">
        <v>15</v>
      </c>
      <c r="I2113">
        <v>60</v>
      </c>
      <c r="J2113">
        <v>9</v>
      </c>
      <c r="L2113">
        <v>15</v>
      </c>
      <c r="M2113">
        <v>60</v>
      </c>
      <c r="N2113">
        <v>9</v>
      </c>
      <c r="P2113">
        <v>9</v>
      </c>
      <c r="R2113">
        <v>15</v>
      </c>
      <c r="S2113">
        <v>60</v>
      </c>
      <c r="T2113">
        <v>9</v>
      </c>
    </row>
    <row r="2114" spans="1:20" x14ac:dyDescent="0.3">
      <c r="A2114" t="s">
        <v>43</v>
      </c>
      <c r="B2114">
        <v>27</v>
      </c>
      <c r="D2114">
        <v>20</v>
      </c>
      <c r="E2114">
        <v>100</v>
      </c>
      <c r="F2114">
        <v>20</v>
      </c>
      <c r="H2114">
        <v>20</v>
      </c>
      <c r="I2114">
        <v>100</v>
      </c>
      <c r="L2114">
        <v>20</v>
      </c>
      <c r="M2114">
        <v>100</v>
      </c>
      <c r="R2114">
        <v>20</v>
      </c>
      <c r="S2114">
        <v>100</v>
      </c>
    </row>
    <row r="2115" spans="1:20" x14ac:dyDescent="0.3">
      <c r="A2115" t="s">
        <v>44</v>
      </c>
      <c r="B2115">
        <v>27</v>
      </c>
      <c r="D2115">
        <v>0</v>
      </c>
      <c r="E2115">
        <v>0</v>
      </c>
      <c r="F2115">
        <v>0</v>
      </c>
      <c r="H2115">
        <v>0</v>
      </c>
      <c r="I2115">
        <v>0</v>
      </c>
      <c r="L2115">
        <v>0</v>
      </c>
      <c r="M2115">
        <v>0</v>
      </c>
      <c r="R2115">
        <v>0</v>
      </c>
      <c r="S2115">
        <v>0</v>
      </c>
    </row>
    <row r="2116" spans="1:20" x14ac:dyDescent="0.3">
      <c r="A2116" t="s">
        <v>47</v>
      </c>
      <c r="B2116">
        <v>27</v>
      </c>
      <c r="D2116">
        <v>2</v>
      </c>
      <c r="E2116">
        <v>2</v>
      </c>
      <c r="F2116">
        <v>2</v>
      </c>
      <c r="H2116">
        <v>2</v>
      </c>
      <c r="I2116">
        <v>2</v>
      </c>
      <c r="L2116">
        <v>1</v>
      </c>
      <c r="M2116">
        <v>1</v>
      </c>
      <c r="R2116">
        <v>1</v>
      </c>
      <c r="S2116">
        <v>1</v>
      </c>
    </row>
    <row r="2117" spans="1:20" x14ac:dyDescent="0.3">
      <c r="A2117" t="s">
        <v>735</v>
      </c>
      <c r="B2117">
        <v>27</v>
      </c>
      <c r="D2117">
        <v>0</v>
      </c>
      <c r="E2117">
        <v>0</v>
      </c>
      <c r="F2117">
        <v>0</v>
      </c>
      <c r="H2117">
        <v>0</v>
      </c>
      <c r="I2117">
        <v>0</v>
      </c>
      <c r="L2117">
        <v>0</v>
      </c>
      <c r="M2117">
        <v>0</v>
      </c>
      <c r="R2117">
        <v>0</v>
      </c>
      <c r="S2117">
        <v>0</v>
      </c>
    </row>
    <row r="2118" spans="1:20" x14ac:dyDescent="0.3">
      <c r="A2118" t="s">
        <v>736</v>
      </c>
      <c r="B2118">
        <v>27</v>
      </c>
      <c r="D2118">
        <v>0</v>
      </c>
      <c r="E2118">
        <v>0</v>
      </c>
      <c r="F2118">
        <v>0</v>
      </c>
      <c r="H2118">
        <v>0</v>
      </c>
      <c r="I2118">
        <v>0</v>
      </c>
      <c r="L2118">
        <v>0</v>
      </c>
      <c r="M2118">
        <v>0</v>
      </c>
      <c r="R2118">
        <v>0</v>
      </c>
      <c r="S2118">
        <v>0</v>
      </c>
    </row>
    <row r="2119" spans="1:20" x14ac:dyDescent="0.3">
      <c r="A2119" t="s">
        <v>737</v>
      </c>
      <c r="B2119">
        <v>27</v>
      </c>
      <c r="D2119">
        <v>0</v>
      </c>
      <c r="E2119">
        <v>0</v>
      </c>
      <c r="F2119">
        <v>0</v>
      </c>
      <c r="H2119">
        <v>0</v>
      </c>
      <c r="I2119">
        <v>0</v>
      </c>
      <c r="L2119">
        <v>0</v>
      </c>
      <c r="M2119">
        <v>0</v>
      </c>
      <c r="R2119">
        <v>0</v>
      </c>
      <c r="S2119">
        <v>0</v>
      </c>
    </row>
    <row r="2120" spans="1:20" x14ac:dyDescent="0.3">
      <c r="A2120" t="s">
        <v>738</v>
      </c>
      <c r="B2120">
        <v>27</v>
      </c>
      <c r="D2120">
        <v>0</v>
      </c>
      <c r="E2120">
        <v>0</v>
      </c>
      <c r="F2120">
        <v>0</v>
      </c>
      <c r="H2120">
        <v>0</v>
      </c>
      <c r="I2120">
        <v>0</v>
      </c>
      <c r="L2120">
        <v>0</v>
      </c>
      <c r="M2120">
        <v>0</v>
      </c>
      <c r="R2120">
        <v>0</v>
      </c>
      <c r="S2120">
        <v>0</v>
      </c>
    </row>
    <row r="2121" spans="1:20" x14ac:dyDescent="0.3">
      <c r="A2121" t="s">
        <v>739</v>
      </c>
      <c r="B2121">
        <v>27</v>
      </c>
      <c r="D2121">
        <v>1</v>
      </c>
      <c r="E2121">
        <v>2</v>
      </c>
      <c r="F2121">
        <v>1</v>
      </c>
      <c r="H2121">
        <v>1</v>
      </c>
      <c r="I2121">
        <v>2</v>
      </c>
      <c r="L2121">
        <v>1</v>
      </c>
      <c r="M2121">
        <v>2</v>
      </c>
      <c r="R2121">
        <v>1</v>
      </c>
      <c r="S2121">
        <v>2</v>
      </c>
    </row>
    <row r="2122" spans="1:20" x14ac:dyDescent="0.3">
      <c r="A2122" t="s">
        <v>740</v>
      </c>
      <c r="B2122">
        <v>27</v>
      </c>
      <c r="D2122">
        <v>0</v>
      </c>
      <c r="E2122">
        <v>0</v>
      </c>
      <c r="F2122">
        <v>0</v>
      </c>
      <c r="H2122">
        <v>0</v>
      </c>
      <c r="I2122">
        <v>0</v>
      </c>
      <c r="L2122">
        <v>0</v>
      </c>
      <c r="M2122">
        <v>0</v>
      </c>
      <c r="R2122">
        <v>0</v>
      </c>
      <c r="S2122">
        <v>0</v>
      </c>
    </row>
    <row r="2123" spans="1:20" x14ac:dyDescent="0.3">
      <c r="A2123" t="s">
        <v>741</v>
      </c>
      <c r="B2123">
        <v>27</v>
      </c>
      <c r="D2123">
        <v>20</v>
      </c>
      <c r="E2123">
        <v>6</v>
      </c>
      <c r="F2123">
        <v>20</v>
      </c>
      <c r="H2123">
        <v>20</v>
      </c>
      <c r="I2123">
        <v>6</v>
      </c>
      <c r="L2123">
        <v>20</v>
      </c>
      <c r="M2123">
        <v>6</v>
      </c>
      <c r="R2123">
        <v>20</v>
      </c>
      <c r="S2123">
        <v>6</v>
      </c>
    </row>
    <row r="2124" spans="1:20" x14ac:dyDescent="0.3">
      <c r="A2124" t="s">
        <v>742</v>
      </c>
      <c r="B2124">
        <v>27</v>
      </c>
      <c r="D2124">
        <v>3</v>
      </c>
      <c r="E2124">
        <v>3</v>
      </c>
      <c r="F2124">
        <v>3</v>
      </c>
      <c r="H2124">
        <v>3</v>
      </c>
      <c r="I2124">
        <v>3</v>
      </c>
      <c r="L2124">
        <v>3</v>
      </c>
      <c r="M2124">
        <v>3</v>
      </c>
      <c r="R2124">
        <v>3</v>
      </c>
      <c r="S2124">
        <v>3</v>
      </c>
    </row>
    <row r="2125" spans="1:20" x14ac:dyDescent="0.3">
      <c r="A2125" t="s">
        <v>743</v>
      </c>
      <c r="B2125">
        <v>27</v>
      </c>
      <c r="D2125">
        <v>0</v>
      </c>
      <c r="E2125">
        <v>0</v>
      </c>
      <c r="F2125">
        <v>0</v>
      </c>
      <c r="H2125">
        <v>0</v>
      </c>
      <c r="I2125">
        <v>0</v>
      </c>
      <c r="L2125">
        <v>0</v>
      </c>
      <c r="M2125">
        <v>0</v>
      </c>
      <c r="R2125">
        <v>0</v>
      </c>
      <c r="S2125">
        <v>0</v>
      </c>
    </row>
    <row r="2126" spans="1:20" x14ac:dyDescent="0.3">
      <c r="A2126" t="s">
        <v>744</v>
      </c>
      <c r="B2126">
        <v>27</v>
      </c>
      <c r="D2126">
        <v>0</v>
      </c>
      <c r="E2126">
        <v>0</v>
      </c>
      <c r="F2126">
        <v>0</v>
      </c>
      <c r="H2126">
        <v>0</v>
      </c>
      <c r="I2126">
        <v>0</v>
      </c>
      <c r="L2126">
        <v>0</v>
      </c>
      <c r="M2126">
        <v>0</v>
      </c>
      <c r="R2126">
        <v>0</v>
      </c>
      <c r="S2126">
        <v>0</v>
      </c>
    </row>
    <row r="2127" spans="1:20" x14ac:dyDescent="0.3">
      <c r="A2127" t="s">
        <v>745</v>
      </c>
      <c r="B2127">
        <v>27</v>
      </c>
      <c r="D2127">
        <v>0</v>
      </c>
      <c r="E2127">
        <v>0</v>
      </c>
      <c r="F2127">
        <v>0</v>
      </c>
      <c r="H2127">
        <v>0</v>
      </c>
      <c r="I2127">
        <v>0</v>
      </c>
      <c r="L2127">
        <v>0</v>
      </c>
      <c r="M2127">
        <v>0</v>
      </c>
      <c r="R2127">
        <v>0</v>
      </c>
      <c r="S2127">
        <v>0</v>
      </c>
    </row>
    <row r="2128" spans="1:20" x14ac:dyDescent="0.3">
      <c r="A2128" t="s">
        <v>746</v>
      </c>
      <c r="B2128">
        <v>27</v>
      </c>
      <c r="E2128">
        <v>94</v>
      </c>
      <c r="I2128">
        <v>94</v>
      </c>
      <c r="M2128">
        <v>94</v>
      </c>
      <c r="S2128">
        <v>94</v>
      </c>
    </row>
    <row r="2129" spans="1:20" x14ac:dyDescent="0.3">
      <c r="A2129" t="s">
        <v>747</v>
      </c>
      <c r="B2129">
        <v>27</v>
      </c>
      <c r="E2129">
        <v>6</v>
      </c>
      <c r="I2129">
        <v>6</v>
      </c>
      <c r="M2129">
        <v>6</v>
      </c>
      <c r="S2129">
        <v>6</v>
      </c>
    </row>
    <row r="2130" spans="1:20" x14ac:dyDescent="0.3">
      <c r="A2130" t="s">
        <v>748</v>
      </c>
      <c r="B2130">
        <v>27</v>
      </c>
      <c r="E2130">
        <v>3</v>
      </c>
      <c r="I2130">
        <v>3</v>
      </c>
      <c r="M2130">
        <v>3</v>
      </c>
      <c r="S2130">
        <v>3</v>
      </c>
    </row>
    <row r="2131" spans="1:20" x14ac:dyDescent="0.3">
      <c r="A2131" t="s">
        <v>749</v>
      </c>
      <c r="B2131">
        <v>27</v>
      </c>
      <c r="E2131">
        <v>0</v>
      </c>
      <c r="I2131">
        <v>0</v>
      </c>
      <c r="M2131">
        <v>0</v>
      </c>
      <c r="S2131">
        <v>0</v>
      </c>
    </row>
    <row r="2132" spans="1:20" x14ac:dyDescent="0.3">
      <c r="A2132" t="s">
        <v>750</v>
      </c>
      <c r="B2132">
        <v>27</v>
      </c>
      <c r="E2132">
        <v>0</v>
      </c>
      <c r="I2132">
        <v>0</v>
      </c>
      <c r="M2132">
        <v>0</v>
      </c>
      <c r="S2132">
        <v>0</v>
      </c>
    </row>
    <row r="2133" spans="1:20" x14ac:dyDescent="0.3">
      <c r="A2133" t="s">
        <v>405</v>
      </c>
      <c r="B2133">
        <v>27</v>
      </c>
      <c r="E2133">
        <v>0</v>
      </c>
    </row>
    <row r="2134" spans="1:20" x14ac:dyDescent="0.3">
      <c r="A2134" t="s">
        <v>751</v>
      </c>
      <c r="B2134">
        <v>27</v>
      </c>
      <c r="D2134">
        <v>36</v>
      </c>
      <c r="E2134">
        <v>35</v>
      </c>
      <c r="F2134">
        <v>42</v>
      </c>
      <c r="H2134">
        <v>61</v>
      </c>
      <c r="I2134">
        <v>101</v>
      </c>
      <c r="J2134">
        <v>0</v>
      </c>
      <c r="L2134">
        <v>48</v>
      </c>
      <c r="M2134">
        <v>1311</v>
      </c>
      <c r="N2134">
        <v>0</v>
      </c>
      <c r="P2134">
        <v>0</v>
      </c>
      <c r="R2134">
        <v>29</v>
      </c>
      <c r="S2134">
        <v>1200</v>
      </c>
      <c r="T2134">
        <v>0</v>
      </c>
    </row>
    <row r="2135" spans="1:20" x14ac:dyDescent="0.3">
      <c r="A2135" t="s">
        <v>34</v>
      </c>
      <c r="B2135">
        <v>32</v>
      </c>
      <c r="D2135">
        <v>34</v>
      </c>
      <c r="E2135">
        <v>34</v>
      </c>
      <c r="F2135">
        <v>34</v>
      </c>
      <c r="H2135">
        <v>33</v>
      </c>
      <c r="I2135">
        <v>33</v>
      </c>
      <c r="J2135">
        <v>33</v>
      </c>
      <c r="L2135">
        <v>73</v>
      </c>
      <c r="M2135">
        <v>73</v>
      </c>
      <c r="N2135">
        <v>73</v>
      </c>
      <c r="P2135">
        <v>35</v>
      </c>
      <c r="R2135">
        <v>35</v>
      </c>
      <c r="S2135">
        <v>35</v>
      </c>
      <c r="T2135">
        <v>35</v>
      </c>
    </row>
    <row r="2136" spans="1:20" x14ac:dyDescent="0.3">
      <c r="A2136" t="s">
        <v>35</v>
      </c>
      <c r="B2136">
        <v>32</v>
      </c>
      <c r="D2136">
        <v>73</v>
      </c>
      <c r="E2136">
        <v>33</v>
      </c>
      <c r="F2136">
        <v>35</v>
      </c>
      <c r="H2136">
        <v>35</v>
      </c>
      <c r="I2136">
        <v>34</v>
      </c>
      <c r="J2136">
        <v>73</v>
      </c>
      <c r="L2136">
        <v>33</v>
      </c>
      <c r="M2136">
        <v>35</v>
      </c>
      <c r="N2136">
        <v>34</v>
      </c>
      <c r="P2136">
        <v>35</v>
      </c>
      <c r="R2136">
        <v>34</v>
      </c>
      <c r="S2136">
        <v>73</v>
      </c>
      <c r="T2136">
        <v>33</v>
      </c>
    </row>
    <row r="2137" spans="1:20" x14ac:dyDescent="0.3">
      <c r="A2137" t="s">
        <v>36</v>
      </c>
      <c r="B2137">
        <v>32</v>
      </c>
      <c r="D2137">
        <v>1</v>
      </c>
      <c r="E2137">
        <v>2</v>
      </c>
      <c r="F2137">
        <v>0</v>
      </c>
      <c r="H2137">
        <v>1</v>
      </c>
      <c r="I2137">
        <v>2</v>
      </c>
      <c r="J2137">
        <v>0</v>
      </c>
      <c r="L2137">
        <v>1</v>
      </c>
      <c r="M2137">
        <v>3</v>
      </c>
      <c r="N2137">
        <v>1</v>
      </c>
      <c r="P2137">
        <v>0</v>
      </c>
      <c r="R2137">
        <v>1</v>
      </c>
      <c r="S2137">
        <v>3</v>
      </c>
      <c r="T2137">
        <v>0</v>
      </c>
    </row>
    <row r="2138" spans="1:20" x14ac:dyDescent="0.3">
      <c r="A2138" t="s">
        <v>37</v>
      </c>
      <c r="B2138">
        <v>32</v>
      </c>
      <c r="D2138">
        <v>0</v>
      </c>
      <c r="E2138">
        <v>2</v>
      </c>
      <c r="H2138">
        <v>0</v>
      </c>
      <c r="I2138">
        <v>2</v>
      </c>
      <c r="L2138">
        <v>0</v>
      </c>
      <c r="M2138">
        <v>0</v>
      </c>
      <c r="R2138">
        <v>0</v>
      </c>
      <c r="S2138">
        <v>2</v>
      </c>
    </row>
    <row r="2139" spans="1:20" x14ac:dyDescent="0.3">
      <c r="A2139" t="s">
        <v>38</v>
      </c>
      <c r="B2139">
        <v>32</v>
      </c>
      <c r="D2139">
        <v>12</v>
      </c>
      <c r="E2139">
        <v>12</v>
      </c>
      <c r="F2139">
        <v>12</v>
      </c>
      <c r="H2139">
        <v>12</v>
      </c>
      <c r="I2139">
        <v>12</v>
      </c>
      <c r="J2139">
        <v>12</v>
      </c>
      <c r="L2139">
        <v>12</v>
      </c>
      <c r="M2139">
        <v>12</v>
      </c>
      <c r="N2139">
        <v>12</v>
      </c>
      <c r="P2139">
        <v>12</v>
      </c>
      <c r="R2139">
        <v>12</v>
      </c>
      <c r="S2139">
        <v>12</v>
      </c>
      <c r="T2139">
        <v>12</v>
      </c>
    </row>
    <row r="2140" spans="1:20" x14ac:dyDescent="0.3">
      <c r="A2140" t="s">
        <v>39</v>
      </c>
      <c r="B2140">
        <v>32</v>
      </c>
      <c r="D2140">
        <v>210</v>
      </c>
      <c r="H2140">
        <v>150</v>
      </c>
      <c r="L2140">
        <v>255</v>
      </c>
      <c r="N2140">
        <v>265</v>
      </c>
      <c r="R2140">
        <v>230</v>
      </c>
    </row>
    <row r="2141" spans="1:20" x14ac:dyDescent="0.3">
      <c r="A2141" t="s">
        <v>726</v>
      </c>
      <c r="B2141">
        <v>32</v>
      </c>
      <c r="D2141">
        <v>25</v>
      </c>
      <c r="H2141">
        <v>25</v>
      </c>
      <c r="L2141">
        <v>25</v>
      </c>
      <c r="N2141">
        <v>25</v>
      </c>
      <c r="R2141">
        <v>25</v>
      </c>
    </row>
    <row r="2142" spans="1:20" x14ac:dyDescent="0.3">
      <c r="A2142" t="s">
        <v>40</v>
      </c>
      <c r="B2142">
        <v>32</v>
      </c>
      <c r="D2142">
        <v>1</v>
      </c>
      <c r="H2142">
        <v>1</v>
      </c>
      <c r="L2142">
        <v>1</v>
      </c>
      <c r="N2142">
        <v>1</v>
      </c>
      <c r="R2142">
        <v>1</v>
      </c>
    </row>
    <row r="2143" spans="1:20" x14ac:dyDescent="0.3">
      <c r="A2143" t="s">
        <v>41</v>
      </c>
      <c r="B2143">
        <v>32</v>
      </c>
    </row>
    <row r="2144" spans="1:20" x14ac:dyDescent="0.3">
      <c r="A2144" t="s">
        <v>42</v>
      </c>
      <c r="B2144">
        <v>32</v>
      </c>
      <c r="E2144">
        <v>35</v>
      </c>
      <c r="I2144">
        <v>30</v>
      </c>
      <c r="M2144">
        <v>45</v>
      </c>
      <c r="S2144">
        <v>45</v>
      </c>
    </row>
    <row r="2145" spans="1:20" x14ac:dyDescent="0.3">
      <c r="A2145" t="s">
        <v>45</v>
      </c>
      <c r="B2145">
        <v>32</v>
      </c>
      <c r="E2145">
        <v>4</v>
      </c>
      <c r="I2145">
        <v>8</v>
      </c>
      <c r="L2145">
        <v>1</v>
      </c>
      <c r="M2145">
        <v>6</v>
      </c>
      <c r="S2145">
        <v>2</v>
      </c>
    </row>
    <row r="2146" spans="1:20" x14ac:dyDescent="0.3">
      <c r="A2146" t="s">
        <v>46</v>
      </c>
      <c r="B2146">
        <v>32</v>
      </c>
      <c r="D2146">
        <v>4</v>
      </c>
      <c r="H2146">
        <v>8</v>
      </c>
      <c r="L2146">
        <v>6</v>
      </c>
      <c r="N2146">
        <v>6</v>
      </c>
      <c r="R2146">
        <v>2</v>
      </c>
    </row>
    <row r="2147" spans="1:20" x14ac:dyDescent="0.3">
      <c r="A2147" t="s">
        <v>49</v>
      </c>
      <c r="B2147">
        <v>32</v>
      </c>
      <c r="D2147">
        <v>6</v>
      </c>
      <c r="E2147">
        <v>6</v>
      </c>
      <c r="F2147">
        <v>4</v>
      </c>
      <c r="H2147">
        <v>6</v>
      </c>
      <c r="I2147">
        <v>6</v>
      </c>
      <c r="J2147">
        <v>4</v>
      </c>
      <c r="L2147">
        <v>4</v>
      </c>
      <c r="M2147">
        <v>5.3</v>
      </c>
      <c r="N2147">
        <v>5.3</v>
      </c>
      <c r="P2147">
        <v>4</v>
      </c>
      <c r="R2147">
        <v>5.3</v>
      </c>
      <c r="S2147">
        <v>5.3</v>
      </c>
      <c r="T2147">
        <v>4</v>
      </c>
    </row>
    <row r="2148" spans="1:20" x14ac:dyDescent="0.3">
      <c r="A2148" t="s">
        <v>727</v>
      </c>
      <c r="B2148">
        <v>32</v>
      </c>
      <c r="D2148">
        <v>0</v>
      </c>
      <c r="E2148">
        <v>0</v>
      </c>
      <c r="F2148">
        <v>0</v>
      </c>
      <c r="H2148">
        <v>0</v>
      </c>
      <c r="I2148">
        <v>0</v>
      </c>
      <c r="J2148">
        <v>0</v>
      </c>
      <c r="L2148">
        <v>0</v>
      </c>
      <c r="M2148">
        <v>0</v>
      </c>
      <c r="N2148">
        <v>0</v>
      </c>
      <c r="P2148">
        <v>0</v>
      </c>
      <c r="R2148">
        <v>0</v>
      </c>
      <c r="S2148">
        <v>0</v>
      </c>
      <c r="T2148">
        <v>0</v>
      </c>
    </row>
    <row r="2149" spans="1:20" x14ac:dyDescent="0.3">
      <c r="A2149" t="s">
        <v>48</v>
      </c>
      <c r="B2149">
        <v>32</v>
      </c>
      <c r="D2149">
        <v>1900</v>
      </c>
      <c r="E2149">
        <v>1900</v>
      </c>
      <c r="F2149">
        <v>1900</v>
      </c>
      <c r="H2149">
        <v>1900</v>
      </c>
      <c r="I2149">
        <v>1900</v>
      </c>
      <c r="J2149">
        <v>1900</v>
      </c>
      <c r="L2149">
        <v>1900</v>
      </c>
      <c r="M2149">
        <v>1900</v>
      </c>
      <c r="N2149">
        <v>1900</v>
      </c>
      <c r="P2149">
        <v>1900</v>
      </c>
      <c r="R2149">
        <v>1900</v>
      </c>
      <c r="S2149">
        <v>1900</v>
      </c>
      <c r="T2149">
        <v>1900</v>
      </c>
    </row>
    <row r="2150" spans="1:20" x14ac:dyDescent="0.3">
      <c r="A2150" t="s">
        <v>728</v>
      </c>
      <c r="B2150">
        <v>32</v>
      </c>
      <c r="D2150">
        <v>1770</v>
      </c>
      <c r="E2150">
        <v>3369</v>
      </c>
      <c r="F2150">
        <v>0</v>
      </c>
      <c r="H2150">
        <v>1770</v>
      </c>
      <c r="I2150">
        <v>3284</v>
      </c>
      <c r="J2150">
        <v>0</v>
      </c>
      <c r="L2150">
        <v>1770</v>
      </c>
      <c r="M2150">
        <v>5085</v>
      </c>
      <c r="N2150">
        <v>1583</v>
      </c>
      <c r="P2150">
        <v>0</v>
      </c>
      <c r="R2150">
        <v>1770</v>
      </c>
      <c r="S2150">
        <v>5050</v>
      </c>
      <c r="T2150">
        <v>0</v>
      </c>
    </row>
    <row r="2151" spans="1:20" x14ac:dyDescent="0.3">
      <c r="A2151" t="s">
        <v>50</v>
      </c>
      <c r="B2151">
        <v>32</v>
      </c>
      <c r="D2151">
        <v>1181</v>
      </c>
      <c r="E2151">
        <v>3369</v>
      </c>
      <c r="F2151">
        <v>0</v>
      </c>
      <c r="H2151">
        <v>1226</v>
      </c>
      <c r="I2151">
        <v>3284</v>
      </c>
      <c r="J2151">
        <v>0</v>
      </c>
      <c r="L2151">
        <v>358</v>
      </c>
      <c r="M2151">
        <v>5085</v>
      </c>
      <c r="N2151">
        <v>1583</v>
      </c>
      <c r="P2151">
        <v>0</v>
      </c>
      <c r="R2151">
        <v>445</v>
      </c>
      <c r="S2151">
        <v>5050</v>
      </c>
      <c r="T2151">
        <v>0</v>
      </c>
    </row>
    <row r="2152" spans="1:20" x14ac:dyDescent="0.3">
      <c r="A2152" t="s">
        <v>729</v>
      </c>
      <c r="B2152">
        <v>32</v>
      </c>
      <c r="D2152">
        <v>1</v>
      </c>
      <c r="E2152">
        <v>1</v>
      </c>
      <c r="F2152">
        <v>1</v>
      </c>
      <c r="H2152">
        <v>1</v>
      </c>
      <c r="I2152">
        <v>1</v>
      </c>
      <c r="J2152">
        <v>1</v>
      </c>
      <c r="L2152">
        <v>1</v>
      </c>
      <c r="M2152">
        <v>1</v>
      </c>
      <c r="N2152">
        <v>1</v>
      </c>
      <c r="P2152">
        <v>1</v>
      </c>
      <c r="R2152">
        <v>1</v>
      </c>
      <c r="S2152">
        <v>1</v>
      </c>
      <c r="T2152">
        <v>1</v>
      </c>
    </row>
    <row r="2153" spans="1:20" x14ac:dyDescent="0.3">
      <c r="A2153" t="s">
        <v>51</v>
      </c>
      <c r="B2153">
        <v>32</v>
      </c>
      <c r="D2153">
        <v>0</v>
      </c>
      <c r="E2153">
        <v>48</v>
      </c>
      <c r="F2153">
        <v>0</v>
      </c>
      <c r="H2153">
        <v>0</v>
      </c>
      <c r="I2153">
        <v>90</v>
      </c>
      <c r="J2153">
        <v>0</v>
      </c>
      <c r="L2153">
        <v>0</v>
      </c>
      <c r="M2153">
        <v>0</v>
      </c>
      <c r="N2153">
        <v>92</v>
      </c>
      <c r="P2153">
        <v>0</v>
      </c>
      <c r="R2153">
        <v>0</v>
      </c>
      <c r="S2153">
        <v>11</v>
      </c>
      <c r="T2153">
        <v>0</v>
      </c>
    </row>
    <row r="2154" spans="1:20" x14ac:dyDescent="0.3">
      <c r="A2154" t="s">
        <v>53</v>
      </c>
      <c r="B2154">
        <v>32</v>
      </c>
      <c r="D2154">
        <v>59</v>
      </c>
      <c r="E2154">
        <v>93</v>
      </c>
      <c r="F2154">
        <v>44</v>
      </c>
      <c r="H2154">
        <v>70</v>
      </c>
      <c r="I2154">
        <v>89</v>
      </c>
      <c r="J2154">
        <v>83</v>
      </c>
      <c r="L2154">
        <v>113</v>
      </c>
      <c r="M2154">
        <v>1041</v>
      </c>
      <c r="N2154">
        <v>85</v>
      </c>
      <c r="P2154">
        <v>0</v>
      </c>
      <c r="R2154">
        <v>51</v>
      </c>
      <c r="S2154">
        <v>998</v>
      </c>
      <c r="T2154">
        <v>52</v>
      </c>
    </row>
    <row r="2155" spans="1:20" x14ac:dyDescent="0.3">
      <c r="A2155" t="s">
        <v>54</v>
      </c>
      <c r="B2155">
        <v>32</v>
      </c>
      <c r="D2155">
        <v>0</v>
      </c>
      <c r="E2155">
        <v>0</v>
      </c>
      <c r="F2155">
        <v>0</v>
      </c>
      <c r="H2155">
        <v>0</v>
      </c>
      <c r="I2155">
        <v>0</v>
      </c>
      <c r="J2155">
        <v>0</v>
      </c>
      <c r="L2155">
        <v>0</v>
      </c>
      <c r="M2155">
        <v>0</v>
      </c>
      <c r="N2155">
        <v>0</v>
      </c>
      <c r="P2155">
        <v>0</v>
      </c>
      <c r="R2155">
        <v>0</v>
      </c>
      <c r="S2155">
        <v>0</v>
      </c>
      <c r="T2155">
        <v>0</v>
      </c>
    </row>
    <row r="2156" spans="1:20" x14ac:dyDescent="0.3">
      <c r="A2156" t="s">
        <v>55</v>
      </c>
      <c r="B2156">
        <v>32</v>
      </c>
      <c r="D2156">
        <v>0</v>
      </c>
      <c r="E2156">
        <v>0</v>
      </c>
      <c r="F2156">
        <v>0</v>
      </c>
      <c r="H2156">
        <v>0</v>
      </c>
      <c r="I2156">
        <v>0</v>
      </c>
      <c r="J2156">
        <v>0</v>
      </c>
      <c r="L2156">
        <v>0</v>
      </c>
      <c r="M2156">
        <v>0</v>
      </c>
      <c r="N2156">
        <v>0</v>
      </c>
      <c r="P2156">
        <v>0</v>
      </c>
      <c r="R2156">
        <v>0</v>
      </c>
      <c r="S2156">
        <v>0</v>
      </c>
      <c r="T2156">
        <v>0</v>
      </c>
    </row>
    <row r="2157" spans="1:20" x14ac:dyDescent="0.3">
      <c r="A2157" t="s">
        <v>56</v>
      </c>
      <c r="B2157">
        <v>32</v>
      </c>
      <c r="D2157">
        <v>0.92</v>
      </c>
      <c r="E2157">
        <v>0.92</v>
      </c>
      <c r="F2157">
        <v>0.92</v>
      </c>
      <c r="H2157">
        <v>0.92</v>
      </c>
      <c r="I2157">
        <v>0.92</v>
      </c>
      <c r="J2157">
        <v>0.92</v>
      </c>
      <c r="L2157">
        <v>0.92</v>
      </c>
      <c r="M2157">
        <v>0.92</v>
      </c>
      <c r="N2157">
        <v>0.92</v>
      </c>
      <c r="P2157">
        <v>0.92</v>
      </c>
      <c r="R2157">
        <v>0.92</v>
      </c>
      <c r="S2157">
        <v>0.92</v>
      </c>
      <c r="T2157">
        <v>0.92</v>
      </c>
    </row>
    <row r="2158" spans="1:20" x14ac:dyDescent="0.3">
      <c r="A2158" t="s">
        <v>57</v>
      </c>
      <c r="B2158">
        <v>32</v>
      </c>
      <c r="D2158">
        <v>100</v>
      </c>
      <c r="E2158">
        <v>100</v>
      </c>
      <c r="F2158">
        <v>100</v>
      </c>
      <c r="H2158">
        <v>100</v>
      </c>
      <c r="I2158">
        <v>100</v>
      </c>
      <c r="J2158">
        <v>100</v>
      </c>
      <c r="L2158">
        <v>100</v>
      </c>
      <c r="M2158">
        <v>100</v>
      </c>
      <c r="N2158">
        <v>100</v>
      </c>
      <c r="P2158">
        <v>100</v>
      </c>
      <c r="R2158">
        <v>100</v>
      </c>
      <c r="S2158">
        <v>100</v>
      </c>
      <c r="T2158">
        <v>100</v>
      </c>
    </row>
    <row r="2159" spans="1:20" x14ac:dyDescent="0.3">
      <c r="A2159" t="s">
        <v>58</v>
      </c>
      <c r="B2159">
        <v>32</v>
      </c>
      <c r="D2159">
        <v>2</v>
      </c>
      <c r="E2159">
        <v>2</v>
      </c>
      <c r="F2159">
        <v>2</v>
      </c>
      <c r="H2159">
        <v>2</v>
      </c>
      <c r="I2159">
        <v>2</v>
      </c>
      <c r="J2159">
        <v>2</v>
      </c>
      <c r="L2159">
        <v>2</v>
      </c>
      <c r="M2159">
        <v>2</v>
      </c>
      <c r="N2159">
        <v>2</v>
      </c>
      <c r="P2159">
        <v>2</v>
      </c>
      <c r="R2159">
        <v>2</v>
      </c>
      <c r="S2159">
        <v>2</v>
      </c>
      <c r="T2159">
        <v>2</v>
      </c>
    </row>
    <row r="2160" spans="1:20" x14ac:dyDescent="0.3">
      <c r="A2160" t="s">
        <v>59</v>
      </c>
      <c r="B2160">
        <v>32</v>
      </c>
      <c r="D2160">
        <v>0</v>
      </c>
      <c r="E2160">
        <v>0</v>
      </c>
      <c r="F2160">
        <v>0</v>
      </c>
      <c r="H2160">
        <v>0</v>
      </c>
      <c r="I2160">
        <v>0</v>
      </c>
      <c r="J2160">
        <v>0</v>
      </c>
      <c r="L2160">
        <v>0</v>
      </c>
      <c r="M2160">
        <v>0</v>
      </c>
      <c r="N2160">
        <v>0</v>
      </c>
      <c r="P2160">
        <v>0</v>
      </c>
      <c r="R2160">
        <v>0</v>
      </c>
      <c r="S2160">
        <v>0</v>
      </c>
      <c r="T2160">
        <v>0</v>
      </c>
    </row>
    <row r="2161" spans="1:20" x14ac:dyDescent="0.3">
      <c r="A2161" t="s">
        <v>730</v>
      </c>
      <c r="B2161">
        <v>32</v>
      </c>
      <c r="E2161">
        <v>0</v>
      </c>
      <c r="I2161">
        <v>0</v>
      </c>
      <c r="M2161">
        <v>0</v>
      </c>
      <c r="S2161">
        <v>0</v>
      </c>
    </row>
    <row r="2162" spans="1:20" x14ac:dyDescent="0.3">
      <c r="A2162" t="s">
        <v>679</v>
      </c>
      <c r="B2162">
        <v>32</v>
      </c>
      <c r="E2162">
        <v>789</v>
      </c>
      <c r="I2162">
        <v>826</v>
      </c>
      <c r="M2162">
        <v>1302</v>
      </c>
      <c r="S2162">
        <v>2677</v>
      </c>
    </row>
    <row r="2163" spans="1:20" x14ac:dyDescent="0.3">
      <c r="A2163" t="s">
        <v>78</v>
      </c>
      <c r="B2163">
        <v>32</v>
      </c>
      <c r="E2163">
        <v>15.4</v>
      </c>
      <c r="I2163">
        <v>18.8</v>
      </c>
      <c r="M2163">
        <v>19.7</v>
      </c>
      <c r="S2163">
        <v>40.6</v>
      </c>
    </row>
    <row r="2164" spans="1:20" x14ac:dyDescent="0.3">
      <c r="A2164" t="s">
        <v>731</v>
      </c>
      <c r="B2164">
        <v>32</v>
      </c>
      <c r="F2164">
        <v>0</v>
      </c>
      <c r="J2164">
        <v>0</v>
      </c>
      <c r="N2164">
        <v>0</v>
      </c>
      <c r="T2164">
        <v>0</v>
      </c>
    </row>
    <row r="2165" spans="1:20" x14ac:dyDescent="0.3">
      <c r="A2165" t="s">
        <v>732</v>
      </c>
      <c r="B2165">
        <v>32</v>
      </c>
      <c r="D2165">
        <v>0</v>
      </c>
      <c r="E2165">
        <v>0</v>
      </c>
      <c r="F2165">
        <v>1</v>
      </c>
      <c r="H2165">
        <v>0</v>
      </c>
      <c r="I2165">
        <v>0</v>
      </c>
      <c r="J2165">
        <v>1</v>
      </c>
      <c r="L2165">
        <v>0</v>
      </c>
      <c r="M2165">
        <v>0</v>
      </c>
      <c r="N2165">
        <v>1</v>
      </c>
      <c r="P2165">
        <v>3</v>
      </c>
      <c r="R2165">
        <v>0</v>
      </c>
      <c r="S2165">
        <v>0</v>
      </c>
      <c r="T2165">
        <v>1</v>
      </c>
    </row>
    <row r="2166" spans="1:20" x14ac:dyDescent="0.3">
      <c r="A2166" t="s">
        <v>733</v>
      </c>
      <c r="B2166">
        <v>32</v>
      </c>
      <c r="D2166">
        <v>0</v>
      </c>
      <c r="E2166">
        <v>0</v>
      </c>
      <c r="F2166">
        <v>0</v>
      </c>
      <c r="H2166">
        <v>0</v>
      </c>
      <c r="I2166">
        <v>0</v>
      </c>
      <c r="J2166">
        <v>0</v>
      </c>
      <c r="L2166">
        <v>0</v>
      </c>
      <c r="M2166">
        <v>0</v>
      </c>
      <c r="N2166">
        <v>0</v>
      </c>
      <c r="P2166">
        <v>0</v>
      </c>
      <c r="R2166">
        <v>0</v>
      </c>
      <c r="S2166">
        <v>0</v>
      </c>
      <c r="T2166">
        <v>0</v>
      </c>
    </row>
    <row r="2167" spans="1:20" x14ac:dyDescent="0.3">
      <c r="A2167" t="s">
        <v>52</v>
      </c>
      <c r="B2167">
        <v>32</v>
      </c>
      <c r="D2167">
        <v>1</v>
      </c>
      <c r="E2167">
        <v>1</v>
      </c>
      <c r="F2167">
        <v>1</v>
      </c>
      <c r="H2167">
        <v>1</v>
      </c>
      <c r="I2167">
        <v>1</v>
      </c>
      <c r="J2167">
        <v>1</v>
      </c>
      <c r="L2167">
        <v>1</v>
      </c>
      <c r="M2167">
        <v>1</v>
      </c>
      <c r="N2167">
        <v>1</v>
      </c>
      <c r="P2167">
        <v>1</v>
      </c>
      <c r="R2167">
        <v>1</v>
      </c>
      <c r="S2167">
        <v>1</v>
      </c>
      <c r="T2167">
        <v>1</v>
      </c>
    </row>
    <row r="2168" spans="1:20" x14ac:dyDescent="0.3">
      <c r="A2168" t="s">
        <v>734</v>
      </c>
      <c r="B2168">
        <v>32</v>
      </c>
      <c r="D2168">
        <v>15</v>
      </c>
      <c r="E2168">
        <v>60</v>
      </c>
      <c r="F2168">
        <v>9</v>
      </c>
      <c r="H2168">
        <v>15</v>
      </c>
      <c r="I2168">
        <v>60</v>
      </c>
      <c r="J2168">
        <v>9</v>
      </c>
      <c r="L2168">
        <v>15</v>
      </c>
      <c r="M2168">
        <v>60</v>
      </c>
      <c r="N2168">
        <v>9</v>
      </c>
      <c r="P2168">
        <v>9</v>
      </c>
      <c r="R2168">
        <v>15</v>
      </c>
      <c r="S2168">
        <v>60</v>
      </c>
      <c r="T2168">
        <v>9</v>
      </c>
    </row>
    <row r="2169" spans="1:20" x14ac:dyDescent="0.3">
      <c r="A2169" t="s">
        <v>43</v>
      </c>
      <c r="B2169">
        <v>32</v>
      </c>
      <c r="D2169">
        <v>20</v>
      </c>
      <c r="E2169">
        <v>100</v>
      </c>
      <c r="H2169">
        <v>20</v>
      </c>
      <c r="I2169">
        <v>100</v>
      </c>
      <c r="L2169">
        <v>20</v>
      </c>
      <c r="M2169">
        <v>100</v>
      </c>
      <c r="N2169">
        <v>20</v>
      </c>
      <c r="R2169">
        <v>20</v>
      </c>
      <c r="S2169">
        <v>100</v>
      </c>
    </row>
    <row r="2170" spans="1:20" x14ac:dyDescent="0.3">
      <c r="A2170" t="s">
        <v>44</v>
      </c>
      <c r="B2170">
        <v>32</v>
      </c>
      <c r="D2170">
        <v>0</v>
      </c>
      <c r="E2170">
        <v>0</v>
      </c>
      <c r="H2170">
        <v>0</v>
      </c>
      <c r="I2170">
        <v>0</v>
      </c>
      <c r="L2170">
        <v>0</v>
      </c>
      <c r="M2170">
        <v>0</v>
      </c>
      <c r="N2170">
        <v>0</v>
      </c>
      <c r="R2170">
        <v>0</v>
      </c>
      <c r="S2170">
        <v>0</v>
      </c>
    </row>
    <row r="2171" spans="1:20" x14ac:dyDescent="0.3">
      <c r="A2171" t="s">
        <v>47</v>
      </c>
      <c r="B2171">
        <v>32</v>
      </c>
      <c r="D2171">
        <v>4</v>
      </c>
      <c r="E2171">
        <v>4</v>
      </c>
      <c r="H2171">
        <v>8</v>
      </c>
      <c r="I2171">
        <v>8</v>
      </c>
      <c r="L2171">
        <v>1</v>
      </c>
      <c r="M2171">
        <v>6</v>
      </c>
      <c r="N2171">
        <v>6</v>
      </c>
      <c r="R2171">
        <v>2</v>
      </c>
      <c r="S2171">
        <v>2</v>
      </c>
    </row>
    <row r="2172" spans="1:20" x14ac:dyDescent="0.3">
      <c r="A2172" t="s">
        <v>735</v>
      </c>
      <c r="B2172">
        <v>32</v>
      </c>
      <c r="D2172">
        <v>0</v>
      </c>
      <c r="E2172">
        <v>0</v>
      </c>
      <c r="H2172">
        <v>0</v>
      </c>
      <c r="I2172">
        <v>0</v>
      </c>
      <c r="L2172">
        <v>0</v>
      </c>
      <c r="M2172">
        <v>0</v>
      </c>
      <c r="N2172">
        <v>0</v>
      </c>
      <c r="R2172">
        <v>0</v>
      </c>
      <c r="S2172">
        <v>0</v>
      </c>
    </row>
    <row r="2173" spans="1:20" x14ac:dyDescent="0.3">
      <c r="A2173" t="s">
        <v>736</v>
      </c>
      <c r="B2173">
        <v>32</v>
      </c>
      <c r="D2173">
        <v>0</v>
      </c>
      <c r="E2173">
        <v>0</v>
      </c>
      <c r="H2173">
        <v>0</v>
      </c>
      <c r="I2173">
        <v>0</v>
      </c>
      <c r="L2173">
        <v>0</v>
      </c>
      <c r="M2173">
        <v>0</v>
      </c>
      <c r="N2173">
        <v>0</v>
      </c>
      <c r="R2173">
        <v>0</v>
      </c>
      <c r="S2173">
        <v>0</v>
      </c>
    </row>
    <row r="2174" spans="1:20" x14ac:dyDescent="0.3">
      <c r="A2174" t="s">
        <v>737</v>
      </c>
      <c r="B2174">
        <v>32</v>
      </c>
      <c r="D2174">
        <v>0</v>
      </c>
      <c r="E2174">
        <v>0</v>
      </c>
      <c r="H2174">
        <v>0</v>
      </c>
      <c r="I2174">
        <v>0</v>
      </c>
      <c r="L2174">
        <v>0</v>
      </c>
      <c r="M2174">
        <v>0</v>
      </c>
      <c r="N2174">
        <v>0</v>
      </c>
      <c r="R2174">
        <v>0</v>
      </c>
      <c r="S2174">
        <v>0</v>
      </c>
    </row>
    <row r="2175" spans="1:20" x14ac:dyDescent="0.3">
      <c r="A2175" t="s">
        <v>738</v>
      </c>
      <c r="B2175">
        <v>32</v>
      </c>
      <c r="D2175">
        <v>0</v>
      </c>
      <c r="E2175">
        <v>0</v>
      </c>
      <c r="H2175">
        <v>0</v>
      </c>
      <c r="I2175">
        <v>0</v>
      </c>
      <c r="L2175">
        <v>0</v>
      </c>
      <c r="M2175">
        <v>0</v>
      </c>
      <c r="N2175">
        <v>0</v>
      </c>
      <c r="R2175">
        <v>0</v>
      </c>
      <c r="S2175">
        <v>0</v>
      </c>
    </row>
    <row r="2176" spans="1:20" x14ac:dyDescent="0.3">
      <c r="A2176" t="s">
        <v>739</v>
      </c>
      <c r="B2176">
        <v>32</v>
      </c>
      <c r="D2176">
        <v>1</v>
      </c>
      <c r="E2176">
        <v>2</v>
      </c>
      <c r="H2176">
        <v>1</v>
      </c>
      <c r="I2176">
        <v>2</v>
      </c>
      <c r="L2176">
        <v>1</v>
      </c>
      <c r="M2176">
        <v>2</v>
      </c>
      <c r="N2176">
        <v>1</v>
      </c>
      <c r="R2176">
        <v>1</v>
      </c>
      <c r="S2176">
        <v>2</v>
      </c>
    </row>
    <row r="2177" spans="1:20" x14ac:dyDescent="0.3">
      <c r="A2177" t="s">
        <v>740</v>
      </c>
      <c r="B2177">
        <v>32</v>
      </c>
      <c r="D2177">
        <v>0</v>
      </c>
      <c r="E2177">
        <v>0</v>
      </c>
      <c r="H2177">
        <v>0</v>
      </c>
      <c r="I2177">
        <v>0</v>
      </c>
      <c r="L2177">
        <v>0</v>
      </c>
      <c r="M2177">
        <v>0</v>
      </c>
      <c r="N2177">
        <v>0</v>
      </c>
      <c r="R2177">
        <v>0</v>
      </c>
      <c r="S2177">
        <v>0</v>
      </c>
    </row>
    <row r="2178" spans="1:20" x14ac:dyDescent="0.3">
      <c r="A2178" t="s">
        <v>741</v>
      </c>
      <c r="B2178">
        <v>32</v>
      </c>
      <c r="D2178">
        <v>20</v>
      </c>
      <c r="E2178">
        <v>6</v>
      </c>
      <c r="H2178">
        <v>20</v>
      </c>
      <c r="I2178">
        <v>6</v>
      </c>
      <c r="L2178">
        <v>20</v>
      </c>
      <c r="M2178">
        <v>6</v>
      </c>
      <c r="N2178">
        <v>20</v>
      </c>
      <c r="R2178">
        <v>20</v>
      </c>
      <c r="S2178">
        <v>6</v>
      </c>
    </row>
    <row r="2179" spans="1:20" x14ac:dyDescent="0.3">
      <c r="A2179" t="s">
        <v>742</v>
      </c>
      <c r="B2179">
        <v>32</v>
      </c>
      <c r="D2179">
        <v>3</v>
      </c>
      <c r="E2179">
        <v>3</v>
      </c>
      <c r="H2179">
        <v>3</v>
      </c>
      <c r="I2179">
        <v>3</v>
      </c>
      <c r="L2179">
        <v>3</v>
      </c>
      <c r="M2179">
        <v>3</v>
      </c>
      <c r="N2179">
        <v>3</v>
      </c>
      <c r="R2179">
        <v>3</v>
      </c>
      <c r="S2179">
        <v>3</v>
      </c>
    </row>
    <row r="2180" spans="1:20" x14ac:dyDescent="0.3">
      <c r="A2180" t="s">
        <v>743</v>
      </c>
      <c r="B2180">
        <v>32</v>
      </c>
      <c r="D2180">
        <v>0</v>
      </c>
      <c r="E2180">
        <v>0</v>
      </c>
      <c r="H2180">
        <v>0</v>
      </c>
      <c r="I2180">
        <v>0</v>
      </c>
      <c r="L2180">
        <v>0</v>
      </c>
      <c r="M2180">
        <v>0</v>
      </c>
      <c r="N2180">
        <v>0</v>
      </c>
      <c r="R2180">
        <v>0</v>
      </c>
      <c r="S2180">
        <v>0</v>
      </c>
    </row>
    <row r="2181" spans="1:20" x14ac:dyDescent="0.3">
      <c r="A2181" t="s">
        <v>744</v>
      </c>
      <c r="B2181">
        <v>32</v>
      </c>
      <c r="D2181">
        <v>0</v>
      </c>
      <c r="E2181">
        <v>0</v>
      </c>
      <c r="H2181">
        <v>0</v>
      </c>
      <c r="I2181">
        <v>0</v>
      </c>
      <c r="L2181">
        <v>0</v>
      </c>
      <c r="M2181">
        <v>0</v>
      </c>
      <c r="N2181">
        <v>0</v>
      </c>
      <c r="R2181">
        <v>0</v>
      </c>
      <c r="S2181">
        <v>0</v>
      </c>
    </row>
    <row r="2182" spans="1:20" x14ac:dyDescent="0.3">
      <c r="A2182" t="s">
        <v>745</v>
      </c>
      <c r="B2182">
        <v>32</v>
      </c>
      <c r="D2182">
        <v>0</v>
      </c>
      <c r="E2182">
        <v>0</v>
      </c>
      <c r="H2182">
        <v>0</v>
      </c>
      <c r="I2182">
        <v>0</v>
      </c>
      <c r="L2182">
        <v>0</v>
      </c>
      <c r="M2182">
        <v>0</v>
      </c>
      <c r="N2182">
        <v>0</v>
      </c>
      <c r="R2182">
        <v>0</v>
      </c>
      <c r="S2182">
        <v>0</v>
      </c>
    </row>
    <row r="2183" spans="1:20" x14ac:dyDescent="0.3">
      <c r="A2183" t="s">
        <v>746</v>
      </c>
      <c r="B2183">
        <v>32</v>
      </c>
      <c r="E2183">
        <v>94</v>
      </c>
      <c r="I2183">
        <v>94</v>
      </c>
      <c r="M2183">
        <v>94</v>
      </c>
      <c r="S2183">
        <v>94</v>
      </c>
    </row>
    <row r="2184" spans="1:20" x14ac:dyDescent="0.3">
      <c r="A2184" t="s">
        <v>747</v>
      </c>
      <c r="B2184">
        <v>32</v>
      </c>
      <c r="E2184">
        <v>6</v>
      </c>
      <c r="I2184">
        <v>6</v>
      </c>
      <c r="M2184">
        <v>6</v>
      </c>
      <c r="S2184">
        <v>6</v>
      </c>
    </row>
    <row r="2185" spans="1:20" x14ac:dyDescent="0.3">
      <c r="A2185" t="s">
        <v>748</v>
      </c>
      <c r="B2185">
        <v>32</v>
      </c>
      <c r="E2185">
        <v>3</v>
      </c>
      <c r="I2185">
        <v>3</v>
      </c>
      <c r="M2185">
        <v>3</v>
      </c>
      <c r="S2185">
        <v>3</v>
      </c>
    </row>
    <row r="2186" spans="1:20" x14ac:dyDescent="0.3">
      <c r="A2186" t="s">
        <v>749</v>
      </c>
      <c r="B2186">
        <v>32</v>
      </c>
      <c r="E2186">
        <v>0</v>
      </c>
      <c r="I2186">
        <v>0</v>
      </c>
      <c r="M2186">
        <v>0</v>
      </c>
      <c r="S2186">
        <v>0</v>
      </c>
    </row>
    <row r="2187" spans="1:20" x14ac:dyDescent="0.3">
      <c r="A2187" t="s">
        <v>750</v>
      </c>
      <c r="B2187">
        <v>32</v>
      </c>
      <c r="E2187">
        <v>0</v>
      </c>
      <c r="I2187">
        <v>0</v>
      </c>
      <c r="M2187">
        <v>0</v>
      </c>
      <c r="S2187">
        <v>0</v>
      </c>
    </row>
    <row r="2188" spans="1:20" x14ac:dyDescent="0.3">
      <c r="A2188" t="s">
        <v>405</v>
      </c>
      <c r="B2188">
        <v>32</v>
      </c>
      <c r="E2188">
        <v>0</v>
      </c>
    </row>
    <row r="2189" spans="1:20" x14ac:dyDescent="0.3">
      <c r="A2189" t="s">
        <v>751</v>
      </c>
      <c r="B2189">
        <v>32</v>
      </c>
      <c r="D2189">
        <v>64</v>
      </c>
      <c r="E2189">
        <v>149</v>
      </c>
      <c r="F2189">
        <v>0</v>
      </c>
      <c r="H2189">
        <v>76</v>
      </c>
      <c r="I2189">
        <v>187</v>
      </c>
      <c r="J2189">
        <v>0</v>
      </c>
      <c r="L2189">
        <v>123</v>
      </c>
      <c r="M2189">
        <v>1132</v>
      </c>
      <c r="N2189">
        <v>92</v>
      </c>
      <c r="P2189">
        <v>0</v>
      </c>
      <c r="R2189">
        <v>55</v>
      </c>
      <c r="S2189">
        <v>1142</v>
      </c>
      <c r="T2189">
        <v>0</v>
      </c>
    </row>
    <row r="2190" spans="1:20" x14ac:dyDescent="0.3">
      <c r="A2190" t="s">
        <v>34</v>
      </c>
      <c r="B2190">
        <v>35</v>
      </c>
      <c r="D2190">
        <v>39</v>
      </c>
      <c r="E2190">
        <v>39</v>
      </c>
      <c r="F2190">
        <v>39</v>
      </c>
      <c r="H2190">
        <v>40</v>
      </c>
      <c r="I2190">
        <v>40</v>
      </c>
      <c r="J2190">
        <v>40</v>
      </c>
      <c r="L2190">
        <v>32</v>
      </c>
      <c r="M2190">
        <v>32</v>
      </c>
      <c r="N2190">
        <v>32</v>
      </c>
      <c r="P2190">
        <v>41</v>
      </c>
      <c r="R2190">
        <v>41</v>
      </c>
      <c r="S2190">
        <v>41</v>
      </c>
      <c r="T2190">
        <v>41</v>
      </c>
    </row>
    <row r="2191" spans="1:20" x14ac:dyDescent="0.3">
      <c r="A2191" t="s">
        <v>35</v>
      </c>
      <c r="B2191">
        <v>35</v>
      </c>
      <c r="D2191">
        <v>32</v>
      </c>
      <c r="E2191">
        <v>40</v>
      </c>
      <c r="F2191">
        <v>41</v>
      </c>
      <c r="H2191">
        <v>41</v>
      </c>
      <c r="I2191">
        <v>39</v>
      </c>
      <c r="J2191">
        <v>32</v>
      </c>
      <c r="L2191">
        <v>40</v>
      </c>
      <c r="M2191">
        <v>41</v>
      </c>
      <c r="N2191">
        <v>39</v>
      </c>
      <c r="P2191">
        <v>41</v>
      </c>
      <c r="R2191">
        <v>39</v>
      </c>
      <c r="S2191">
        <v>32</v>
      </c>
      <c r="T2191">
        <v>40</v>
      </c>
    </row>
    <row r="2192" spans="1:20" x14ac:dyDescent="0.3">
      <c r="A2192" t="s">
        <v>36</v>
      </c>
      <c r="B2192">
        <v>35</v>
      </c>
      <c r="D2192">
        <v>1</v>
      </c>
      <c r="E2192">
        <v>1</v>
      </c>
      <c r="F2192">
        <v>1</v>
      </c>
      <c r="H2192">
        <v>1</v>
      </c>
      <c r="I2192">
        <v>1</v>
      </c>
      <c r="J2192">
        <v>0</v>
      </c>
      <c r="L2192">
        <v>1</v>
      </c>
      <c r="M2192">
        <v>3</v>
      </c>
      <c r="N2192">
        <v>0</v>
      </c>
      <c r="P2192">
        <v>0</v>
      </c>
      <c r="R2192">
        <v>1</v>
      </c>
      <c r="S2192">
        <v>3</v>
      </c>
      <c r="T2192">
        <v>0</v>
      </c>
    </row>
    <row r="2193" spans="1:20" x14ac:dyDescent="0.3">
      <c r="A2193" t="s">
        <v>37</v>
      </c>
      <c r="B2193">
        <v>35</v>
      </c>
      <c r="D2193">
        <v>0</v>
      </c>
      <c r="E2193">
        <v>0</v>
      </c>
      <c r="H2193">
        <v>0</v>
      </c>
      <c r="I2193">
        <v>2</v>
      </c>
      <c r="L2193">
        <v>0</v>
      </c>
      <c r="M2193">
        <v>2</v>
      </c>
      <c r="R2193">
        <v>0</v>
      </c>
      <c r="S2193">
        <v>2</v>
      </c>
    </row>
    <row r="2194" spans="1:20" x14ac:dyDescent="0.3">
      <c r="A2194" t="s">
        <v>38</v>
      </c>
      <c r="B2194">
        <v>35</v>
      </c>
      <c r="D2194">
        <v>12</v>
      </c>
      <c r="E2194">
        <v>12</v>
      </c>
      <c r="F2194">
        <v>12</v>
      </c>
      <c r="H2194">
        <v>12</v>
      </c>
      <c r="I2194">
        <v>12</v>
      </c>
      <c r="J2194">
        <v>12</v>
      </c>
      <c r="L2194">
        <v>12</v>
      </c>
      <c r="M2194">
        <v>12</v>
      </c>
      <c r="N2194">
        <v>12</v>
      </c>
      <c r="P2194">
        <v>12</v>
      </c>
      <c r="R2194">
        <v>12</v>
      </c>
      <c r="S2194">
        <v>12</v>
      </c>
      <c r="T2194">
        <v>12</v>
      </c>
    </row>
    <row r="2195" spans="1:20" x14ac:dyDescent="0.3">
      <c r="A2195" t="s">
        <v>39</v>
      </c>
      <c r="B2195">
        <v>35</v>
      </c>
      <c r="D2195">
        <v>155</v>
      </c>
      <c r="F2195">
        <v>155</v>
      </c>
      <c r="H2195">
        <v>125</v>
      </c>
      <c r="L2195">
        <v>115</v>
      </c>
      <c r="R2195">
        <v>150</v>
      </c>
    </row>
    <row r="2196" spans="1:20" x14ac:dyDescent="0.3">
      <c r="A2196" t="s">
        <v>726</v>
      </c>
      <c r="B2196">
        <v>35</v>
      </c>
      <c r="D2196">
        <v>25</v>
      </c>
      <c r="F2196">
        <v>25</v>
      </c>
      <c r="H2196">
        <v>25</v>
      </c>
      <c r="L2196">
        <v>25</v>
      </c>
      <c r="R2196">
        <v>25</v>
      </c>
    </row>
    <row r="2197" spans="1:20" x14ac:dyDescent="0.3">
      <c r="A2197" t="s">
        <v>40</v>
      </c>
      <c r="B2197">
        <v>35</v>
      </c>
      <c r="D2197">
        <v>1</v>
      </c>
      <c r="F2197">
        <v>1</v>
      </c>
      <c r="H2197">
        <v>1</v>
      </c>
      <c r="L2197">
        <v>1</v>
      </c>
      <c r="R2197">
        <v>1</v>
      </c>
    </row>
    <row r="2198" spans="1:20" x14ac:dyDescent="0.3">
      <c r="A2198" t="s">
        <v>41</v>
      </c>
      <c r="B2198">
        <v>35</v>
      </c>
    </row>
    <row r="2199" spans="1:20" x14ac:dyDescent="0.3">
      <c r="A2199" t="s">
        <v>42</v>
      </c>
      <c r="B2199">
        <v>35</v>
      </c>
      <c r="E2199">
        <v>30</v>
      </c>
      <c r="I2199">
        <v>25</v>
      </c>
      <c r="M2199">
        <v>45</v>
      </c>
      <c r="S2199">
        <v>45</v>
      </c>
    </row>
    <row r="2200" spans="1:20" x14ac:dyDescent="0.3">
      <c r="A2200" t="s">
        <v>45</v>
      </c>
      <c r="B2200">
        <v>35</v>
      </c>
      <c r="E2200">
        <v>2</v>
      </c>
      <c r="I2200">
        <v>2</v>
      </c>
      <c r="M2200">
        <v>1</v>
      </c>
      <c r="S2200">
        <v>1</v>
      </c>
    </row>
    <row r="2201" spans="1:20" x14ac:dyDescent="0.3">
      <c r="A2201" t="s">
        <v>46</v>
      </c>
      <c r="B2201">
        <v>35</v>
      </c>
      <c r="D2201">
        <v>2</v>
      </c>
      <c r="F2201">
        <v>2</v>
      </c>
      <c r="H2201">
        <v>2</v>
      </c>
      <c r="L2201">
        <v>1</v>
      </c>
      <c r="R2201">
        <v>1</v>
      </c>
    </row>
    <row r="2202" spans="1:20" x14ac:dyDescent="0.3">
      <c r="A2202" t="s">
        <v>49</v>
      </c>
      <c r="B2202">
        <v>35</v>
      </c>
      <c r="D2202">
        <v>5.6</v>
      </c>
      <c r="E2202">
        <v>5.6</v>
      </c>
      <c r="F2202">
        <v>5.6</v>
      </c>
      <c r="H2202">
        <v>5.6</v>
      </c>
      <c r="I2202">
        <v>5.6</v>
      </c>
      <c r="J2202">
        <v>4</v>
      </c>
      <c r="L2202">
        <v>5.3</v>
      </c>
      <c r="M2202">
        <v>5.3</v>
      </c>
      <c r="N2202">
        <v>4</v>
      </c>
      <c r="P2202">
        <v>4</v>
      </c>
      <c r="R2202">
        <v>5.3</v>
      </c>
      <c r="S2202">
        <v>5.3</v>
      </c>
      <c r="T2202">
        <v>4</v>
      </c>
    </row>
    <row r="2203" spans="1:20" x14ac:dyDescent="0.3">
      <c r="A2203" t="s">
        <v>727</v>
      </c>
      <c r="B2203">
        <v>35</v>
      </c>
      <c r="D2203">
        <v>0</v>
      </c>
      <c r="E2203">
        <v>0</v>
      </c>
      <c r="F2203">
        <v>0</v>
      </c>
      <c r="H2203">
        <v>0</v>
      </c>
      <c r="I2203">
        <v>0</v>
      </c>
      <c r="J2203">
        <v>0</v>
      </c>
      <c r="L2203">
        <v>0</v>
      </c>
      <c r="M2203">
        <v>0</v>
      </c>
      <c r="N2203">
        <v>0</v>
      </c>
      <c r="P2203">
        <v>0</v>
      </c>
      <c r="R2203">
        <v>0</v>
      </c>
      <c r="S2203">
        <v>0</v>
      </c>
      <c r="T2203">
        <v>0</v>
      </c>
    </row>
    <row r="2204" spans="1:20" x14ac:dyDescent="0.3">
      <c r="A2204" t="s">
        <v>48</v>
      </c>
      <c r="B2204">
        <v>35</v>
      </c>
      <c r="D2204">
        <v>1900</v>
      </c>
      <c r="E2204">
        <v>1900</v>
      </c>
      <c r="F2204">
        <v>1900</v>
      </c>
      <c r="H2204">
        <v>1900</v>
      </c>
      <c r="I2204">
        <v>1900</v>
      </c>
      <c r="J2204">
        <v>1900</v>
      </c>
      <c r="L2204">
        <v>1900</v>
      </c>
      <c r="M2204">
        <v>1900</v>
      </c>
      <c r="N2204">
        <v>1900</v>
      </c>
      <c r="P2204">
        <v>1900</v>
      </c>
      <c r="R2204">
        <v>1900</v>
      </c>
      <c r="S2204">
        <v>1900</v>
      </c>
      <c r="T2204">
        <v>1900</v>
      </c>
    </row>
    <row r="2205" spans="1:20" x14ac:dyDescent="0.3">
      <c r="A2205" t="s">
        <v>728</v>
      </c>
      <c r="B2205">
        <v>35</v>
      </c>
      <c r="D2205">
        <v>1770</v>
      </c>
      <c r="E2205">
        <v>1863</v>
      </c>
      <c r="F2205">
        <v>1583</v>
      </c>
      <c r="H2205">
        <v>1770</v>
      </c>
      <c r="I2205">
        <v>1650</v>
      </c>
      <c r="J2205">
        <v>0</v>
      </c>
      <c r="L2205">
        <v>1770</v>
      </c>
      <c r="M2205">
        <v>5060</v>
      </c>
      <c r="N2205">
        <v>0</v>
      </c>
      <c r="P2205">
        <v>0</v>
      </c>
      <c r="R2205">
        <v>1770</v>
      </c>
      <c r="S2205">
        <v>5060</v>
      </c>
      <c r="T2205">
        <v>0</v>
      </c>
    </row>
    <row r="2206" spans="1:20" x14ac:dyDescent="0.3">
      <c r="A2206" t="s">
        <v>50</v>
      </c>
      <c r="B2206">
        <v>35</v>
      </c>
      <c r="D2206">
        <v>1364</v>
      </c>
      <c r="E2206">
        <v>1863</v>
      </c>
      <c r="F2206">
        <v>1583</v>
      </c>
      <c r="H2206">
        <v>1397</v>
      </c>
      <c r="I2206">
        <v>1650</v>
      </c>
      <c r="J2206">
        <v>0</v>
      </c>
      <c r="L2206">
        <v>380</v>
      </c>
      <c r="M2206">
        <v>5060</v>
      </c>
      <c r="N2206">
        <v>0</v>
      </c>
      <c r="P2206">
        <v>0</v>
      </c>
      <c r="R2206">
        <v>361</v>
      </c>
      <c r="S2206">
        <v>5060</v>
      </c>
      <c r="T2206">
        <v>0</v>
      </c>
    </row>
    <row r="2207" spans="1:20" x14ac:dyDescent="0.3">
      <c r="A2207" t="s">
        <v>729</v>
      </c>
      <c r="B2207">
        <v>35</v>
      </c>
      <c r="D2207">
        <v>1</v>
      </c>
      <c r="E2207">
        <v>1</v>
      </c>
      <c r="F2207">
        <v>1</v>
      </c>
      <c r="H2207">
        <v>1</v>
      </c>
      <c r="I2207">
        <v>1</v>
      </c>
      <c r="J2207">
        <v>1</v>
      </c>
      <c r="L2207">
        <v>1</v>
      </c>
      <c r="M2207">
        <v>1</v>
      </c>
      <c r="N2207">
        <v>1</v>
      </c>
      <c r="P2207">
        <v>1</v>
      </c>
      <c r="R2207">
        <v>1</v>
      </c>
      <c r="S2207">
        <v>1</v>
      </c>
      <c r="T2207">
        <v>1</v>
      </c>
    </row>
    <row r="2208" spans="1:20" x14ac:dyDescent="0.3">
      <c r="A2208" t="s">
        <v>51</v>
      </c>
      <c r="B2208">
        <v>35</v>
      </c>
      <c r="D2208">
        <v>0</v>
      </c>
      <c r="E2208">
        <v>0</v>
      </c>
      <c r="F2208">
        <v>43</v>
      </c>
      <c r="H2208">
        <v>0</v>
      </c>
      <c r="I2208">
        <v>29</v>
      </c>
      <c r="J2208">
        <v>0</v>
      </c>
      <c r="L2208">
        <v>0</v>
      </c>
      <c r="M2208">
        <v>9</v>
      </c>
      <c r="N2208">
        <v>0</v>
      </c>
      <c r="P2208">
        <v>0</v>
      </c>
      <c r="R2208">
        <v>0</v>
      </c>
      <c r="S2208">
        <v>10</v>
      </c>
      <c r="T2208">
        <v>0</v>
      </c>
    </row>
    <row r="2209" spans="1:20" x14ac:dyDescent="0.3">
      <c r="A2209" t="s">
        <v>53</v>
      </c>
      <c r="B2209">
        <v>35</v>
      </c>
      <c r="D2209">
        <v>17</v>
      </c>
      <c r="E2209">
        <v>11</v>
      </c>
      <c r="F2209">
        <v>40</v>
      </c>
      <c r="H2209">
        <v>42</v>
      </c>
      <c r="I2209">
        <v>8</v>
      </c>
      <c r="J2209">
        <v>27</v>
      </c>
      <c r="L2209">
        <v>31</v>
      </c>
      <c r="M2209">
        <v>1107</v>
      </c>
      <c r="N2209">
        <v>35</v>
      </c>
      <c r="P2209">
        <v>0</v>
      </c>
      <c r="R2209">
        <v>34</v>
      </c>
      <c r="S2209">
        <v>1065</v>
      </c>
      <c r="T2209">
        <v>39</v>
      </c>
    </row>
    <row r="2210" spans="1:20" x14ac:dyDescent="0.3">
      <c r="A2210" t="s">
        <v>54</v>
      </c>
      <c r="B2210">
        <v>35</v>
      </c>
      <c r="D2210">
        <v>0</v>
      </c>
      <c r="E2210">
        <v>0</v>
      </c>
      <c r="F2210">
        <v>0</v>
      </c>
      <c r="H2210">
        <v>0</v>
      </c>
      <c r="I2210">
        <v>0</v>
      </c>
      <c r="J2210">
        <v>0</v>
      </c>
      <c r="L2210">
        <v>0</v>
      </c>
      <c r="M2210">
        <v>0</v>
      </c>
      <c r="N2210">
        <v>0</v>
      </c>
      <c r="P2210">
        <v>0</v>
      </c>
      <c r="R2210">
        <v>0</v>
      </c>
      <c r="S2210">
        <v>0</v>
      </c>
      <c r="T2210">
        <v>0</v>
      </c>
    </row>
    <row r="2211" spans="1:20" x14ac:dyDescent="0.3">
      <c r="A2211" t="s">
        <v>55</v>
      </c>
      <c r="B2211">
        <v>35</v>
      </c>
      <c r="D2211">
        <v>0</v>
      </c>
      <c r="E2211">
        <v>0</v>
      </c>
      <c r="F2211">
        <v>0</v>
      </c>
      <c r="H2211">
        <v>0</v>
      </c>
      <c r="I2211">
        <v>0</v>
      </c>
      <c r="J2211">
        <v>0</v>
      </c>
      <c r="L2211">
        <v>0</v>
      </c>
      <c r="M2211">
        <v>0</v>
      </c>
      <c r="N2211">
        <v>0</v>
      </c>
      <c r="P2211">
        <v>0</v>
      </c>
      <c r="R2211">
        <v>0</v>
      </c>
      <c r="S2211">
        <v>0</v>
      </c>
      <c r="T2211">
        <v>0</v>
      </c>
    </row>
    <row r="2212" spans="1:20" x14ac:dyDescent="0.3">
      <c r="A2212" t="s">
        <v>56</v>
      </c>
      <c r="B2212">
        <v>35</v>
      </c>
      <c r="D2212">
        <v>0.92</v>
      </c>
      <c r="E2212">
        <v>0.92</v>
      </c>
      <c r="F2212">
        <v>0.92</v>
      </c>
      <c r="H2212">
        <v>0.92</v>
      </c>
      <c r="I2212">
        <v>0.92</v>
      </c>
      <c r="J2212">
        <v>0.92</v>
      </c>
      <c r="L2212">
        <v>0.92</v>
      </c>
      <c r="M2212">
        <v>0.92</v>
      </c>
      <c r="N2212">
        <v>0.92</v>
      </c>
      <c r="P2212">
        <v>0.92</v>
      </c>
      <c r="R2212">
        <v>0.92</v>
      </c>
      <c r="S2212">
        <v>0.92</v>
      </c>
      <c r="T2212">
        <v>0.92</v>
      </c>
    </row>
    <row r="2213" spans="1:20" x14ac:dyDescent="0.3">
      <c r="A2213" t="s">
        <v>57</v>
      </c>
      <c r="B2213">
        <v>35</v>
      </c>
      <c r="D2213">
        <v>100</v>
      </c>
      <c r="E2213">
        <v>100</v>
      </c>
      <c r="F2213">
        <v>100</v>
      </c>
      <c r="H2213">
        <v>100</v>
      </c>
      <c r="I2213">
        <v>100</v>
      </c>
      <c r="J2213">
        <v>100</v>
      </c>
      <c r="L2213">
        <v>100</v>
      </c>
      <c r="M2213">
        <v>100</v>
      </c>
      <c r="N2213">
        <v>100</v>
      </c>
      <c r="P2213">
        <v>100</v>
      </c>
      <c r="R2213">
        <v>100</v>
      </c>
      <c r="S2213">
        <v>100</v>
      </c>
      <c r="T2213">
        <v>100</v>
      </c>
    </row>
    <row r="2214" spans="1:20" x14ac:dyDescent="0.3">
      <c r="A2214" t="s">
        <v>58</v>
      </c>
      <c r="B2214">
        <v>35</v>
      </c>
      <c r="D2214">
        <v>2</v>
      </c>
      <c r="E2214">
        <v>2</v>
      </c>
      <c r="F2214">
        <v>2</v>
      </c>
      <c r="H2214">
        <v>2</v>
      </c>
      <c r="I2214">
        <v>2</v>
      </c>
      <c r="J2214">
        <v>2</v>
      </c>
      <c r="L2214">
        <v>2</v>
      </c>
      <c r="M2214">
        <v>2</v>
      </c>
      <c r="N2214">
        <v>2</v>
      </c>
      <c r="P2214">
        <v>2</v>
      </c>
      <c r="R2214">
        <v>2</v>
      </c>
      <c r="S2214">
        <v>2</v>
      </c>
      <c r="T2214">
        <v>2</v>
      </c>
    </row>
    <row r="2215" spans="1:20" x14ac:dyDescent="0.3">
      <c r="A2215" t="s">
        <v>59</v>
      </c>
      <c r="B2215">
        <v>35</v>
      </c>
      <c r="D2215">
        <v>0</v>
      </c>
      <c r="E2215">
        <v>0</v>
      </c>
      <c r="F2215">
        <v>0</v>
      </c>
      <c r="H2215">
        <v>0</v>
      </c>
      <c r="I2215">
        <v>0</v>
      </c>
      <c r="J2215">
        <v>0</v>
      </c>
      <c r="L2215">
        <v>0</v>
      </c>
      <c r="M2215">
        <v>0</v>
      </c>
      <c r="N2215">
        <v>0</v>
      </c>
      <c r="P2215">
        <v>0</v>
      </c>
      <c r="R2215">
        <v>0</v>
      </c>
      <c r="S2215">
        <v>0</v>
      </c>
      <c r="T2215">
        <v>0</v>
      </c>
    </row>
    <row r="2216" spans="1:20" x14ac:dyDescent="0.3">
      <c r="A2216" t="s">
        <v>730</v>
      </c>
      <c r="B2216">
        <v>35</v>
      </c>
      <c r="E2216">
        <v>0</v>
      </c>
      <c r="I2216">
        <v>0</v>
      </c>
      <c r="M2216">
        <v>0</v>
      </c>
      <c r="S2216">
        <v>0</v>
      </c>
    </row>
    <row r="2217" spans="1:20" x14ac:dyDescent="0.3">
      <c r="A2217" t="s">
        <v>679</v>
      </c>
      <c r="B2217">
        <v>35</v>
      </c>
      <c r="E2217">
        <v>282</v>
      </c>
      <c r="I2217">
        <v>512</v>
      </c>
      <c r="M2217">
        <v>2677</v>
      </c>
      <c r="S2217">
        <v>2603</v>
      </c>
    </row>
    <row r="2218" spans="1:20" x14ac:dyDescent="0.3">
      <c r="A2218" t="s">
        <v>78</v>
      </c>
      <c r="B2218">
        <v>35</v>
      </c>
      <c r="E2218">
        <v>6.4</v>
      </c>
      <c r="I2218">
        <v>14</v>
      </c>
      <c r="M2218">
        <v>40.6</v>
      </c>
      <c r="S2218">
        <v>39.4</v>
      </c>
    </row>
    <row r="2219" spans="1:20" x14ac:dyDescent="0.3">
      <c r="A2219" t="s">
        <v>731</v>
      </c>
      <c r="B2219">
        <v>35</v>
      </c>
      <c r="F2219">
        <v>0</v>
      </c>
      <c r="J2219">
        <v>0</v>
      </c>
      <c r="N2219">
        <v>0</v>
      </c>
      <c r="T2219">
        <v>0</v>
      </c>
    </row>
    <row r="2220" spans="1:20" x14ac:dyDescent="0.3">
      <c r="A2220" t="s">
        <v>732</v>
      </c>
      <c r="B2220">
        <v>35</v>
      </c>
      <c r="D2220">
        <v>0</v>
      </c>
      <c r="E2220">
        <v>0</v>
      </c>
      <c r="F2220">
        <v>1</v>
      </c>
      <c r="H2220">
        <v>0</v>
      </c>
      <c r="I2220">
        <v>0</v>
      </c>
      <c r="J2220">
        <v>1</v>
      </c>
      <c r="L2220">
        <v>0</v>
      </c>
      <c r="M2220">
        <v>0</v>
      </c>
      <c r="N2220">
        <v>1</v>
      </c>
      <c r="P2220">
        <v>3</v>
      </c>
      <c r="R2220">
        <v>0</v>
      </c>
      <c r="S2220">
        <v>0</v>
      </c>
      <c r="T2220">
        <v>1</v>
      </c>
    </row>
    <row r="2221" spans="1:20" x14ac:dyDescent="0.3">
      <c r="A2221" t="s">
        <v>733</v>
      </c>
      <c r="B2221">
        <v>35</v>
      </c>
      <c r="D2221">
        <v>0</v>
      </c>
      <c r="E2221">
        <v>0</v>
      </c>
      <c r="F2221">
        <v>0</v>
      </c>
      <c r="H2221">
        <v>0</v>
      </c>
      <c r="I2221">
        <v>0</v>
      </c>
      <c r="J2221">
        <v>0</v>
      </c>
      <c r="L2221">
        <v>0</v>
      </c>
      <c r="M2221">
        <v>0</v>
      </c>
      <c r="N2221">
        <v>0</v>
      </c>
      <c r="P2221">
        <v>0</v>
      </c>
      <c r="R2221">
        <v>0</v>
      </c>
      <c r="S2221">
        <v>0</v>
      </c>
      <c r="T2221">
        <v>0</v>
      </c>
    </row>
    <row r="2222" spans="1:20" x14ac:dyDescent="0.3">
      <c r="A2222" t="s">
        <v>52</v>
      </c>
      <c r="B2222">
        <v>35</v>
      </c>
      <c r="D2222">
        <v>1</v>
      </c>
      <c r="E2222">
        <v>1</v>
      </c>
      <c r="F2222">
        <v>1</v>
      </c>
      <c r="H2222">
        <v>1</v>
      </c>
      <c r="I2222">
        <v>1</v>
      </c>
      <c r="J2222">
        <v>1</v>
      </c>
      <c r="L2222">
        <v>1</v>
      </c>
      <c r="M2222">
        <v>1</v>
      </c>
      <c r="N2222">
        <v>1</v>
      </c>
      <c r="P2222">
        <v>1</v>
      </c>
      <c r="R2222">
        <v>1</v>
      </c>
      <c r="S2222">
        <v>1</v>
      </c>
      <c r="T2222">
        <v>1</v>
      </c>
    </row>
    <row r="2223" spans="1:20" x14ac:dyDescent="0.3">
      <c r="A2223" t="s">
        <v>734</v>
      </c>
      <c r="B2223">
        <v>35</v>
      </c>
      <c r="D2223">
        <v>15</v>
      </c>
      <c r="E2223">
        <v>60</v>
      </c>
      <c r="F2223">
        <v>9</v>
      </c>
      <c r="H2223">
        <v>15</v>
      </c>
      <c r="I2223">
        <v>60</v>
      </c>
      <c r="J2223">
        <v>9</v>
      </c>
      <c r="L2223">
        <v>15</v>
      </c>
      <c r="M2223">
        <v>60</v>
      </c>
      <c r="N2223">
        <v>9</v>
      </c>
      <c r="P2223">
        <v>9</v>
      </c>
      <c r="R2223">
        <v>15</v>
      </c>
      <c r="S2223">
        <v>60</v>
      </c>
      <c r="T2223">
        <v>9</v>
      </c>
    </row>
    <row r="2224" spans="1:20" x14ac:dyDescent="0.3">
      <c r="A2224" t="s">
        <v>43</v>
      </c>
      <c r="B2224">
        <v>35</v>
      </c>
      <c r="D2224">
        <v>20</v>
      </c>
      <c r="E2224">
        <v>100</v>
      </c>
      <c r="F2224">
        <v>20</v>
      </c>
      <c r="H2224">
        <v>20</v>
      </c>
      <c r="I2224">
        <v>100</v>
      </c>
      <c r="L2224">
        <v>20</v>
      </c>
      <c r="M2224">
        <v>100</v>
      </c>
      <c r="R2224">
        <v>20</v>
      </c>
      <c r="S2224">
        <v>100</v>
      </c>
    </row>
    <row r="2225" spans="1:19" x14ac:dyDescent="0.3">
      <c r="A2225" t="s">
        <v>44</v>
      </c>
      <c r="B2225">
        <v>35</v>
      </c>
      <c r="D2225">
        <v>0</v>
      </c>
      <c r="E2225">
        <v>0</v>
      </c>
      <c r="F2225">
        <v>0</v>
      </c>
      <c r="H2225">
        <v>0</v>
      </c>
      <c r="I2225">
        <v>0</v>
      </c>
      <c r="L2225">
        <v>0</v>
      </c>
      <c r="M2225">
        <v>0</v>
      </c>
      <c r="R2225">
        <v>0</v>
      </c>
      <c r="S2225">
        <v>0</v>
      </c>
    </row>
    <row r="2226" spans="1:19" x14ac:dyDescent="0.3">
      <c r="A2226" t="s">
        <v>47</v>
      </c>
      <c r="B2226">
        <v>35</v>
      </c>
      <c r="D2226">
        <v>2</v>
      </c>
      <c r="E2226">
        <v>2</v>
      </c>
      <c r="F2226">
        <v>2</v>
      </c>
      <c r="H2226">
        <v>2</v>
      </c>
      <c r="I2226">
        <v>2</v>
      </c>
      <c r="L2226">
        <v>1</v>
      </c>
      <c r="M2226">
        <v>1</v>
      </c>
      <c r="R2226">
        <v>1</v>
      </c>
      <c r="S2226">
        <v>1</v>
      </c>
    </row>
    <row r="2227" spans="1:19" x14ac:dyDescent="0.3">
      <c r="A2227" t="s">
        <v>735</v>
      </c>
      <c r="B2227">
        <v>35</v>
      </c>
      <c r="D2227">
        <v>0</v>
      </c>
      <c r="E2227">
        <v>0</v>
      </c>
      <c r="F2227">
        <v>0</v>
      </c>
      <c r="H2227">
        <v>0</v>
      </c>
      <c r="I2227">
        <v>0</v>
      </c>
      <c r="L2227">
        <v>0</v>
      </c>
      <c r="M2227">
        <v>0</v>
      </c>
      <c r="R2227">
        <v>0</v>
      </c>
      <c r="S2227">
        <v>0</v>
      </c>
    </row>
    <row r="2228" spans="1:19" x14ac:dyDescent="0.3">
      <c r="A2228" t="s">
        <v>736</v>
      </c>
      <c r="B2228">
        <v>35</v>
      </c>
      <c r="D2228">
        <v>0</v>
      </c>
      <c r="E2228">
        <v>0</v>
      </c>
      <c r="F2228">
        <v>0</v>
      </c>
      <c r="H2228">
        <v>0</v>
      </c>
      <c r="I2228">
        <v>0</v>
      </c>
      <c r="L2228">
        <v>0</v>
      </c>
      <c r="M2228">
        <v>0</v>
      </c>
      <c r="R2228">
        <v>0</v>
      </c>
      <c r="S2228">
        <v>0</v>
      </c>
    </row>
    <row r="2229" spans="1:19" x14ac:dyDescent="0.3">
      <c r="A2229" t="s">
        <v>737</v>
      </c>
      <c r="B2229">
        <v>35</v>
      </c>
      <c r="D2229">
        <v>0</v>
      </c>
      <c r="E2229">
        <v>0</v>
      </c>
      <c r="F2229">
        <v>0</v>
      </c>
      <c r="H2229">
        <v>0</v>
      </c>
      <c r="I2229">
        <v>0</v>
      </c>
      <c r="L2229">
        <v>0</v>
      </c>
      <c r="M2229">
        <v>0</v>
      </c>
      <c r="R2229">
        <v>0</v>
      </c>
      <c r="S2229">
        <v>0</v>
      </c>
    </row>
    <row r="2230" spans="1:19" x14ac:dyDescent="0.3">
      <c r="A2230" t="s">
        <v>738</v>
      </c>
      <c r="B2230">
        <v>35</v>
      </c>
      <c r="D2230">
        <v>0</v>
      </c>
      <c r="E2230">
        <v>0</v>
      </c>
      <c r="F2230">
        <v>0</v>
      </c>
      <c r="H2230">
        <v>0</v>
      </c>
      <c r="I2230">
        <v>0</v>
      </c>
      <c r="L2230">
        <v>0</v>
      </c>
      <c r="M2230">
        <v>0</v>
      </c>
      <c r="R2230">
        <v>0</v>
      </c>
      <c r="S2230">
        <v>0</v>
      </c>
    </row>
    <row r="2231" spans="1:19" x14ac:dyDescent="0.3">
      <c r="A2231" t="s">
        <v>739</v>
      </c>
      <c r="B2231">
        <v>35</v>
      </c>
      <c r="D2231">
        <v>1</v>
      </c>
      <c r="E2231">
        <v>2</v>
      </c>
      <c r="F2231">
        <v>1</v>
      </c>
      <c r="H2231">
        <v>1</v>
      </c>
      <c r="I2231">
        <v>2</v>
      </c>
      <c r="L2231">
        <v>1</v>
      </c>
      <c r="M2231">
        <v>2</v>
      </c>
      <c r="R2231">
        <v>1</v>
      </c>
      <c r="S2231">
        <v>2</v>
      </c>
    </row>
    <row r="2232" spans="1:19" x14ac:dyDescent="0.3">
      <c r="A2232" t="s">
        <v>740</v>
      </c>
      <c r="B2232">
        <v>35</v>
      </c>
      <c r="D2232">
        <v>0</v>
      </c>
      <c r="E2232">
        <v>0</v>
      </c>
      <c r="F2232">
        <v>0</v>
      </c>
      <c r="H2232">
        <v>0</v>
      </c>
      <c r="I2232">
        <v>0</v>
      </c>
      <c r="L2232">
        <v>0</v>
      </c>
      <c r="M2232">
        <v>0</v>
      </c>
      <c r="R2232">
        <v>0</v>
      </c>
      <c r="S2232">
        <v>0</v>
      </c>
    </row>
    <row r="2233" spans="1:19" x14ac:dyDescent="0.3">
      <c r="A2233" t="s">
        <v>741</v>
      </c>
      <c r="B2233">
        <v>35</v>
      </c>
      <c r="D2233">
        <v>20</v>
      </c>
      <c r="E2233">
        <v>6</v>
      </c>
      <c r="F2233">
        <v>20</v>
      </c>
      <c r="H2233">
        <v>20</v>
      </c>
      <c r="I2233">
        <v>6</v>
      </c>
      <c r="L2233">
        <v>20</v>
      </c>
      <c r="M2233">
        <v>6</v>
      </c>
      <c r="R2233">
        <v>20</v>
      </c>
      <c r="S2233">
        <v>6</v>
      </c>
    </row>
    <row r="2234" spans="1:19" x14ac:dyDescent="0.3">
      <c r="A2234" t="s">
        <v>742</v>
      </c>
      <c r="B2234">
        <v>35</v>
      </c>
      <c r="D2234">
        <v>3</v>
      </c>
      <c r="E2234">
        <v>3</v>
      </c>
      <c r="F2234">
        <v>3</v>
      </c>
      <c r="H2234">
        <v>3</v>
      </c>
      <c r="I2234">
        <v>3</v>
      </c>
      <c r="L2234">
        <v>3</v>
      </c>
      <c r="M2234">
        <v>3</v>
      </c>
      <c r="R2234">
        <v>3</v>
      </c>
      <c r="S2234">
        <v>3</v>
      </c>
    </row>
    <row r="2235" spans="1:19" x14ac:dyDescent="0.3">
      <c r="A2235" t="s">
        <v>743</v>
      </c>
      <c r="B2235">
        <v>35</v>
      </c>
      <c r="D2235">
        <v>0</v>
      </c>
      <c r="E2235">
        <v>0</v>
      </c>
      <c r="F2235">
        <v>0</v>
      </c>
      <c r="H2235">
        <v>0</v>
      </c>
      <c r="I2235">
        <v>0</v>
      </c>
      <c r="L2235">
        <v>0</v>
      </c>
      <c r="M2235">
        <v>0</v>
      </c>
      <c r="R2235">
        <v>0</v>
      </c>
      <c r="S2235">
        <v>0</v>
      </c>
    </row>
    <row r="2236" spans="1:19" x14ac:dyDescent="0.3">
      <c r="A2236" t="s">
        <v>744</v>
      </c>
      <c r="B2236">
        <v>35</v>
      </c>
      <c r="D2236">
        <v>0</v>
      </c>
      <c r="E2236">
        <v>0</v>
      </c>
      <c r="F2236">
        <v>0</v>
      </c>
      <c r="H2236">
        <v>0</v>
      </c>
      <c r="I2236">
        <v>0</v>
      </c>
      <c r="L2236">
        <v>0</v>
      </c>
      <c r="M2236">
        <v>0</v>
      </c>
      <c r="R2236">
        <v>0</v>
      </c>
      <c r="S2236">
        <v>0</v>
      </c>
    </row>
    <row r="2237" spans="1:19" x14ac:dyDescent="0.3">
      <c r="A2237" t="s">
        <v>745</v>
      </c>
      <c r="B2237">
        <v>35</v>
      </c>
      <c r="D2237">
        <v>0</v>
      </c>
      <c r="E2237">
        <v>0</v>
      </c>
      <c r="F2237">
        <v>0</v>
      </c>
      <c r="H2237">
        <v>0</v>
      </c>
      <c r="I2237">
        <v>0</v>
      </c>
      <c r="L2237">
        <v>0</v>
      </c>
      <c r="M2237">
        <v>0</v>
      </c>
      <c r="R2237">
        <v>0</v>
      </c>
      <c r="S2237">
        <v>0</v>
      </c>
    </row>
    <row r="2238" spans="1:19" x14ac:dyDescent="0.3">
      <c r="A2238" t="s">
        <v>746</v>
      </c>
      <c r="B2238">
        <v>35</v>
      </c>
      <c r="E2238">
        <v>94</v>
      </c>
      <c r="I2238">
        <v>94</v>
      </c>
      <c r="M2238">
        <v>94</v>
      </c>
      <c r="S2238">
        <v>94</v>
      </c>
    </row>
    <row r="2239" spans="1:19" x14ac:dyDescent="0.3">
      <c r="A2239" t="s">
        <v>747</v>
      </c>
      <c r="B2239">
        <v>35</v>
      </c>
      <c r="E2239">
        <v>6</v>
      </c>
      <c r="I2239">
        <v>6</v>
      </c>
      <c r="M2239">
        <v>6</v>
      </c>
      <c r="S2239">
        <v>6</v>
      </c>
    </row>
    <row r="2240" spans="1:19" x14ac:dyDescent="0.3">
      <c r="A2240" t="s">
        <v>748</v>
      </c>
      <c r="B2240">
        <v>35</v>
      </c>
      <c r="E2240">
        <v>3</v>
      </c>
      <c r="I2240">
        <v>3</v>
      </c>
      <c r="M2240">
        <v>3</v>
      </c>
      <c r="S2240">
        <v>3</v>
      </c>
    </row>
    <row r="2241" spans="1:20" x14ac:dyDescent="0.3">
      <c r="A2241" t="s">
        <v>749</v>
      </c>
      <c r="B2241">
        <v>35</v>
      </c>
      <c r="E2241">
        <v>0</v>
      </c>
      <c r="I2241">
        <v>0</v>
      </c>
      <c r="M2241">
        <v>0</v>
      </c>
      <c r="S2241">
        <v>0</v>
      </c>
    </row>
    <row r="2242" spans="1:20" x14ac:dyDescent="0.3">
      <c r="A2242" t="s">
        <v>750</v>
      </c>
      <c r="B2242">
        <v>35</v>
      </c>
      <c r="E2242">
        <v>0</v>
      </c>
      <c r="I2242">
        <v>0</v>
      </c>
      <c r="M2242">
        <v>0</v>
      </c>
      <c r="S2242">
        <v>0</v>
      </c>
    </row>
    <row r="2243" spans="1:20" x14ac:dyDescent="0.3">
      <c r="A2243" t="s">
        <v>405</v>
      </c>
      <c r="B2243">
        <v>35</v>
      </c>
      <c r="E2243">
        <v>0</v>
      </c>
    </row>
    <row r="2244" spans="1:20" x14ac:dyDescent="0.3">
      <c r="A2244" t="s">
        <v>751</v>
      </c>
      <c r="B2244">
        <v>35</v>
      </c>
      <c r="D2244">
        <v>18</v>
      </c>
      <c r="E2244">
        <v>12</v>
      </c>
      <c r="F2244">
        <v>43</v>
      </c>
      <c r="H2244">
        <v>46</v>
      </c>
      <c r="I2244">
        <v>38</v>
      </c>
      <c r="J2244">
        <v>0</v>
      </c>
      <c r="L2244">
        <v>34</v>
      </c>
      <c r="M2244">
        <v>1241</v>
      </c>
      <c r="N2244">
        <v>0</v>
      </c>
      <c r="P2244">
        <v>0</v>
      </c>
      <c r="R2244">
        <v>37</v>
      </c>
      <c r="S2244">
        <v>1200</v>
      </c>
      <c r="T2244">
        <v>0</v>
      </c>
    </row>
    <row r="2245" spans="1:20" x14ac:dyDescent="0.3">
      <c r="A2245" t="s">
        <v>34</v>
      </c>
      <c r="B2245">
        <v>41</v>
      </c>
      <c r="D2245">
        <v>43</v>
      </c>
      <c r="E2245">
        <v>43</v>
      </c>
      <c r="F2245">
        <v>43</v>
      </c>
      <c r="H2245">
        <v>42</v>
      </c>
      <c r="I2245">
        <v>42</v>
      </c>
      <c r="J2245">
        <v>42</v>
      </c>
      <c r="L2245">
        <v>35</v>
      </c>
      <c r="M2245">
        <v>35</v>
      </c>
      <c r="N2245">
        <v>35</v>
      </c>
      <c r="P2245">
        <v>44</v>
      </c>
      <c r="R2245">
        <v>44</v>
      </c>
      <c r="S2245">
        <v>44</v>
      </c>
      <c r="T2245">
        <v>44</v>
      </c>
    </row>
    <row r="2246" spans="1:20" x14ac:dyDescent="0.3">
      <c r="A2246" t="s">
        <v>35</v>
      </c>
      <c r="B2246">
        <v>41</v>
      </c>
      <c r="D2246">
        <v>35</v>
      </c>
      <c r="E2246">
        <v>42</v>
      </c>
      <c r="F2246">
        <v>44</v>
      </c>
      <c r="H2246">
        <v>44</v>
      </c>
      <c r="I2246">
        <v>43</v>
      </c>
      <c r="J2246">
        <v>35</v>
      </c>
      <c r="L2246">
        <v>42</v>
      </c>
      <c r="M2246">
        <v>44</v>
      </c>
      <c r="N2246">
        <v>43</v>
      </c>
      <c r="P2246">
        <v>44</v>
      </c>
      <c r="R2246">
        <v>43</v>
      </c>
      <c r="S2246">
        <v>35</v>
      </c>
      <c r="T2246">
        <v>42</v>
      </c>
    </row>
    <row r="2247" spans="1:20" x14ac:dyDescent="0.3">
      <c r="A2247" t="s">
        <v>36</v>
      </c>
      <c r="B2247">
        <v>41</v>
      </c>
      <c r="D2247">
        <v>1</v>
      </c>
      <c r="E2247">
        <v>3</v>
      </c>
      <c r="F2247">
        <v>1</v>
      </c>
      <c r="H2247">
        <v>1</v>
      </c>
      <c r="I2247">
        <v>3</v>
      </c>
      <c r="J2247">
        <v>0</v>
      </c>
      <c r="L2247">
        <v>2</v>
      </c>
      <c r="M2247">
        <v>3</v>
      </c>
      <c r="N2247">
        <v>1</v>
      </c>
      <c r="P2247">
        <v>0</v>
      </c>
      <c r="R2247">
        <v>2</v>
      </c>
      <c r="S2247">
        <v>3</v>
      </c>
      <c r="T2247">
        <v>1</v>
      </c>
    </row>
    <row r="2248" spans="1:20" x14ac:dyDescent="0.3">
      <c r="A2248" t="s">
        <v>37</v>
      </c>
      <c r="B2248">
        <v>41</v>
      </c>
      <c r="D2248">
        <v>0</v>
      </c>
      <c r="E2248">
        <v>0</v>
      </c>
      <c r="H2248">
        <v>0</v>
      </c>
      <c r="I2248">
        <v>2</v>
      </c>
      <c r="L2248">
        <v>0</v>
      </c>
      <c r="M2248">
        <v>0</v>
      </c>
      <c r="R2248">
        <v>0</v>
      </c>
      <c r="S2248">
        <v>0</v>
      </c>
    </row>
    <row r="2249" spans="1:20" x14ac:dyDescent="0.3">
      <c r="A2249" t="s">
        <v>38</v>
      </c>
      <c r="B2249">
        <v>41</v>
      </c>
      <c r="D2249">
        <v>12</v>
      </c>
      <c r="E2249">
        <v>12</v>
      </c>
      <c r="F2249">
        <v>12</v>
      </c>
      <c r="H2249">
        <v>12</v>
      </c>
      <c r="I2249">
        <v>12</v>
      </c>
      <c r="J2249">
        <v>12</v>
      </c>
      <c r="L2249">
        <v>12</v>
      </c>
      <c r="M2249">
        <v>12</v>
      </c>
      <c r="N2249">
        <v>12</v>
      </c>
      <c r="P2249">
        <v>12</v>
      </c>
      <c r="R2249">
        <v>12</v>
      </c>
      <c r="S2249">
        <v>12</v>
      </c>
      <c r="T2249">
        <v>12</v>
      </c>
    </row>
    <row r="2250" spans="1:20" x14ac:dyDescent="0.3">
      <c r="A2250" t="s">
        <v>39</v>
      </c>
      <c r="B2250">
        <v>41</v>
      </c>
      <c r="D2250">
        <v>255</v>
      </c>
      <c r="F2250">
        <v>250</v>
      </c>
      <c r="H2250">
        <v>200</v>
      </c>
      <c r="L2250">
        <v>221</v>
      </c>
      <c r="N2250">
        <v>256</v>
      </c>
      <c r="R2250">
        <v>200</v>
      </c>
      <c r="T2250">
        <v>250</v>
      </c>
    </row>
    <row r="2251" spans="1:20" x14ac:dyDescent="0.3">
      <c r="A2251" t="s">
        <v>726</v>
      </c>
      <c r="B2251">
        <v>41</v>
      </c>
      <c r="D2251">
        <v>25</v>
      </c>
      <c r="F2251">
        <v>25</v>
      </c>
      <c r="H2251">
        <v>25</v>
      </c>
      <c r="L2251">
        <v>25</v>
      </c>
      <c r="N2251">
        <v>25</v>
      </c>
      <c r="R2251">
        <v>25</v>
      </c>
      <c r="T2251">
        <v>25</v>
      </c>
    </row>
    <row r="2252" spans="1:20" x14ac:dyDescent="0.3">
      <c r="A2252" t="s">
        <v>40</v>
      </c>
      <c r="B2252">
        <v>41</v>
      </c>
      <c r="D2252">
        <v>1</v>
      </c>
      <c r="F2252">
        <v>1</v>
      </c>
      <c r="H2252">
        <v>1</v>
      </c>
      <c r="L2252">
        <v>2</v>
      </c>
      <c r="N2252">
        <v>1</v>
      </c>
      <c r="R2252">
        <v>2</v>
      </c>
      <c r="T2252">
        <v>1</v>
      </c>
    </row>
    <row r="2253" spans="1:20" x14ac:dyDescent="0.3">
      <c r="A2253" t="s">
        <v>41</v>
      </c>
      <c r="B2253">
        <v>41</v>
      </c>
    </row>
    <row r="2254" spans="1:20" x14ac:dyDescent="0.3">
      <c r="A2254" t="s">
        <v>42</v>
      </c>
      <c r="B2254">
        <v>41</v>
      </c>
      <c r="E2254">
        <v>45</v>
      </c>
      <c r="I2254">
        <v>45</v>
      </c>
      <c r="M2254">
        <v>40</v>
      </c>
      <c r="S2254">
        <v>40</v>
      </c>
    </row>
    <row r="2255" spans="1:20" x14ac:dyDescent="0.3">
      <c r="A2255" t="s">
        <v>45</v>
      </c>
      <c r="B2255">
        <v>41</v>
      </c>
      <c r="D2255">
        <v>7</v>
      </c>
      <c r="E2255">
        <v>4</v>
      </c>
      <c r="H2255">
        <v>3</v>
      </c>
      <c r="I2255">
        <v>8</v>
      </c>
      <c r="L2255">
        <v>1</v>
      </c>
      <c r="M2255">
        <v>6</v>
      </c>
      <c r="R2255">
        <v>5</v>
      </c>
      <c r="S2255">
        <v>2</v>
      </c>
    </row>
    <row r="2256" spans="1:20" x14ac:dyDescent="0.3">
      <c r="A2256" t="s">
        <v>46</v>
      </c>
      <c r="B2256">
        <v>41</v>
      </c>
      <c r="D2256">
        <v>4</v>
      </c>
      <c r="F2256">
        <v>4</v>
      </c>
      <c r="H2256">
        <v>8</v>
      </c>
      <c r="L2256">
        <v>6</v>
      </c>
      <c r="N2256">
        <v>6</v>
      </c>
      <c r="R2256">
        <v>2</v>
      </c>
      <c r="T2256">
        <v>2</v>
      </c>
    </row>
    <row r="2257" spans="1:20" x14ac:dyDescent="0.3">
      <c r="A2257" t="s">
        <v>49</v>
      </c>
      <c r="B2257">
        <v>41</v>
      </c>
      <c r="D2257">
        <v>4</v>
      </c>
      <c r="E2257">
        <v>6.1</v>
      </c>
      <c r="F2257">
        <v>6.1</v>
      </c>
      <c r="H2257">
        <v>4</v>
      </c>
      <c r="I2257">
        <v>6.1</v>
      </c>
      <c r="J2257">
        <v>4</v>
      </c>
      <c r="L2257">
        <v>4</v>
      </c>
      <c r="M2257">
        <v>5.8</v>
      </c>
      <c r="N2257">
        <v>5.8</v>
      </c>
      <c r="P2257">
        <v>4</v>
      </c>
      <c r="R2257">
        <v>4</v>
      </c>
      <c r="S2257">
        <v>5.8</v>
      </c>
      <c r="T2257">
        <v>5.8</v>
      </c>
    </row>
    <row r="2258" spans="1:20" x14ac:dyDescent="0.3">
      <c r="A2258" t="s">
        <v>727</v>
      </c>
      <c r="B2258">
        <v>41</v>
      </c>
      <c r="D2258">
        <v>0</v>
      </c>
      <c r="E2258">
        <v>0</v>
      </c>
      <c r="F2258">
        <v>0</v>
      </c>
      <c r="H2258">
        <v>0</v>
      </c>
      <c r="I2258">
        <v>0</v>
      </c>
      <c r="J2258">
        <v>0</v>
      </c>
      <c r="L2258">
        <v>0</v>
      </c>
      <c r="M2258">
        <v>0</v>
      </c>
      <c r="N2258">
        <v>0</v>
      </c>
      <c r="P2258">
        <v>0</v>
      </c>
      <c r="R2258">
        <v>0</v>
      </c>
      <c r="S2258">
        <v>0</v>
      </c>
      <c r="T2258">
        <v>0</v>
      </c>
    </row>
    <row r="2259" spans="1:20" x14ac:dyDescent="0.3">
      <c r="A2259" t="s">
        <v>48</v>
      </c>
      <c r="B2259">
        <v>41</v>
      </c>
      <c r="D2259">
        <v>1900</v>
      </c>
      <c r="E2259">
        <v>1900</v>
      </c>
      <c r="F2259">
        <v>1900</v>
      </c>
      <c r="H2259">
        <v>1900</v>
      </c>
      <c r="I2259">
        <v>1900</v>
      </c>
      <c r="J2259">
        <v>1900</v>
      </c>
      <c r="L2259">
        <v>1900</v>
      </c>
      <c r="M2259">
        <v>1900</v>
      </c>
      <c r="N2259">
        <v>1900</v>
      </c>
      <c r="P2259">
        <v>1900</v>
      </c>
      <c r="R2259">
        <v>1900</v>
      </c>
      <c r="S2259">
        <v>1900</v>
      </c>
      <c r="T2259">
        <v>1900</v>
      </c>
    </row>
    <row r="2260" spans="1:20" x14ac:dyDescent="0.3">
      <c r="A2260" t="s">
        <v>728</v>
      </c>
      <c r="B2260">
        <v>41</v>
      </c>
      <c r="D2260">
        <v>1770</v>
      </c>
      <c r="E2260">
        <v>5085</v>
      </c>
      <c r="F2260">
        <v>1583</v>
      </c>
      <c r="H2260">
        <v>1770</v>
      </c>
      <c r="I2260">
        <v>4877</v>
      </c>
      <c r="J2260">
        <v>0</v>
      </c>
      <c r="L2260">
        <v>3433</v>
      </c>
      <c r="M2260">
        <v>5085</v>
      </c>
      <c r="N2260">
        <v>1583</v>
      </c>
      <c r="P2260">
        <v>0</v>
      </c>
      <c r="R2260">
        <v>3433</v>
      </c>
      <c r="S2260">
        <v>5085</v>
      </c>
      <c r="T2260">
        <v>1583</v>
      </c>
    </row>
    <row r="2261" spans="1:20" x14ac:dyDescent="0.3">
      <c r="A2261" t="s">
        <v>50</v>
      </c>
      <c r="B2261">
        <v>41</v>
      </c>
      <c r="D2261">
        <v>626</v>
      </c>
      <c r="E2261">
        <v>5085</v>
      </c>
      <c r="F2261">
        <v>1583</v>
      </c>
      <c r="H2261">
        <v>704</v>
      </c>
      <c r="I2261">
        <v>4877</v>
      </c>
      <c r="J2261">
        <v>0</v>
      </c>
      <c r="L2261">
        <v>838</v>
      </c>
      <c r="M2261">
        <v>5085</v>
      </c>
      <c r="N2261">
        <v>1583</v>
      </c>
      <c r="P2261">
        <v>0</v>
      </c>
      <c r="R2261">
        <v>947</v>
      </c>
      <c r="S2261">
        <v>5085</v>
      </c>
      <c r="T2261">
        <v>1583</v>
      </c>
    </row>
    <row r="2262" spans="1:20" x14ac:dyDescent="0.3">
      <c r="A2262" t="s">
        <v>729</v>
      </c>
      <c r="B2262">
        <v>41</v>
      </c>
      <c r="D2262">
        <v>1</v>
      </c>
      <c r="E2262">
        <v>1</v>
      </c>
      <c r="F2262">
        <v>1</v>
      </c>
      <c r="H2262">
        <v>1</v>
      </c>
      <c r="I2262">
        <v>1</v>
      </c>
      <c r="J2262">
        <v>1</v>
      </c>
      <c r="L2262">
        <v>1</v>
      </c>
      <c r="M2262">
        <v>1</v>
      </c>
      <c r="N2262">
        <v>1</v>
      </c>
      <c r="P2262">
        <v>1</v>
      </c>
      <c r="R2262">
        <v>1</v>
      </c>
      <c r="S2262">
        <v>1</v>
      </c>
      <c r="T2262">
        <v>1</v>
      </c>
    </row>
    <row r="2263" spans="1:20" x14ac:dyDescent="0.3">
      <c r="A2263" t="s">
        <v>51</v>
      </c>
      <c r="B2263">
        <v>41</v>
      </c>
      <c r="D2263">
        <v>0</v>
      </c>
      <c r="E2263">
        <v>0</v>
      </c>
      <c r="F2263">
        <v>183</v>
      </c>
      <c r="H2263">
        <v>0</v>
      </c>
      <c r="I2263">
        <v>79</v>
      </c>
      <c r="J2263">
        <v>0</v>
      </c>
      <c r="L2263">
        <v>0</v>
      </c>
      <c r="M2263">
        <v>0</v>
      </c>
      <c r="N2263">
        <v>157</v>
      </c>
      <c r="P2263">
        <v>0</v>
      </c>
      <c r="R2263">
        <v>0</v>
      </c>
      <c r="S2263">
        <v>0</v>
      </c>
      <c r="T2263">
        <v>225</v>
      </c>
    </row>
    <row r="2264" spans="1:20" x14ac:dyDescent="0.3">
      <c r="A2264" t="s">
        <v>53</v>
      </c>
      <c r="B2264">
        <v>41</v>
      </c>
      <c r="D2264">
        <v>164</v>
      </c>
      <c r="E2264">
        <v>427</v>
      </c>
      <c r="F2264">
        <v>185</v>
      </c>
      <c r="H2264">
        <v>250</v>
      </c>
      <c r="I2264">
        <v>458</v>
      </c>
      <c r="J2264">
        <v>170</v>
      </c>
      <c r="L2264">
        <v>219</v>
      </c>
      <c r="M2264">
        <v>786</v>
      </c>
      <c r="N2264">
        <v>144</v>
      </c>
      <c r="P2264">
        <v>0</v>
      </c>
      <c r="R2264">
        <v>170</v>
      </c>
      <c r="S2264">
        <v>853</v>
      </c>
      <c r="T2264">
        <v>207</v>
      </c>
    </row>
    <row r="2265" spans="1:20" x14ac:dyDescent="0.3">
      <c r="A2265" t="s">
        <v>54</v>
      </c>
      <c r="B2265">
        <v>41</v>
      </c>
      <c r="D2265">
        <v>0</v>
      </c>
      <c r="E2265">
        <v>0</v>
      </c>
      <c r="F2265">
        <v>0</v>
      </c>
      <c r="H2265">
        <v>0</v>
      </c>
      <c r="I2265">
        <v>0</v>
      </c>
      <c r="J2265">
        <v>0</v>
      </c>
      <c r="L2265">
        <v>0</v>
      </c>
      <c r="M2265">
        <v>0</v>
      </c>
      <c r="N2265">
        <v>0</v>
      </c>
      <c r="P2265">
        <v>0</v>
      </c>
      <c r="R2265">
        <v>0</v>
      </c>
      <c r="S2265">
        <v>0</v>
      </c>
      <c r="T2265">
        <v>0</v>
      </c>
    </row>
    <row r="2266" spans="1:20" x14ac:dyDescent="0.3">
      <c r="A2266" t="s">
        <v>55</v>
      </c>
      <c r="B2266">
        <v>41</v>
      </c>
      <c r="D2266">
        <v>0</v>
      </c>
      <c r="E2266">
        <v>0</v>
      </c>
      <c r="F2266">
        <v>0</v>
      </c>
      <c r="H2266">
        <v>0</v>
      </c>
      <c r="I2266">
        <v>0</v>
      </c>
      <c r="J2266">
        <v>0</v>
      </c>
      <c r="L2266">
        <v>0</v>
      </c>
      <c r="M2266">
        <v>0</v>
      </c>
      <c r="N2266">
        <v>0</v>
      </c>
      <c r="P2266">
        <v>0</v>
      </c>
      <c r="R2266">
        <v>0</v>
      </c>
      <c r="S2266">
        <v>0</v>
      </c>
      <c r="T2266">
        <v>0</v>
      </c>
    </row>
    <row r="2267" spans="1:20" x14ac:dyDescent="0.3">
      <c r="A2267" t="s">
        <v>56</v>
      </c>
      <c r="B2267">
        <v>41</v>
      </c>
      <c r="D2267">
        <v>0.92</v>
      </c>
      <c r="E2267">
        <v>0.92</v>
      </c>
      <c r="F2267">
        <v>0.92</v>
      </c>
      <c r="H2267">
        <v>0.92</v>
      </c>
      <c r="I2267">
        <v>0.92</v>
      </c>
      <c r="J2267">
        <v>0.92</v>
      </c>
      <c r="L2267">
        <v>0.92</v>
      </c>
      <c r="M2267">
        <v>0.92</v>
      </c>
      <c r="N2267">
        <v>0.92</v>
      </c>
      <c r="P2267">
        <v>0.92</v>
      </c>
      <c r="R2267">
        <v>0.92</v>
      </c>
      <c r="S2267">
        <v>0.92</v>
      </c>
      <c r="T2267">
        <v>0.92</v>
      </c>
    </row>
    <row r="2268" spans="1:20" x14ac:dyDescent="0.3">
      <c r="A2268" t="s">
        <v>57</v>
      </c>
      <c r="B2268">
        <v>41</v>
      </c>
      <c r="D2268">
        <v>100</v>
      </c>
      <c r="E2268">
        <v>100</v>
      </c>
      <c r="F2268">
        <v>100</v>
      </c>
      <c r="H2268">
        <v>100</v>
      </c>
      <c r="I2268">
        <v>100</v>
      </c>
      <c r="J2268">
        <v>100</v>
      </c>
      <c r="L2268">
        <v>100</v>
      </c>
      <c r="M2268">
        <v>100</v>
      </c>
      <c r="N2268">
        <v>100</v>
      </c>
      <c r="P2268">
        <v>100</v>
      </c>
      <c r="R2268">
        <v>100</v>
      </c>
      <c r="S2268">
        <v>100</v>
      </c>
      <c r="T2268">
        <v>100</v>
      </c>
    </row>
    <row r="2269" spans="1:20" x14ac:dyDescent="0.3">
      <c r="A2269" t="s">
        <v>58</v>
      </c>
      <c r="B2269">
        <v>41</v>
      </c>
      <c r="D2269">
        <v>2</v>
      </c>
      <c r="E2269">
        <v>2</v>
      </c>
      <c r="F2269">
        <v>2</v>
      </c>
      <c r="H2269">
        <v>2</v>
      </c>
      <c r="I2269">
        <v>2</v>
      </c>
      <c r="J2269">
        <v>2</v>
      </c>
      <c r="L2269">
        <v>2</v>
      </c>
      <c r="M2269">
        <v>2</v>
      </c>
      <c r="N2269">
        <v>2</v>
      </c>
      <c r="P2269">
        <v>2</v>
      </c>
      <c r="R2269">
        <v>2</v>
      </c>
      <c r="S2269">
        <v>2</v>
      </c>
      <c r="T2269">
        <v>2</v>
      </c>
    </row>
    <row r="2270" spans="1:20" x14ac:dyDescent="0.3">
      <c r="A2270" t="s">
        <v>59</v>
      </c>
      <c r="B2270">
        <v>41</v>
      </c>
      <c r="D2270">
        <v>0</v>
      </c>
      <c r="E2270">
        <v>0</v>
      </c>
      <c r="F2270">
        <v>0</v>
      </c>
      <c r="H2270">
        <v>0</v>
      </c>
      <c r="I2270">
        <v>0</v>
      </c>
      <c r="J2270">
        <v>0</v>
      </c>
      <c r="L2270">
        <v>0</v>
      </c>
      <c r="M2270">
        <v>0</v>
      </c>
      <c r="N2270">
        <v>0</v>
      </c>
      <c r="P2270">
        <v>0</v>
      </c>
      <c r="R2270">
        <v>0</v>
      </c>
      <c r="S2270">
        <v>0</v>
      </c>
      <c r="T2270">
        <v>0</v>
      </c>
    </row>
    <row r="2271" spans="1:20" x14ac:dyDescent="0.3">
      <c r="A2271" t="s">
        <v>730</v>
      </c>
      <c r="B2271">
        <v>41</v>
      </c>
      <c r="E2271">
        <v>0</v>
      </c>
      <c r="I2271">
        <v>0</v>
      </c>
      <c r="M2271">
        <v>0</v>
      </c>
      <c r="S2271">
        <v>0</v>
      </c>
    </row>
    <row r="2272" spans="1:20" x14ac:dyDescent="0.3">
      <c r="A2272" t="s">
        <v>679</v>
      </c>
      <c r="B2272">
        <v>41</v>
      </c>
      <c r="E2272">
        <v>1229</v>
      </c>
      <c r="I2272">
        <v>1230</v>
      </c>
      <c r="M2272">
        <v>2603</v>
      </c>
      <c r="S2272">
        <v>2630</v>
      </c>
    </row>
    <row r="2273" spans="1:20" x14ac:dyDescent="0.3">
      <c r="A2273" t="s">
        <v>78</v>
      </c>
      <c r="B2273">
        <v>41</v>
      </c>
      <c r="E2273">
        <v>18.600000000000001</v>
      </c>
      <c r="I2273">
        <v>18.600000000000001</v>
      </c>
      <c r="M2273">
        <v>44.4</v>
      </c>
      <c r="S2273">
        <v>44.8</v>
      </c>
    </row>
    <row r="2274" spans="1:20" x14ac:dyDescent="0.3">
      <c r="A2274" t="s">
        <v>731</v>
      </c>
      <c r="B2274">
        <v>41</v>
      </c>
      <c r="F2274">
        <v>0</v>
      </c>
      <c r="J2274">
        <v>0</v>
      </c>
      <c r="N2274">
        <v>0</v>
      </c>
      <c r="T2274">
        <v>0</v>
      </c>
    </row>
    <row r="2275" spans="1:20" x14ac:dyDescent="0.3">
      <c r="A2275" t="s">
        <v>732</v>
      </c>
      <c r="B2275">
        <v>41</v>
      </c>
      <c r="D2275">
        <v>0</v>
      </c>
      <c r="E2275">
        <v>0</v>
      </c>
      <c r="F2275">
        <v>1</v>
      </c>
      <c r="H2275">
        <v>0</v>
      </c>
      <c r="I2275">
        <v>0</v>
      </c>
      <c r="J2275">
        <v>1</v>
      </c>
      <c r="L2275">
        <v>0</v>
      </c>
      <c r="M2275">
        <v>0</v>
      </c>
      <c r="N2275">
        <v>1</v>
      </c>
      <c r="P2275">
        <v>3</v>
      </c>
      <c r="R2275">
        <v>0</v>
      </c>
      <c r="S2275">
        <v>0</v>
      </c>
      <c r="T2275">
        <v>1</v>
      </c>
    </row>
    <row r="2276" spans="1:20" x14ac:dyDescent="0.3">
      <c r="A2276" t="s">
        <v>733</v>
      </c>
      <c r="B2276">
        <v>41</v>
      </c>
      <c r="D2276">
        <v>0</v>
      </c>
      <c r="E2276">
        <v>0</v>
      </c>
      <c r="F2276">
        <v>0</v>
      </c>
      <c r="H2276">
        <v>0</v>
      </c>
      <c r="I2276">
        <v>0</v>
      </c>
      <c r="J2276">
        <v>0</v>
      </c>
      <c r="L2276">
        <v>0</v>
      </c>
      <c r="M2276">
        <v>0</v>
      </c>
      <c r="N2276">
        <v>0</v>
      </c>
      <c r="P2276">
        <v>0</v>
      </c>
      <c r="R2276">
        <v>0</v>
      </c>
      <c r="S2276">
        <v>0</v>
      </c>
      <c r="T2276">
        <v>0</v>
      </c>
    </row>
    <row r="2277" spans="1:20" x14ac:dyDescent="0.3">
      <c r="A2277" t="s">
        <v>52</v>
      </c>
      <c r="B2277">
        <v>41</v>
      </c>
      <c r="D2277">
        <v>1</v>
      </c>
      <c r="E2277">
        <v>1</v>
      </c>
      <c r="F2277">
        <v>1</v>
      </c>
      <c r="H2277">
        <v>1</v>
      </c>
      <c r="I2277">
        <v>1</v>
      </c>
      <c r="J2277">
        <v>1</v>
      </c>
      <c r="L2277">
        <v>1</v>
      </c>
      <c r="M2277">
        <v>1</v>
      </c>
      <c r="N2277">
        <v>1</v>
      </c>
      <c r="P2277">
        <v>1</v>
      </c>
      <c r="R2277">
        <v>1</v>
      </c>
      <c r="S2277">
        <v>1</v>
      </c>
      <c r="T2277">
        <v>1</v>
      </c>
    </row>
    <row r="2278" spans="1:20" x14ac:dyDescent="0.3">
      <c r="A2278" t="s">
        <v>734</v>
      </c>
      <c r="B2278">
        <v>41</v>
      </c>
      <c r="D2278">
        <v>15</v>
      </c>
      <c r="E2278">
        <v>60</v>
      </c>
      <c r="F2278">
        <v>9</v>
      </c>
      <c r="H2278">
        <v>15</v>
      </c>
      <c r="I2278">
        <v>60</v>
      </c>
      <c r="J2278">
        <v>9</v>
      </c>
      <c r="L2278">
        <v>15</v>
      </c>
      <c r="M2278">
        <v>60</v>
      </c>
      <c r="N2278">
        <v>9</v>
      </c>
      <c r="P2278">
        <v>9</v>
      </c>
      <c r="R2278">
        <v>15</v>
      </c>
      <c r="S2278">
        <v>60</v>
      </c>
      <c r="T2278">
        <v>9</v>
      </c>
    </row>
    <row r="2279" spans="1:20" x14ac:dyDescent="0.3">
      <c r="A2279" t="s">
        <v>43</v>
      </c>
      <c r="B2279">
        <v>41</v>
      </c>
      <c r="D2279">
        <v>20</v>
      </c>
      <c r="E2279">
        <v>100</v>
      </c>
      <c r="F2279">
        <v>20</v>
      </c>
      <c r="H2279">
        <v>20</v>
      </c>
      <c r="I2279">
        <v>100</v>
      </c>
      <c r="L2279">
        <v>20</v>
      </c>
      <c r="M2279">
        <v>100</v>
      </c>
      <c r="N2279">
        <v>20</v>
      </c>
      <c r="R2279">
        <v>20</v>
      </c>
      <c r="S2279">
        <v>100</v>
      </c>
      <c r="T2279">
        <v>20</v>
      </c>
    </row>
    <row r="2280" spans="1:20" x14ac:dyDescent="0.3">
      <c r="A2280" t="s">
        <v>44</v>
      </c>
      <c r="B2280">
        <v>41</v>
      </c>
      <c r="D2280">
        <v>0</v>
      </c>
      <c r="E2280">
        <v>0</v>
      </c>
      <c r="F2280">
        <v>0</v>
      </c>
      <c r="H2280">
        <v>0</v>
      </c>
      <c r="I2280">
        <v>0</v>
      </c>
      <c r="L2280">
        <v>0</v>
      </c>
      <c r="M2280">
        <v>0</v>
      </c>
      <c r="N2280">
        <v>0</v>
      </c>
      <c r="R2280">
        <v>0</v>
      </c>
      <c r="S2280">
        <v>0</v>
      </c>
      <c r="T2280">
        <v>0</v>
      </c>
    </row>
    <row r="2281" spans="1:20" x14ac:dyDescent="0.3">
      <c r="A2281" t="s">
        <v>47</v>
      </c>
      <c r="B2281">
        <v>41</v>
      </c>
      <c r="D2281">
        <v>7</v>
      </c>
      <c r="E2281">
        <v>4</v>
      </c>
      <c r="F2281">
        <v>4</v>
      </c>
      <c r="H2281">
        <v>3</v>
      </c>
      <c r="I2281">
        <v>8</v>
      </c>
      <c r="L2281">
        <v>1</v>
      </c>
      <c r="M2281">
        <v>6</v>
      </c>
      <c r="N2281">
        <v>6</v>
      </c>
      <c r="R2281">
        <v>5</v>
      </c>
      <c r="S2281">
        <v>2</v>
      </c>
      <c r="T2281">
        <v>2</v>
      </c>
    </row>
    <row r="2282" spans="1:20" x14ac:dyDescent="0.3">
      <c r="A2282" t="s">
        <v>735</v>
      </c>
      <c r="B2282">
        <v>41</v>
      </c>
      <c r="D2282">
        <v>0</v>
      </c>
      <c r="E2282">
        <v>0</v>
      </c>
      <c r="F2282">
        <v>0</v>
      </c>
      <c r="H2282">
        <v>0</v>
      </c>
      <c r="I2282">
        <v>0</v>
      </c>
      <c r="L2282">
        <v>0</v>
      </c>
      <c r="M2282">
        <v>0</v>
      </c>
      <c r="N2282">
        <v>0</v>
      </c>
      <c r="R2282">
        <v>0</v>
      </c>
      <c r="S2282">
        <v>0</v>
      </c>
      <c r="T2282">
        <v>0</v>
      </c>
    </row>
    <row r="2283" spans="1:20" x14ac:dyDescent="0.3">
      <c r="A2283" t="s">
        <v>736</v>
      </c>
      <c r="B2283">
        <v>41</v>
      </c>
      <c r="D2283">
        <v>0</v>
      </c>
      <c r="E2283">
        <v>0</v>
      </c>
      <c r="F2283">
        <v>0</v>
      </c>
      <c r="H2283">
        <v>0</v>
      </c>
      <c r="I2283">
        <v>0</v>
      </c>
      <c r="L2283">
        <v>0</v>
      </c>
      <c r="M2283">
        <v>0</v>
      </c>
      <c r="N2283">
        <v>0</v>
      </c>
      <c r="R2283">
        <v>0</v>
      </c>
      <c r="S2283">
        <v>0</v>
      </c>
      <c r="T2283">
        <v>0</v>
      </c>
    </row>
    <row r="2284" spans="1:20" x14ac:dyDescent="0.3">
      <c r="A2284" t="s">
        <v>737</v>
      </c>
      <c r="B2284">
        <v>41</v>
      </c>
      <c r="D2284">
        <v>0</v>
      </c>
      <c r="E2284">
        <v>0</v>
      </c>
      <c r="F2284">
        <v>0</v>
      </c>
      <c r="H2284">
        <v>0</v>
      </c>
      <c r="I2284">
        <v>0</v>
      </c>
      <c r="L2284">
        <v>0</v>
      </c>
      <c r="M2284">
        <v>0</v>
      </c>
      <c r="N2284">
        <v>0</v>
      </c>
      <c r="R2284">
        <v>0</v>
      </c>
      <c r="S2284">
        <v>0</v>
      </c>
      <c r="T2284">
        <v>0</v>
      </c>
    </row>
    <row r="2285" spans="1:20" x14ac:dyDescent="0.3">
      <c r="A2285" t="s">
        <v>738</v>
      </c>
      <c r="B2285">
        <v>41</v>
      </c>
      <c r="D2285">
        <v>0</v>
      </c>
      <c r="E2285">
        <v>0</v>
      </c>
      <c r="F2285">
        <v>0</v>
      </c>
      <c r="H2285">
        <v>0</v>
      </c>
      <c r="I2285">
        <v>0</v>
      </c>
      <c r="L2285">
        <v>0</v>
      </c>
      <c r="M2285">
        <v>0</v>
      </c>
      <c r="N2285">
        <v>0</v>
      </c>
      <c r="R2285">
        <v>0</v>
      </c>
      <c r="S2285">
        <v>0</v>
      </c>
      <c r="T2285">
        <v>0</v>
      </c>
    </row>
    <row r="2286" spans="1:20" x14ac:dyDescent="0.3">
      <c r="A2286" t="s">
        <v>739</v>
      </c>
      <c r="B2286">
        <v>41</v>
      </c>
      <c r="D2286">
        <v>1</v>
      </c>
      <c r="E2286">
        <v>2</v>
      </c>
      <c r="F2286">
        <v>1</v>
      </c>
      <c r="H2286">
        <v>1</v>
      </c>
      <c r="I2286">
        <v>2</v>
      </c>
      <c r="L2286">
        <v>1</v>
      </c>
      <c r="M2286">
        <v>2</v>
      </c>
      <c r="N2286">
        <v>1</v>
      </c>
      <c r="R2286">
        <v>1</v>
      </c>
      <c r="S2286">
        <v>2</v>
      </c>
      <c r="T2286">
        <v>1</v>
      </c>
    </row>
    <row r="2287" spans="1:20" x14ac:dyDescent="0.3">
      <c r="A2287" t="s">
        <v>740</v>
      </c>
      <c r="B2287">
        <v>41</v>
      </c>
      <c r="D2287">
        <v>0</v>
      </c>
      <c r="E2287">
        <v>0</v>
      </c>
      <c r="F2287">
        <v>0</v>
      </c>
      <c r="H2287">
        <v>0</v>
      </c>
      <c r="I2287">
        <v>0</v>
      </c>
      <c r="L2287">
        <v>0</v>
      </c>
      <c r="M2287">
        <v>0</v>
      </c>
      <c r="N2287">
        <v>0</v>
      </c>
      <c r="R2287">
        <v>0</v>
      </c>
      <c r="S2287">
        <v>0</v>
      </c>
      <c r="T2287">
        <v>0</v>
      </c>
    </row>
    <row r="2288" spans="1:20" x14ac:dyDescent="0.3">
      <c r="A2288" t="s">
        <v>741</v>
      </c>
      <c r="B2288">
        <v>41</v>
      </c>
      <c r="D2288">
        <v>20</v>
      </c>
      <c r="E2288">
        <v>6</v>
      </c>
      <c r="F2288">
        <v>20</v>
      </c>
      <c r="H2288">
        <v>20</v>
      </c>
      <c r="I2288">
        <v>6</v>
      </c>
      <c r="L2288">
        <v>20</v>
      </c>
      <c r="M2288">
        <v>6</v>
      </c>
      <c r="N2288">
        <v>20</v>
      </c>
      <c r="R2288">
        <v>20</v>
      </c>
      <c r="S2288">
        <v>6</v>
      </c>
      <c r="T2288">
        <v>20</v>
      </c>
    </row>
    <row r="2289" spans="1:20" x14ac:dyDescent="0.3">
      <c r="A2289" t="s">
        <v>742</v>
      </c>
      <c r="B2289">
        <v>41</v>
      </c>
      <c r="D2289">
        <v>3</v>
      </c>
      <c r="E2289">
        <v>3</v>
      </c>
      <c r="F2289">
        <v>3</v>
      </c>
      <c r="H2289">
        <v>3</v>
      </c>
      <c r="I2289">
        <v>3</v>
      </c>
      <c r="L2289">
        <v>3</v>
      </c>
      <c r="M2289">
        <v>3</v>
      </c>
      <c r="N2289">
        <v>3</v>
      </c>
      <c r="R2289">
        <v>3</v>
      </c>
      <c r="S2289">
        <v>3</v>
      </c>
      <c r="T2289">
        <v>3</v>
      </c>
    </row>
    <row r="2290" spans="1:20" x14ac:dyDescent="0.3">
      <c r="A2290" t="s">
        <v>743</v>
      </c>
      <c r="B2290">
        <v>41</v>
      </c>
      <c r="D2290">
        <v>0</v>
      </c>
      <c r="E2290">
        <v>0</v>
      </c>
      <c r="F2290">
        <v>0</v>
      </c>
      <c r="H2290">
        <v>0</v>
      </c>
      <c r="I2290">
        <v>0</v>
      </c>
      <c r="L2290">
        <v>0</v>
      </c>
      <c r="M2290">
        <v>0</v>
      </c>
      <c r="N2290">
        <v>0</v>
      </c>
      <c r="R2290">
        <v>0</v>
      </c>
      <c r="S2290">
        <v>0</v>
      </c>
      <c r="T2290">
        <v>0</v>
      </c>
    </row>
    <row r="2291" spans="1:20" x14ac:dyDescent="0.3">
      <c r="A2291" t="s">
        <v>744</v>
      </c>
      <c r="B2291">
        <v>41</v>
      </c>
      <c r="D2291">
        <v>0</v>
      </c>
      <c r="E2291">
        <v>0</v>
      </c>
      <c r="F2291">
        <v>0</v>
      </c>
      <c r="H2291">
        <v>0</v>
      </c>
      <c r="I2291">
        <v>0</v>
      </c>
      <c r="L2291">
        <v>0</v>
      </c>
      <c r="M2291">
        <v>0</v>
      </c>
      <c r="N2291">
        <v>0</v>
      </c>
      <c r="R2291">
        <v>0</v>
      </c>
      <c r="S2291">
        <v>0</v>
      </c>
      <c r="T2291">
        <v>0</v>
      </c>
    </row>
    <row r="2292" spans="1:20" x14ac:dyDescent="0.3">
      <c r="A2292" t="s">
        <v>745</v>
      </c>
      <c r="B2292">
        <v>41</v>
      </c>
      <c r="D2292">
        <v>0</v>
      </c>
      <c r="E2292">
        <v>0</v>
      </c>
      <c r="F2292">
        <v>0</v>
      </c>
      <c r="H2292">
        <v>0</v>
      </c>
      <c r="I2292">
        <v>0</v>
      </c>
      <c r="L2292">
        <v>0</v>
      </c>
      <c r="M2292">
        <v>0</v>
      </c>
      <c r="N2292">
        <v>0</v>
      </c>
      <c r="R2292">
        <v>0</v>
      </c>
      <c r="S2292">
        <v>0</v>
      </c>
      <c r="T2292">
        <v>0</v>
      </c>
    </row>
    <row r="2293" spans="1:20" x14ac:dyDescent="0.3">
      <c r="A2293" t="s">
        <v>746</v>
      </c>
      <c r="B2293">
        <v>41</v>
      </c>
      <c r="E2293">
        <v>94</v>
      </c>
      <c r="I2293">
        <v>94</v>
      </c>
      <c r="M2293">
        <v>94</v>
      </c>
      <c r="S2293">
        <v>94</v>
      </c>
    </row>
    <row r="2294" spans="1:20" x14ac:dyDescent="0.3">
      <c r="A2294" t="s">
        <v>747</v>
      </c>
      <c r="B2294">
        <v>41</v>
      </c>
      <c r="E2294">
        <v>6</v>
      </c>
      <c r="I2294">
        <v>6</v>
      </c>
      <c r="M2294">
        <v>6</v>
      </c>
      <c r="S2294">
        <v>6</v>
      </c>
    </row>
    <row r="2295" spans="1:20" x14ac:dyDescent="0.3">
      <c r="A2295" t="s">
        <v>748</v>
      </c>
      <c r="B2295">
        <v>41</v>
      </c>
      <c r="E2295">
        <v>3</v>
      </c>
      <c r="I2295">
        <v>3</v>
      </c>
      <c r="M2295">
        <v>3</v>
      </c>
      <c r="S2295">
        <v>3</v>
      </c>
    </row>
    <row r="2296" spans="1:20" x14ac:dyDescent="0.3">
      <c r="A2296" t="s">
        <v>749</v>
      </c>
      <c r="B2296">
        <v>41</v>
      </c>
      <c r="E2296">
        <v>0</v>
      </c>
      <c r="I2296">
        <v>0</v>
      </c>
      <c r="M2296">
        <v>0</v>
      </c>
      <c r="S2296">
        <v>0</v>
      </c>
    </row>
    <row r="2297" spans="1:20" x14ac:dyDescent="0.3">
      <c r="A2297" t="s">
        <v>750</v>
      </c>
      <c r="B2297">
        <v>41</v>
      </c>
      <c r="E2297">
        <v>0</v>
      </c>
      <c r="I2297">
        <v>0</v>
      </c>
      <c r="M2297">
        <v>0</v>
      </c>
      <c r="S2297">
        <v>0</v>
      </c>
    </row>
    <row r="2298" spans="1:20" x14ac:dyDescent="0.3">
      <c r="A2298" t="s">
        <v>405</v>
      </c>
      <c r="B2298">
        <v>41</v>
      </c>
      <c r="E2298">
        <v>0</v>
      </c>
    </row>
    <row r="2299" spans="1:20" x14ac:dyDescent="0.3">
      <c r="A2299" t="s">
        <v>751</v>
      </c>
      <c r="B2299">
        <v>41</v>
      </c>
      <c r="D2299">
        <v>178</v>
      </c>
      <c r="E2299">
        <v>464</v>
      </c>
      <c r="F2299">
        <v>201</v>
      </c>
      <c r="H2299">
        <v>272</v>
      </c>
      <c r="I2299">
        <v>683</v>
      </c>
      <c r="J2299">
        <v>0</v>
      </c>
      <c r="L2299">
        <v>238</v>
      </c>
      <c r="M2299">
        <v>854</v>
      </c>
      <c r="N2299">
        <v>157</v>
      </c>
      <c r="P2299">
        <v>0</v>
      </c>
      <c r="R2299">
        <v>185</v>
      </c>
      <c r="S2299">
        <v>927</v>
      </c>
      <c r="T2299">
        <v>225</v>
      </c>
    </row>
    <row r="2300" spans="1:20" x14ac:dyDescent="0.3">
      <c r="A2300" t="s">
        <v>34</v>
      </c>
      <c r="B2300">
        <v>44</v>
      </c>
      <c r="D2300">
        <v>46</v>
      </c>
      <c r="E2300">
        <v>46</v>
      </c>
      <c r="F2300">
        <v>46</v>
      </c>
      <c r="H2300">
        <v>47</v>
      </c>
      <c r="I2300">
        <v>47</v>
      </c>
      <c r="J2300">
        <v>47</v>
      </c>
      <c r="L2300">
        <v>41</v>
      </c>
      <c r="M2300">
        <v>41</v>
      </c>
      <c r="N2300">
        <v>41</v>
      </c>
      <c r="P2300">
        <v>48</v>
      </c>
      <c r="R2300">
        <v>48</v>
      </c>
      <c r="S2300">
        <v>48</v>
      </c>
      <c r="T2300">
        <v>48</v>
      </c>
    </row>
    <row r="2301" spans="1:20" x14ac:dyDescent="0.3">
      <c r="A2301" t="s">
        <v>35</v>
      </c>
      <c r="B2301">
        <v>44</v>
      </c>
      <c r="D2301">
        <v>41</v>
      </c>
      <c r="E2301">
        <v>47</v>
      </c>
      <c r="F2301">
        <v>48</v>
      </c>
      <c r="H2301">
        <v>48</v>
      </c>
      <c r="I2301">
        <v>46</v>
      </c>
      <c r="J2301">
        <v>41</v>
      </c>
      <c r="L2301">
        <v>47</v>
      </c>
      <c r="M2301">
        <v>48</v>
      </c>
      <c r="N2301">
        <v>46</v>
      </c>
      <c r="P2301">
        <v>48</v>
      </c>
      <c r="R2301">
        <v>46</v>
      </c>
      <c r="S2301">
        <v>41</v>
      </c>
      <c r="T2301">
        <v>47</v>
      </c>
    </row>
    <row r="2302" spans="1:20" x14ac:dyDescent="0.3">
      <c r="A2302" t="s">
        <v>36</v>
      </c>
      <c r="B2302">
        <v>44</v>
      </c>
      <c r="D2302">
        <v>0</v>
      </c>
      <c r="E2302">
        <v>1</v>
      </c>
      <c r="F2302">
        <v>0</v>
      </c>
      <c r="H2302">
        <v>1</v>
      </c>
      <c r="I2302">
        <v>0</v>
      </c>
      <c r="J2302">
        <v>1</v>
      </c>
      <c r="L2302">
        <v>1</v>
      </c>
      <c r="M2302">
        <v>3</v>
      </c>
      <c r="N2302">
        <v>0</v>
      </c>
      <c r="P2302">
        <v>0</v>
      </c>
      <c r="R2302">
        <v>1</v>
      </c>
      <c r="S2302">
        <v>3</v>
      </c>
      <c r="T2302">
        <v>0</v>
      </c>
    </row>
    <row r="2303" spans="1:20" x14ac:dyDescent="0.3">
      <c r="A2303" t="s">
        <v>37</v>
      </c>
      <c r="B2303">
        <v>44</v>
      </c>
      <c r="D2303">
        <v>0</v>
      </c>
      <c r="E2303">
        <v>3</v>
      </c>
      <c r="H2303">
        <v>0</v>
      </c>
      <c r="I2303">
        <v>0</v>
      </c>
      <c r="L2303">
        <v>0</v>
      </c>
      <c r="M2303">
        <v>2</v>
      </c>
      <c r="R2303">
        <v>0</v>
      </c>
      <c r="S2303">
        <v>2</v>
      </c>
    </row>
    <row r="2304" spans="1:20" x14ac:dyDescent="0.3">
      <c r="A2304" t="s">
        <v>38</v>
      </c>
      <c r="B2304">
        <v>44</v>
      </c>
      <c r="D2304">
        <v>12</v>
      </c>
      <c r="E2304">
        <v>12</v>
      </c>
      <c r="F2304">
        <v>12</v>
      </c>
      <c r="H2304">
        <v>12</v>
      </c>
      <c r="I2304">
        <v>12</v>
      </c>
      <c r="J2304">
        <v>12</v>
      </c>
      <c r="L2304">
        <v>12</v>
      </c>
      <c r="M2304">
        <v>12</v>
      </c>
      <c r="N2304">
        <v>12</v>
      </c>
      <c r="P2304">
        <v>12</v>
      </c>
      <c r="R2304">
        <v>12</v>
      </c>
      <c r="S2304">
        <v>12</v>
      </c>
      <c r="T2304">
        <v>12</v>
      </c>
    </row>
    <row r="2305" spans="1:20" x14ac:dyDescent="0.3">
      <c r="A2305" t="s">
        <v>39</v>
      </c>
      <c r="B2305">
        <v>44</v>
      </c>
      <c r="H2305">
        <v>115</v>
      </c>
      <c r="J2305">
        <v>115</v>
      </c>
      <c r="L2305">
        <v>100</v>
      </c>
      <c r="R2305">
        <v>80</v>
      </c>
    </row>
    <row r="2306" spans="1:20" x14ac:dyDescent="0.3">
      <c r="A2306" t="s">
        <v>726</v>
      </c>
      <c r="B2306">
        <v>44</v>
      </c>
      <c r="H2306">
        <v>25</v>
      </c>
      <c r="J2306">
        <v>25</v>
      </c>
      <c r="L2306">
        <v>25</v>
      </c>
      <c r="R2306">
        <v>25</v>
      </c>
    </row>
    <row r="2307" spans="1:20" x14ac:dyDescent="0.3">
      <c r="A2307" t="s">
        <v>40</v>
      </c>
      <c r="B2307">
        <v>44</v>
      </c>
      <c r="H2307">
        <v>1</v>
      </c>
      <c r="J2307">
        <v>0</v>
      </c>
      <c r="L2307">
        <v>1</v>
      </c>
      <c r="R2307">
        <v>1</v>
      </c>
    </row>
    <row r="2308" spans="1:20" x14ac:dyDescent="0.3">
      <c r="A2308" t="s">
        <v>41</v>
      </c>
      <c r="B2308">
        <v>44</v>
      </c>
    </row>
    <row r="2309" spans="1:20" x14ac:dyDescent="0.3">
      <c r="A2309" t="s">
        <v>42</v>
      </c>
      <c r="B2309">
        <v>44</v>
      </c>
      <c r="E2309">
        <v>25</v>
      </c>
      <c r="I2309">
        <v>25</v>
      </c>
      <c r="M2309">
        <v>40</v>
      </c>
      <c r="S2309">
        <v>40</v>
      </c>
    </row>
    <row r="2310" spans="1:20" x14ac:dyDescent="0.3">
      <c r="A2310" t="s">
        <v>45</v>
      </c>
      <c r="B2310">
        <v>44</v>
      </c>
      <c r="E2310">
        <v>2</v>
      </c>
      <c r="J2310">
        <v>2</v>
      </c>
      <c r="M2310">
        <v>1</v>
      </c>
      <c r="S2310">
        <v>1</v>
      </c>
    </row>
    <row r="2311" spans="1:20" x14ac:dyDescent="0.3">
      <c r="A2311" t="s">
        <v>46</v>
      </c>
      <c r="B2311">
        <v>44</v>
      </c>
      <c r="D2311">
        <v>2</v>
      </c>
      <c r="H2311">
        <v>2</v>
      </c>
      <c r="L2311">
        <v>1</v>
      </c>
      <c r="R2311">
        <v>1</v>
      </c>
    </row>
    <row r="2312" spans="1:20" x14ac:dyDescent="0.3">
      <c r="A2312" t="s">
        <v>49</v>
      </c>
      <c r="B2312">
        <v>44</v>
      </c>
      <c r="D2312">
        <v>5.6</v>
      </c>
      <c r="E2312">
        <v>5.6</v>
      </c>
      <c r="F2312">
        <v>4</v>
      </c>
      <c r="H2312">
        <v>5.6</v>
      </c>
      <c r="I2312">
        <v>4</v>
      </c>
      <c r="J2312">
        <v>5.6</v>
      </c>
      <c r="L2312">
        <v>5</v>
      </c>
      <c r="M2312">
        <v>5</v>
      </c>
      <c r="N2312">
        <v>4</v>
      </c>
      <c r="P2312">
        <v>4</v>
      </c>
      <c r="R2312">
        <v>5</v>
      </c>
      <c r="S2312">
        <v>5</v>
      </c>
      <c r="T2312">
        <v>4</v>
      </c>
    </row>
    <row r="2313" spans="1:20" x14ac:dyDescent="0.3">
      <c r="A2313" t="s">
        <v>727</v>
      </c>
      <c r="B2313">
        <v>44</v>
      </c>
      <c r="D2313">
        <v>0</v>
      </c>
      <c r="E2313">
        <v>0</v>
      </c>
      <c r="F2313">
        <v>0</v>
      </c>
      <c r="H2313">
        <v>0</v>
      </c>
      <c r="I2313">
        <v>0</v>
      </c>
      <c r="J2313">
        <v>0</v>
      </c>
      <c r="L2313">
        <v>0</v>
      </c>
      <c r="M2313">
        <v>0</v>
      </c>
      <c r="N2313">
        <v>0</v>
      </c>
      <c r="P2313">
        <v>0</v>
      </c>
      <c r="R2313">
        <v>0</v>
      </c>
      <c r="S2313">
        <v>0</v>
      </c>
      <c r="T2313">
        <v>0</v>
      </c>
    </row>
    <row r="2314" spans="1:20" x14ac:dyDescent="0.3">
      <c r="A2314" t="s">
        <v>48</v>
      </c>
      <c r="B2314">
        <v>44</v>
      </c>
      <c r="D2314">
        <v>1900</v>
      </c>
      <c r="E2314">
        <v>1900</v>
      </c>
      <c r="F2314">
        <v>1900</v>
      </c>
      <c r="H2314">
        <v>1900</v>
      </c>
      <c r="I2314">
        <v>1900</v>
      </c>
      <c r="J2314">
        <v>1900</v>
      </c>
      <c r="L2314">
        <v>1900</v>
      </c>
      <c r="M2314">
        <v>1900</v>
      </c>
      <c r="N2314">
        <v>1900</v>
      </c>
      <c r="P2314">
        <v>1900</v>
      </c>
      <c r="R2314">
        <v>1900</v>
      </c>
      <c r="S2314">
        <v>1900</v>
      </c>
      <c r="T2314">
        <v>1900</v>
      </c>
    </row>
    <row r="2315" spans="1:20" x14ac:dyDescent="0.3">
      <c r="A2315" t="s">
        <v>728</v>
      </c>
      <c r="B2315">
        <v>44</v>
      </c>
      <c r="D2315">
        <v>0</v>
      </c>
      <c r="E2315">
        <v>1701</v>
      </c>
      <c r="F2315">
        <v>0</v>
      </c>
      <c r="H2315">
        <v>1770</v>
      </c>
      <c r="I2315">
        <v>0</v>
      </c>
      <c r="J2315">
        <v>1583</v>
      </c>
      <c r="L2315">
        <v>1770</v>
      </c>
      <c r="M2315">
        <v>5080</v>
      </c>
      <c r="N2315">
        <v>0</v>
      </c>
      <c r="P2315">
        <v>0</v>
      </c>
      <c r="R2315">
        <v>1770</v>
      </c>
      <c r="S2315">
        <v>5050</v>
      </c>
      <c r="T2315">
        <v>0</v>
      </c>
    </row>
    <row r="2316" spans="1:20" x14ac:dyDescent="0.3">
      <c r="A2316" t="s">
        <v>50</v>
      </c>
      <c r="B2316">
        <v>44</v>
      </c>
      <c r="D2316">
        <v>0</v>
      </c>
      <c r="E2316">
        <v>1701</v>
      </c>
      <c r="F2316">
        <v>0</v>
      </c>
      <c r="H2316">
        <v>1399</v>
      </c>
      <c r="I2316">
        <v>0</v>
      </c>
      <c r="J2316">
        <v>1583</v>
      </c>
      <c r="L2316">
        <v>246</v>
      </c>
      <c r="M2316">
        <v>5080</v>
      </c>
      <c r="N2316">
        <v>0</v>
      </c>
      <c r="P2316">
        <v>0</v>
      </c>
      <c r="R2316">
        <v>333</v>
      </c>
      <c r="S2316">
        <v>5050</v>
      </c>
      <c r="T2316">
        <v>0</v>
      </c>
    </row>
    <row r="2317" spans="1:20" x14ac:dyDescent="0.3">
      <c r="A2317" t="s">
        <v>729</v>
      </c>
      <c r="B2317">
        <v>44</v>
      </c>
      <c r="D2317">
        <v>1</v>
      </c>
      <c r="E2317">
        <v>1</v>
      </c>
      <c r="F2317">
        <v>1</v>
      </c>
      <c r="H2317">
        <v>1</v>
      </c>
      <c r="I2317">
        <v>1</v>
      </c>
      <c r="J2317">
        <v>1</v>
      </c>
      <c r="L2317">
        <v>1</v>
      </c>
      <c r="M2317">
        <v>1</v>
      </c>
      <c r="N2317">
        <v>1</v>
      </c>
      <c r="P2317">
        <v>1</v>
      </c>
      <c r="R2317">
        <v>1</v>
      </c>
      <c r="S2317">
        <v>1</v>
      </c>
      <c r="T2317">
        <v>1</v>
      </c>
    </row>
    <row r="2318" spans="1:20" x14ac:dyDescent="0.3">
      <c r="A2318" t="s">
        <v>51</v>
      </c>
      <c r="B2318">
        <v>44</v>
      </c>
      <c r="D2318">
        <v>0</v>
      </c>
      <c r="E2318">
        <v>5</v>
      </c>
      <c r="F2318">
        <v>0</v>
      </c>
      <c r="H2318">
        <v>0</v>
      </c>
      <c r="I2318">
        <v>0</v>
      </c>
      <c r="J2318">
        <v>62</v>
      </c>
      <c r="L2318">
        <v>0</v>
      </c>
      <c r="M2318">
        <v>1</v>
      </c>
      <c r="N2318">
        <v>0</v>
      </c>
      <c r="P2318">
        <v>0</v>
      </c>
      <c r="R2318">
        <v>0</v>
      </c>
      <c r="S2318">
        <v>14</v>
      </c>
      <c r="T2318">
        <v>0</v>
      </c>
    </row>
    <row r="2319" spans="1:20" x14ac:dyDescent="0.3">
      <c r="A2319" t="s">
        <v>53</v>
      </c>
      <c r="B2319">
        <v>44</v>
      </c>
      <c r="D2319">
        <v>4</v>
      </c>
      <c r="E2319">
        <v>1</v>
      </c>
      <c r="F2319">
        <v>5</v>
      </c>
      <c r="H2319">
        <v>70</v>
      </c>
      <c r="I2319">
        <v>0</v>
      </c>
      <c r="J2319">
        <v>82</v>
      </c>
      <c r="L2319">
        <v>48</v>
      </c>
      <c r="M2319">
        <v>1194</v>
      </c>
      <c r="N2319">
        <v>5</v>
      </c>
      <c r="P2319">
        <v>0</v>
      </c>
      <c r="R2319">
        <v>2</v>
      </c>
      <c r="S2319">
        <v>1348</v>
      </c>
      <c r="T2319">
        <v>68</v>
      </c>
    </row>
    <row r="2320" spans="1:20" x14ac:dyDescent="0.3">
      <c r="A2320" t="s">
        <v>54</v>
      </c>
      <c r="B2320">
        <v>44</v>
      </c>
      <c r="D2320">
        <v>0</v>
      </c>
      <c r="E2320">
        <v>0</v>
      </c>
      <c r="F2320">
        <v>0</v>
      </c>
      <c r="H2320">
        <v>0</v>
      </c>
      <c r="I2320">
        <v>0</v>
      </c>
      <c r="J2320">
        <v>0</v>
      </c>
      <c r="L2320">
        <v>0</v>
      </c>
      <c r="M2320">
        <v>0</v>
      </c>
      <c r="N2320">
        <v>0</v>
      </c>
      <c r="P2320">
        <v>0</v>
      </c>
      <c r="R2320">
        <v>0</v>
      </c>
      <c r="S2320">
        <v>0</v>
      </c>
      <c r="T2320">
        <v>0</v>
      </c>
    </row>
    <row r="2321" spans="1:20" x14ac:dyDescent="0.3">
      <c r="A2321" t="s">
        <v>55</v>
      </c>
      <c r="B2321">
        <v>44</v>
      </c>
      <c r="D2321">
        <v>0</v>
      </c>
      <c r="E2321">
        <v>0</v>
      </c>
      <c r="F2321">
        <v>0</v>
      </c>
      <c r="H2321">
        <v>0</v>
      </c>
      <c r="I2321">
        <v>0</v>
      </c>
      <c r="J2321">
        <v>0</v>
      </c>
      <c r="L2321">
        <v>0</v>
      </c>
      <c r="M2321">
        <v>0</v>
      </c>
      <c r="N2321">
        <v>0</v>
      </c>
      <c r="P2321">
        <v>0</v>
      </c>
      <c r="R2321">
        <v>0</v>
      </c>
      <c r="S2321">
        <v>0</v>
      </c>
      <c r="T2321">
        <v>0</v>
      </c>
    </row>
    <row r="2322" spans="1:20" x14ac:dyDescent="0.3">
      <c r="A2322" t="s">
        <v>56</v>
      </c>
      <c r="B2322">
        <v>44</v>
      </c>
      <c r="D2322">
        <v>0.92</v>
      </c>
      <c r="E2322">
        <v>0.92</v>
      </c>
      <c r="F2322">
        <v>0.92</v>
      </c>
      <c r="H2322">
        <v>0.92</v>
      </c>
      <c r="I2322">
        <v>0.92</v>
      </c>
      <c r="J2322">
        <v>0.92</v>
      </c>
      <c r="L2322">
        <v>0.92</v>
      </c>
      <c r="M2322">
        <v>0.92</v>
      </c>
      <c r="N2322">
        <v>0.92</v>
      </c>
      <c r="P2322">
        <v>0.92</v>
      </c>
      <c r="R2322">
        <v>0.92</v>
      </c>
      <c r="S2322">
        <v>0.92</v>
      </c>
      <c r="T2322">
        <v>0.92</v>
      </c>
    </row>
    <row r="2323" spans="1:20" x14ac:dyDescent="0.3">
      <c r="A2323" t="s">
        <v>57</v>
      </c>
      <c r="B2323">
        <v>44</v>
      </c>
      <c r="D2323">
        <v>100</v>
      </c>
      <c r="E2323">
        <v>100</v>
      </c>
      <c r="F2323">
        <v>100</v>
      </c>
      <c r="H2323">
        <v>100</v>
      </c>
      <c r="I2323">
        <v>100</v>
      </c>
      <c r="J2323">
        <v>100</v>
      </c>
      <c r="L2323">
        <v>100</v>
      </c>
      <c r="M2323">
        <v>100</v>
      </c>
      <c r="N2323">
        <v>100</v>
      </c>
      <c r="P2323">
        <v>100</v>
      </c>
      <c r="R2323">
        <v>100</v>
      </c>
      <c r="S2323">
        <v>100</v>
      </c>
      <c r="T2323">
        <v>100</v>
      </c>
    </row>
    <row r="2324" spans="1:20" x14ac:dyDescent="0.3">
      <c r="A2324" t="s">
        <v>58</v>
      </c>
      <c r="B2324">
        <v>44</v>
      </c>
      <c r="D2324">
        <v>2</v>
      </c>
      <c r="E2324">
        <v>2</v>
      </c>
      <c r="F2324">
        <v>2</v>
      </c>
      <c r="H2324">
        <v>2</v>
      </c>
      <c r="I2324">
        <v>2</v>
      </c>
      <c r="J2324">
        <v>2</v>
      </c>
      <c r="L2324">
        <v>2</v>
      </c>
      <c r="M2324">
        <v>2</v>
      </c>
      <c r="N2324">
        <v>2</v>
      </c>
      <c r="P2324">
        <v>2</v>
      </c>
      <c r="R2324">
        <v>2</v>
      </c>
      <c r="S2324">
        <v>2</v>
      </c>
      <c r="T2324">
        <v>2</v>
      </c>
    </row>
    <row r="2325" spans="1:20" x14ac:dyDescent="0.3">
      <c r="A2325" t="s">
        <v>59</v>
      </c>
      <c r="B2325">
        <v>44</v>
      </c>
      <c r="D2325">
        <v>0</v>
      </c>
      <c r="E2325">
        <v>0</v>
      </c>
      <c r="F2325">
        <v>0</v>
      </c>
      <c r="H2325">
        <v>0</v>
      </c>
      <c r="I2325">
        <v>0</v>
      </c>
      <c r="J2325">
        <v>0</v>
      </c>
      <c r="L2325">
        <v>0</v>
      </c>
      <c r="M2325">
        <v>0</v>
      </c>
      <c r="N2325">
        <v>0</v>
      </c>
      <c r="P2325">
        <v>0</v>
      </c>
      <c r="R2325">
        <v>0</v>
      </c>
      <c r="S2325">
        <v>0</v>
      </c>
      <c r="T2325">
        <v>0</v>
      </c>
    </row>
    <row r="2326" spans="1:20" x14ac:dyDescent="0.3">
      <c r="A2326" t="s">
        <v>730</v>
      </c>
      <c r="B2326">
        <v>44</v>
      </c>
      <c r="E2326">
        <v>0</v>
      </c>
      <c r="I2326">
        <v>0</v>
      </c>
      <c r="M2326">
        <v>0</v>
      </c>
      <c r="S2326">
        <v>0</v>
      </c>
    </row>
    <row r="2327" spans="1:20" x14ac:dyDescent="0.3">
      <c r="A2327" t="s">
        <v>679</v>
      </c>
      <c r="B2327">
        <v>44</v>
      </c>
      <c r="E2327">
        <v>331</v>
      </c>
      <c r="I2327">
        <v>483</v>
      </c>
      <c r="M2327">
        <v>2630</v>
      </c>
      <c r="S2327">
        <v>682</v>
      </c>
    </row>
    <row r="2328" spans="1:20" x14ac:dyDescent="0.3">
      <c r="A2328" t="s">
        <v>78</v>
      </c>
      <c r="B2328">
        <v>44</v>
      </c>
      <c r="E2328">
        <v>9</v>
      </c>
      <c r="I2328">
        <v>13.2</v>
      </c>
      <c r="M2328">
        <v>44.8</v>
      </c>
      <c r="S2328">
        <v>11.6</v>
      </c>
    </row>
    <row r="2329" spans="1:20" x14ac:dyDescent="0.3">
      <c r="A2329" t="s">
        <v>731</v>
      </c>
      <c r="B2329">
        <v>44</v>
      </c>
      <c r="F2329">
        <v>0</v>
      </c>
      <c r="J2329">
        <v>0</v>
      </c>
      <c r="N2329">
        <v>0</v>
      </c>
      <c r="T2329">
        <v>0</v>
      </c>
    </row>
    <row r="2330" spans="1:20" x14ac:dyDescent="0.3">
      <c r="A2330" t="s">
        <v>732</v>
      </c>
      <c r="B2330">
        <v>44</v>
      </c>
      <c r="D2330">
        <v>0</v>
      </c>
      <c r="E2330">
        <v>0</v>
      </c>
      <c r="F2330">
        <v>1</v>
      </c>
      <c r="H2330">
        <v>0</v>
      </c>
      <c r="I2330">
        <v>0</v>
      </c>
      <c r="J2330">
        <v>1</v>
      </c>
      <c r="L2330">
        <v>0</v>
      </c>
      <c r="M2330">
        <v>0</v>
      </c>
      <c r="N2330">
        <v>1</v>
      </c>
      <c r="P2330">
        <v>3</v>
      </c>
      <c r="R2330">
        <v>0</v>
      </c>
      <c r="S2330">
        <v>0</v>
      </c>
      <c r="T2330">
        <v>1</v>
      </c>
    </row>
    <row r="2331" spans="1:20" x14ac:dyDescent="0.3">
      <c r="A2331" t="s">
        <v>733</v>
      </c>
      <c r="B2331">
        <v>44</v>
      </c>
      <c r="D2331">
        <v>0</v>
      </c>
      <c r="E2331">
        <v>0</v>
      </c>
      <c r="F2331">
        <v>0</v>
      </c>
      <c r="H2331">
        <v>0</v>
      </c>
      <c r="I2331">
        <v>0</v>
      </c>
      <c r="J2331">
        <v>0</v>
      </c>
      <c r="L2331">
        <v>0</v>
      </c>
      <c r="M2331">
        <v>0</v>
      </c>
      <c r="N2331">
        <v>0</v>
      </c>
      <c r="P2331">
        <v>0</v>
      </c>
      <c r="R2331">
        <v>0</v>
      </c>
      <c r="S2331">
        <v>0</v>
      </c>
      <c r="T2331">
        <v>0</v>
      </c>
    </row>
    <row r="2332" spans="1:20" x14ac:dyDescent="0.3">
      <c r="A2332" t="s">
        <v>52</v>
      </c>
      <c r="B2332">
        <v>44</v>
      </c>
      <c r="D2332">
        <v>1</v>
      </c>
      <c r="E2332">
        <v>1</v>
      </c>
      <c r="F2332">
        <v>1</v>
      </c>
      <c r="H2332">
        <v>1</v>
      </c>
      <c r="I2332">
        <v>1</v>
      </c>
      <c r="J2332">
        <v>1</v>
      </c>
      <c r="L2332">
        <v>1</v>
      </c>
      <c r="M2332">
        <v>1</v>
      </c>
      <c r="N2332">
        <v>1</v>
      </c>
      <c r="P2332">
        <v>1</v>
      </c>
      <c r="R2332">
        <v>1</v>
      </c>
      <c r="S2332">
        <v>1</v>
      </c>
      <c r="T2332">
        <v>1</v>
      </c>
    </row>
    <row r="2333" spans="1:20" x14ac:dyDescent="0.3">
      <c r="A2333" t="s">
        <v>734</v>
      </c>
      <c r="B2333">
        <v>44</v>
      </c>
      <c r="D2333">
        <v>15</v>
      </c>
      <c r="E2333">
        <v>60</v>
      </c>
      <c r="F2333">
        <v>9</v>
      </c>
      <c r="H2333">
        <v>15</v>
      </c>
      <c r="I2333">
        <v>60</v>
      </c>
      <c r="J2333">
        <v>9</v>
      </c>
      <c r="L2333">
        <v>15</v>
      </c>
      <c r="M2333">
        <v>60</v>
      </c>
      <c r="N2333">
        <v>9</v>
      </c>
      <c r="P2333">
        <v>9</v>
      </c>
      <c r="R2333">
        <v>15</v>
      </c>
      <c r="S2333">
        <v>60</v>
      </c>
      <c r="T2333">
        <v>9</v>
      </c>
    </row>
    <row r="2334" spans="1:20" x14ac:dyDescent="0.3">
      <c r="A2334" t="s">
        <v>43</v>
      </c>
      <c r="B2334">
        <v>44</v>
      </c>
      <c r="D2334">
        <v>20</v>
      </c>
      <c r="E2334">
        <v>100</v>
      </c>
      <c r="H2334">
        <v>20</v>
      </c>
      <c r="J2334">
        <v>20</v>
      </c>
      <c r="L2334">
        <v>20</v>
      </c>
      <c r="M2334">
        <v>100</v>
      </c>
      <c r="R2334">
        <v>20</v>
      </c>
      <c r="S2334">
        <v>100</v>
      </c>
    </row>
    <row r="2335" spans="1:20" x14ac:dyDescent="0.3">
      <c r="A2335" t="s">
        <v>44</v>
      </c>
      <c r="B2335">
        <v>44</v>
      </c>
      <c r="D2335">
        <v>0</v>
      </c>
      <c r="E2335">
        <v>0</v>
      </c>
      <c r="H2335">
        <v>0</v>
      </c>
      <c r="J2335">
        <v>0</v>
      </c>
      <c r="L2335">
        <v>0</v>
      </c>
      <c r="M2335">
        <v>0</v>
      </c>
      <c r="R2335">
        <v>0</v>
      </c>
      <c r="S2335">
        <v>0</v>
      </c>
    </row>
    <row r="2336" spans="1:20" x14ac:dyDescent="0.3">
      <c r="A2336" t="s">
        <v>47</v>
      </c>
      <c r="B2336">
        <v>44</v>
      </c>
      <c r="D2336">
        <v>2</v>
      </c>
      <c r="E2336">
        <v>2</v>
      </c>
      <c r="H2336">
        <v>2</v>
      </c>
      <c r="J2336">
        <v>2</v>
      </c>
      <c r="L2336">
        <v>1</v>
      </c>
      <c r="M2336">
        <v>1</v>
      </c>
      <c r="R2336">
        <v>1</v>
      </c>
      <c r="S2336">
        <v>1</v>
      </c>
    </row>
    <row r="2337" spans="1:19" x14ac:dyDescent="0.3">
      <c r="A2337" t="s">
        <v>735</v>
      </c>
      <c r="B2337">
        <v>44</v>
      </c>
      <c r="D2337">
        <v>0</v>
      </c>
      <c r="E2337">
        <v>0</v>
      </c>
      <c r="H2337">
        <v>0</v>
      </c>
      <c r="J2337">
        <v>0</v>
      </c>
      <c r="L2337">
        <v>0</v>
      </c>
      <c r="M2337">
        <v>0</v>
      </c>
      <c r="R2337">
        <v>0</v>
      </c>
      <c r="S2337">
        <v>0</v>
      </c>
    </row>
    <row r="2338" spans="1:19" x14ac:dyDescent="0.3">
      <c r="A2338" t="s">
        <v>736</v>
      </c>
      <c r="B2338">
        <v>44</v>
      </c>
      <c r="D2338">
        <v>0</v>
      </c>
      <c r="E2338">
        <v>0</v>
      </c>
      <c r="H2338">
        <v>0</v>
      </c>
      <c r="J2338">
        <v>0</v>
      </c>
      <c r="L2338">
        <v>0</v>
      </c>
      <c r="M2338">
        <v>0</v>
      </c>
      <c r="R2338">
        <v>0</v>
      </c>
      <c r="S2338">
        <v>0</v>
      </c>
    </row>
    <row r="2339" spans="1:19" x14ac:dyDescent="0.3">
      <c r="A2339" t="s">
        <v>737</v>
      </c>
      <c r="B2339">
        <v>44</v>
      </c>
      <c r="D2339">
        <v>0</v>
      </c>
      <c r="E2339">
        <v>0</v>
      </c>
      <c r="H2339">
        <v>0</v>
      </c>
      <c r="J2339">
        <v>0</v>
      </c>
      <c r="L2339">
        <v>0</v>
      </c>
      <c r="M2339">
        <v>0</v>
      </c>
      <c r="R2339">
        <v>0</v>
      </c>
      <c r="S2339">
        <v>0</v>
      </c>
    </row>
    <row r="2340" spans="1:19" x14ac:dyDescent="0.3">
      <c r="A2340" t="s">
        <v>738</v>
      </c>
      <c r="B2340">
        <v>44</v>
      </c>
      <c r="D2340">
        <v>0</v>
      </c>
      <c r="E2340">
        <v>0</v>
      </c>
      <c r="H2340">
        <v>0</v>
      </c>
      <c r="J2340">
        <v>0</v>
      </c>
      <c r="L2340">
        <v>0</v>
      </c>
      <c r="M2340">
        <v>0</v>
      </c>
      <c r="R2340">
        <v>0</v>
      </c>
      <c r="S2340">
        <v>0</v>
      </c>
    </row>
    <row r="2341" spans="1:19" x14ac:dyDescent="0.3">
      <c r="A2341" t="s">
        <v>739</v>
      </c>
      <c r="B2341">
        <v>44</v>
      </c>
      <c r="D2341">
        <v>1</v>
      </c>
      <c r="E2341">
        <v>2</v>
      </c>
      <c r="H2341">
        <v>1</v>
      </c>
      <c r="J2341">
        <v>1</v>
      </c>
      <c r="L2341">
        <v>1</v>
      </c>
      <c r="M2341">
        <v>2</v>
      </c>
      <c r="R2341">
        <v>1</v>
      </c>
      <c r="S2341">
        <v>2</v>
      </c>
    </row>
    <row r="2342" spans="1:19" x14ac:dyDescent="0.3">
      <c r="A2342" t="s">
        <v>740</v>
      </c>
      <c r="B2342">
        <v>44</v>
      </c>
      <c r="D2342">
        <v>0</v>
      </c>
      <c r="E2342">
        <v>0</v>
      </c>
      <c r="H2342">
        <v>0</v>
      </c>
      <c r="J2342">
        <v>0</v>
      </c>
      <c r="L2342">
        <v>0</v>
      </c>
      <c r="M2342">
        <v>0</v>
      </c>
      <c r="R2342">
        <v>0</v>
      </c>
      <c r="S2342">
        <v>0</v>
      </c>
    </row>
    <row r="2343" spans="1:19" x14ac:dyDescent="0.3">
      <c r="A2343" t="s">
        <v>741</v>
      </c>
      <c r="B2343">
        <v>44</v>
      </c>
      <c r="D2343">
        <v>20</v>
      </c>
      <c r="E2343">
        <v>6</v>
      </c>
      <c r="H2343">
        <v>20</v>
      </c>
      <c r="J2343">
        <v>20</v>
      </c>
      <c r="L2343">
        <v>20</v>
      </c>
      <c r="M2343">
        <v>6</v>
      </c>
      <c r="R2343">
        <v>20</v>
      </c>
      <c r="S2343">
        <v>6</v>
      </c>
    </row>
    <row r="2344" spans="1:19" x14ac:dyDescent="0.3">
      <c r="A2344" t="s">
        <v>742</v>
      </c>
      <c r="B2344">
        <v>44</v>
      </c>
      <c r="D2344">
        <v>3</v>
      </c>
      <c r="E2344">
        <v>3</v>
      </c>
      <c r="H2344">
        <v>3</v>
      </c>
      <c r="J2344">
        <v>3</v>
      </c>
      <c r="L2344">
        <v>3</v>
      </c>
      <c r="M2344">
        <v>3</v>
      </c>
      <c r="R2344">
        <v>3</v>
      </c>
      <c r="S2344">
        <v>3</v>
      </c>
    </row>
    <row r="2345" spans="1:19" x14ac:dyDescent="0.3">
      <c r="A2345" t="s">
        <v>743</v>
      </c>
      <c r="B2345">
        <v>44</v>
      </c>
      <c r="D2345">
        <v>0</v>
      </c>
      <c r="E2345">
        <v>0</v>
      </c>
      <c r="H2345">
        <v>0</v>
      </c>
      <c r="J2345">
        <v>0</v>
      </c>
      <c r="L2345">
        <v>0</v>
      </c>
      <c r="M2345">
        <v>0</v>
      </c>
      <c r="R2345">
        <v>0</v>
      </c>
      <c r="S2345">
        <v>0</v>
      </c>
    </row>
    <row r="2346" spans="1:19" x14ac:dyDescent="0.3">
      <c r="A2346" t="s">
        <v>744</v>
      </c>
      <c r="B2346">
        <v>44</v>
      </c>
      <c r="D2346">
        <v>0</v>
      </c>
      <c r="E2346">
        <v>0</v>
      </c>
      <c r="H2346">
        <v>0</v>
      </c>
      <c r="J2346">
        <v>0</v>
      </c>
      <c r="L2346">
        <v>0</v>
      </c>
      <c r="M2346">
        <v>0</v>
      </c>
      <c r="R2346">
        <v>0</v>
      </c>
      <c r="S2346">
        <v>0</v>
      </c>
    </row>
    <row r="2347" spans="1:19" x14ac:dyDescent="0.3">
      <c r="A2347" t="s">
        <v>745</v>
      </c>
      <c r="B2347">
        <v>44</v>
      </c>
      <c r="D2347">
        <v>0</v>
      </c>
      <c r="E2347">
        <v>0</v>
      </c>
      <c r="H2347">
        <v>0</v>
      </c>
      <c r="J2347">
        <v>0</v>
      </c>
      <c r="L2347">
        <v>0</v>
      </c>
      <c r="M2347">
        <v>0</v>
      </c>
      <c r="R2347">
        <v>0</v>
      </c>
      <c r="S2347">
        <v>0</v>
      </c>
    </row>
    <row r="2348" spans="1:19" x14ac:dyDescent="0.3">
      <c r="A2348" t="s">
        <v>746</v>
      </c>
      <c r="B2348">
        <v>44</v>
      </c>
      <c r="E2348">
        <v>94</v>
      </c>
      <c r="M2348">
        <v>94</v>
      </c>
      <c r="S2348">
        <v>94</v>
      </c>
    </row>
    <row r="2349" spans="1:19" x14ac:dyDescent="0.3">
      <c r="A2349" t="s">
        <v>747</v>
      </c>
      <c r="B2349">
        <v>44</v>
      </c>
      <c r="E2349">
        <v>6</v>
      </c>
      <c r="M2349">
        <v>6</v>
      </c>
      <c r="S2349">
        <v>6</v>
      </c>
    </row>
    <row r="2350" spans="1:19" x14ac:dyDescent="0.3">
      <c r="A2350" t="s">
        <v>748</v>
      </c>
      <c r="B2350">
        <v>44</v>
      </c>
      <c r="E2350">
        <v>3</v>
      </c>
      <c r="M2350">
        <v>3</v>
      </c>
      <c r="S2350">
        <v>3</v>
      </c>
    </row>
    <row r="2351" spans="1:19" x14ac:dyDescent="0.3">
      <c r="A2351" t="s">
        <v>749</v>
      </c>
      <c r="B2351">
        <v>44</v>
      </c>
      <c r="E2351">
        <v>0</v>
      </c>
      <c r="M2351">
        <v>0</v>
      </c>
      <c r="S2351">
        <v>0</v>
      </c>
    </row>
    <row r="2352" spans="1:19" x14ac:dyDescent="0.3">
      <c r="A2352" t="s">
        <v>750</v>
      </c>
      <c r="B2352">
        <v>44</v>
      </c>
      <c r="E2352">
        <v>0</v>
      </c>
      <c r="I2352">
        <v>0</v>
      </c>
      <c r="M2352">
        <v>0</v>
      </c>
      <c r="S2352">
        <v>0</v>
      </c>
    </row>
    <row r="2353" spans="1:20" x14ac:dyDescent="0.3">
      <c r="A2353" t="s">
        <v>405</v>
      </c>
      <c r="B2353">
        <v>44</v>
      </c>
      <c r="E2353">
        <v>0</v>
      </c>
    </row>
    <row r="2354" spans="1:20" x14ac:dyDescent="0.3">
      <c r="A2354" t="s">
        <v>751</v>
      </c>
      <c r="B2354">
        <v>44</v>
      </c>
      <c r="D2354">
        <v>0</v>
      </c>
      <c r="E2354">
        <v>10</v>
      </c>
      <c r="F2354">
        <v>0</v>
      </c>
      <c r="H2354">
        <v>76</v>
      </c>
      <c r="I2354">
        <v>0</v>
      </c>
      <c r="J2354">
        <v>89</v>
      </c>
      <c r="L2354">
        <v>52</v>
      </c>
      <c r="M2354">
        <v>1303</v>
      </c>
      <c r="N2354">
        <v>0</v>
      </c>
      <c r="P2354">
        <v>0</v>
      </c>
      <c r="R2354">
        <v>2</v>
      </c>
      <c r="S2354">
        <v>1539</v>
      </c>
      <c r="T2354">
        <v>0</v>
      </c>
    </row>
    <row r="2355" spans="1:20" x14ac:dyDescent="0.3">
      <c r="A2355" t="s">
        <v>34</v>
      </c>
      <c r="B2355">
        <v>48</v>
      </c>
      <c r="D2355">
        <v>50</v>
      </c>
      <c r="F2355">
        <v>50</v>
      </c>
      <c r="M2355">
        <v>44</v>
      </c>
      <c r="N2355">
        <v>44</v>
      </c>
      <c r="P2355">
        <v>49</v>
      </c>
      <c r="R2355">
        <v>49</v>
      </c>
      <c r="S2355">
        <v>49</v>
      </c>
    </row>
    <row r="2356" spans="1:20" x14ac:dyDescent="0.3">
      <c r="A2356" t="s">
        <v>35</v>
      </c>
      <c r="B2356">
        <v>48</v>
      </c>
      <c r="D2356">
        <v>44</v>
      </c>
      <c r="F2356">
        <v>49</v>
      </c>
      <c r="M2356">
        <v>49</v>
      </c>
      <c r="N2356">
        <v>50</v>
      </c>
      <c r="P2356">
        <v>49</v>
      </c>
      <c r="R2356">
        <v>50</v>
      </c>
      <c r="S2356">
        <v>44</v>
      </c>
    </row>
    <row r="2357" spans="1:20" x14ac:dyDescent="0.3">
      <c r="A2357" t="s">
        <v>36</v>
      </c>
      <c r="B2357">
        <v>48</v>
      </c>
      <c r="D2357">
        <v>1</v>
      </c>
      <c r="F2357">
        <v>0</v>
      </c>
      <c r="M2357">
        <v>3</v>
      </c>
      <c r="N2357">
        <v>0</v>
      </c>
      <c r="P2357">
        <v>0</v>
      </c>
      <c r="R2357">
        <v>1</v>
      </c>
      <c r="S2357">
        <v>3</v>
      </c>
    </row>
    <row r="2358" spans="1:20" x14ac:dyDescent="0.3">
      <c r="A2358" t="s">
        <v>37</v>
      </c>
      <c r="B2358">
        <v>48</v>
      </c>
      <c r="D2358">
        <v>2</v>
      </c>
      <c r="M2358">
        <v>2</v>
      </c>
      <c r="R2358">
        <v>0</v>
      </c>
      <c r="S2358">
        <v>0</v>
      </c>
    </row>
    <row r="2359" spans="1:20" x14ac:dyDescent="0.3">
      <c r="A2359" t="s">
        <v>38</v>
      </c>
      <c r="B2359">
        <v>48</v>
      </c>
      <c r="D2359">
        <v>12</v>
      </c>
      <c r="F2359">
        <v>12</v>
      </c>
      <c r="M2359">
        <v>12</v>
      </c>
      <c r="N2359">
        <v>12</v>
      </c>
      <c r="P2359">
        <v>12</v>
      </c>
      <c r="R2359">
        <v>12</v>
      </c>
      <c r="S2359">
        <v>12</v>
      </c>
    </row>
    <row r="2360" spans="1:20" x14ac:dyDescent="0.3">
      <c r="A2360" t="s">
        <v>39</v>
      </c>
      <c r="B2360">
        <v>48</v>
      </c>
      <c r="R2360">
        <v>115</v>
      </c>
    </row>
    <row r="2361" spans="1:20" x14ac:dyDescent="0.3">
      <c r="A2361" t="s">
        <v>726</v>
      </c>
      <c r="B2361">
        <v>48</v>
      </c>
      <c r="R2361">
        <v>25</v>
      </c>
    </row>
    <row r="2362" spans="1:20" x14ac:dyDescent="0.3">
      <c r="A2362" t="s">
        <v>40</v>
      </c>
      <c r="B2362">
        <v>48</v>
      </c>
      <c r="R2362">
        <v>1</v>
      </c>
    </row>
    <row r="2363" spans="1:20" x14ac:dyDescent="0.3">
      <c r="A2363" t="s">
        <v>41</v>
      </c>
      <c r="B2363">
        <v>48</v>
      </c>
    </row>
    <row r="2364" spans="1:20" x14ac:dyDescent="0.3">
      <c r="A2364" t="s">
        <v>42</v>
      </c>
      <c r="B2364">
        <v>48</v>
      </c>
      <c r="D2364">
        <v>25</v>
      </c>
      <c r="M2364">
        <v>40</v>
      </c>
      <c r="S2364">
        <v>40</v>
      </c>
    </row>
    <row r="2365" spans="1:20" x14ac:dyDescent="0.3">
      <c r="A2365" t="s">
        <v>45</v>
      </c>
      <c r="B2365">
        <v>48</v>
      </c>
      <c r="D2365">
        <v>4</v>
      </c>
      <c r="M2365">
        <v>6</v>
      </c>
      <c r="R2365">
        <v>5</v>
      </c>
      <c r="S2365">
        <v>2</v>
      </c>
    </row>
    <row r="2366" spans="1:20" x14ac:dyDescent="0.3">
      <c r="A2366" t="s">
        <v>46</v>
      </c>
      <c r="B2366">
        <v>48</v>
      </c>
      <c r="R2366">
        <v>2</v>
      </c>
    </row>
    <row r="2367" spans="1:20" x14ac:dyDescent="0.3">
      <c r="A2367" t="s">
        <v>49</v>
      </c>
      <c r="B2367">
        <v>48</v>
      </c>
      <c r="D2367">
        <v>5.6</v>
      </c>
      <c r="F2367">
        <v>4</v>
      </c>
      <c r="M2367">
        <v>5</v>
      </c>
      <c r="N2367">
        <v>4</v>
      </c>
      <c r="P2367">
        <v>4</v>
      </c>
      <c r="R2367">
        <v>4</v>
      </c>
      <c r="S2367">
        <v>5</v>
      </c>
    </row>
    <row r="2368" spans="1:20" x14ac:dyDescent="0.3">
      <c r="A2368" t="s">
        <v>727</v>
      </c>
      <c r="B2368">
        <v>48</v>
      </c>
      <c r="D2368">
        <v>0</v>
      </c>
      <c r="F2368">
        <v>0</v>
      </c>
      <c r="M2368">
        <v>0</v>
      </c>
      <c r="N2368">
        <v>0</v>
      </c>
      <c r="P2368">
        <v>0</v>
      </c>
      <c r="R2368">
        <v>0</v>
      </c>
      <c r="S2368">
        <v>0</v>
      </c>
    </row>
    <row r="2369" spans="1:19" x14ac:dyDescent="0.3">
      <c r="A2369" t="s">
        <v>48</v>
      </c>
      <c r="B2369">
        <v>48</v>
      </c>
      <c r="D2369">
        <v>1900</v>
      </c>
      <c r="F2369">
        <v>1900</v>
      </c>
      <c r="M2369">
        <v>1900</v>
      </c>
      <c r="N2369">
        <v>1900</v>
      </c>
      <c r="P2369">
        <v>1900</v>
      </c>
      <c r="R2369">
        <v>1900</v>
      </c>
      <c r="S2369">
        <v>1900</v>
      </c>
    </row>
    <row r="2370" spans="1:19" x14ac:dyDescent="0.3">
      <c r="A2370" t="s">
        <v>728</v>
      </c>
      <c r="B2370">
        <v>48</v>
      </c>
      <c r="D2370">
        <v>1713</v>
      </c>
      <c r="F2370">
        <v>0</v>
      </c>
      <c r="M2370">
        <v>5024</v>
      </c>
      <c r="N2370">
        <v>0</v>
      </c>
      <c r="P2370">
        <v>0</v>
      </c>
      <c r="R2370">
        <v>1770</v>
      </c>
      <c r="S2370">
        <v>5085</v>
      </c>
    </row>
    <row r="2371" spans="1:19" x14ac:dyDescent="0.3">
      <c r="A2371" t="s">
        <v>50</v>
      </c>
      <c r="B2371">
        <v>48</v>
      </c>
      <c r="D2371">
        <v>1713</v>
      </c>
      <c r="F2371">
        <v>0</v>
      </c>
      <c r="M2371">
        <v>5024</v>
      </c>
      <c r="N2371">
        <v>0</v>
      </c>
      <c r="P2371">
        <v>0</v>
      </c>
      <c r="R2371">
        <v>233</v>
      </c>
      <c r="S2371">
        <v>5085</v>
      </c>
    </row>
    <row r="2372" spans="1:19" x14ac:dyDescent="0.3">
      <c r="A2372" t="s">
        <v>729</v>
      </c>
      <c r="B2372">
        <v>48</v>
      </c>
      <c r="D2372">
        <v>1</v>
      </c>
      <c r="F2372">
        <v>1</v>
      </c>
      <c r="M2372">
        <v>1</v>
      </c>
      <c r="N2372">
        <v>1</v>
      </c>
      <c r="P2372">
        <v>1</v>
      </c>
      <c r="R2372">
        <v>1</v>
      </c>
      <c r="S2372">
        <v>1</v>
      </c>
    </row>
    <row r="2373" spans="1:19" x14ac:dyDescent="0.3">
      <c r="A2373" t="s">
        <v>51</v>
      </c>
      <c r="B2373">
        <v>48</v>
      </c>
      <c r="D2373">
        <v>25</v>
      </c>
      <c r="F2373">
        <v>0</v>
      </c>
      <c r="M2373">
        <v>21</v>
      </c>
      <c r="N2373">
        <v>0</v>
      </c>
      <c r="P2373">
        <v>0</v>
      </c>
      <c r="R2373">
        <v>0</v>
      </c>
      <c r="S2373">
        <v>0</v>
      </c>
    </row>
    <row r="2374" spans="1:19" x14ac:dyDescent="0.3">
      <c r="A2374" t="s">
        <v>53</v>
      </c>
      <c r="B2374">
        <v>48</v>
      </c>
      <c r="D2374">
        <v>143</v>
      </c>
      <c r="F2374">
        <v>92</v>
      </c>
      <c r="M2374">
        <v>1233</v>
      </c>
      <c r="N2374">
        <v>110</v>
      </c>
      <c r="P2374">
        <v>0</v>
      </c>
      <c r="R2374">
        <v>100</v>
      </c>
      <c r="S2374">
        <v>1258</v>
      </c>
    </row>
    <row r="2375" spans="1:19" x14ac:dyDescent="0.3">
      <c r="A2375" t="s">
        <v>54</v>
      </c>
      <c r="B2375">
        <v>48</v>
      </c>
      <c r="D2375">
        <v>0</v>
      </c>
      <c r="F2375">
        <v>0</v>
      </c>
      <c r="M2375">
        <v>0</v>
      </c>
      <c r="N2375">
        <v>0</v>
      </c>
      <c r="P2375">
        <v>0</v>
      </c>
      <c r="R2375">
        <v>0</v>
      </c>
      <c r="S2375">
        <v>0</v>
      </c>
    </row>
    <row r="2376" spans="1:19" x14ac:dyDescent="0.3">
      <c r="A2376" t="s">
        <v>55</v>
      </c>
      <c r="B2376">
        <v>48</v>
      </c>
      <c r="D2376">
        <v>0</v>
      </c>
      <c r="F2376">
        <v>0</v>
      </c>
      <c r="M2376">
        <v>0</v>
      </c>
      <c r="N2376">
        <v>0</v>
      </c>
      <c r="P2376">
        <v>0</v>
      </c>
      <c r="R2376">
        <v>0</v>
      </c>
      <c r="S2376">
        <v>0</v>
      </c>
    </row>
    <row r="2377" spans="1:19" x14ac:dyDescent="0.3">
      <c r="A2377" t="s">
        <v>56</v>
      </c>
      <c r="B2377">
        <v>48</v>
      </c>
      <c r="D2377">
        <v>0.92</v>
      </c>
      <c r="F2377">
        <v>0.92</v>
      </c>
      <c r="M2377">
        <v>0.92</v>
      </c>
      <c r="N2377">
        <v>0.92</v>
      </c>
      <c r="P2377">
        <v>0.92</v>
      </c>
      <c r="R2377">
        <v>0.92</v>
      </c>
      <c r="S2377">
        <v>0.92</v>
      </c>
    </row>
    <row r="2378" spans="1:19" x14ac:dyDescent="0.3">
      <c r="A2378" t="s">
        <v>57</v>
      </c>
      <c r="B2378">
        <v>48</v>
      </c>
      <c r="D2378">
        <v>100</v>
      </c>
      <c r="F2378">
        <v>100</v>
      </c>
      <c r="M2378">
        <v>100</v>
      </c>
      <c r="N2378">
        <v>100</v>
      </c>
      <c r="P2378">
        <v>100</v>
      </c>
      <c r="R2378">
        <v>100</v>
      </c>
      <c r="S2378">
        <v>100</v>
      </c>
    </row>
    <row r="2379" spans="1:19" x14ac:dyDescent="0.3">
      <c r="A2379" t="s">
        <v>58</v>
      </c>
      <c r="B2379">
        <v>48</v>
      </c>
      <c r="D2379">
        <v>2</v>
      </c>
      <c r="F2379">
        <v>2</v>
      </c>
      <c r="M2379">
        <v>2</v>
      </c>
      <c r="N2379">
        <v>2</v>
      </c>
      <c r="P2379">
        <v>2</v>
      </c>
      <c r="R2379">
        <v>2</v>
      </c>
      <c r="S2379">
        <v>2</v>
      </c>
    </row>
    <row r="2380" spans="1:19" x14ac:dyDescent="0.3">
      <c r="A2380" t="s">
        <v>59</v>
      </c>
      <c r="B2380">
        <v>48</v>
      </c>
      <c r="D2380">
        <v>0</v>
      </c>
      <c r="F2380">
        <v>0</v>
      </c>
      <c r="M2380">
        <v>0</v>
      </c>
      <c r="N2380">
        <v>0</v>
      </c>
      <c r="P2380">
        <v>0</v>
      </c>
      <c r="R2380">
        <v>0</v>
      </c>
      <c r="S2380">
        <v>0</v>
      </c>
    </row>
    <row r="2381" spans="1:19" x14ac:dyDescent="0.3">
      <c r="A2381" t="s">
        <v>730</v>
      </c>
      <c r="B2381">
        <v>48</v>
      </c>
      <c r="D2381">
        <v>0</v>
      </c>
      <c r="M2381">
        <v>0</v>
      </c>
      <c r="S2381">
        <v>0</v>
      </c>
    </row>
    <row r="2382" spans="1:19" x14ac:dyDescent="0.3">
      <c r="A2382" t="s">
        <v>679</v>
      </c>
      <c r="B2382">
        <v>48</v>
      </c>
      <c r="D2382">
        <v>362</v>
      </c>
      <c r="M2382">
        <v>682</v>
      </c>
      <c r="S2382">
        <v>1947</v>
      </c>
    </row>
    <row r="2383" spans="1:19" x14ac:dyDescent="0.3">
      <c r="A2383" t="s">
        <v>78</v>
      </c>
      <c r="B2383">
        <v>48</v>
      </c>
      <c r="D2383">
        <v>9.9</v>
      </c>
      <c r="M2383">
        <v>11.6</v>
      </c>
      <c r="S2383">
        <v>33.200000000000003</v>
      </c>
    </row>
    <row r="2384" spans="1:19" x14ac:dyDescent="0.3">
      <c r="A2384" t="s">
        <v>731</v>
      </c>
      <c r="B2384">
        <v>48</v>
      </c>
      <c r="F2384">
        <v>0</v>
      </c>
      <c r="N2384">
        <v>0</v>
      </c>
      <c r="S2384">
        <v>0</v>
      </c>
    </row>
    <row r="2385" spans="1:19" x14ac:dyDescent="0.3">
      <c r="A2385" t="s">
        <v>732</v>
      </c>
      <c r="B2385">
        <v>48</v>
      </c>
      <c r="D2385">
        <v>0</v>
      </c>
      <c r="F2385">
        <v>1</v>
      </c>
      <c r="M2385">
        <v>0</v>
      </c>
      <c r="N2385">
        <v>1</v>
      </c>
      <c r="P2385">
        <v>3</v>
      </c>
      <c r="R2385">
        <v>0</v>
      </c>
      <c r="S2385">
        <v>0</v>
      </c>
    </row>
    <row r="2386" spans="1:19" x14ac:dyDescent="0.3">
      <c r="A2386" t="s">
        <v>733</v>
      </c>
      <c r="B2386">
        <v>48</v>
      </c>
      <c r="D2386">
        <v>0</v>
      </c>
      <c r="F2386">
        <v>0</v>
      </c>
      <c r="M2386">
        <v>0</v>
      </c>
      <c r="N2386">
        <v>0</v>
      </c>
      <c r="P2386">
        <v>0</v>
      </c>
      <c r="R2386">
        <v>0</v>
      </c>
      <c r="S2386">
        <v>0</v>
      </c>
    </row>
    <row r="2387" spans="1:19" x14ac:dyDescent="0.3">
      <c r="A2387" t="s">
        <v>52</v>
      </c>
      <c r="B2387">
        <v>48</v>
      </c>
      <c r="D2387">
        <v>1</v>
      </c>
      <c r="F2387">
        <v>1</v>
      </c>
      <c r="M2387">
        <v>1</v>
      </c>
      <c r="N2387">
        <v>1</v>
      </c>
      <c r="P2387">
        <v>1</v>
      </c>
      <c r="R2387">
        <v>1</v>
      </c>
      <c r="S2387">
        <v>1</v>
      </c>
    </row>
    <row r="2388" spans="1:19" x14ac:dyDescent="0.3">
      <c r="A2388" t="s">
        <v>734</v>
      </c>
      <c r="B2388">
        <v>48</v>
      </c>
      <c r="D2388">
        <v>15</v>
      </c>
      <c r="F2388">
        <v>9</v>
      </c>
      <c r="M2388">
        <v>60</v>
      </c>
      <c r="N2388">
        <v>9</v>
      </c>
      <c r="P2388">
        <v>9</v>
      </c>
      <c r="R2388">
        <v>15</v>
      </c>
      <c r="S2388">
        <v>60</v>
      </c>
    </row>
    <row r="2389" spans="1:19" x14ac:dyDescent="0.3">
      <c r="A2389" t="s">
        <v>43</v>
      </c>
      <c r="B2389">
        <v>48</v>
      </c>
      <c r="D2389">
        <v>20</v>
      </c>
      <c r="M2389">
        <v>100</v>
      </c>
      <c r="R2389">
        <v>20</v>
      </c>
      <c r="S2389">
        <v>100</v>
      </c>
    </row>
    <row r="2390" spans="1:19" x14ac:dyDescent="0.3">
      <c r="A2390" t="s">
        <v>44</v>
      </c>
      <c r="B2390">
        <v>48</v>
      </c>
      <c r="D2390">
        <v>0</v>
      </c>
      <c r="M2390">
        <v>0</v>
      </c>
      <c r="R2390">
        <v>0</v>
      </c>
      <c r="S2390">
        <v>0</v>
      </c>
    </row>
    <row r="2391" spans="1:19" x14ac:dyDescent="0.3">
      <c r="A2391" t="s">
        <v>47</v>
      </c>
      <c r="B2391">
        <v>48</v>
      </c>
      <c r="D2391">
        <v>4</v>
      </c>
      <c r="M2391">
        <v>6</v>
      </c>
      <c r="R2391">
        <v>5</v>
      </c>
      <c r="S2391">
        <v>2</v>
      </c>
    </row>
    <row r="2392" spans="1:19" x14ac:dyDescent="0.3">
      <c r="A2392" t="s">
        <v>735</v>
      </c>
      <c r="B2392">
        <v>48</v>
      </c>
      <c r="D2392">
        <v>0</v>
      </c>
      <c r="M2392">
        <v>0</v>
      </c>
      <c r="R2392">
        <v>0</v>
      </c>
      <c r="S2392">
        <v>0</v>
      </c>
    </row>
    <row r="2393" spans="1:19" x14ac:dyDescent="0.3">
      <c r="A2393" t="s">
        <v>736</v>
      </c>
      <c r="B2393">
        <v>48</v>
      </c>
      <c r="D2393">
        <v>0</v>
      </c>
      <c r="M2393">
        <v>0</v>
      </c>
      <c r="R2393">
        <v>0</v>
      </c>
      <c r="S2393">
        <v>0</v>
      </c>
    </row>
    <row r="2394" spans="1:19" x14ac:dyDescent="0.3">
      <c r="A2394" t="s">
        <v>737</v>
      </c>
      <c r="B2394">
        <v>48</v>
      </c>
      <c r="D2394">
        <v>0</v>
      </c>
      <c r="M2394">
        <v>0</v>
      </c>
      <c r="R2394">
        <v>0</v>
      </c>
      <c r="S2394">
        <v>0</v>
      </c>
    </row>
    <row r="2395" spans="1:19" x14ac:dyDescent="0.3">
      <c r="A2395" t="s">
        <v>738</v>
      </c>
      <c r="B2395">
        <v>48</v>
      </c>
      <c r="D2395">
        <v>0</v>
      </c>
      <c r="M2395">
        <v>0</v>
      </c>
      <c r="R2395">
        <v>0</v>
      </c>
      <c r="S2395">
        <v>0</v>
      </c>
    </row>
    <row r="2396" spans="1:19" x14ac:dyDescent="0.3">
      <c r="A2396" t="s">
        <v>739</v>
      </c>
      <c r="B2396">
        <v>48</v>
      </c>
      <c r="D2396">
        <v>1</v>
      </c>
      <c r="M2396">
        <v>2</v>
      </c>
      <c r="R2396">
        <v>1</v>
      </c>
      <c r="S2396">
        <v>2</v>
      </c>
    </row>
    <row r="2397" spans="1:19" x14ac:dyDescent="0.3">
      <c r="A2397" t="s">
        <v>740</v>
      </c>
      <c r="B2397">
        <v>48</v>
      </c>
      <c r="D2397">
        <v>0</v>
      </c>
      <c r="M2397">
        <v>0</v>
      </c>
      <c r="R2397">
        <v>0</v>
      </c>
      <c r="S2397">
        <v>0</v>
      </c>
    </row>
    <row r="2398" spans="1:19" x14ac:dyDescent="0.3">
      <c r="A2398" t="s">
        <v>741</v>
      </c>
      <c r="B2398">
        <v>48</v>
      </c>
      <c r="D2398">
        <v>20</v>
      </c>
      <c r="M2398">
        <v>6</v>
      </c>
      <c r="R2398">
        <v>20</v>
      </c>
      <c r="S2398">
        <v>6</v>
      </c>
    </row>
    <row r="2399" spans="1:19" x14ac:dyDescent="0.3">
      <c r="A2399" t="s">
        <v>742</v>
      </c>
      <c r="B2399">
        <v>48</v>
      </c>
      <c r="D2399">
        <v>3</v>
      </c>
      <c r="M2399">
        <v>3</v>
      </c>
      <c r="R2399">
        <v>3</v>
      </c>
      <c r="S2399">
        <v>3</v>
      </c>
    </row>
    <row r="2400" spans="1:19" x14ac:dyDescent="0.3">
      <c r="A2400" t="s">
        <v>743</v>
      </c>
      <c r="B2400">
        <v>48</v>
      </c>
      <c r="D2400">
        <v>0</v>
      </c>
      <c r="M2400">
        <v>0</v>
      </c>
      <c r="R2400">
        <v>0</v>
      </c>
      <c r="S2400">
        <v>0</v>
      </c>
    </row>
    <row r="2401" spans="1:20" x14ac:dyDescent="0.3">
      <c r="A2401" t="s">
        <v>744</v>
      </c>
      <c r="B2401">
        <v>48</v>
      </c>
      <c r="D2401">
        <v>0</v>
      </c>
      <c r="M2401">
        <v>0</v>
      </c>
      <c r="R2401">
        <v>0</v>
      </c>
      <c r="S2401">
        <v>0</v>
      </c>
    </row>
    <row r="2402" spans="1:20" x14ac:dyDescent="0.3">
      <c r="A2402" t="s">
        <v>745</v>
      </c>
      <c r="B2402">
        <v>48</v>
      </c>
      <c r="D2402">
        <v>0</v>
      </c>
      <c r="M2402">
        <v>0</v>
      </c>
      <c r="R2402">
        <v>0</v>
      </c>
      <c r="S2402">
        <v>0</v>
      </c>
    </row>
    <row r="2403" spans="1:20" x14ac:dyDescent="0.3">
      <c r="A2403" t="s">
        <v>746</v>
      </c>
      <c r="B2403">
        <v>48</v>
      </c>
      <c r="M2403">
        <v>94</v>
      </c>
      <c r="S2403">
        <v>94</v>
      </c>
    </row>
    <row r="2404" spans="1:20" x14ac:dyDescent="0.3">
      <c r="A2404" t="s">
        <v>747</v>
      </c>
      <c r="B2404">
        <v>48</v>
      </c>
      <c r="M2404">
        <v>6</v>
      </c>
      <c r="S2404">
        <v>6</v>
      </c>
    </row>
    <row r="2405" spans="1:20" x14ac:dyDescent="0.3">
      <c r="A2405" t="s">
        <v>748</v>
      </c>
      <c r="B2405">
        <v>48</v>
      </c>
      <c r="M2405">
        <v>3</v>
      </c>
      <c r="S2405">
        <v>3</v>
      </c>
    </row>
    <row r="2406" spans="1:20" x14ac:dyDescent="0.3">
      <c r="A2406" t="s">
        <v>749</v>
      </c>
      <c r="B2406">
        <v>48</v>
      </c>
      <c r="M2406">
        <v>0</v>
      </c>
      <c r="S2406">
        <v>0</v>
      </c>
    </row>
    <row r="2407" spans="1:20" x14ac:dyDescent="0.3">
      <c r="A2407" t="s">
        <v>750</v>
      </c>
      <c r="B2407">
        <v>48</v>
      </c>
      <c r="D2407">
        <v>0</v>
      </c>
      <c r="M2407">
        <v>0</v>
      </c>
      <c r="S2407">
        <v>0</v>
      </c>
    </row>
    <row r="2408" spans="1:20" x14ac:dyDescent="0.3">
      <c r="A2408" t="s">
        <v>405</v>
      </c>
      <c r="B2408">
        <v>48</v>
      </c>
      <c r="D2408">
        <v>0</v>
      </c>
    </row>
    <row r="2409" spans="1:20" x14ac:dyDescent="0.3">
      <c r="A2409" t="s">
        <v>751</v>
      </c>
      <c r="B2409">
        <v>48</v>
      </c>
      <c r="D2409">
        <v>255</v>
      </c>
      <c r="F2409">
        <v>0</v>
      </c>
      <c r="M2409">
        <v>1460</v>
      </c>
      <c r="N2409">
        <v>0</v>
      </c>
      <c r="P2409">
        <v>0</v>
      </c>
      <c r="R2409">
        <v>109</v>
      </c>
      <c r="S2409">
        <v>1367</v>
      </c>
    </row>
    <row r="2410" spans="1:20" x14ac:dyDescent="0.3">
      <c r="A2410" t="s">
        <v>34</v>
      </c>
      <c r="B2410">
        <v>49</v>
      </c>
      <c r="D2410">
        <v>52</v>
      </c>
      <c r="E2410">
        <v>52</v>
      </c>
      <c r="F2410">
        <v>52</v>
      </c>
      <c r="H2410">
        <v>51</v>
      </c>
      <c r="I2410">
        <v>51</v>
      </c>
      <c r="J2410">
        <v>51</v>
      </c>
      <c r="L2410">
        <v>48</v>
      </c>
      <c r="M2410">
        <v>48</v>
      </c>
      <c r="N2410">
        <v>48</v>
      </c>
      <c r="P2410">
        <v>53</v>
      </c>
      <c r="R2410">
        <v>53</v>
      </c>
      <c r="S2410">
        <v>53</v>
      </c>
      <c r="T2410">
        <v>53</v>
      </c>
    </row>
    <row r="2411" spans="1:20" x14ac:dyDescent="0.3">
      <c r="A2411" t="s">
        <v>35</v>
      </c>
      <c r="B2411">
        <v>49</v>
      </c>
      <c r="D2411">
        <v>48</v>
      </c>
      <c r="E2411">
        <v>51</v>
      </c>
      <c r="F2411">
        <v>53</v>
      </c>
      <c r="H2411">
        <v>53</v>
      </c>
      <c r="I2411">
        <v>52</v>
      </c>
      <c r="J2411">
        <v>48</v>
      </c>
      <c r="L2411">
        <v>51</v>
      </c>
      <c r="M2411">
        <v>53</v>
      </c>
      <c r="N2411">
        <v>52</v>
      </c>
      <c r="P2411">
        <v>53</v>
      </c>
      <c r="R2411">
        <v>52</v>
      </c>
      <c r="S2411">
        <v>48</v>
      </c>
      <c r="T2411">
        <v>51</v>
      </c>
    </row>
    <row r="2412" spans="1:20" x14ac:dyDescent="0.3">
      <c r="A2412" t="s">
        <v>36</v>
      </c>
      <c r="B2412">
        <v>49</v>
      </c>
      <c r="D2412">
        <v>1</v>
      </c>
      <c r="E2412">
        <v>3</v>
      </c>
      <c r="F2412">
        <v>0</v>
      </c>
      <c r="H2412">
        <v>1</v>
      </c>
      <c r="I2412">
        <v>3</v>
      </c>
      <c r="J2412">
        <v>0</v>
      </c>
      <c r="L2412">
        <v>1</v>
      </c>
      <c r="M2412">
        <v>3</v>
      </c>
      <c r="N2412">
        <v>0</v>
      </c>
      <c r="P2412">
        <v>0</v>
      </c>
      <c r="R2412">
        <v>1</v>
      </c>
      <c r="S2412">
        <v>3</v>
      </c>
      <c r="T2412">
        <v>0</v>
      </c>
    </row>
    <row r="2413" spans="1:20" x14ac:dyDescent="0.3">
      <c r="A2413" t="s">
        <v>37</v>
      </c>
      <c r="B2413">
        <v>49</v>
      </c>
      <c r="D2413">
        <v>0</v>
      </c>
      <c r="E2413">
        <v>2</v>
      </c>
      <c r="H2413">
        <v>0</v>
      </c>
      <c r="I2413">
        <v>2</v>
      </c>
      <c r="L2413">
        <v>0</v>
      </c>
      <c r="M2413">
        <v>2</v>
      </c>
      <c r="R2413">
        <v>0</v>
      </c>
      <c r="S2413">
        <v>2</v>
      </c>
    </row>
    <row r="2414" spans="1:20" x14ac:dyDescent="0.3">
      <c r="A2414" t="s">
        <v>38</v>
      </c>
      <c r="B2414">
        <v>49</v>
      </c>
      <c r="D2414">
        <v>12</v>
      </c>
      <c r="E2414">
        <v>12</v>
      </c>
      <c r="F2414">
        <v>12</v>
      </c>
      <c r="H2414">
        <v>12</v>
      </c>
      <c r="I2414">
        <v>12</v>
      </c>
      <c r="J2414">
        <v>12</v>
      </c>
      <c r="L2414">
        <v>12</v>
      </c>
      <c r="M2414">
        <v>12</v>
      </c>
      <c r="N2414">
        <v>12</v>
      </c>
      <c r="P2414">
        <v>12</v>
      </c>
      <c r="R2414">
        <v>12</v>
      </c>
      <c r="S2414">
        <v>12</v>
      </c>
      <c r="T2414">
        <v>12</v>
      </c>
    </row>
    <row r="2415" spans="1:20" x14ac:dyDescent="0.3">
      <c r="A2415" t="s">
        <v>39</v>
      </c>
      <c r="B2415">
        <v>49</v>
      </c>
      <c r="D2415">
        <v>220</v>
      </c>
      <c r="H2415">
        <v>255</v>
      </c>
      <c r="L2415">
        <v>190</v>
      </c>
      <c r="R2415">
        <v>235</v>
      </c>
    </row>
    <row r="2416" spans="1:20" x14ac:dyDescent="0.3">
      <c r="A2416" t="s">
        <v>726</v>
      </c>
      <c r="B2416">
        <v>49</v>
      </c>
      <c r="D2416">
        <v>25</v>
      </c>
      <c r="H2416">
        <v>25</v>
      </c>
      <c r="L2416">
        <v>25</v>
      </c>
      <c r="R2416">
        <v>25</v>
      </c>
    </row>
    <row r="2417" spans="1:20" x14ac:dyDescent="0.3">
      <c r="A2417" t="s">
        <v>40</v>
      </c>
      <c r="B2417">
        <v>49</v>
      </c>
      <c r="D2417">
        <v>1</v>
      </c>
      <c r="H2417">
        <v>1</v>
      </c>
      <c r="L2417">
        <v>1</v>
      </c>
      <c r="R2417">
        <v>1</v>
      </c>
    </row>
    <row r="2418" spans="1:20" x14ac:dyDescent="0.3">
      <c r="A2418" t="s">
        <v>41</v>
      </c>
      <c r="B2418">
        <v>49</v>
      </c>
    </row>
    <row r="2419" spans="1:20" x14ac:dyDescent="0.3">
      <c r="A2419" t="s">
        <v>42</v>
      </c>
      <c r="B2419">
        <v>49</v>
      </c>
      <c r="E2419">
        <v>45</v>
      </c>
      <c r="I2419">
        <v>40</v>
      </c>
      <c r="M2419">
        <v>40</v>
      </c>
      <c r="S2419">
        <v>40</v>
      </c>
    </row>
    <row r="2420" spans="1:20" x14ac:dyDescent="0.3">
      <c r="A2420" t="s">
        <v>45</v>
      </c>
      <c r="B2420">
        <v>49</v>
      </c>
      <c r="D2420">
        <v>7</v>
      </c>
      <c r="E2420">
        <v>4</v>
      </c>
      <c r="H2420">
        <v>3</v>
      </c>
      <c r="I2420">
        <v>8</v>
      </c>
      <c r="L2420">
        <v>1</v>
      </c>
      <c r="M2420">
        <v>6</v>
      </c>
      <c r="R2420">
        <v>5</v>
      </c>
      <c r="S2420">
        <v>2</v>
      </c>
    </row>
    <row r="2421" spans="1:20" x14ac:dyDescent="0.3">
      <c r="A2421" t="s">
        <v>46</v>
      </c>
      <c r="B2421">
        <v>49</v>
      </c>
      <c r="D2421">
        <v>4</v>
      </c>
      <c r="H2421">
        <v>8</v>
      </c>
      <c r="L2421">
        <v>6</v>
      </c>
      <c r="R2421">
        <v>2</v>
      </c>
    </row>
    <row r="2422" spans="1:20" x14ac:dyDescent="0.3">
      <c r="A2422" t="s">
        <v>49</v>
      </c>
      <c r="B2422">
        <v>49</v>
      </c>
      <c r="D2422">
        <v>4</v>
      </c>
      <c r="E2422">
        <v>5.9</v>
      </c>
      <c r="F2422">
        <v>4</v>
      </c>
      <c r="H2422">
        <v>4</v>
      </c>
      <c r="I2422">
        <v>5.9</v>
      </c>
      <c r="J2422">
        <v>4</v>
      </c>
      <c r="L2422">
        <v>4</v>
      </c>
      <c r="M2422">
        <v>5.8</v>
      </c>
      <c r="N2422">
        <v>4</v>
      </c>
      <c r="P2422">
        <v>4</v>
      </c>
      <c r="R2422">
        <v>4</v>
      </c>
      <c r="S2422">
        <v>5.8</v>
      </c>
      <c r="T2422">
        <v>4</v>
      </c>
    </row>
    <row r="2423" spans="1:20" x14ac:dyDescent="0.3">
      <c r="A2423" t="s">
        <v>727</v>
      </c>
      <c r="B2423">
        <v>49</v>
      </c>
      <c r="D2423">
        <v>0</v>
      </c>
      <c r="E2423">
        <v>0</v>
      </c>
      <c r="F2423">
        <v>0</v>
      </c>
      <c r="H2423">
        <v>0</v>
      </c>
      <c r="I2423">
        <v>0</v>
      </c>
      <c r="J2423">
        <v>0</v>
      </c>
      <c r="L2423">
        <v>0</v>
      </c>
      <c r="M2423">
        <v>0</v>
      </c>
      <c r="N2423">
        <v>0</v>
      </c>
      <c r="P2423">
        <v>0</v>
      </c>
      <c r="R2423">
        <v>0</v>
      </c>
      <c r="S2423">
        <v>0</v>
      </c>
      <c r="T2423">
        <v>0</v>
      </c>
    </row>
    <row r="2424" spans="1:20" x14ac:dyDescent="0.3">
      <c r="A2424" t="s">
        <v>48</v>
      </c>
      <c r="B2424">
        <v>49</v>
      </c>
      <c r="D2424">
        <v>1900</v>
      </c>
      <c r="E2424">
        <v>1900</v>
      </c>
      <c r="F2424">
        <v>1900</v>
      </c>
      <c r="H2424">
        <v>1900</v>
      </c>
      <c r="I2424">
        <v>1900</v>
      </c>
      <c r="J2424">
        <v>1900</v>
      </c>
      <c r="L2424">
        <v>1900</v>
      </c>
      <c r="M2424">
        <v>1900</v>
      </c>
      <c r="N2424">
        <v>1900</v>
      </c>
      <c r="P2424">
        <v>1900</v>
      </c>
      <c r="R2424">
        <v>1900</v>
      </c>
      <c r="S2424">
        <v>1900</v>
      </c>
      <c r="T2424">
        <v>1900</v>
      </c>
    </row>
    <row r="2425" spans="1:20" x14ac:dyDescent="0.3">
      <c r="A2425" t="s">
        <v>728</v>
      </c>
      <c r="B2425">
        <v>49</v>
      </c>
      <c r="D2425">
        <v>1770</v>
      </c>
      <c r="E2425">
        <v>4846</v>
      </c>
      <c r="F2425">
        <v>0</v>
      </c>
      <c r="H2425">
        <v>1770</v>
      </c>
      <c r="I2425">
        <v>4821</v>
      </c>
      <c r="J2425">
        <v>0</v>
      </c>
      <c r="L2425">
        <v>1770</v>
      </c>
      <c r="M2425">
        <v>4973</v>
      </c>
      <c r="N2425">
        <v>0</v>
      </c>
      <c r="P2425">
        <v>0</v>
      </c>
      <c r="R2425">
        <v>1770</v>
      </c>
      <c r="S2425">
        <v>5004</v>
      </c>
      <c r="T2425">
        <v>0</v>
      </c>
    </row>
    <row r="2426" spans="1:20" x14ac:dyDescent="0.3">
      <c r="A2426" t="s">
        <v>50</v>
      </c>
      <c r="B2426">
        <v>49</v>
      </c>
      <c r="D2426">
        <v>835</v>
      </c>
      <c r="E2426">
        <v>4846</v>
      </c>
      <c r="F2426">
        <v>0</v>
      </c>
      <c r="H2426">
        <v>764</v>
      </c>
      <c r="I2426">
        <v>4821</v>
      </c>
      <c r="J2426">
        <v>0</v>
      </c>
      <c r="L2426">
        <v>265</v>
      </c>
      <c r="M2426">
        <v>4973</v>
      </c>
      <c r="N2426">
        <v>0</v>
      </c>
      <c r="P2426">
        <v>0</v>
      </c>
      <c r="R2426">
        <v>529</v>
      </c>
      <c r="S2426">
        <v>5004</v>
      </c>
      <c r="T2426">
        <v>0</v>
      </c>
    </row>
    <row r="2427" spans="1:20" x14ac:dyDescent="0.3">
      <c r="A2427" t="s">
        <v>729</v>
      </c>
      <c r="B2427">
        <v>49</v>
      </c>
      <c r="D2427">
        <v>1</v>
      </c>
      <c r="E2427">
        <v>1</v>
      </c>
      <c r="F2427">
        <v>1</v>
      </c>
      <c r="H2427">
        <v>1</v>
      </c>
      <c r="I2427">
        <v>1</v>
      </c>
      <c r="J2427">
        <v>1</v>
      </c>
      <c r="L2427">
        <v>1</v>
      </c>
      <c r="M2427">
        <v>1</v>
      </c>
      <c r="N2427">
        <v>1</v>
      </c>
      <c r="P2427">
        <v>1</v>
      </c>
      <c r="R2427">
        <v>1</v>
      </c>
      <c r="S2427">
        <v>1</v>
      </c>
      <c r="T2427">
        <v>1</v>
      </c>
    </row>
    <row r="2428" spans="1:20" x14ac:dyDescent="0.3">
      <c r="A2428" t="s">
        <v>51</v>
      </c>
      <c r="B2428">
        <v>49</v>
      </c>
      <c r="D2428">
        <v>0</v>
      </c>
      <c r="E2428">
        <v>91</v>
      </c>
      <c r="F2428">
        <v>0</v>
      </c>
      <c r="H2428">
        <v>0</v>
      </c>
      <c r="I2428">
        <v>109</v>
      </c>
      <c r="J2428">
        <v>0</v>
      </c>
      <c r="L2428">
        <v>0</v>
      </c>
      <c r="M2428">
        <v>31</v>
      </c>
      <c r="N2428">
        <v>0</v>
      </c>
      <c r="P2428">
        <v>0</v>
      </c>
      <c r="R2428">
        <v>0</v>
      </c>
      <c r="S2428">
        <v>18</v>
      </c>
      <c r="T2428">
        <v>0</v>
      </c>
    </row>
    <row r="2429" spans="1:20" x14ac:dyDescent="0.3">
      <c r="A2429" t="s">
        <v>53</v>
      </c>
      <c r="B2429">
        <v>49</v>
      </c>
      <c r="D2429">
        <v>179</v>
      </c>
      <c r="E2429">
        <v>272</v>
      </c>
      <c r="F2429">
        <v>124</v>
      </c>
      <c r="H2429">
        <v>200</v>
      </c>
      <c r="I2429">
        <v>289</v>
      </c>
      <c r="J2429">
        <v>153</v>
      </c>
      <c r="L2429">
        <v>132</v>
      </c>
      <c r="M2429">
        <v>759</v>
      </c>
      <c r="N2429">
        <v>131</v>
      </c>
      <c r="P2429">
        <v>0</v>
      </c>
      <c r="R2429">
        <v>131</v>
      </c>
      <c r="S2429">
        <v>1010</v>
      </c>
      <c r="T2429">
        <v>119</v>
      </c>
    </row>
    <row r="2430" spans="1:20" x14ac:dyDescent="0.3">
      <c r="A2430" t="s">
        <v>54</v>
      </c>
      <c r="B2430">
        <v>49</v>
      </c>
      <c r="D2430">
        <v>0</v>
      </c>
      <c r="E2430">
        <v>0</v>
      </c>
      <c r="F2430">
        <v>0</v>
      </c>
      <c r="H2430">
        <v>0</v>
      </c>
      <c r="I2430">
        <v>0</v>
      </c>
      <c r="J2430">
        <v>0</v>
      </c>
      <c r="L2430">
        <v>0</v>
      </c>
      <c r="M2430">
        <v>0</v>
      </c>
      <c r="N2430">
        <v>0</v>
      </c>
      <c r="P2430">
        <v>0</v>
      </c>
      <c r="R2430">
        <v>0</v>
      </c>
      <c r="S2430">
        <v>0</v>
      </c>
      <c r="T2430">
        <v>0</v>
      </c>
    </row>
    <row r="2431" spans="1:20" x14ac:dyDescent="0.3">
      <c r="A2431" t="s">
        <v>55</v>
      </c>
      <c r="B2431">
        <v>49</v>
      </c>
      <c r="D2431">
        <v>0</v>
      </c>
      <c r="E2431">
        <v>0</v>
      </c>
      <c r="F2431">
        <v>0</v>
      </c>
      <c r="H2431">
        <v>0</v>
      </c>
      <c r="I2431">
        <v>0</v>
      </c>
      <c r="J2431">
        <v>0</v>
      </c>
      <c r="L2431">
        <v>0</v>
      </c>
      <c r="M2431">
        <v>0</v>
      </c>
      <c r="N2431">
        <v>0</v>
      </c>
      <c r="P2431">
        <v>0</v>
      </c>
      <c r="R2431">
        <v>0</v>
      </c>
      <c r="S2431">
        <v>0</v>
      </c>
      <c r="T2431">
        <v>0</v>
      </c>
    </row>
    <row r="2432" spans="1:20" x14ac:dyDescent="0.3">
      <c r="A2432" t="s">
        <v>56</v>
      </c>
      <c r="B2432">
        <v>49</v>
      </c>
      <c r="D2432">
        <v>0.92</v>
      </c>
      <c r="E2432">
        <v>0.92</v>
      </c>
      <c r="F2432">
        <v>0.92</v>
      </c>
      <c r="H2432">
        <v>0.92</v>
      </c>
      <c r="I2432">
        <v>0.92</v>
      </c>
      <c r="J2432">
        <v>0.92</v>
      </c>
      <c r="L2432">
        <v>0.92</v>
      </c>
      <c r="M2432">
        <v>0.92</v>
      </c>
      <c r="N2432">
        <v>0.92</v>
      </c>
      <c r="P2432">
        <v>0.92</v>
      </c>
      <c r="R2432">
        <v>0.92</v>
      </c>
      <c r="S2432">
        <v>0.92</v>
      </c>
      <c r="T2432">
        <v>0.92</v>
      </c>
    </row>
    <row r="2433" spans="1:20" x14ac:dyDescent="0.3">
      <c r="A2433" t="s">
        <v>57</v>
      </c>
      <c r="B2433">
        <v>49</v>
      </c>
      <c r="D2433">
        <v>100</v>
      </c>
      <c r="E2433">
        <v>100</v>
      </c>
      <c r="F2433">
        <v>100</v>
      </c>
      <c r="H2433">
        <v>100</v>
      </c>
      <c r="I2433">
        <v>100</v>
      </c>
      <c r="J2433">
        <v>100</v>
      </c>
      <c r="L2433">
        <v>100</v>
      </c>
      <c r="M2433">
        <v>100</v>
      </c>
      <c r="N2433">
        <v>100</v>
      </c>
      <c r="P2433">
        <v>100</v>
      </c>
      <c r="R2433">
        <v>100</v>
      </c>
      <c r="S2433">
        <v>100</v>
      </c>
      <c r="T2433">
        <v>100</v>
      </c>
    </row>
    <row r="2434" spans="1:20" x14ac:dyDescent="0.3">
      <c r="A2434" t="s">
        <v>58</v>
      </c>
      <c r="B2434">
        <v>49</v>
      </c>
      <c r="D2434">
        <v>2</v>
      </c>
      <c r="E2434">
        <v>2</v>
      </c>
      <c r="F2434">
        <v>2</v>
      </c>
      <c r="H2434">
        <v>2</v>
      </c>
      <c r="I2434">
        <v>2</v>
      </c>
      <c r="J2434">
        <v>2</v>
      </c>
      <c r="L2434">
        <v>2</v>
      </c>
      <c r="M2434">
        <v>2</v>
      </c>
      <c r="N2434">
        <v>2</v>
      </c>
      <c r="P2434">
        <v>2</v>
      </c>
      <c r="R2434">
        <v>2</v>
      </c>
      <c r="S2434">
        <v>2</v>
      </c>
      <c r="T2434">
        <v>2</v>
      </c>
    </row>
    <row r="2435" spans="1:20" x14ac:dyDescent="0.3">
      <c r="A2435" t="s">
        <v>59</v>
      </c>
      <c r="B2435">
        <v>49</v>
      </c>
      <c r="D2435">
        <v>0</v>
      </c>
      <c r="E2435">
        <v>0</v>
      </c>
      <c r="F2435">
        <v>0</v>
      </c>
      <c r="H2435">
        <v>0</v>
      </c>
      <c r="I2435">
        <v>0</v>
      </c>
      <c r="J2435">
        <v>0</v>
      </c>
      <c r="L2435">
        <v>0</v>
      </c>
      <c r="M2435">
        <v>0</v>
      </c>
      <c r="N2435">
        <v>0</v>
      </c>
      <c r="P2435">
        <v>0</v>
      </c>
      <c r="R2435">
        <v>0</v>
      </c>
      <c r="S2435">
        <v>0</v>
      </c>
      <c r="T2435">
        <v>0</v>
      </c>
    </row>
    <row r="2436" spans="1:20" x14ac:dyDescent="0.3">
      <c r="A2436" t="s">
        <v>730</v>
      </c>
      <c r="B2436">
        <v>49</v>
      </c>
      <c r="E2436">
        <v>0</v>
      </c>
      <c r="I2436">
        <v>0</v>
      </c>
      <c r="M2436">
        <v>0</v>
      </c>
      <c r="S2436">
        <v>0</v>
      </c>
    </row>
    <row r="2437" spans="1:20" x14ac:dyDescent="0.3">
      <c r="A2437" t="s">
        <v>679</v>
      </c>
      <c r="B2437">
        <v>49</v>
      </c>
      <c r="E2437">
        <v>829</v>
      </c>
      <c r="I2437">
        <v>589</v>
      </c>
      <c r="M2437">
        <v>1947</v>
      </c>
      <c r="S2437">
        <v>1829</v>
      </c>
    </row>
    <row r="2438" spans="1:20" x14ac:dyDescent="0.3">
      <c r="A2438" t="s">
        <v>78</v>
      </c>
      <c r="B2438">
        <v>49</v>
      </c>
      <c r="E2438">
        <v>12.6</v>
      </c>
      <c r="I2438">
        <v>10</v>
      </c>
      <c r="M2438">
        <v>33.200000000000003</v>
      </c>
      <c r="S2438">
        <v>31.2</v>
      </c>
    </row>
    <row r="2439" spans="1:20" x14ac:dyDescent="0.3">
      <c r="A2439" t="s">
        <v>731</v>
      </c>
      <c r="B2439">
        <v>49</v>
      </c>
      <c r="F2439">
        <v>0</v>
      </c>
      <c r="J2439">
        <v>0</v>
      </c>
      <c r="N2439">
        <v>0</v>
      </c>
      <c r="T2439">
        <v>0</v>
      </c>
    </row>
    <row r="2440" spans="1:20" x14ac:dyDescent="0.3">
      <c r="A2440" t="s">
        <v>732</v>
      </c>
      <c r="B2440">
        <v>49</v>
      </c>
      <c r="D2440">
        <v>0</v>
      </c>
      <c r="E2440">
        <v>0</v>
      </c>
      <c r="F2440">
        <v>1</v>
      </c>
      <c r="H2440">
        <v>0</v>
      </c>
      <c r="I2440">
        <v>0</v>
      </c>
      <c r="J2440">
        <v>1</v>
      </c>
      <c r="L2440">
        <v>0</v>
      </c>
      <c r="M2440">
        <v>0</v>
      </c>
      <c r="N2440">
        <v>1</v>
      </c>
      <c r="P2440">
        <v>3</v>
      </c>
      <c r="R2440">
        <v>0</v>
      </c>
      <c r="S2440">
        <v>0</v>
      </c>
      <c r="T2440">
        <v>1</v>
      </c>
    </row>
    <row r="2441" spans="1:20" x14ac:dyDescent="0.3">
      <c r="A2441" t="s">
        <v>733</v>
      </c>
      <c r="B2441">
        <v>49</v>
      </c>
      <c r="D2441">
        <v>0</v>
      </c>
      <c r="E2441">
        <v>0</v>
      </c>
      <c r="F2441">
        <v>0</v>
      </c>
      <c r="H2441">
        <v>0</v>
      </c>
      <c r="I2441">
        <v>0</v>
      </c>
      <c r="J2441">
        <v>0</v>
      </c>
      <c r="L2441">
        <v>0</v>
      </c>
      <c r="M2441">
        <v>0</v>
      </c>
      <c r="N2441">
        <v>0</v>
      </c>
      <c r="P2441">
        <v>0</v>
      </c>
      <c r="R2441">
        <v>0</v>
      </c>
      <c r="S2441">
        <v>0</v>
      </c>
      <c r="T2441">
        <v>0</v>
      </c>
    </row>
    <row r="2442" spans="1:20" x14ac:dyDescent="0.3">
      <c r="A2442" t="s">
        <v>52</v>
      </c>
      <c r="B2442">
        <v>49</v>
      </c>
      <c r="D2442">
        <v>1</v>
      </c>
      <c r="E2442">
        <v>1</v>
      </c>
      <c r="F2442">
        <v>1</v>
      </c>
      <c r="H2442">
        <v>1</v>
      </c>
      <c r="I2442">
        <v>1</v>
      </c>
      <c r="J2442">
        <v>1</v>
      </c>
      <c r="L2442">
        <v>1</v>
      </c>
      <c r="M2442">
        <v>1</v>
      </c>
      <c r="N2442">
        <v>1</v>
      </c>
      <c r="P2442">
        <v>1</v>
      </c>
      <c r="R2442">
        <v>1</v>
      </c>
      <c r="S2442">
        <v>1</v>
      </c>
      <c r="T2442">
        <v>1</v>
      </c>
    </row>
    <row r="2443" spans="1:20" x14ac:dyDescent="0.3">
      <c r="A2443" t="s">
        <v>734</v>
      </c>
      <c r="B2443">
        <v>49</v>
      </c>
      <c r="D2443">
        <v>15</v>
      </c>
      <c r="E2443">
        <v>60</v>
      </c>
      <c r="F2443">
        <v>9</v>
      </c>
      <c r="H2443">
        <v>15</v>
      </c>
      <c r="I2443">
        <v>60</v>
      </c>
      <c r="J2443">
        <v>9</v>
      </c>
      <c r="L2443">
        <v>15</v>
      </c>
      <c r="M2443">
        <v>60</v>
      </c>
      <c r="N2443">
        <v>9</v>
      </c>
      <c r="P2443">
        <v>9</v>
      </c>
      <c r="R2443">
        <v>15</v>
      </c>
      <c r="S2443">
        <v>60</v>
      </c>
      <c r="T2443">
        <v>9</v>
      </c>
    </row>
    <row r="2444" spans="1:20" x14ac:dyDescent="0.3">
      <c r="A2444" t="s">
        <v>43</v>
      </c>
      <c r="B2444">
        <v>49</v>
      </c>
      <c r="D2444">
        <v>20</v>
      </c>
      <c r="E2444">
        <v>100</v>
      </c>
      <c r="H2444">
        <v>20</v>
      </c>
      <c r="I2444">
        <v>100</v>
      </c>
      <c r="L2444">
        <v>20</v>
      </c>
      <c r="M2444">
        <v>100</v>
      </c>
      <c r="R2444">
        <v>20</v>
      </c>
      <c r="S2444">
        <v>100</v>
      </c>
    </row>
    <row r="2445" spans="1:20" x14ac:dyDescent="0.3">
      <c r="A2445" t="s">
        <v>44</v>
      </c>
      <c r="B2445">
        <v>49</v>
      </c>
      <c r="D2445">
        <v>0</v>
      </c>
      <c r="E2445">
        <v>0</v>
      </c>
      <c r="H2445">
        <v>0</v>
      </c>
      <c r="I2445">
        <v>0</v>
      </c>
      <c r="L2445">
        <v>0</v>
      </c>
      <c r="M2445">
        <v>0</v>
      </c>
      <c r="R2445">
        <v>0</v>
      </c>
      <c r="S2445">
        <v>0</v>
      </c>
    </row>
    <row r="2446" spans="1:20" x14ac:dyDescent="0.3">
      <c r="A2446" t="s">
        <v>47</v>
      </c>
      <c r="B2446">
        <v>49</v>
      </c>
      <c r="D2446">
        <v>7</v>
      </c>
      <c r="E2446">
        <v>4</v>
      </c>
      <c r="H2446">
        <v>3</v>
      </c>
      <c r="I2446">
        <v>8</v>
      </c>
      <c r="L2446">
        <v>1</v>
      </c>
      <c r="M2446">
        <v>6</v>
      </c>
      <c r="R2446">
        <v>5</v>
      </c>
      <c r="S2446">
        <v>2</v>
      </c>
    </row>
    <row r="2447" spans="1:20" x14ac:dyDescent="0.3">
      <c r="A2447" t="s">
        <v>735</v>
      </c>
      <c r="B2447">
        <v>49</v>
      </c>
      <c r="D2447">
        <v>0</v>
      </c>
      <c r="E2447">
        <v>0</v>
      </c>
      <c r="H2447">
        <v>0</v>
      </c>
      <c r="I2447">
        <v>0</v>
      </c>
      <c r="L2447">
        <v>0</v>
      </c>
      <c r="M2447">
        <v>0</v>
      </c>
      <c r="R2447">
        <v>0</v>
      </c>
      <c r="S2447">
        <v>0</v>
      </c>
    </row>
    <row r="2448" spans="1:20" x14ac:dyDescent="0.3">
      <c r="A2448" t="s">
        <v>736</v>
      </c>
      <c r="B2448">
        <v>49</v>
      </c>
      <c r="D2448">
        <v>0</v>
      </c>
      <c r="E2448">
        <v>0</v>
      </c>
      <c r="H2448">
        <v>0</v>
      </c>
      <c r="I2448">
        <v>0</v>
      </c>
      <c r="L2448">
        <v>0</v>
      </c>
      <c r="M2448">
        <v>0</v>
      </c>
      <c r="R2448">
        <v>0</v>
      </c>
      <c r="S2448">
        <v>0</v>
      </c>
    </row>
    <row r="2449" spans="1:20" x14ac:dyDescent="0.3">
      <c r="A2449" t="s">
        <v>737</v>
      </c>
      <c r="B2449">
        <v>49</v>
      </c>
      <c r="D2449">
        <v>0</v>
      </c>
      <c r="E2449">
        <v>0</v>
      </c>
      <c r="H2449">
        <v>0</v>
      </c>
      <c r="I2449">
        <v>0</v>
      </c>
      <c r="L2449">
        <v>0</v>
      </c>
      <c r="M2449">
        <v>0</v>
      </c>
      <c r="R2449">
        <v>0</v>
      </c>
      <c r="S2449">
        <v>0</v>
      </c>
    </row>
    <row r="2450" spans="1:20" x14ac:dyDescent="0.3">
      <c r="A2450" t="s">
        <v>738</v>
      </c>
      <c r="B2450">
        <v>49</v>
      </c>
      <c r="D2450">
        <v>0</v>
      </c>
      <c r="E2450">
        <v>0</v>
      </c>
      <c r="H2450">
        <v>0</v>
      </c>
      <c r="I2450">
        <v>0</v>
      </c>
      <c r="L2450">
        <v>0</v>
      </c>
      <c r="M2450">
        <v>0</v>
      </c>
      <c r="R2450">
        <v>0</v>
      </c>
      <c r="S2450">
        <v>0</v>
      </c>
    </row>
    <row r="2451" spans="1:20" x14ac:dyDescent="0.3">
      <c r="A2451" t="s">
        <v>739</v>
      </c>
      <c r="B2451">
        <v>49</v>
      </c>
      <c r="D2451">
        <v>1</v>
      </c>
      <c r="E2451">
        <v>2</v>
      </c>
      <c r="H2451">
        <v>1</v>
      </c>
      <c r="I2451">
        <v>2</v>
      </c>
      <c r="L2451">
        <v>1</v>
      </c>
      <c r="M2451">
        <v>2</v>
      </c>
      <c r="R2451">
        <v>1</v>
      </c>
      <c r="S2451">
        <v>2</v>
      </c>
    </row>
    <row r="2452" spans="1:20" x14ac:dyDescent="0.3">
      <c r="A2452" t="s">
        <v>740</v>
      </c>
      <c r="B2452">
        <v>49</v>
      </c>
      <c r="D2452">
        <v>0</v>
      </c>
      <c r="E2452">
        <v>0</v>
      </c>
      <c r="H2452">
        <v>0</v>
      </c>
      <c r="I2452">
        <v>0</v>
      </c>
      <c r="L2452">
        <v>0</v>
      </c>
      <c r="M2452">
        <v>0</v>
      </c>
      <c r="R2452">
        <v>0</v>
      </c>
      <c r="S2452">
        <v>0</v>
      </c>
    </row>
    <row r="2453" spans="1:20" x14ac:dyDescent="0.3">
      <c r="A2453" t="s">
        <v>741</v>
      </c>
      <c r="B2453">
        <v>49</v>
      </c>
      <c r="D2453">
        <v>20</v>
      </c>
      <c r="E2453">
        <v>6</v>
      </c>
      <c r="H2453">
        <v>20</v>
      </c>
      <c r="I2453">
        <v>6</v>
      </c>
      <c r="L2453">
        <v>20</v>
      </c>
      <c r="M2453">
        <v>6</v>
      </c>
      <c r="R2453">
        <v>20</v>
      </c>
      <c r="S2453">
        <v>6</v>
      </c>
    </row>
    <row r="2454" spans="1:20" x14ac:dyDescent="0.3">
      <c r="A2454" t="s">
        <v>742</v>
      </c>
      <c r="B2454">
        <v>49</v>
      </c>
      <c r="D2454">
        <v>3</v>
      </c>
      <c r="E2454">
        <v>3</v>
      </c>
      <c r="H2454">
        <v>3</v>
      </c>
      <c r="I2454">
        <v>3</v>
      </c>
      <c r="L2454">
        <v>3</v>
      </c>
      <c r="M2454">
        <v>3</v>
      </c>
      <c r="R2454">
        <v>3</v>
      </c>
      <c r="S2454">
        <v>3</v>
      </c>
    </row>
    <row r="2455" spans="1:20" x14ac:dyDescent="0.3">
      <c r="A2455" t="s">
        <v>743</v>
      </c>
      <c r="B2455">
        <v>49</v>
      </c>
      <c r="D2455">
        <v>0</v>
      </c>
      <c r="E2455">
        <v>0</v>
      </c>
      <c r="H2455">
        <v>0</v>
      </c>
      <c r="I2455">
        <v>0</v>
      </c>
      <c r="L2455">
        <v>0</v>
      </c>
      <c r="M2455">
        <v>0</v>
      </c>
      <c r="R2455">
        <v>0</v>
      </c>
      <c r="S2455">
        <v>0</v>
      </c>
    </row>
    <row r="2456" spans="1:20" x14ac:dyDescent="0.3">
      <c r="A2456" t="s">
        <v>744</v>
      </c>
      <c r="B2456">
        <v>49</v>
      </c>
      <c r="D2456">
        <v>0</v>
      </c>
      <c r="E2456">
        <v>0</v>
      </c>
      <c r="H2456">
        <v>0</v>
      </c>
      <c r="I2456">
        <v>0</v>
      </c>
      <c r="L2456">
        <v>0</v>
      </c>
      <c r="M2456">
        <v>0</v>
      </c>
      <c r="R2456">
        <v>0</v>
      </c>
      <c r="S2456">
        <v>0</v>
      </c>
    </row>
    <row r="2457" spans="1:20" x14ac:dyDescent="0.3">
      <c r="A2457" t="s">
        <v>745</v>
      </c>
      <c r="B2457">
        <v>49</v>
      </c>
      <c r="D2457">
        <v>0</v>
      </c>
      <c r="E2457">
        <v>0</v>
      </c>
      <c r="H2457">
        <v>0</v>
      </c>
      <c r="I2457">
        <v>0</v>
      </c>
      <c r="L2457">
        <v>0</v>
      </c>
      <c r="M2457">
        <v>0</v>
      </c>
      <c r="R2457">
        <v>0</v>
      </c>
      <c r="S2457">
        <v>0</v>
      </c>
    </row>
    <row r="2458" spans="1:20" x14ac:dyDescent="0.3">
      <c r="A2458" t="s">
        <v>746</v>
      </c>
      <c r="B2458">
        <v>49</v>
      </c>
      <c r="E2458">
        <v>94</v>
      </c>
      <c r="I2458">
        <v>94</v>
      </c>
      <c r="M2458">
        <v>94</v>
      </c>
      <c r="S2458">
        <v>94</v>
      </c>
    </row>
    <row r="2459" spans="1:20" x14ac:dyDescent="0.3">
      <c r="A2459" t="s">
        <v>747</v>
      </c>
      <c r="B2459">
        <v>49</v>
      </c>
      <c r="E2459">
        <v>6</v>
      </c>
      <c r="I2459">
        <v>6</v>
      </c>
      <c r="M2459">
        <v>6</v>
      </c>
      <c r="S2459">
        <v>6</v>
      </c>
    </row>
    <row r="2460" spans="1:20" x14ac:dyDescent="0.3">
      <c r="A2460" t="s">
        <v>748</v>
      </c>
      <c r="B2460">
        <v>49</v>
      </c>
      <c r="E2460">
        <v>3</v>
      </c>
      <c r="I2460">
        <v>3</v>
      </c>
      <c r="M2460">
        <v>3</v>
      </c>
      <c r="S2460">
        <v>3</v>
      </c>
    </row>
    <row r="2461" spans="1:20" x14ac:dyDescent="0.3">
      <c r="A2461" t="s">
        <v>749</v>
      </c>
      <c r="B2461">
        <v>49</v>
      </c>
      <c r="E2461">
        <v>0</v>
      </c>
      <c r="I2461">
        <v>0</v>
      </c>
      <c r="M2461">
        <v>0</v>
      </c>
      <c r="S2461">
        <v>0</v>
      </c>
    </row>
    <row r="2462" spans="1:20" x14ac:dyDescent="0.3">
      <c r="A2462" t="s">
        <v>750</v>
      </c>
      <c r="B2462">
        <v>49</v>
      </c>
      <c r="E2462">
        <v>0</v>
      </c>
      <c r="I2462">
        <v>0</v>
      </c>
      <c r="M2462">
        <v>0</v>
      </c>
      <c r="S2462">
        <v>0</v>
      </c>
    </row>
    <row r="2463" spans="1:20" x14ac:dyDescent="0.3">
      <c r="A2463" t="s">
        <v>405</v>
      </c>
      <c r="B2463">
        <v>49</v>
      </c>
      <c r="E2463">
        <v>0</v>
      </c>
    </row>
    <row r="2464" spans="1:20" x14ac:dyDescent="0.3">
      <c r="A2464" t="s">
        <v>751</v>
      </c>
      <c r="B2464">
        <v>49</v>
      </c>
      <c r="D2464">
        <v>195</v>
      </c>
      <c r="E2464">
        <v>431</v>
      </c>
      <c r="F2464">
        <v>0</v>
      </c>
      <c r="H2464">
        <v>217</v>
      </c>
      <c r="I2464">
        <v>480</v>
      </c>
      <c r="J2464">
        <v>0</v>
      </c>
      <c r="L2464">
        <v>143</v>
      </c>
      <c r="M2464">
        <v>967</v>
      </c>
      <c r="N2464">
        <v>0</v>
      </c>
      <c r="P2464">
        <v>0</v>
      </c>
      <c r="R2464">
        <v>142</v>
      </c>
      <c r="S2464">
        <v>1227</v>
      </c>
      <c r="T2464">
        <v>0</v>
      </c>
    </row>
    <row r="2465" spans="1:20" x14ac:dyDescent="0.3">
      <c r="A2465" t="s">
        <v>34</v>
      </c>
      <c r="B2465">
        <v>53</v>
      </c>
      <c r="D2465">
        <v>100</v>
      </c>
      <c r="E2465">
        <v>100</v>
      </c>
      <c r="F2465">
        <v>100</v>
      </c>
      <c r="H2465">
        <v>55</v>
      </c>
      <c r="I2465">
        <v>55</v>
      </c>
      <c r="J2465">
        <v>55</v>
      </c>
      <c r="L2465">
        <v>49</v>
      </c>
      <c r="M2465">
        <v>49</v>
      </c>
      <c r="N2465">
        <v>49</v>
      </c>
      <c r="P2465">
        <v>97</v>
      </c>
      <c r="R2465">
        <v>97</v>
      </c>
      <c r="S2465">
        <v>97</v>
      </c>
      <c r="T2465">
        <v>97</v>
      </c>
    </row>
    <row r="2466" spans="1:20" x14ac:dyDescent="0.3">
      <c r="A2466" t="s">
        <v>35</v>
      </c>
      <c r="B2466">
        <v>53</v>
      </c>
      <c r="D2466">
        <v>49</v>
      </c>
      <c r="E2466">
        <v>55</v>
      </c>
      <c r="F2466">
        <v>97</v>
      </c>
      <c r="H2466">
        <v>97</v>
      </c>
      <c r="I2466">
        <v>100</v>
      </c>
      <c r="J2466">
        <v>49</v>
      </c>
      <c r="L2466">
        <v>55</v>
      </c>
      <c r="M2466">
        <v>97</v>
      </c>
      <c r="N2466">
        <v>100</v>
      </c>
      <c r="P2466">
        <v>97</v>
      </c>
      <c r="R2466">
        <v>100</v>
      </c>
      <c r="S2466">
        <v>49</v>
      </c>
      <c r="T2466">
        <v>55</v>
      </c>
    </row>
    <row r="2467" spans="1:20" x14ac:dyDescent="0.3">
      <c r="A2467" t="s">
        <v>36</v>
      </c>
      <c r="B2467">
        <v>53</v>
      </c>
      <c r="D2467">
        <v>1</v>
      </c>
      <c r="E2467">
        <v>0</v>
      </c>
      <c r="F2467">
        <v>1</v>
      </c>
      <c r="H2467">
        <v>1</v>
      </c>
      <c r="I2467">
        <v>0</v>
      </c>
      <c r="J2467">
        <v>1</v>
      </c>
      <c r="L2467">
        <v>1</v>
      </c>
      <c r="M2467">
        <v>3</v>
      </c>
      <c r="N2467">
        <v>0</v>
      </c>
      <c r="P2467">
        <v>1</v>
      </c>
      <c r="R2467">
        <v>0</v>
      </c>
      <c r="S2467">
        <v>3</v>
      </c>
      <c r="T2467">
        <v>0</v>
      </c>
    </row>
    <row r="2468" spans="1:20" x14ac:dyDescent="0.3">
      <c r="A2468" t="s">
        <v>37</v>
      </c>
      <c r="B2468">
        <v>53</v>
      </c>
      <c r="D2468">
        <v>0</v>
      </c>
      <c r="E2468">
        <v>0</v>
      </c>
      <c r="H2468">
        <v>0</v>
      </c>
      <c r="I2468">
        <v>0</v>
      </c>
      <c r="L2468">
        <v>0</v>
      </c>
      <c r="M2468">
        <v>0</v>
      </c>
      <c r="R2468">
        <v>0</v>
      </c>
      <c r="S2468">
        <v>2</v>
      </c>
    </row>
    <row r="2469" spans="1:20" x14ac:dyDescent="0.3">
      <c r="A2469" t="s">
        <v>38</v>
      </c>
      <c r="B2469">
        <v>53</v>
      </c>
      <c r="D2469">
        <v>12</v>
      </c>
      <c r="E2469">
        <v>12</v>
      </c>
      <c r="F2469">
        <v>12</v>
      </c>
      <c r="H2469">
        <v>12</v>
      </c>
      <c r="I2469">
        <v>12</v>
      </c>
      <c r="J2469">
        <v>12</v>
      </c>
      <c r="L2469">
        <v>12</v>
      </c>
      <c r="M2469">
        <v>12</v>
      </c>
      <c r="N2469">
        <v>12</v>
      </c>
      <c r="P2469">
        <v>12</v>
      </c>
      <c r="R2469">
        <v>12</v>
      </c>
      <c r="S2469">
        <v>12</v>
      </c>
      <c r="T2469">
        <v>12</v>
      </c>
    </row>
    <row r="2470" spans="1:20" x14ac:dyDescent="0.3">
      <c r="A2470" t="s">
        <v>39</v>
      </c>
      <c r="B2470">
        <v>53</v>
      </c>
      <c r="H2470">
        <v>118</v>
      </c>
      <c r="L2470">
        <v>112</v>
      </c>
      <c r="R2470">
        <v>112</v>
      </c>
    </row>
    <row r="2471" spans="1:20" x14ac:dyDescent="0.3">
      <c r="A2471" t="s">
        <v>726</v>
      </c>
      <c r="B2471">
        <v>53</v>
      </c>
      <c r="H2471">
        <v>25</v>
      </c>
      <c r="L2471">
        <v>25</v>
      </c>
      <c r="R2471">
        <v>25</v>
      </c>
    </row>
    <row r="2472" spans="1:20" x14ac:dyDescent="0.3">
      <c r="A2472" t="s">
        <v>40</v>
      </c>
      <c r="B2472">
        <v>53</v>
      </c>
      <c r="H2472">
        <v>1</v>
      </c>
      <c r="L2472">
        <v>1</v>
      </c>
      <c r="R2472">
        <v>1</v>
      </c>
    </row>
    <row r="2473" spans="1:20" x14ac:dyDescent="0.3">
      <c r="A2473" t="s">
        <v>41</v>
      </c>
      <c r="B2473">
        <v>53</v>
      </c>
    </row>
    <row r="2474" spans="1:20" x14ac:dyDescent="0.3">
      <c r="A2474" t="s">
        <v>42</v>
      </c>
      <c r="B2474">
        <v>53</v>
      </c>
      <c r="E2474">
        <v>30</v>
      </c>
      <c r="I2474">
        <v>25</v>
      </c>
      <c r="M2474">
        <v>40</v>
      </c>
      <c r="S2474">
        <v>40</v>
      </c>
    </row>
    <row r="2475" spans="1:20" x14ac:dyDescent="0.3">
      <c r="A2475" t="s">
        <v>45</v>
      </c>
      <c r="B2475">
        <v>53</v>
      </c>
      <c r="D2475">
        <v>4</v>
      </c>
      <c r="H2475">
        <v>8</v>
      </c>
      <c r="L2475">
        <v>1</v>
      </c>
      <c r="M2475">
        <v>6</v>
      </c>
      <c r="S2475">
        <v>2</v>
      </c>
    </row>
    <row r="2476" spans="1:20" x14ac:dyDescent="0.3">
      <c r="A2476" t="s">
        <v>46</v>
      </c>
      <c r="B2476">
        <v>53</v>
      </c>
      <c r="F2476">
        <v>4</v>
      </c>
      <c r="J2476">
        <v>8</v>
      </c>
      <c r="L2476">
        <v>6</v>
      </c>
      <c r="P2476">
        <v>2</v>
      </c>
      <c r="R2476">
        <v>2</v>
      </c>
    </row>
    <row r="2477" spans="1:20" x14ac:dyDescent="0.3">
      <c r="A2477" t="s">
        <v>49</v>
      </c>
      <c r="B2477">
        <v>53</v>
      </c>
      <c r="D2477">
        <v>5.6</v>
      </c>
      <c r="E2477">
        <v>4</v>
      </c>
      <c r="F2477">
        <v>5.6</v>
      </c>
      <c r="H2477">
        <v>5.6</v>
      </c>
      <c r="I2477">
        <v>4</v>
      </c>
      <c r="J2477">
        <v>5.6</v>
      </c>
      <c r="L2477">
        <v>4</v>
      </c>
      <c r="M2477">
        <v>5</v>
      </c>
      <c r="N2477">
        <v>4</v>
      </c>
      <c r="P2477">
        <v>5</v>
      </c>
      <c r="R2477">
        <v>5</v>
      </c>
      <c r="S2477">
        <v>5</v>
      </c>
      <c r="T2477">
        <v>4</v>
      </c>
    </row>
    <row r="2478" spans="1:20" x14ac:dyDescent="0.3">
      <c r="A2478" t="s">
        <v>727</v>
      </c>
      <c r="B2478">
        <v>53</v>
      </c>
      <c r="D2478">
        <v>0</v>
      </c>
      <c r="E2478">
        <v>0</v>
      </c>
      <c r="F2478">
        <v>0</v>
      </c>
      <c r="H2478">
        <v>0</v>
      </c>
      <c r="I2478">
        <v>0</v>
      </c>
      <c r="J2478">
        <v>0</v>
      </c>
      <c r="L2478">
        <v>0</v>
      </c>
      <c r="M2478">
        <v>0</v>
      </c>
      <c r="N2478">
        <v>0</v>
      </c>
      <c r="P2478">
        <v>0</v>
      </c>
      <c r="R2478">
        <v>0</v>
      </c>
      <c r="S2478">
        <v>0</v>
      </c>
      <c r="T2478">
        <v>0</v>
      </c>
    </row>
    <row r="2479" spans="1:20" x14ac:dyDescent="0.3">
      <c r="A2479" t="s">
        <v>48</v>
      </c>
      <c r="B2479">
        <v>53</v>
      </c>
      <c r="D2479">
        <v>1900</v>
      </c>
      <c r="E2479">
        <v>1900</v>
      </c>
      <c r="F2479">
        <v>1900</v>
      </c>
      <c r="H2479">
        <v>1900</v>
      </c>
      <c r="I2479">
        <v>1900</v>
      </c>
      <c r="J2479">
        <v>1900</v>
      </c>
      <c r="L2479">
        <v>1900</v>
      </c>
      <c r="M2479">
        <v>1900</v>
      </c>
      <c r="N2479">
        <v>1900</v>
      </c>
      <c r="P2479">
        <v>1900</v>
      </c>
      <c r="R2479">
        <v>1900</v>
      </c>
      <c r="S2479">
        <v>1900</v>
      </c>
      <c r="T2479">
        <v>1900</v>
      </c>
    </row>
    <row r="2480" spans="1:20" x14ac:dyDescent="0.3">
      <c r="A2480" t="s">
        <v>728</v>
      </c>
      <c r="B2480">
        <v>53</v>
      </c>
      <c r="D2480">
        <v>1863</v>
      </c>
      <c r="E2480">
        <v>0</v>
      </c>
      <c r="F2480">
        <v>1863</v>
      </c>
      <c r="H2480">
        <v>1770</v>
      </c>
      <c r="I2480">
        <v>0</v>
      </c>
      <c r="J2480">
        <v>1583</v>
      </c>
      <c r="L2480">
        <v>1770</v>
      </c>
      <c r="M2480">
        <v>5085</v>
      </c>
      <c r="N2480">
        <v>0</v>
      </c>
      <c r="P2480">
        <v>1863</v>
      </c>
      <c r="R2480">
        <v>0</v>
      </c>
      <c r="S2480">
        <v>5040</v>
      </c>
      <c r="T2480">
        <v>0</v>
      </c>
    </row>
    <row r="2481" spans="1:20" x14ac:dyDescent="0.3">
      <c r="A2481" t="s">
        <v>50</v>
      </c>
      <c r="B2481">
        <v>53</v>
      </c>
      <c r="D2481">
        <v>1863</v>
      </c>
      <c r="E2481">
        <v>0</v>
      </c>
      <c r="F2481">
        <v>1863</v>
      </c>
      <c r="H2481">
        <v>1770</v>
      </c>
      <c r="I2481">
        <v>0</v>
      </c>
      <c r="J2481">
        <v>1583</v>
      </c>
      <c r="L2481">
        <v>181</v>
      </c>
      <c r="M2481">
        <v>5085</v>
      </c>
      <c r="N2481">
        <v>0</v>
      </c>
      <c r="P2481">
        <v>1863</v>
      </c>
      <c r="R2481">
        <v>0</v>
      </c>
      <c r="S2481">
        <v>4712</v>
      </c>
      <c r="T2481">
        <v>0</v>
      </c>
    </row>
    <row r="2482" spans="1:20" x14ac:dyDescent="0.3">
      <c r="A2482" t="s">
        <v>729</v>
      </c>
      <c r="B2482">
        <v>53</v>
      </c>
      <c r="D2482">
        <v>1</v>
      </c>
      <c r="E2482">
        <v>1</v>
      </c>
      <c r="F2482">
        <v>1</v>
      </c>
      <c r="H2482">
        <v>1</v>
      </c>
      <c r="I2482">
        <v>1</v>
      </c>
      <c r="J2482">
        <v>1</v>
      </c>
      <c r="L2482">
        <v>1</v>
      </c>
      <c r="M2482">
        <v>1</v>
      </c>
      <c r="N2482">
        <v>1</v>
      </c>
      <c r="P2482">
        <v>1</v>
      </c>
      <c r="R2482">
        <v>1</v>
      </c>
      <c r="S2482">
        <v>1</v>
      </c>
      <c r="T2482">
        <v>1</v>
      </c>
    </row>
    <row r="2483" spans="1:20" x14ac:dyDescent="0.3">
      <c r="A2483" t="s">
        <v>51</v>
      </c>
      <c r="B2483">
        <v>53</v>
      </c>
      <c r="D2483">
        <v>0</v>
      </c>
      <c r="E2483">
        <v>0</v>
      </c>
      <c r="F2483">
        <v>0</v>
      </c>
      <c r="H2483">
        <v>0</v>
      </c>
      <c r="I2483">
        <v>0</v>
      </c>
      <c r="J2483">
        <v>55</v>
      </c>
      <c r="L2483">
        <v>0</v>
      </c>
      <c r="M2483">
        <v>1</v>
      </c>
      <c r="N2483">
        <v>0</v>
      </c>
      <c r="P2483">
        <v>0</v>
      </c>
      <c r="R2483">
        <v>0</v>
      </c>
      <c r="S2483">
        <v>14</v>
      </c>
      <c r="T2483">
        <v>0</v>
      </c>
    </row>
    <row r="2484" spans="1:20" x14ac:dyDescent="0.3">
      <c r="A2484" t="s">
        <v>53</v>
      </c>
      <c r="B2484">
        <v>53</v>
      </c>
      <c r="D2484">
        <v>0</v>
      </c>
      <c r="E2484">
        <v>0</v>
      </c>
      <c r="F2484">
        <v>0</v>
      </c>
      <c r="H2484">
        <v>72</v>
      </c>
      <c r="I2484">
        <v>0</v>
      </c>
      <c r="J2484">
        <v>35</v>
      </c>
      <c r="L2484">
        <v>45</v>
      </c>
      <c r="M2484">
        <v>1285</v>
      </c>
      <c r="N2484">
        <v>3</v>
      </c>
      <c r="P2484">
        <v>0</v>
      </c>
      <c r="R2484">
        <v>5</v>
      </c>
      <c r="S2484">
        <v>1403</v>
      </c>
      <c r="T2484">
        <v>90</v>
      </c>
    </row>
    <row r="2485" spans="1:20" x14ac:dyDescent="0.3">
      <c r="A2485" t="s">
        <v>54</v>
      </c>
      <c r="B2485">
        <v>53</v>
      </c>
      <c r="D2485">
        <v>0</v>
      </c>
      <c r="E2485">
        <v>0</v>
      </c>
      <c r="F2485">
        <v>0</v>
      </c>
      <c r="H2485">
        <v>0</v>
      </c>
      <c r="I2485">
        <v>0</v>
      </c>
      <c r="J2485">
        <v>0</v>
      </c>
      <c r="L2485">
        <v>0</v>
      </c>
      <c r="M2485">
        <v>0</v>
      </c>
      <c r="N2485">
        <v>0</v>
      </c>
      <c r="P2485">
        <v>0</v>
      </c>
      <c r="R2485">
        <v>0</v>
      </c>
      <c r="S2485">
        <v>0</v>
      </c>
      <c r="T2485">
        <v>0</v>
      </c>
    </row>
    <row r="2486" spans="1:20" x14ac:dyDescent="0.3">
      <c r="A2486" t="s">
        <v>55</v>
      </c>
      <c r="B2486">
        <v>53</v>
      </c>
      <c r="D2486">
        <v>0</v>
      </c>
      <c r="E2486">
        <v>0</v>
      </c>
      <c r="F2486">
        <v>0</v>
      </c>
      <c r="H2486">
        <v>0</v>
      </c>
      <c r="I2486">
        <v>0</v>
      </c>
      <c r="J2486">
        <v>0</v>
      </c>
      <c r="L2486">
        <v>0</v>
      </c>
      <c r="M2486">
        <v>0</v>
      </c>
      <c r="N2486">
        <v>0</v>
      </c>
      <c r="P2486">
        <v>0</v>
      </c>
      <c r="R2486">
        <v>0</v>
      </c>
      <c r="S2486">
        <v>0</v>
      </c>
      <c r="T2486">
        <v>0</v>
      </c>
    </row>
    <row r="2487" spans="1:20" x14ac:dyDescent="0.3">
      <c r="A2487" t="s">
        <v>56</v>
      </c>
      <c r="B2487">
        <v>53</v>
      </c>
      <c r="D2487">
        <v>0.92</v>
      </c>
      <c r="E2487">
        <v>0.92</v>
      </c>
      <c r="F2487">
        <v>0.92</v>
      </c>
      <c r="H2487">
        <v>0.92</v>
      </c>
      <c r="I2487">
        <v>0.92</v>
      </c>
      <c r="J2487">
        <v>0.92</v>
      </c>
      <c r="L2487">
        <v>0.92</v>
      </c>
      <c r="M2487">
        <v>0.92</v>
      </c>
      <c r="N2487">
        <v>0.92</v>
      </c>
      <c r="P2487">
        <v>0.92</v>
      </c>
      <c r="R2487">
        <v>0.92</v>
      </c>
      <c r="S2487">
        <v>0.92</v>
      </c>
      <c r="T2487">
        <v>0.92</v>
      </c>
    </row>
    <row r="2488" spans="1:20" x14ac:dyDescent="0.3">
      <c r="A2488" t="s">
        <v>57</v>
      </c>
      <c r="B2488">
        <v>53</v>
      </c>
      <c r="D2488">
        <v>100</v>
      </c>
      <c r="E2488">
        <v>100</v>
      </c>
      <c r="F2488">
        <v>100</v>
      </c>
      <c r="H2488">
        <v>100</v>
      </c>
      <c r="I2488">
        <v>100</v>
      </c>
      <c r="J2488">
        <v>100</v>
      </c>
      <c r="L2488">
        <v>100</v>
      </c>
      <c r="M2488">
        <v>100</v>
      </c>
      <c r="N2488">
        <v>100</v>
      </c>
      <c r="P2488">
        <v>100</v>
      </c>
      <c r="R2488">
        <v>100</v>
      </c>
      <c r="S2488">
        <v>100</v>
      </c>
      <c r="T2488">
        <v>100</v>
      </c>
    </row>
    <row r="2489" spans="1:20" x14ac:dyDescent="0.3">
      <c r="A2489" t="s">
        <v>58</v>
      </c>
      <c r="B2489">
        <v>53</v>
      </c>
      <c r="D2489">
        <v>2</v>
      </c>
      <c r="E2489">
        <v>2</v>
      </c>
      <c r="F2489">
        <v>2</v>
      </c>
      <c r="H2489">
        <v>2</v>
      </c>
      <c r="I2489">
        <v>2</v>
      </c>
      <c r="J2489">
        <v>2</v>
      </c>
      <c r="L2489">
        <v>2</v>
      </c>
      <c r="M2489">
        <v>2</v>
      </c>
      <c r="N2489">
        <v>2</v>
      </c>
      <c r="P2489">
        <v>2</v>
      </c>
      <c r="R2489">
        <v>2</v>
      </c>
      <c r="S2489">
        <v>2</v>
      </c>
      <c r="T2489">
        <v>2</v>
      </c>
    </row>
    <row r="2490" spans="1:20" x14ac:dyDescent="0.3">
      <c r="A2490" t="s">
        <v>59</v>
      </c>
      <c r="B2490">
        <v>53</v>
      </c>
      <c r="D2490">
        <v>0</v>
      </c>
      <c r="E2490">
        <v>0</v>
      </c>
      <c r="F2490">
        <v>0</v>
      </c>
      <c r="H2490">
        <v>0</v>
      </c>
      <c r="I2490">
        <v>0</v>
      </c>
      <c r="J2490">
        <v>0</v>
      </c>
      <c r="L2490">
        <v>0</v>
      </c>
      <c r="M2490">
        <v>0</v>
      </c>
      <c r="N2490">
        <v>0</v>
      </c>
      <c r="P2490">
        <v>0</v>
      </c>
      <c r="R2490">
        <v>0</v>
      </c>
      <c r="S2490">
        <v>0</v>
      </c>
      <c r="T2490">
        <v>0</v>
      </c>
    </row>
    <row r="2491" spans="1:20" x14ac:dyDescent="0.3">
      <c r="A2491" t="s">
        <v>730</v>
      </c>
      <c r="B2491">
        <v>53</v>
      </c>
      <c r="E2491">
        <v>0</v>
      </c>
      <c r="I2491">
        <v>0</v>
      </c>
      <c r="M2491">
        <v>0</v>
      </c>
      <c r="S2491">
        <v>0</v>
      </c>
    </row>
    <row r="2492" spans="1:20" x14ac:dyDescent="0.3">
      <c r="A2492" t="s">
        <v>679</v>
      </c>
      <c r="B2492">
        <v>53</v>
      </c>
      <c r="E2492">
        <v>249</v>
      </c>
      <c r="I2492">
        <v>437</v>
      </c>
      <c r="M2492">
        <v>1829</v>
      </c>
      <c r="S2492">
        <v>1087</v>
      </c>
    </row>
    <row r="2493" spans="1:20" x14ac:dyDescent="0.3">
      <c r="A2493" t="s">
        <v>78</v>
      </c>
      <c r="B2493">
        <v>53</v>
      </c>
      <c r="E2493">
        <v>5.7</v>
      </c>
      <c r="I2493">
        <v>11.9</v>
      </c>
      <c r="M2493">
        <v>31.2</v>
      </c>
      <c r="S2493">
        <v>18.5</v>
      </c>
    </row>
    <row r="2494" spans="1:20" x14ac:dyDescent="0.3">
      <c r="A2494" t="s">
        <v>731</v>
      </c>
      <c r="B2494">
        <v>53</v>
      </c>
      <c r="F2494">
        <v>0</v>
      </c>
      <c r="J2494">
        <v>0</v>
      </c>
      <c r="N2494">
        <v>0</v>
      </c>
      <c r="T2494">
        <v>0</v>
      </c>
    </row>
    <row r="2495" spans="1:20" x14ac:dyDescent="0.3">
      <c r="A2495" t="s">
        <v>732</v>
      </c>
      <c r="B2495">
        <v>53</v>
      </c>
      <c r="D2495">
        <v>0</v>
      </c>
      <c r="E2495">
        <v>0</v>
      </c>
      <c r="F2495">
        <v>1</v>
      </c>
      <c r="H2495">
        <v>0</v>
      </c>
      <c r="I2495">
        <v>0</v>
      </c>
      <c r="J2495">
        <v>1</v>
      </c>
      <c r="L2495">
        <v>0</v>
      </c>
      <c r="M2495">
        <v>0</v>
      </c>
      <c r="N2495">
        <v>1</v>
      </c>
      <c r="P2495">
        <v>3</v>
      </c>
      <c r="R2495">
        <v>0</v>
      </c>
      <c r="S2495">
        <v>0</v>
      </c>
      <c r="T2495">
        <v>1</v>
      </c>
    </row>
    <row r="2496" spans="1:20" x14ac:dyDescent="0.3">
      <c r="A2496" t="s">
        <v>733</v>
      </c>
      <c r="B2496">
        <v>53</v>
      </c>
      <c r="D2496">
        <v>0</v>
      </c>
      <c r="E2496">
        <v>0</v>
      </c>
      <c r="F2496">
        <v>0</v>
      </c>
      <c r="H2496">
        <v>0</v>
      </c>
      <c r="I2496">
        <v>0</v>
      </c>
      <c r="J2496">
        <v>0</v>
      </c>
      <c r="L2496">
        <v>0</v>
      </c>
      <c r="M2496">
        <v>0</v>
      </c>
      <c r="N2496">
        <v>0</v>
      </c>
      <c r="P2496">
        <v>0</v>
      </c>
      <c r="R2496">
        <v>0</v>
      </c>
      <c r="S2496">
        <v>0</v>
      </c>
      <c r="T2496">
        <v>0</v>
      </c>
    </row>
    <row r="2497" spans="1:20" x14ac:dyDescent="0.3">
      <c r="A2497" t="s">
        <v>52</v>
      </c>
      <c r="B2497">
        <v>53</v>
      </c>
      <c r="D2497">
        <v>1</v>
      </c>
      <c r="E2497">
        <v>1</v>
      </c>
      <c r="F2497">
        <v>1</v>
      </c>
      <c r="H2497">
        <v>1</v>
      </c>
      <c r="I2497">
        <v>1</v>
      </c>
      <c r="J2497">
        <v>1</v>
      </c>
      <c r="L2497">
        <v>1</v>
      </c>
      <c r="M2497">
        <v>1</v>
      </c>
      <c r="N2497">
        <v>1</v>
      </c>
      <c r="P2497">
        <v>1</v>
      </c>
      <c r="R2497">
        <v>1</v>
      </c>
      <c r="S2497">
        <v>1</v>
      </c>
      <c r="T2497">
        <v>1</v>
      </c>
    </row>
    <row r="2498" spans="1:20" x14ac:dyDescent="0.3">
      <c r="A2498" t="s">
        <v>734</v>
      </c>
      <c r="B2498">
        <v>53</v>
      </c>
      <c r="D2498">
        <v>15</v>
      </c>
      <c r="E2498">
        <v>60</v>
      </c>
      <c r="F2498">
        <v>9</v>
      </c>
      <c r="H2498">
        <v>15</v>
      </c>
      <c r="I2498">
        <v>60</v>
      </c>
      <c r="J2498">
        <v>9</v>
      </c>
      <c r="L2498">
        <v>15</v>
      </c>
      <c r="M2498">
        <v>60</v>
      </c>
      <c r="N2498">
        <v>9</v>
      </c>
      <c r="P2498">
        <v>9</v>
      </c>
      <c r="R2498">
        <v>15</v>
      </c>
      <c r="S2498">
        <v>60</v>
      </c>
      <c r="T2498">
        <v>9</v>
      </c>
    </row>
    <row r="2499" spans="1:20" x14ac:dyDescent="0.3">
      <c r="A2499" t="s">
        <v>43</v>
      </c>
      <c r="B2499">
        <v>53</v>
      </c>
      <c r="D2499">
        <v>20</v>
      </c>
      <c r="F2499">
        <v>20</v>
      </c>
      <c r="H2499">
        <v>20</v>
      </c>
      <c r="J2499">
        <v>20</v>
      </c>
      <c r="L2499">
        <v>20</v>
      </c>
      <c r="M2499">
        <v>100</v>
      </c>
      <c r="P2499">
        <v>20</v>
      </c>
      <c r="R2499">
        <v>20</v>
      </c>
      <c r="S2499">
        <v>100</v>
      </c>
    </row>
    <row r="2500" spans="1:20" x14ac:dyDescent="0.3">
      <c r="A2500" t="s">
        <v>44</v>
      </c>
      <c r="B2500">
        <v>53</v>
      </c>
      <c r="D2500">
        <v>0</v>
      </c>
      <c r="F2500">
        <v>0</v>
      </c>
      <c r="H2500">
        <v>0</v>
      </c>
      <c r="J2500">
        <v>0</v>
      </c>
      <c r="L2500">
        <v>0</v>
      </c>
      <c r="M2500">
        <v>0</v>
      </c>
      <c r="P2500">
        <v>0</v>
      </c>
      <c r="R2500">
        <v>0</v>
      </c>
      <c r="S2500">
        <v>0</v>
      </c>
    </row>
    <row r="2501" spans="1:20" x14ac:dyDescent="0.3">
      <c r="A2501" t="s">
        <v>47</v>
      </c>
      <c r="B2501">
        <v>53</v>
      </c>
      <c r="D2501">
        <v>4</v>
      </c>
      <c r="F2501">
        <v>4</v>
      </c>
      <c r="H2501">
        <v>8</v>
      </c>
      <c r="J2501">
        <v>8</v>
      </c>
      <c r="L2501">
        <v>1</v>
      </c>
      <c r="M2501">
        <v>6</v>
      </c>
      <c r="P2501">
        <v>2</v>
      </c>
      <c r="R2501">
        <v>2</v>
      </c>
      <c r="S2501">
        <v>2</v>
      </c>
    </row>
    <row r="2502" spans="1:20" x14ac:dyDescent="0.3">
      <c r="A2502" t="s">
        <v>735</v>
      </c>
      <c r="B2502">
        <v>53</v>
      </c>
      <c r="D2502">
        <v>0</v>
      </c>
      <c r="F2502">
        <v>0</v>
      </c>
      <c r="H2502">
        <v>0</v>
      </c>
      <c r="J2502">
        <v>0</v>
      </c>
      <c r="L2502">
        <v>0</v>
      </c>
      <c r="M2502">
        <v>0</v>
      </c>
      <c r="P2502">
        <v>0</v>
      </c>
      <c r="R2502">
        <v>0</v>
      </c>
      <c r="S2502">
        <v>0</v>
      </c>
    </row>
    <row r="2503" spans="1:20" x14ac:dyDescent="0.3">
      <c r="A2503" t="s">
        <v>736</v>
      </c>
      <c r="B2503">
        <v>53</v>
      </c>
      <c r="D2503">
        <v>0</v>
      </c>
      <c r="F2503">
        <v>0</v>
      </c>
      <c r="H2503">
        <v>0</v>
      </c>
      <c r="J2503">
        <v>0</v>
      </c>
      <c r="L2503">
        <v>0</v>
      </c>
      <c r="M2503">
        <v>0</v>
      </c>
      <c r="P2503">
        <v>0</v>
      </c>
      <c r="R2503">
        <v>0</v>
      </c>
      <c r="S2503">
        <v>0</v>
      </c>
    </row>
    <row r="2504" spans="1:20" x14ac:dyDescent="0.3">
      <c r="A2504" t="s">
        <v>737</v>
      </c>
      <c r="B2504">
        <v>53</v>
      </c>
      <c r="D2504">
        <v>0</v>
      </c>
      <c r="F2504">
        <v>0</v>
      </c>
      <c r="H2504">
        <v>0</v>
      </c>
      <c r="J2504">
        <v>0</v>
      </c>
      <c r="L2504">
        <v>0</v>
      </c>
      <c r="M2504">
        <v>0</v>
      </c>
      <c r="P2504">
        <v>0</v>
      </c>
      <c r="R2504">
        <v>0</v>
      </c>
      <c r="S2504">
        <v>0</v>
      </c>
    </row>
    <row r="2505" spans="1:20" x14ac:dyDescent="0.3">
      <c r="A2505" t="s">
        <v>738</v>
      </c>
      <c r="B2505">
        <v>53</v>
      </c>
      <c r="D2505">
        <v>0</v>
      </c>
      <c r="F2505">
        <v>0</v>
      </c>
      <c r="H2505">
        <v>0</v>
      </c>
      <c r="J2505">
        <v>0</v>
      </c>
      <c r="L2505">
        <v>0</v>
      </c>
      <c r="M2505">
        <v>0</v>
      </c>
      <c r="P2505">
        <v>0</v>
      </c>
      <c r="R2505">
        <v>0</v>
      </c>
      <c r="S2505">
        <v>0</v>
      </c>
    </row>
    <row r="2506" spans="1:20" x14ac:dyDescent="0.3">
      <c r="A2506" t="s">
        <v>739</v>
      </c>
      <c r="B2506">
        <v>53</v>
      </c>
      <c r="D2506">
        <v>1</v>
      </c>
      <c r="F2506">
        <v>1</v>
      </c>
      <c r="H2506">
        <v>1</v>
      </c>
      <c r="J2506">
        <v>1</v>
      </c>
      <c r="L2506">
        <v>1</v>
      </c>
      <c r="M2506">
        <v>2</v>
      </c>
      <c r="P2506">
        <v>1</v>
      </c>
      <c r="R2506">
        <v>1</v>
      </c>
      <c r="S2506">
        <v>2</v>
      </c>
    </row>
    <row r="2507" spans="1:20" x14ac:dyDescent="0.3">
      <c r="A2507" t="s">
        <v>740</v>
      </c>
      <c r="B2507">
        <v>53</v>
      </c>
      <c r="D2507">
        <v>0</v>
      </c>
      <c r="F2507">
        <v>0</v>
      </c>
      <c r="H2507">
        <v>0</v>
      </c>
      <c r="J2507">
        <v>0</v>
      </c>
      <c r="L2507">
        <v>0</v>
      </c>
      <c r="M2507">
        <v>0</v>
      </c>
      <c r="P2507">
        <v>0</v>
      </c>
      <c r="R2507">
        <v>0</v>
      </c>
      <c r="S2507">
        <v>0</v>
      </c>
    </row>
    <row r="2508" spans="1:20" x14ac:dyDescent="0.3">
      <c r="A2508" t="s">
        <v>741</v>
      </c>
      <c r="B2508">
        <v>53</v>
      </c>
      <c r="D2508">
        <v>20</v>
      </c>
      <c r="F2508">
        <v>20</v>
      </c>
      <c r="H2508">
        <v>20</v>
      </c>
      <c r="J2508">
        <v>20</v>
      </c>
      <c r="L2508">
        <v>20</v>
      </c>
      <c r="M2508">
        <v>6</v>
      </c>
      <c r="P2508">
        <v>20</v>
      </c>
      <c r="R2508">
        <v>20</v>
      </c>
      <c r="S2508">
        <v>6</v>
      </c>
    </row>
    <row r="2509" spans="1:20" x14ac:dyDescent="0.3">
      <c r="A2509" t="s">
        <v>742</v>
      </c>
      <c r="B2509">
        <v>53</v>
      </c>
      <c r="D2509">
        <v>3</v>
      </c>
      <c r="F2509">
        <v>3</v>
      </c>
      <c r="H2509">
        <v>3</v>
      </c>
      <c r="J2509">
        <v>3</v>
      </c>
      <c r="L2509">
        <v>3</v>
      </c>
      <c r="M2509">
        <v>3</v>
      </c>
      <c r="P2509">
        <v>3</v>
      </c>
      <c r="R2509">
        <v>3</v>
      </c>
      <c r="S2509">
        <v>3</v>
      </c>
    </row>
    <row r="2510" spans="1:20" x14ac:dyDescent="0.3">
      <c r="A2510" t="s">
        <v>743</v>
      </c>
      <c r="B2510">
        <v>53</v>
      </c>
      <c r="D2510">
        <v>0</v>
      </c>
      <c r="F2510">
        <v>0</v>
      </c>
      <c r="H2510">
        <v>0</v>
      </c>
      <c r="J2510">
        <v>0</v>
      </c>
      <c r="L2510">
        <v>0</v>
      </c>
      <c r="M2510">
        <v>0</v>
      </c>
      <c r="P2510">
        <v>0</v>
      </c>
      <c r="R2510">
        <v>0</v>
      </c>
      <c r="S2510">
        <v>0</v>
      </c>
    </row>
    <row r="2511" spans="1:20" x14ac:dyDescent="0.3">
      <c r="A2511" t="s">
        <v>744</v>
      </c>
      <c r="B2511">
        <v>53</v>
      </c>
      <c r="D2511">
        <v>0</v>
      </c>
      <c r="F2511">
        <v>0</v>
      </c>
      <c r="H2511">
        <v>0</v>
      </c>
      <c r="J2511">
        <v>0</v>
      </c>
      <c r="L2511">
        <v>0</v>
      </c>
      <c r="M2511">
        <v>0</v>
      </c>
      <c r="P2511">
        <v>0</v>
      </c>
      <c r="R2511">
        <v>0</v>
      </c>
      <c r="S2511">
        <v>0</v>
      </c>
    </row>
    <row r="2512" spans="1:20" x14ac:dyDescent="0.3">
      <c r="A2512" t="s">
        <v>745</v>
      </c>
      <c r="B2512">
        <v>53</v>
      </c>
      <c r="D2512">
        <v>0</v>
      </c>
      <c r="F2512">
        <v>0</v>
      </c>
      <c r="H2512">
        <v>0</v>
      </c>
      <c r="J2512">
        <v>0</v>
      </c>
      <c r="L2512">
        <v>0</v>
      </c>
      <c r="M2512">
        <v>0</v>
      </c>
      <c r="P2512">
        <v>0</v>
      </c>
      <c r="R2512">
        <v>0</v>
      </c>
      <c r="S2512">
        <v>0</v>
      </c>
    </row>
    <row r="2513" spans="1:26" x14ac:dyDescent="0.3">
      <c r="A2513" t="s">
        <v>746</v>
      </c>
      <c r="B2513">
        <v>53</v>
      </c>
      <c r="M2513">
        <v>94</v>
      </c>
      <c r="S2513">
        <v>94</v>
      </c>
    </row>
    <row r="2514" spans="1:26" x14ac:dyDescent="0.3">
      <c r="A2514" t="s">
        <v>747</v>
      </c>
      <c r="B2514">
        <v>53</v>
      </c>
      <c r="M2514">
        <v>6</v>
      </c>
      <c r="S2514">
        <v>6</v>
      </c>
    </row>
    <row r="2515" spans="1:26" x14ac:dyDescent="0.3">
      <c r="A2515" t="s">
        <v>748</v>
      </c>
      <c r="B2515">
        <v>53</v>
      </c>
      <c r="M2515">
        <v>3</v>
      </c>
      <c r="S2515">
        <v>3</v>
      </c>
    </row>
    <row r="2516" spans="1:26" x14ac:dyDescent="0.3">
      <c r="A2516" t="s">
        <v>749</v>
      </c>
      <c r="B2516">
        <v>53</v>
      </c>
      <c r="M2516">
        <v>0</v>
      </c>
      <c r="S2516">
        <v>0</v>
      </c>
    </row>
    <row r="2517" spans="1:26" x14ac:dyDescent="0.3">
      <c r="A2517" t="s">
        <v>750</v>
      </c>
      <c r="B2517">
        <v>53</v>
      </c>
      <c r="E2517">
        <v>0</v>
      </c>
      <c r="I2517">
        <v>0</v>
      </c>
      <c r="M2517">
        <v>0</v>
      </c>
      <c r="S2517">
        <v>0</v>
      </c>
    </row>
    <row r="2518" spans="1:26" x14ac:dyDescent="0.3">
      <c r="A2518" t="s">
        <v>405</v>
      </c>
      <c r="B2518">
        <v>53</v>
      </c>
      <c r="E2518">
        <v>0</v>
      </c>
    </row>
    <row r="2519" spans="1:26" x14ac:dyDescent="0.3">
      <c r="A2519" t="s">
        <v>751</v>
      </c>
      <c r="B2519">
        <v>53</v>
      </c>
      <c r="D2519">
        <v>0</v>
      </c>
      <c r="E2519">
        <v>0</v>
      </c>
      <c r="F2519">
        <v>0</v>
      </c>
      <c r="H2519">
        <v>78</v>
      </c>
      <c r="I2519">
        <v>0</v>
      </c>
      <c r="J2519">
        <v>38</v>
      </c>
      <c r="L2519">
        <v>49</v>
      </c>
      <c r="M2519">
        <v>1400</v>
      </c>
      <c r="N2519">
        <v>0</v>
      </c>
      <c r="P2519">
        <v>0</v>
      </c>
      <c r="R2519">
        <v>0</v>
      </c>
      <c r="S2519">
        <v>1628</v>
      </c>
      <c r="T2519">
        <v>0</v>
      </c>
    </row>
    <row r="2520" spans="1:26" x14ac:dyDescent="0.3">
      <c r="A2520" t="s">
        <v>34</v>
      </c>
      <c r="B2520">
        <v>56</v>
      </c>
      <c r="C2520">
        <v>98</v>
      </c>
      <c r="D2520">
        <v>98</v>
      </c>
      <c r="F2520">
        <v>98</v>
      </c>
      <c r="G2520">
        <v>98</v>
      </c>
      <c r="K2520">
        <v>97</v>
      </c>
      <c r="L2520">
        <v>97</v>
      </c>
      <c r="M2520">
        <v>97</v>
      </c>
      <c r="N2520">
        <v>97</v>
      </c>
      <c r="O2520">
        <v>97</v>
      </c>
      <c r="P2520">
        <v>62</v>
      </c>
      <c r="Q2520">
        <v>62</v>
      </c>
      <c r="R2520">
        <v>62</v>
      </c>
      <c r="S2520">
        <v>62</v>
      </c>
      <c r="T2520">
        <v>62</v>
      </c>
      <c r="U2520">
        <v>62</v>
      </c>
      <c r="V2520">
        <v>99</v>
      </c>
      <c r="W2520">
        <v>99</v>
      </c>
      <c r="X2520">
        <v>99</v>
      </c>
      <c r="Y2520">
        <v>99</v>
      </c>
      <c r="Z2520">
        <v>99</v>
      </c>
    </row>
    <row r="2521" spans="1:26" x14ac:dyDescent="0.3">
      <c r="A2521" t="s">
        <v>35</v>
      </c>
      <c r="B2521">
        <v>56</v>
      </c>
      <c r="C2521">
        <v>97</v>
      </c>
      <c r="D2521">
        <v>60</v>
      </c>
      <c r="F2521">
        <v>61</v>
      </c>
      <c r="G2521">
        <v>62</v>
      </c>
      <c r="K2521">
        <v>60</v>
      </c>
      <c r="L2521">
        <v>61</v>
      </c>
      <c r="M2521">
        <v>62</v>
      </c>
      <c r="N2521">
        <v>98</v>
      </c>
      <c r="O2521">
        <v>99</v>
      </c>
      <c r="P2521">
        <v>62</v>
      </c>
      <c r="Q2521">
        <v>98</v>
      </c>
      <c r="R2521">
        <v>99</v>
      </c>
      <c r="S2521">
        <v>97</v>
      </c>
      <c r="T2521">
        <v>60</v>
      </c>
      <c r="U2521">
        <v>61</v>
      </c>
      <c r="V2521">
        <v>97</v>
      </c>
      <c r="W2521">
        <v>60</v>
      </c>
      <c r="X2521">
        <v>61</v>
      </c>
      <c r="Y2521">
        <v>62</v>
      </c>
      <c r="Z2521">
        <v>98</v>
      </c>
    </row>
    <row r="2522" spans="1:26" x14ac:dyDescent="0.3">
      <c r="A2522" t="s">
        <v>36</v>
      </c>
      <c r="B2522">
        <v>56</v>
      </c>
      <c r="C2522">
        <v>2</v>
      </c>
      <c r="D2522">
        <v>0</v>
      </c>
      <c r="F2522">
        <v>0</v>
      </c>
      <c r="G2522">
        <v>2</v>
      </c>
      <c r="K2522">
        <v>0</v>
      </c>
      <c r="L2522">
        <v>2</v>
      </c>
      <c r="M2522">
        <v>3</v>
      </c>
      <c r="N2522">
        <v>0</v>
      </c>
      <c r="O2522">
        <v>0</v>
      </c>
      <c r="P2522">
        <v>0</v>
      </c>
      <c r="Q2522">
        <v>0</v>
      </c>
      <c r="R2522">
        <v>2</v>
      </c>
      <c r="S2522">
        <v>3</v>
      </c>
      <c r="T2522">
        <v>0</v>
      </c>
      <c r="U2522">
        <v>0</v>
      </c>
      <c r="V2522">
        <v>0</v>
      </c>
      <c r="W2522">
        <v>0</v>
      </c>
      <c r="X2522">
        <v>0</v>
      </c>
      <c r="Y2522">
        <v>0</v>
      </c>
      <c r="Z2522">
        <v>0</v>
      </c>
    </row>
    <row r="2523" spans="1:26" x14ac:dyDescent="0.3">
      <c r="A2523" t="s">
        <v>37</v>
      </c>
      <c r="B2523">
        <v>56</v>
      </c>
      <c r="C2523">
        <v>0</v>
      </c>
      <c r="D2523">
        <v>0</v>
      </c>
      <c r="F2523">
        <v>0</v>
      </c>
      <c r="K2523">
        <v>0</v>
      </c>
      <c r="L2523">
        <v>0</v>
      </c>
      <c r="M2523">
        <v>0</v>
      </c>
      <c r="N2523">
        <v>0</v>
      </c>
      <c r="Q2523">
        <v>0</v>
      </c>
      <c r="R2523">
        <v>0</v>
      </c>
      <c r="S2523">
        <v>0</v>
      </c>
      <c r="T2523">
        <v>0</v>
      </c>
      <c r="V2523">
        <v>0</v>
      </c>
      <c r="W2523">
        <v>0</v>
      </c>
      <c r="X2523">
        <v>0</v>
      </c>
      <c r="Y2523">
        <v>0</v>
      </c>
    </row>
    <row r="2524" spans="1:26" x14ac:dyDescent="0.3">
      <c r="A2524" t="s">
        <v>38</v>
      </c>
      <c r="B2524">
        <v>56</v>
      </c>
      <c r="C2524">
        <v>12</v>
      </c>
      <c r="D2524">
        <v>12</v>
      </c>
      <c r="F2524">
        <v>12</v>
      </c>
      <c r="G2524">
        <v>12</v>
      </c>
      <c r="K2524">
        <v>12</v>
      </c>
      <c r="L2524">
        <v>12</v>
      </c>
      <c r="M2524">
        <v>12</v>
      </c>
      <c r="N2524">
        <v>12</v>
      </c>
      <c r="O2524">
        <v>12</v>
      </c>
      <c r="P2524">
        <v>12</v>
      </c>
      <c r="Q2524">
        <v>12</v>
      </c>
      <c r="R2524">
        <v>12</v>
      </c>
      <c r="S2524">
        <v>12</v>
      </c>
      <c r="T2524">
        <v>12</v>
      </c>
      <c r="U2524">
        <v>12</v>
      </c>
      <c r="V2524">
        <v>12</v>
      </c>
      <c r="W2524">
        <v>12</v>
      </c>
      <c r="X2524">
        <v>12</v>
      </c>
      <c r="Y2524">
        <v>12</v>
      </c>
      <c r="Z2524">
        <v>12</v>
      </c>
    </row>
    <row r="2525" spans="1:26" x14ac:dyDescent="0.3">
      <c r="A2525" t="s">
        <v>39</v>
      </c>
      <c r="B2525">
        <v>56</v>
      </c>
      <c r="L2525">
        <v>207</v>
      </c>
      <c r="R2525">
        <v>215</v>
      </c>
    </row>
    <row r="2526" spans="1:26" x14ac:dyDescent="0.3">
      <c r="A2526" t="s">
        <v>726</v>
      </c>
      <c r="B2526">
        <v>56</v>
      </c>
      <c r="L2526">
        <v>25</v>
      </c>
      <c r="R2526">
        <v>25</v>
      </c>
    </row>
    <row r="2527" spans="1:26" x14ac:dyDescent="0.3">
      <c r="A2527" t="s">
        <v>40</v>
      </c>
      <c r="B2527">
        <v>56</v>
      </c>
      <c r="L2527">
        <v>2</v>
      </c>
      <c r="R2527">
        <v>2</v>
      </c>
    </row>
    <row r="2528" spans="1:26" x14ac:dyDescent="0.3">
      <c r="A2528" t="s">
        <v>41</v>
      </c>
      <c r="B2528">
        <v>56</v>
      </c>
    </row>
    <row r="2529" spans="1:26" x14ac:dyDescent="0.3">
      <c r="A2529" t="s">
        <v>42</v>
      </c>
      <c r="B2529">
        <v>56</v>
      </c>
      <c r="D2529">
        <v>40</v>
      </c>
      <c r="M2529">
        <v>40</v>
      </c>
      <c r="S2529">
        <v>40</v>
      </c>
      <c r="X2529">
        <v>30</v>
      </c>
    </row>
    <row r="2530" spans="1:26" x14ac:dyDescent="0.3">
      <c r="A2530" t="s">
        <v>45</v>
      </c>
      <c r="B2530">
        <v>56</v>
      </c>
      <c r="C2530">
        <v>7</v>
      </c>
      <c r="L2530">
        <v>1</v>
      </c>
      <c r="M2530">
        <v>6</v>
      </c>
      <c r="R2530">
        <v>5</v>
      </c>
      <c r="S2530">
        <v>2</v>
      </c>
    </row>
    <row r="2531" spans="1:26" x14ac:dyDescent="0.3">
      <c r="A2531" t="s">
        <v>46</v>
      </c>
      <c r="B2531">
        <v>56</v>
      </c>
      <c r="G2531">
        <v>-1</v>
      </c>
    </row>
    <row r="2532" spans="1:26" x14ac:dyDescent="0.3">
      <c r="A2532" t="s">
        <v>49</v>
      </c>
      <c r="B2532">
        <v>56</v>
      </c>
      <c r="C2532">
        <v>8.5</v>
      </c>
      <c r="D2532">
        <v>4</v>
      </c>
      <c r="F2532">
        <v>4</v>
      </c>
      <c r="G2532">
        <v>4</v>
      </c>
      <c r="K2532">
        <v>4</v>
      </c>
      <c r="L2532">
        <v>9</v>
      </c>
      <c r="M2532">
        <v>8.6</v>
      </c>
      <c r="N2532">
        <v>4</v>
      </c>
      <c r="O2532">
        <v>4</v>
      </c>
      <c r="P2532">
        <v>4</v>
      </c>
      <c r="Q2532">
        <v>4</v>
      </c>
      <c r="R2532">
        <v>9</v>
      </c>
      <c r="S2532">
        <v>8.6</v>
      </c>
      <c r="T2532">
        <v>4</v>
      </c>
      <c r="U2532">
        <v>4</v>
      </c>
      <c r="V2532">
        <v>4</v>
      </c>
      <c r="W2532">
        <v>4</v>
      </c>
      <c r="X2532">
        <v>4</v>
      </c>
      <c r="Y2532">
        <v>4</v>
      </c>
      <c r="Z2532">
        <v>4</v>
      </c>
    </row>
    <row r="2533" spans="1:26" x14ac:dyDescent="0.3">
      <c r="A2533" t="s">
        <v>727</v>
      </c>
      <c r="B2533">
        <v>56</v>
      </c>
      <c r="C2533">
        <v>0</v>
      </c>
      <c r="D2533">
        <v>0</v>
      </c>
      <c r="F2533">
        <v>0</v>
      </c>
      <c r="G2533">
        <v>0</v>
      </c>
      <c r="K2533">
        <v>0</v>
      </c>
      <c r="L2533">
        <v>0</v>
      </c>
      <c r="M2533">
        <v>0</v>
      </c>
      <c r="N2533">
        <v>0</v>
      </c>
      <c r="O2533">
        <v>0</v>
      </c>
      <c r="P2533">
        <v>0</v>
      </c>
      <c r="Q2533">
        <v>0</v>
      </c>
      <c r="R2533">
        <v>0</v>
      </c>
      <c r="S2533">
        <v>0</v>
      </c>
      <c r="T2533">
        <v>0</v>
      </c>
      <c r="U2533">
        <v>0</v>
      </c>
      <c r="V2533">
        <v>0</v>
      </c>
      <c r="W2533">
        <v>0</v>
      </c>
      <c r="X2533">
        <v>0</v>
      </c>
      <c r="Y2533">
        <v>0</v>
      </c>
      <c r="Z2533">
        <v>0</v>
      </c>
    </row>
    <row r="2534" spans="1:26" x14ac:dyDescent="0.3">
      <c r="A2534" t="s">
        <v>48</v>
      </c>
      <c r="B2534">
        <v>56</v>
      </c>
      <c r="C2534">
        <v>1900</v>
      </c>
      <c r="D2534">
        <v>1900</v>
      </c>
      <c r="F2534">
        <v>1900</v>
      </c>
      <c r="G2534">
        <v>1900</v>
      </c>
      <c r="K2534">
        <v>1900</v>
      </c>
      <c r="L2534">
        <v>1900</v>
      </c>
      <c r="M2534">
        <v>1900</v>
      </c>
      <c r="N2534">
        <v>1900</v>
      </c>
      <c r="O2534">
        <v>1900</v>
      </c>
      <c r="P2534">
        <v>1900</v>
      </c>
      <c r="Q2534">
        <v>1900</v>
      </c>
      <c r="R2534">
        <v>1900</v>
      </c>
      <c r="S2534">
        <v>1900</v>
      </c>
      <c r="T2534">
        <v>1900</v>
      </c>
      <c r="U2534">
        <v>1900</v>
      </c>
      <c r="V2534">
        <v>1900</v>
      </c>
      <c r="W2534">
        <v>1900</v>
      </c>
      <c r="X2534">
        <v>1900</v>
      </c>
      <c r="Y2534">
        <v>1900</v>
      </c>
      <c r="Z2534">
        <v>1900</v>
      </c>
    </row>
    <row r="2535" spans="1:26" x14ac:dyDescent="0.3">
      <c r="A2535" t="s">
        <v>728</v>
      </c>
      <c r="B2535">
        <v>56</v>
      </c>
      <c r="C2535">
        <v>3433</v>
      </c>
      <c r="D2535">
        <v>0</v>
      </c>
      <c r="F2535">
        <v>0</v>
      </c>
      <c r="G2535">
        <v>2787</v>
      </c>
      <c r="K2535">
        <v>0</v>
      </c>
      <c r="L2535">
        <v>3433</v>
      </c>
      <c r="M2535">
        <v>5085</v>
      </c>
      <c r="N2535">
        <v>0</v>
      </c>
      <c r="O2535">
        <v>0</v>
      </c>
      <c r="P2535">
        <v>0</v>
      </c>
      <c r="Q2535">
        <v>0</v>
      </c>
      <c r="R2535">
        <v>3433</v>
      </c>
      <c r="S2535">
        <v>5085</v>
      </c>
      <c r="T2535">
        <v>0</v>
      </c>
      <c r="U2535">
        <v>0</v>
      </c>
      <c r="V2535">
        <v>0</v>
      </c>
      <c r="W2535">
        <v>0</v>
      </c>
      <c r="X2535">
        <v>0</v>
      </c>
      <c r="Y2535">
        <v>0</v>
      </c>
      <c r="Z2535">
        <v>0</v>
      </c>
    </row>
    <row r="2536" spans="1:26" x14ac:dyDescent="0.3">
      <c r="A2536" t="s">
        <v>50</v>
      </c>
      <c r="B2536">
        <v>56</v>
      </c>
      <c r="C2536">
        <v>3433</v>
      </c>
      <c r="D2536">
        <v>0</v>
      </c>
      <c r="F2536">
        <v>0</v>
      </c>
      <c r="G2536">
        <v>2787</v>
      </c>
      <c r="K2536">
        <v>0</v>
      </c>
      <c r="L2536">
        <v>3433</v>
      </c>
      <c r="M2536">
        <v>5085</v>
      </c>
      <c r="N2536">
        <v>0</v>
      </c>
      <c r="O2536">
        <v>0</v>
      </c>
      <c r="P2536">
        <v>0</v>
      </c>
      <c r="Q2536">
        <v>0</v>
      </c>
      <c r="R2536">
        <v>3433</v>
      </c>
      <c r="S2536">
        <v>5085</v>
      </c>
      <c r="T2536">
        <v>0</v>
      </c>
      <c r="U2536">
        <v>0</v>
      </c>
      <c r="V2536">
        <v>0</v>
      </c>
      <c r="W2536">
        <v>0</v>
      </c>
      <c r="X2536">
        <v>0</v>
      </c>
      <c r="Y2536">
        <v>0</v>
      </c>
      <c r="Z2536">
        <v>0</v>
      </c>
    </row>
    <row r="2537" spans="1:26" x14ac:dyDescent="0.3">
      <c r="A2537" t="s">
        <v>729</v>
      </c>
      <c r="B2537">
        <v>56</v>
      </c>
      <c r="C2537">
        <v>1</v>
      </c>
      <c r="D2537">
        <v>1</v>
      </c>
      <c r="F2537">
        <v>1</v>
      </c>
      <c r="G2537">
        <v>1</v>
      </c>
      <c r="K2537">
        <v>1</v>
      </c>
      <c r="L2537">
        <v>1</v>
      </c>
      <c r="M2537">
        <v>1</v>
      </c>
      <c r="N2537">
        <v>1</v>
      </c>
      <c r="O2537">
        <v>1</v>
      </c>
      <c r="P2537">
        <v>1</v>
      </c>
      <c r="Q2537">
        <v>1</v>
      </c>
      <c r="R2537">
        <v>1</v>
      </c>
      <c r="S2537">
        <v>1</v>
      </c>
      <c r="T2537">
        <v>1</v>
      </c>
      <c r="U2537">
        <v>1</v>
      </c>
      <c r="V2537">
        <v>1</v>
      </c>
      <c r="W2537">
        <v>1</v>
      </c>
      <c r="X2537">
        <v>1</v>
      </c>
      <c r="Y2537">
        <v>1</v>
      </c>
      <c r="Z2537">
        <v>1</v>
      </c>
    </row>
    <row r="2538" spans="1:26" x14ac:dyDescent="0.3">
      <c r="A2538" t="s">
        <v>51</v>
      </c>
      <c r="B2538">
        <v>56</v>
      </c>
      <c r="C2538">
        <v>0</v>
      </c>
      <c r="D2538">
        <v>0</v>
      </c>
      <c r="F2538">
        <v>0</v>
      </c>
      <c r="G2538">
        <v>618</v>
      </c>
      <c r="K2538">
        <v>0</v>
      </c>
      <c r="L2538">
        <v>0</v>
      </c>
      <c r="M2538">
        <v>0</v>
      </c>
      <c r="N2538">
        <v>0</v>
      </c>
      <c r="O2538">
        <v>0</v>
      </c>
      <c r="P2538">
        <v>0</v>
      </c>
      <c r="Q2538">
        <v>0</v>
      </c>
      <c r="R2538">
        <v>0</v>
      </c>
      <c r="S2538">
        <v>0</v>
      </c>
      <c r="T2538">
        <v>0</v>
      </c>
      <c r="U2538">
        <v>0</v>
      </c>
      <c r="V2538">
        <v>0</v>
      </c>
      <c r="W2538">
        <v>0</v>
      </c>
      <c r="X2538">
        <v>0</v>
      </c>
      <c r="Y2538">
        <v>0</v>
      </c>
      <c r="Z2538">
        <v>0</v>
      </c>
    </row>
    <row r="2539" spans="1:26" x14ac:dyDescent="0.3">
      <c r="A2539" t="s">
        <v>53</v>
      </c>
      <c r="B2539">
        <v>56</v>
      </c>
      <c r="C2539">
        <v>366</v>
      </c>
      <c r="D2539">
        <v>0</v>
      </c>
      <c r="F2539">
        <v>0</v>
      </c>
      <c r="G2539">
        <v>386</v>
      </c>
      <c r="K2539">
        <v>0</v>
      </c>
      <c r="L2539">
        <v>191</v>
      </c>
      <c r="M2539">
        <v>696</v>
      </c>
      <c r="N2539">
        <v>0</v>
      </c>
      <c r="O2539">
        <v>0</v>
      </c>
      <c r="P2539">
        <v>0</v>
      </c>
      <c r="Q2539">
        <v>0</v>
      </c>
      <c r="R2539">
        <v>532</v>
      </c>
      <c r="S2539">
        <v>1036</v>
      </c>
      <c r="T2539">
        <v>0</v>
      </c>
      <c r="U2539">
        <v>0</v>
      </c>
      <c r="V2539">
        <v>0</v>
      </c>
      <c r="W2539">
        <v>0</v>
      </c>
      <c r="X2539">
        <v>0</v>
      </c>
      <c r="Y2539">
        <v>0</v>
      </c>
      <c r="Z2539">
        <v>0</v>
      </c>
    </row>
    <row r="2540" spans="1:26" x14ac:dyDescent="0.3">
      <c r="A2540" t="s">
        <v>54</v>
      </c>
      <c r="B2540">
        <v>56</v>
      </c>
      <c r="C2540">
        <v>0</v>
      </c>
      <c r="D2540">
        <v>0</v>
      </c>
      <c r="F2540">
        <v>0</v>
      </c>
      <c r="G2540">
        <v>0</v>
      </c>
      <c r="K2540">
        <v>0</v>
      </c>
      <c r="L2540">
        <v>0</v>
      </c>
      <c r="M2540">
        <v>0</v>
      </c>
      <c r="N2540">
        <v>0</v>
      </c>
      <c r="O2540">
        <v>0</v>
      </c>
      <c r="P2540">
        <v>0</v>
      </c>
      <c r="Q2540">
        <v>0</v>
      </c>
      <c r="R2540">
        <v>0</v>
      </c>
      <c r="S2540">
        <v>0</v>
      </c>
      <c r="T2540">
        <v>0</v>
      </c>
      <c r="U2540">
        <v>0</v>
      </c>
      <c r="V2540">
        <v>0</v>
      </c>
      <c r="W2540">
        <v>0</v>
      </c>
      <c r="X2540">
        <v>0</v>
      </c>
      <c r="Y2540">
        <v>0</v>
      </c>
      <c r="Z2540">
        <v>0</v>
      </c>
    </row>
    <row r="2541" spans="1:26" x14ac:dyDescent="0.3">
      <c r="A2541" t="s">
        <v>55</v>
      </c>
      <c r="B2541">
        <v>56</v>
      </c>
      <c r="C2541">
        <v>0</v>
      </c>
      <c r="D2541">
        <v>0</v>
      </c>
      <c r="F2541">
        <v>0</v>
      </c>
      <c r="G2541">
        <v>0</v>
      </c>
      <c r="K2541">
        <v>0</v>
      </c>
      <c r="L2541">
        <v>0</v>
      </c>
      <c r="M2541">
        <v>0</v>
      </c>
      <c r="N2541">
        <v>0</v>
      </c>
      <c r="O2541">
        <v>0</v>
      </c>
      <c r="P2541">
        <v>0</v>
      </c>
      <c r="Q2541">
        <v>0</v>
      </c>
      <c r="R2541">
        <v>0</v>
      </c>
      <c r="S2541">
        <v>0</v>
      </c>
      <c r="T2541">
        <v>0</v>
      </c>
      <c r="U2541">
        <v>0</v>
      </c>
      <c r="V2541">
        <v>0</v>
      </c>
      <c r="W2541">
        <v>0</v>
      </c>
      <c r="X2541">
        <v>0</v>
      </c>
      <c r="Y2541">
        <v>0</v>
      </c>
      <c r="Z2541">
        <v>0</v>
      </c>
    </row>
    <row r="2542" spans="1:26" x14ac:dyDescent="0.3">
      <c r="A2542" t="s">
        <v>56</v>
      </c>
      <c r="B2542">
        <v>56</v>
      </c>
      <c r="C2542">
        <v>0.92</v>
      </c>
      <c r="D2542">
        <v>0.92</v>
      </c>
      <c r="F2542">
        <v>0.92</v>
      </c>
      <c r="G2542">
        <v>0.92</v>
      </c>
      <c r="K2542">
        <v>0.92</v>
      </c>
      <c r="L2542">
        <v>0.92</v>
      </c>
      <c r="M2542">
        <v>0.92</v>
      </c>
      <c r="N2542">
        <v>0.92</v>
      </c>
      <c r="O2542">
        <v>0.92</v>
      </c>
      <c r="P2542">
        <v>0.92</v>
      </c>
      <c r="Q2542">
        <v>0.92</v>
      </c>
      <c r="R2542">
        <v>0.92</v>
      </c>
      <c r="S2542">
        <v>0.92</v>
      </c>
      <c r="T2542">
        <v>0.92</v>
      </c>
      <c r="U2542">
        <v>0.92</v>
      </c>
      <c r="V2542">
        <v>0.92</v>
      </c>
      <c r="W2542">
        <v>0.92</v>
      </c>
      <c r="X2542">
        <v>0.92</v>
      </c>
      <c r="Y2542">
        <v>0.92</v>
      </c>
      <c r="Z2542">
        <v>0.92</v>
      </c>
    </row>
    <row r="2543" spans="1:26" x14ac:dyDescent="0.3">
      <c r="A2543" t="s">
        <v>57</v>
      </c>
      <c r="B2543">
        <v>56</v>
      </c>
      <c r="C2543">
        <v>100</v>
      </c>
      <c r="D2543">
        <v>100</v>
      </c>
      <c r="F2543">
        <v>100</v>
      </c>
      <c r="G2543">
        <v>100</v>
      </c>
      <c r="K2543">
        <v>100</v>
      </c>
      <c r="L2543">
        <v>100</v>
      </c>
      <c r="M2543">
        <v>100</v>
      </c>
      <c r="N2543">
        <v>100</v>
      </c>
      <c r="O2543">
        <v>100</v>
      </c>
      <c r="P2543">
        <v>100</v>
      </c>
      <c r="Q2543">
        <v>100</v>
      </c>
      <c r="R2543">
        <v>100</v>
      </c>
      <c r="S2543">
        <v>100</v>
      </c>
      <c r="T2543">
        <v>100</v>
      </c>
      <c r="U2543">
        <v>100</v>
      </c>
      <c r="V2543">
        <v>100</v>
      </c>
      <c r="W2543">
        <v>100</v>
      </c>
      <c r="X2543">
        <v>100</v>
      </c>
      <c r="Y2543">
        <v>100</v>
      </c>
      <c r="Z2543">
        <v>100</v>
      </c>
    </row>
    <row r="2544" spans="1:26" x14ac:dyDescent="0.3">
      <c r="A2544" t="s">
        <v>58</v>
      </c>
      <c r="B2544">
        <v>56</v>
      </c>
      <c r="C2544">
        <v>2</v>
      </c>
      <c r="D2544">
        <v>2</v>
      </c>
      <c r="F2544">
        <v>2</v>
      </c>
      <c r="G2544">
        <v>2</v>
      </c>
      <c r="K2544">
        <v>2</v>
      </c>
      <c r="L2544">
        <v>2</v>
      </c>
      <c r="M2544">
        <v>2</v>
      </c>
      <c r="N2544">
        <v>2</v>
      </c>
      <c r="O2544">
        <v>2</v>
      </c>
      <c r="P2544">
        <v>2</v>
      </c>
      <c r="Q2544">
        <v>2</v>
      </c>
      <c r="R2544">
        <v>2</v>
      </c>
      <c r="S2544">
        <v>2</v>
      </c>
      <c r="T2544">
        <v>2</v>
      </c>
      <c r="U2544">
        <v>2</v>
      </c>
      <c r="V2544">
        <v>2</v>
      </c>
      <c r="W2544">
        <v>2</v>
      </c>
      <c r="X2544">
        <v>2</v>
      </c>
      <c r="Y2544">
        <v>2</v>
      </c>
      <c r="Z2544">
        <v>2</v>
      </c>
    </row>
    <row r="2545" spans="1:26" x14ac:dyDescent="0.3">
      <c r="A2545" t="s">
        <v>59</v>
      </c>
      <c r="B2545">
        <v>56</v>
      </c>
      <c r="C2545">
        <v>0</v>
      </c>
      <c r="D2545">
        <v>0</v>
      </c>
      <c r="F2545">
        <v>0</v>
      </c>
      <c r="G2545">
        <v>0</v>
      </c>
      <c r="K2545">
        <v>0</v>
      </c>
      <c r="L2545">
        <v>0</v>
      </c>
      <c r="M2545">
        <v>0</v>
      </c>
      <c r="N2545">
        <v>0</v>
      </c>
      <c r="O2545">
        <v>0</v>
      </c>
      <c r="P2545">
        <v>0</v>
      </c>
      <c r="Q2545">
        <v>0</v>
      </c>
      <c r="R2545">
        <v>0</v>
      </c>
      <c r="S2545">
        <v>0</v>
      </c>
      <c r="T2545">
        <v>0</v>
      </c>
      <c r="U2545">
        <v>0</v>
      </c>
      <c r="V2545">
        <v>0</v>
      </c>
      <c r="W2545">
        <v>0</v>
      </c>
      <c r="X2545">
        <v>0</v>
      </c>
      <c r="Y2545">
        <v>0</v>
      </c>
      <c r="Z2545">
        <v>0</v>
      </c>
    </row>
    <row r="2546" spans="1:26" x14ac:dyDescent="0.3">
      <c r="A2546" t="s">
        <v>730</v>
      </c>
      <c r="B2546">
        <v>56</v>
      </c>
      <c r="D2546">
        <v>0</v>
      </c>
      <c r="M2546">
        <v>0</v>
      </c>
      <c r="S2546">
        <v>0</v>
      </c>
      <c r="X2546">
        <v>0</v>
      </c>
    </row>
    <row r="2547" spans="1:26" x14ac:dyDescent="0.3">
      <c r="A2547" t="s">
        <v>679</v>
      </c>
      <c r="B2547">
        <v>56</v>
      </c>
      <c r="D2547">
        <v>295</v>
      </c>
      <c r="M2547">
        <v>283</v>
      </c>
      <c r="S2547">
        <v>363</v>
      </c>
      <c r="X2547">
        <v>289</v>
      </c>
    </row>
    <row r="2548" spans="1:26" x14ac:dyDescent="0.3">
      <c r="A2548" t="s">
        <v>78</v>
      </c>
      <c r="B2548">
        <v>56</v>
      </c>
      <c r="D2548">
        <v>5</v>
      </c>
      <c r="M2548">
        <v>4.8</v>
      </c>
      <c r="S2548">
        <v>6.2</v>
      </c>
      <c r="X2548">
        <v>6.6</v>
      </c>
    </row>
    <row r="2549" spans="1:26" x14ac:dyDescent="0.3">
      <c r="A2549" t="s">
        <v>731</v>
      </c>
      <c r="B2549">
        <v>56</v>
      </c>
      <c r="G2549">
        <v>2</v>
      </c>
      <c r="O2549">
        <v>0</v>
      </c>
      <c r="U2549">
        <v>0</v>
      </c>
      <c r="Z2549">
        <v>0</v>
      </c>
    </row>
    <row r="2550" spans="1:26" x14ac:dyDescent="0.3">
      <c r="A2550" t="s">
        <v>752</v>
      </c>
      <c r="B2550">
        <v>56</v>
      </c>
      <c r="G2550">
        <v>50</v>
      </c>
    </row>
    <row r="2551" spans="1:26" x14ac:dyDescent="0.3">
      <c r="A2551" t="s">
        <v>753</v>
      </c>
      <c r="B2551">
        <v>56</v>
      </c>
      <c r="G2551">
        <v>0</v>
      </c>
    </row>
    <row r="2552" spans="1:26" x14ac:dyDescent="0.3">
      <c r="A2552" t="s">
        <v>732</v>
      </c>
      <c r="B2552">
        <v>56</v>
      </c>
      <c r="C2552">
        <v>0</v>
      </c>
      <c r="D2552">
        <v>0</v>
      </c>
      <c r="F2552">
        <v>1</v>
      </c>
      <c r="G2552">
        <v>1</v>
      </c>
      <c r="K2552">
        <v>0</v>
      </c>
      <c r="L2552">
        <v>0</v>
      </c>
      <c r="M2552">
        <v>0</v>
      </c>
      <c r="N2552">
        <v>1</v>
      </c>
      <c r="O2552">
        <v>1</v>
      </c>
      <c r="P2552">
        <v>3</v>
      </c>
      <c r="Q2552">
        <v>0</v>
      </c>
      <c r="R2552">
        <v>0</v>
      </c>
      <c r="S2552">
        <v>0</v>
      </c>
      <c r="T2552">
        <v>1</v>
      </c>
      <c r="U2552">
        <v>1</v>
      </c>
      <c r="V2552">
        <v>0</v>
      </c>
      <c r="W2552">
        <v>0</v>
      </c>
      <c r="X2552">
        <v>0</v>
      </c>
      <c r="Y2552">
        <v>1</v>
      </c>
      <c r="Z2552">
        <v>1</v>
      </c>
    </row>
    <row r="2553" spans="1:26" x14ac:dyDescent="0.3">
      <c r="A2553" t="s">
        <v>733</v>
      </c>
      <c r="B2553">
        <v>56</v>
      </c>
      <c r="C2553">
        <v>0</v>
      </c>
      <c r="D2553">
        <v>0</v>
      </c>
      <c r="F2553">
        <v>0</v>
      </c>
      <c r="G2553">
        <v>0</v>
      </c>
      <c r="K2553">
        <v>0</v>
      </c>
      <c r="L2553">
        <v>0</v>
      </c>
      <c r="M2553">
        <v>0</v>
      </c>
      <c r="N2553">
        <v>0</v>
      </c>
      <c r="O2553">
        <v>0</v>
      </c>
      <c r="P2553">
        <v>0</v>
      </c>
      <c r="Q2553">
        <v>0</v>
      </c>
      <c r="R2553">
        <v>0</v>
      </c>
      <c r="S2553">
        <v>0</v>
      </c>
      <c r="T2553">
        <v>0</v>
      </c>
      <c r="U2553">
        <v>0</v>
      </c>
      <c r="V2553">
        <v>0</v>
      </c>
      <c r="W2553">
        <v>0</v>
      </c>
      <c r="X2553">
        <v>0</v>
      </c>
      <c r="Y2553">
        <v>0</v>
      </c>
      <c r="Z2553">
        <v>0</v>
      </c>
    </row>
    <row r="2554" spans="1:26" x14ac:dyDescent="0.3">
      <c r="A2554" t="s">
        <v>52</v>
      </c>
      <c r="B2554">
        <v>56</v>
      </c>
      <c r="C2554">
        <v>1</v>
      </c>
      <c r="D2554">
        <v>1</v>
      </c>
      <c r="F2554">
        <v>1</v>
      </c>
      <c r="G2554">
        <v>1</v>
      </c>
      <c r="K2554">
        <v>1</v>
      </c>
      <c r="L2554">
        <v>1</v>
      </c>
      <c r="M2554">
        <v>1</v>
      </c>
      <c r="N2554">
        <v>1</v>
      </c>
      <c r="O2554">
        <v>1</v>
      </c>
      <c r="P2554">
        <v>1</v>
      </c>
      <c r="Q2554">
        <v>1</v>
      </c>
      <c r="R2554">
        <v>1</v>
      </c>
      <c r="S2554">
        <v>1</v>
      </c>
      <c r="T2554">
        <v>1</v>
      </c>
      <c r="U2554">
        <v>1</v>
      </c>
      <c r="V2554">
        <v>1</v>
      </c>
      <c r="W2554">
        <v>1</v>
      </c>
      <c r="X2554">
        <v>1</v>
      </c>
      <c r="Y2554">
        <v>1</v>
      </c>
      <c r="Z2554">
        <v>1</v>
      </c>
    </row>
    <row r="2555" spans="1:26" x14ac:dyDescent="0.3">
      <c r="A2555" t="s">
        <v>734</v>
      </c>
      <c r="B2555">
        <v>56</v>
      </c>
      <c r="C2555">
        <v>15</v>
      </c>
      <c r="D2555">
        <v>15</v>
      </c>
      <c r="F2555">
        <v>9</v>
      </c>
      <c r="G2555">
        <v>9</v>
      </c>
      <c r="K2555">
        <v>15</v>
      </c>
      <c r="L2555">
        <v>15</v>
      </c>
      <c r="M2555">
        <v>60</v>
      </c>
      <c r="N2555">
        <v>9</v>
      </c>
      <c r="O2555">
        <v>9</v>
      </c>
      <c r="P2555">
        <v>9</v>
      </c>
      <c r="Q2555">
        <v>15</v>
      </c>
      <c r="R2555">
        <v>15</v>
      </c>
      <c r="S2555">
        <v>60</v>
      </c>
      <c r="T2555">
        <v>9</v>
      </c>
      <c r="U2555">
        <v>9</v>
      </c>
      <c r="V2555">
        <v>15</v>
      </c>
      <c r="W2555">
        <v>15</v>
      </c>
      <c r="X2555">
        <v>60</v>
      </c>
      <c r="Y2555">
        <v>9</v>
      </c>
      <c r="Z2555">
        <v>9</v>
      </c>
    </row>
    <row r="2556" spans="1:26" x14ac:dyDescent="0.3">
      <c r="A2556" t="s">
        <v>43</v>
      </c>
      <c r="B2556">
        <v>56</v>
      </c>
      <c r="C2556">
        <v>20</v>
      </c>
      <c r="G2556">
        <v>20</v>
      </c>
      <c r="L2556">
        <v>20</v>
      </c>
      <c r="M2556">
        <v>100</v>
      </c>
      <c r="R2556">
        <v>20</v>
      </c>
      <c r="S2556">
        <v>100</v>
      </c>
    </row>
    <row r="2557" spans="1:26" x14ac:dyDescent="0.3">
      <c r="A2557" t="s">
        <v>44</v>
      </c>
      <c r="B2557">
        <v>56</v>
      </c>
      <c r="C2557">
        <v>0</v>
      </c>
      <c r="G2557">
        <v>0</v>
      </c>
      <c r="L2557">
        <v>0</v>
      </c>
      <c r="M2557">
        <v>0</v>
      </c>
      <c r="R2557">
        <v>0</v>
      </c>
      <c r="S2557">
        <v>0</v>
      </c>
    </row>
    <row r="2558" spans="1:26" x14ac:dyDescent="0.3">
      <c r="A2558" t="s">
        <v>47</v>
      </c>
      <c r="B2558">
        <v>56</v>
      </c>
      <c r="C2558">
        <v>7</v>
      </c>
      <c r="G2558">
        <v>0</v>
      </c>
      <c r="L2558">
        <v>1</v>
      </c>
      <c r="M2558">
        <v>6</v>
      </c>
      <c r="R2558">
        <v>5</v>
      </c>
      <c r="S2558">
        <v>2</v>
      </c>
    </row>
    <row r="2559" spans="1:26" x14ac:dyDescent="0.3">
      <c r="A2559" t="s">
        <v>735</v>
      </c>
      <c r="B2559">
        <v>56</v>
      </c>
      <c r="C2559">
        <v>0</v>
      </c>
      <c r="G2559">
        <v>0</v>
      </c>
      <c r="L2559">
        <v>0</v>
      </c>
      <c r="M2559">
        <v>0</v>
      </c>
      <c r="R2559">
        <v>0</v>
      </c>
      <c r="S2559">
        <v>0</v>
      </c>
    </row>
    <row r="2560" spans="1:26" x14ac:dyDescent="0.3">
      <c r="A2560" t="s">
        <v>736</v>
      </c>
      <c r="B2560">
        <v>56</v>
      </c>
      <c r="C2560">
        <v>0</v>
      </c>
      <c r="G2560">
        <v>0</v>
      </c>
      <c r="L2560">
        <v>0</v>
      </c>
      <c r="M2560">
        <v>0</v>
      </c>
      <c r="R2560">
        <v>0</v>
      </c>
      <c r="S2560">
        <v>0</v>
      </c>
    </row>
    <row r="2561" spans="1:26" x14ac:dyDescent="0.3">
      <c r="A2561" t="s">
        <v>737</v>
      </c>
      <c r="B2561">
        <v>56</v>
      </c>
      <c r="C2561">
        <v>0</v>
      </c>
      <c r="G2561">
        <v>0</v>
      </c>
      <c r="L2561">
        <v>0</v>
      </c>
      <c r="M2561">
        <v>0</v>
      </c>
      <c r="R2561">
        <v>0</v>
      </c>
      <c r="S2561">
        <v>0</v>
      </c>
    </row>
    <row r="2562" spans="1:26" x14ac:dyDescent="0.3">
      <c r="A2562" t="s">
        <v>738</v>
      </c>
      <c r="B2562">
        <v>56</v>
      </c>
      <c r="C2562">
        <v>0</v>
      </c>
      <c r="G2562">
        <v>0</v>
      </c>
      <c r="L2562">
        <v>0</v>
      </c>
      <c r="M2562">
        <v>0</v>
      </c>
      <c r="R2562">
        <v>0</v>
      </c>
      <c r="S2562">
        <v>0</v>
      </c>
    </row>
    <row r="2563" spans="1:26" x14ac:dyDescent="0.3">
      <c r="A2563" t="s">
        <v>739</v>
      </c>
      <c r="B2563">
        <v>56</v>
      </c>
      <c r="C2563">
        <v>1</v>
      </c>
      <c r="G2563">
        <v>1</v>
      </c>
      <c r="L2563">
        <v>1</v>
      </c>
      <c r="M2563">
        <v>2</v>
      </c>
      <c r="R2563">
        <v>1</v>
      </c>
      <c r="S2563">
        <v>2</v>
      </c>
    </row>
    <row r="2564" spans="1:26" x14ac:dyDescent="0.3">
      <c r="A2564" t="s">
        <v>740</v>
      </c>
      <c r="B2564">
        <v>56</v>
      </c>
      <c r="C2564">
        <v>0</v>
      </c>
      <c r="G2564">
        <v>0</v>
      </c>
      <c r="L2564">
        <v>0</v>
      </c>
      <c r="M2564">
        <v>0</v>
      </c>
      <c r="R2564">
        <v>0</v>
      </c>
      <c r="S2564">
        <v>0</v>
      </c>
    </row>
    <row r="2565" spans="1:26" x14ac:dyDescent="0.3">
      <c r="A2565" t="s">
        <v>741</v>
      </c>
      <c r="B2565">
        <v>56</v>
      </c>
      <c r="C2565">
        <v>20</v>
      </c>
      <c r="G2565">
        <v>20</v>
      </c>
      <c r="L2565">
        <v>20</v>
      </c>
      <c r="M2565">
        <v>6</v>
      </c>
      <c r="R2565">
        <v>20</v>
      </c>
      <c r="S2565">
        <v>6</v>
      </c>
    </row>
    <row r="2566" spans="1:26" x14ac:dyDescent="0.3">
      <c r="A2566" t="s">
        <v>742</v>
      </c>
      <c r="B2566">
        <v>56</v>
      </c>
      <c r="C2566">
        <v>3</v>
      </c>
      <c r="G2566">
        <v>3</v>
      </c>
      <c r="L2566">
        <v>3</v>
      </c>
      <c r="M2566">
        <v>3</v>
      </c>
      <c r="R2566">
        <v>3</v>
      </c>
      <c r="S2566">
        <v>3</v>
      </c>
    </row>
    <row r="2567" spans="1:26" x14ac:dyDescent="0.3">
      <c r="A2567" t="s">
        <v>743</v>
      </c>
      <c r="B2567">
        <v>56</v>
      </c>
      <c r="C2567">
        <v>0</v>
      </c>
      <c r="G2567">
        <v>0</v>
      </c>
      <c r="L2567">
        <v>0</v>
      </c>
      <c r="M2567">
        <v>0</v>
      </c>
      <c r="R2567">
        <v>0</v>
      </c>
      <c r="S2567">
        <v>0</v>
      </c>
    </row>
    <row r="2568" spans="1:26" x14ac:dyDescent="0.3">
      <c r="A2568" t="s">
        <v>744</v>
      </c>
      <c r="B2568">
        <v>56</v>
      </c>
      <c r="C2568">
        <v>0</v>
      </c>
      <c r="G2568">
        <v>0</v>
      </c>
      <c r="L2568">
        <v>0</v>
      </c>
      <c r="M2568">
        <v>0</v>
      </c>
      <c r="R2568">
        <v>0</v>
      </c>
      <c r="S2568">
        <v>0</v>
      </c>
    </row>
    <row r="2569" spans="1:26" x14ac:dyDescent="0.3">
      <c r="A2569" t="s">
        <v>745</v>
      </c>
      <c r="B2569">
        <v>56</v>
      </c>
      <c r="C2569">
        <v>0</v>
      </c>
      <c r="G2569">
        <v>0</v>
      </c>
      <c r="L2569">
        <v>0</v>
      </c>
      <c r="M2569">
        <v>0</v>
      </c>
      <c r="R2569">
        <v>0</v>
      </c>
      <c r="S2569">
        <v>0</v>
      </c>
    </row>
    <row r="2570" spans="1:26" x14ac:dyDescent="0.3">
      <c r="A2570" t="s">
        <v>746</v>
      </c>
      <c r="B2570">
        <v>56</v>
      </c>
      <c r="M2570">
        <v>94</v>
      </c>
      <c r="S2570">
        <v>94</v>
      </c>
    </row>
    <row r="2571" spans="1:26" x14ac:dyDescent="0.3">
      <c r="A2571" t="s">
        <v>747</v>
      </c>
      <c r="B2571">
        <v>56</v>
      </c>
      <c r="M2571">
        <v>6</v>
      </c>
      <c r="S2571">
        <v>6</v>
      </c>
    </row>
    <row r="2572" spans="1:26" x14ac:dyDescent="0.3">
      <c r="A2572" t="s">
        <v>748</v>
      </c>
      <c r="B2572">
        <v>56</v>
      </c>
      <c r="M2572">
        <v>3</v>
      </c>
      <c r="S2572">
        <v>3</v>
      </c>
    </row>
    <row r="2573" spans="1:26" x14ac:dyDescent="0.3">
      <c r="A2573" t="s">
        <v>749</v>
      </c>
      <c r="B2573">
        <v>56</v>
      </c>
      <c r="M2573">
        <v>0</v>
      </c>
      <c r="S2573">
        <v>0</v>
      </c>
    </row>
    <row r="2574" spans="1:26" x14ac:dyDescent="0.3">
      <c r="A2574" t="s">
        <v>750</v>
      </c>
      <c r="B2574">
        <v>56</v>
      </c>
      <c r="D2574">
        <v>0</v>
      </c>
      <c r="M2574">
        <v>0</v>
      </c>
      <c r="S2574">
        <v>0</v>
      </c>
      <c r="X2574">
        <v>0</v>
      </c>
    </row>
    <row r="2575" spans="1:26" x14ac:dyDescent="0.3">
      <c r="A2575" t="s">
        <v>405</v>
      </c>
      <c r="B2575">
        <v>56</v>
      </c>
      <c r="X2575">
        <v>0</v>
      </c>
    </row>
    <row r="2576" spans="1:26" x14ac:dyDescent="0.3">
      <c r="A2576" t="s">
        <v>751</v>
      </c>
      <c r="B2576">
        <v>56</v>
      </c>
      <c r="C2576">
        <v>398</v>
      </c>
      <c r="D2576">
        <v>0</v>
      </c>
      <c r="F2576">
        <v>0</v>
      </c>
      <c r="G2576">
        <v>420</v>
      </c>
      <c r="K2576">
        <v>0</v>
      </c>
      <c r="L2576">
        <v>208</v>
      </c>
      <c r="M2576">
        <v>757</v>
      </c>
      <c r="N2576">
        <v>0</v>
      </c>
      <c r="O2576">
        <v>0</v>
      </c>
      <c r="P2576">
        <v>0</v>
      </c>
      <c r="Q2576">
        <v>0</v>
      </c>
      <c r="R2576">
        <v>578</v>
      </c>
      <c r="S2576">
        <v>1126</v>
      </c>
      <c r="T2576">
        <v>0</v>
      </c>
      <c r="U2576">
        <v>0</v>
      </c>
      <c r="V2576">
        <v>0</v>
      </c>
      <c r="W2576">
        <v>0</v>
      </c>
      <c r="X2576">
        <v>0</v>
      </c>
      <c r="Y2576">
        <v>0</v>
      </c>
      <c r="Z2576">
        <v>0</v>
      </c>
    </row>
    <row r="2577" spans="1:14" x14ac:dyDescent="0.3">
      <c r="A2577" t="s">
        <v>34</v>
      </c>
      <c r="B2577">
        <v>60</v>
      </c>
      <c r="H2577">
        <v>58</v>
      </c>
      <c r="J2577">
        <v>58</v>
      </c>
      <c r="L2577">
        <v>97</v>
      </c>
      <c r="N2577">
        <v>97</v>
      </c>
    </row>
    <row r="2578" spans="1:14" x14ac:dyDescent="0.3">
      <c r="A2578" t="s">
        <v>35</v>
      </c>
      <c r="B2578">
        <v>60</v>
      </c>
      <c r="H2578">
        <v>56</v>
      </c>
      <c r="J2578">
        <v>97</v>
      </c>
      <c r="L2578">
        <v>58</v>
      </c>
      <c r="N2578">
        <v>56</v>
      </c>
    </row>
    <row r="2579" spans="1:14" x14ac:dyDescent="0.3">
      <c r="A2579" t="s">
        <v>36</v>
      </c>
      <c r="B2579">
        <v>60</v>
      </c>
      <c r="H2579">
        <v>2</v>
      </c>
      <c r="J2579">
        <v>1</v>
      </c>
      <c r="L2579">
        <v>0</v>
      </c>
      <c r="N2579">
        <v>0</v>
      </c>
    </row>
    <row r="2580" spans="1:14" x14ac:dyDescent="0.3">
      <c r="A2580" t="s">
        <v>37</v>
      </c>
      <c r="B2580">
        <v>60</v>
      </c>
      <c r="H2580">
        <v>0</v>
      </c>
      <c r="L2580">
        <v>0</v>
      </c>
    </row>
    <row r="2581" spans="1:14" x14ac:dyDescent="0.3">
      <c r="A2581" t="s">
        <v>38</v>
      </c>
      <c r="B2581">
        <v>60</v>
      </c>
      <c r="H2581">
        <v>12</v>
      </c>
      <c r="J2581">
        <v>12</v>
      </c>
      <c r="L2581">
        <v>12</v>
      </c>
      <c r="N2581">
        <v>12</v>
      </c>
    </row>
    <row r="2582" spans="1:14" x14ac:dyDescent="0.3">
      <c r="A2582" t="s">
        <v>39</v>
      </c>
      <c r="B2582">
        <v>60</v>
      </c>
    </row>
    <row r="2583" spans="1:14" x14ac:dyDescent="0.3">
      <c r="A2583" t="s">
        <v>726</v>
      </c>
      <c r="B2583">
        <v>60</v>
      </c>
    </row>
    <row r="2584" spans="1:14" x14ac:dyDescent="0.3">
      <c r="A2584" t="s">
        <v>40</v>
      </c>
      <c r="B2584">
        <v>60</v>
      </c>
    </row>
    <row r="2585" spans="1:14" x14ac:dyDescent="0.3">
      <c r="A2585" t="s">
        <v>41</v>
      </c>
      <c r="B2585">
        <v>60</v>
      </c>
    </row>
    <row r="2586" spans="1:14" x14ac:dyDescent="0.3">
      <c r="A2586" t="s">
        <v>42</v>
      </c>
      <c r="B2586">
        <v>60</v>
      </c>
      <c r="H2586">
        <v>30</v>
      </c>
      <c r="L2586">
        <v>30</v>
      </c>
    </row>
    <row r="2587" spans="1:14" x14ac:dyDescent="0.3">
      <c r="A2587" t="s">
        <v>754</v>
      </c>
      <c r="B2587">
        <v>60</v>
      </c>
      <c r="H2587">
        <v>0</v>
      </c>
      <c r="L2587">
        <v>1</v>
      </c>
    </row>
    <row r="2588" spans="1:14" x14ac:dyDescent="0.3">
      <c r="A2588" t="s">
        <v>48</v>
      </c>
      <c r="B2588">
        <v>60</v>
      </c>
      <c r="H2588">
        <v>1900</v>
      </c>
      <c r="J2588">
        <v>1900</v>
      </c>
      <c r="L2588">
        <v>1900</v>
      </c>
      <c r="N2588">
        <v>1900</v>
      </c>
    </row>
    <row r="2589" spans="1:14" x14ac:dyDescent="0.3">
      <c r="A2589" t="s">
        <v>728</v>
      </c>
      <c r="B2589">
        <v>60</v>
      </c>
      <c r="H2589">
        <v>3433</v>
      </c>
      <c r="J2589">
        <v>1583</v>
      </c>
      <c r="L2589">
        <v>0</v>
      </c>
      <c r="N2589">
        <v>0</v>
      </c>
    </row>
    <row r="2590" spans="1:14" x14ac:dyDescent="0.3">
      <c r="A2590" t="s">
        <v>50</v>
      </c>
      <c r="B2590">
        <v>60</v>
      </c>
      <c r="H2590">
        <v>3433</v>
      </c>
      <c r="J2590">
        <v>1583</v>
      </c>
      <c r="L2590">
        <v>0</v>
      </c>
      <c r="N2590">
        <v>0</v>
      </c>
    </row>
    <row r="2591" spans="1:14" x14ac:dyDescent="0.3">
      <c r="A2591" t="s">
        <v>729</v>
      </c>
      <c r="B2591">
        <v>60</v>
      </c>
      <c r="H2591">
        <v>1</v>
      </c>
      <c r="J2591">
        <v>1</v>
      </c>
      <c r="L2591">
        <v>1</v>
      </c>
      <c r="N2591">
        <v>1</v>
      </c>
    </row>
    <row r="2592" spans="1:14" x14ac:dyDescent="0.3">
      <c r="A2592" t="s">
        <v>51</v>
      </c>
      <c r="B2592">
        <v>60</v>
      </c>
      <c r="H2592">
        <v>0</v>
      </c>
      <c r="J2592">
        <v>0</v>
      </c>
      <c r="L2592">
        <v>0</v>
      </c>
      <c r="N2592">
        <v>0</v>
      </c>
    </row>
    <row r="2593" spans="1:14" x14ac:dyDescent="0.3">
      <c r="A2593" t="s">
        <v>53</v>
      </c>
      <c r="B2593">
        <v>60</v>
      </c>
      <c r="H2593">
        <v>258</v>
      </c>
      <c r="J2593">
        <v>243</v>
      </c>
      <c r="L2593">
        <v>0</v>
      </c>
      <c r="N2593">
        <v>0</v>
      </c>
    </row>
    <row r="2594" spans="1:14" x14ac:dyDescent="0.3">
      <c r="A2594" t="s">
        <v>54</v>
      </c>
      <c r="B2594">
        <v>60</v>
      </c>
      <c r="H2594">
        <v>0</v>
      </c>
      <c r="J2594">
        <v>0</v>
      </c>
      <c r="L2594">
        <v>0</v>
      </c>
      <c r="N2594">
        <v>0</v>
      </c>
    </row>
    <row r="2595" spans="1:14" x14ac:dyDescent="0.3">
      <c r="A2595" t="s">
        <v>55</v>
      </c>
      <c r="B2595">
        <v>60</v>
      </c>
      <c r="H2595">
        <v>0</v>
      </c>
      <c r="J2595">
        <v>0</v>
      </c>
      <c r="L2595">
        <v>0</v>
      </c>
      <c r="N2595">
        <v>0</v>
      </c>
    </row>
    <row r="2596" spans="1:14" x14ac:dyDescent="0.3">
      <c r="A2596" t="s">
        <v>56</v>
      </c>
      <c r="B2596">
        <v>60</v>
      </c>
      <c r="H2596">
        <v>0.92</v>
      </c>
      <c r="J2596">
        <v>0.92</v>
      </c>
      <c r="L2596">
        <v>0.92</v>
      </c>
      <c r="N2596">
        <v>0.92</v>
      </c>
    </row>
    <row r="2597" spans="1:14" x14ac:dyDescent="0.3">
      <c r="A2597" t="s">
        <v>57</v>
      </c>
      <c r="B2597">
        <v>60</v>
      </c>
      <c r="H2597">
        <v>100</v>
      </c>
      <c r="J2597">
        <v>100</v>
      </c>
      <c r="L2597">
        <v>100</v>
      </c>
      <c r="N2597">
        <v>100</v>
      </c>
    </row>
    <row r="2598" spans="1:14" x14ac:dyDescent="0.3">
      <c r="A2598" t="s">
        <v>58</v>
      </c>
      <c r="B2598">
        <v>60</v>
      </c>
      <c r="H2598">
        <v>2</v>
      </c>
      <c r="J2598">
        <v>2</v>
      </c>
      <c r="L2598">
        <v>2</v>
      </c>
      <c r="N2598">
        <v>2</v>
      </c>
    </row>
    <row r="2599" spans="1:14" x14ac:dyDescent="0.3">
      <c r="A2599" t="s">
        <v>59</v>
      </c>
      <c r="B2599">
        <v>60</v>
      </c>
      <c r="H2599">
        <v>0</v>
      </c>
      <c r="J2599">
        <v>0</v>
      </c>
      <c r="L2599">
        <v>0</v>
      </c>
      <c r="N2599">
        <v>0</v>
      </c>
    </row>
    <row r="2600" spans="1:14" x14ac:dyDescent="0.3">
      <c r="A2600" t="s">
        <v>730</v>
      </c>
      <c r="B2600">
        <v>60</v>
      </c>
      <c r="H2600">
        <v>0</v>
      </c>
      <c r="L2600">
        <v>0</v>
      </c>
    </row>
    <row r="2601" spans="1:14" x14ac:dyDescent="0.3">
      <c r="A2601" t="s">
        <v>679</v>
      </c>
      <c r="B2601">
        <v>60</v>
      </c>
      <c r="H2601">
        <v>729</v>
      </c>
      <c r="L2601">
        <v>192</v>
      </c>
    </row>
    <row r="2602" spans="1:14" x14ac:dyDescent="0.3">
      <c r="A2602" t="s">
        <v>78</v>
      </c>
      <c r="B2602">
        <v>60</v>
      </c>
      <c r="H2602">
        <v>16.600000000000001</v>
      </c>
      <c r="L2602">
        <v>4.4000000000000004</v>
      </c>
    </row>
    <row r="2603" spans="1:14" x14ac:dyDescent="0.3">
      <c r="A2603" t="s">
        <v>731</v>
      </c>
      <c r="B2603">
        <v>60</v>
      </c>
      <c r="J2603">
        <v>1</v>
      </c>
      <c r="N2603">
        <v>0</v>
      </c>
    </row>
    <row r="2604" spans="1:14" x14ac:dyDescent="0.3">
      <c r="A2604" t="s">
        <v>752</v>
      </c>
      <c r="B2604">
        <v>60</v>
      </c>
      <c r="J2604">
        <v>250</v>
      </c>
    </row>
    <row r="2605" spans="1:14" x14ac:dyDescent="0.3">
      <c r="A2605" t="s">
        <v>753</v>
      </c>
      <c r="B2605">
        <v>60</v>
      </c>
      <c r="J2605">
        <v>0</v>
      </c>
    </row>
    <row r="2606" spans="1:14" x14ac:dyDescent="0.3">
      <c r="A2606" t="s">
        <v>732</v>
      </c>
      <c r="B2606">
        <v>60</v>
      </c>
      <c r="H2606">
        <v>0</v>
      </c>
      <c r="J2606">
        <v>1</v>
      </c>
      <c r="L2606">
        <v>0</v>
      </c>
      <c r="N2606">
        <v>1</v>
      </c>
    </row>
    <row r="2607" spans="1:14" x14ac:dyDescent="0.3">
      <c r="A2607" t="s">
        <v>733</v>
      </c>
      <c r="B2607">
        <v>60</v>
      </c>
      <c r="H2607">
        <v>0</v>
      </c>
      <c r="J2607">
        <v>0</v>
      </c>
      <c r="L2607">
        <v>0</v>
      </c>
      <c r="N2607">
        <v>0</v>
      </c>
    </row>
    <row r="2608" spans="1:14" x14ac:dyDescent="0.3">
      <c r="A2608" t="s">
        <v>52</v>
      </c>
      <c r="B2608">
        <v>60</v>
      </c>
      <c r="H2608">
        <v>1</v>
      </c>
      <c r="J2608">
        <v>1</v>
      </c>
      <c r="L2608">
        <v>1</v>
      </c>
      <c r="N2608">
        <v>1</v>
      </c>
    </row>
    <row r="2609" spans="1:25" x14ac:dyDescent="0.3">
      <c r="A2609" t="s">
        <v>734</v>
      </c>
      <c r="B2609">
        <v>60</v>
      </c>
      <c r="H2609">
        <v>15</v>
      </c>
      <c r="J2609">
        <v>9</v>
      </c>
      <c r="L2609">
        <v>15</v>
      </c>
      <c r="N2609">
        <v>9</v>
      </c>
    </row>
    <row r="2610" spans="1:25" x14ac:dyDescent="0.3">
      <c r="A2610" t="s">
        <v>43</v>
      </c>
      <c r="B2610">
        <v>60</v>
      </c>
      <c r="H2610">
        <v>20</v>
      </c>
      <c r="J2610">
        <v>20</v>
      </c>
    </row>
    <row r="2611" spans="1:25" x14ac:dyDescent="0.3">
      <c r="A2611" t="s">
        <v>44</v>
      </c>
      <c r="B2611">
        <v>60</v>
      </c>
      <c r="H2611">
        <v>0</v>
      </c>
      <c r="J2611">
        <v>0</v>
      </c>
    </row>
    <row r="2612" spans="1:25" x14ac:dyDescent="0.3">
      <c r="A2612" t="s">
        <v>750</v>
      </c>
      <c r="B2612">
        <v>60</v>
      </c>
      <c r="H2612">
        <v>0</v>
      </c>
      <c r="L2612">
        <v>0</v>
      </c>
    </row>
    <row r="2613" spans="1:25" x14ac:dyDescent="0.3">
      <c r="A2613" t="s">
        <v>405</v>
      </c>
      <c r="B2613">
        <v>60</v>
      </c>
    </row>
    <row r="2614" spans="1:25" x14ac:dyDescent="0.3">
      <c r="A2614" t="s">
        <v>751</v>
      </c>
      <c r="B2614">
        <v>60</v>
      </c>
      <c r="H2614">
        <v>280</v>
      </c>
      <c r="J2614">
        <v>264</v>
      </c>
      <c r="L2614">
        <v>0</v>
      </c>
      <c r="N2614">
        <v>0</v>
      </c>
    </row>
    <row r="2615" spans="1:25" x14ac:dyDescent="0.3">
      <c r="A2615" t="s">
        <v>34</v>
      </c>
      <c r="B2615">
        <v>61</v>
      </c>
      <c r="D2615">
        <v>63</v>
      </c>
      <c r="E2615">
        <v>63</v>
      </c>
      <c r="I2615">
        <v>57</v>
      </c>
      <c r="J2615">
        <v>57</v>
      </c>
      <c r="W2615">
        <v>56</v>
      </c>
      <c r="Y2615">
        <v>56</v>
      </c>
    </row>
    <row r="2616" spans="1:25" x14ac:dyDescent="0.3">
      <c r="A2616" t="s">
        <v>35</v>
      </c>
      <c r="B2616">
        <v>61</v>
      </c>
      <c r="D2616">
        <v>56</v>
      </c>
      <c r="E2616">
        <v>57</v>
      </c>
      <c r="I2616">
        <v>63</v>
      </c>
      <c r="J2616">
        <v>56</v>
      </c>
      <c r="W2616">
        <v>57</v>
      </c>
      <c r="Y2616">
        <v>63</v>
      </c>
    </row>
    <row r="2617" spans="1:25" x14ac:dyDescent="0.3">
      <c r="A2617" t="s">
        <v>36</v>
      </c>
      <c r="B2617">
        <v>61</v>
      </c>
      <c r="D2617">
        <v>0</v>
      </c>
      <c r="E2617">
        <v>1</v>
      </c>
      <c r="I2617">
        <v>0</v>
      </c>
      <c r="J2617">
        <v>0</v>
      </c>
      <c r="W2617">
        <v>2</v>
      </c>
      <c r="Y2617">
        <v>0</v>
      </c>
    </row>
    <row r="2618" spans="1:25" x14ac:dyDescent="0.3">
      <c r="A2618" t="s">
        <v>37</v>
      </c>
      <c r="B2618">
        <v>61</v>
      </c>
      <c r="D2618">
        <v>0</v>
      </c>
      <c r="E2618">
        <v>0</v>
      </c>
      <c r="I2618">
        <v>0</v>
      </c>
      <c r="W2618">
        <v>0</v>
      </c>
    </row>
    <row r="2619" spans="1:25" x14ac:dyDescent="0.3">
      <c r="A2619" t="s">
        <v>38</v>
      </c>
      <c r="B2619">
        <v>61</v>
      </c>
      <c r="D2619">
        <v>12</v>
      </c>
      <c r="E2619">
        <v>12</v>
      </c>
      <c r="I2619">
        <v>12</v>
      </c>
      <c r="J2619">
        <v>12</v>
      </c>
      <c r="W2619">
        <v>12</v>
      </c>
      <c r="Y2619">
        <v>12</v>
      </c>
    </row>
    <row r="2620" spans="1:25" x14ac:dyDescent="0.3">
      <c r="A2620" t="s">
        <v>39</v>
      </c>
      <c r="B2620">
        <v>61</v>
      </c>
      <c r="D2620">
        <v>150</v>
      </c>
      <c r="J2620">
        <v>150</v>
      </c>
      <c r="W2620">
        <v>150</v>
      </c>
      <c r="Y2620">
        <v>150</v>
      </c>
    </row>
    <row r="2621" spans="1:25" x14ac:dyDescent="0.3">
      <c r="A2621" t="s">
        <v>726</v>
      </c>
      <c r="B2621">
        <v>61</v>
      </c>
      <c r="D2621">
        <v>25</v>
      </c>
      <c r="J2621">
        <v>25</v>
      </c>
      <c r="W2621">
        <v>30</v>
      </c>
      <c r="Y2621">
        <v>30</v>
      </c>
    </row>
    <row r="2622" spans="1:25" x14ac:dyDescent="0.3">
      <c r="A2622" t="s">
        <v>40</v>
      </c>
      <c r="B2622">
        <v>61</v>
      </c>
      <c r="D2622">
        <v>0</v>
      </c>
      <c r="J2622">
        <v>0</v>
      </c>
      <c r="W2622">
        <v>0</v>
      </c>
      <c r="Y2622">
        <v>0</v>
      </c>
    </row>
    <row r="2623" spans="1:25" x14ac:dyDescent="0.3">
      <c r="A2623" t="s">
        <v>41</v>
      </c>
      <c r="B2623">
        <v>61</v>
      </c>
    </row>
    <row r="2624" spans="1:25" x14ac:dyDescent="0.3">
      <c r="A2624" t="s">
        <v>42</v>
      </c>
      <c r="B2624">
        <v>61</v>
      </c>
      <c r="E2624">
        <v>30</v>
      </c>
      <c r="I2624">
        <v>30</v>
      </c>
      <c r="W2624">
        <v>30</v>
      </c>
    </row>
    <row r="2625" spans="1:25" x14ac:dyDescent="0.3">
      <c r="A2625" t="s">
        <v>754</v>
      </c>
      <c r="B2625">
        <v>61</v>
      </c>
      <c r="E2625">
        <v>2</v>
      </c>
      <c r="I2625">
        <v>1</v>
      </c>
      <c r="W2625">
        <v>0</v>
      </c>
    </row>
    <row r="2626" spans="1:25" x14ac:dyDescent="0.3">
      <c r="A2626" t="s">
        <v>48</v>
      </c>
      <c r="B2626">
        <v>61</v>
      </c>
      <c r="D2626">
        <v>1900</v>
      </c>
      <c r="E2626">
        <v>1900</v>
      </c>
      <c r="I2626">
        <v>1900</v>
      </c>
      <c r="J2626">
        <v>1900</v>
      </c>
      <c r="W2626">
        <v>1900</v>
      </c>
      <c r="Y2626">
        <v>1900</v>
      </c>
    </row>
    <row r="2627" spans="1:25" x14ac:dyDescent="0.3">
      <c r="A2627" t="s">
        <v>728</v>
      </c>
      <c r="B2627">
        <v>61</v>
      </c>
      <c r="D2627">
        <v>0</v>
      </c>
      <c r="E2627">
        <v>1863</v>
      </c>
      <c r="I2627">
        <v>0</v>
      </c>
      <c r="J2627">
        <v>0</v>
      </c>
      <c r="W2627">
        <v>3614</v>
      </c>
      <c r="Y2627">
        <v>0</v>
      </c>
    </row>
    <row r="2628" spans="1:25" x14ac:dyDescent="0.3">
      <c r="A2628" t="s">
        <v>50</v>
      </c>
      <c r="B2628">
        <v>61</v>
      </c>
      <c r="D2628">
        <v>0</v>
      </c>
      <c r="E2628">
        <v>1863</v>
      </c>
      <c r="I2628">
        <v>0</v>
      </c>
      <c r="J2628">
        <v>0</v>
      </c>
      <c r="W2628">
        <v>3614</v>
      </c>
      <c r="Y2628">
        <v>0</v>
      </c>
    </row>
    <row r="2629" spans="1:25" x14ac:dyDescent="0.3">
      <c r="A2629" t="s">
        <v>729</v>
      </c>
      <c r="B2629">
        <v>61</v>
      </c>
      <c r="D2629">
        <v>1</v>
      </c>
      <c r="E2629">
        <v>1</v>
      </c>
      <c r="I2629">
        <v>1</v>
      </c>
      <c r="J2629">
        <v>1</v>
      </c>
      <c r="W2629">
        <v>1</v>
      </c>
      <c r="Y2629">
        <v>1</v>
      </c>
    </row>
    <row r="2630" spans="1:25" x14ac:dyDescent="0.3">
      <c r="A2630" t="s">
        <v>51</v>
      </c>
      <c r="B2630">
        <v>61</v>
      </c>
      <c r="D2630">
        <v>0</v>
      </c>
      <c r="E2630">
        <v>0</v>
      </c>
      <c r="I2630">
        <v>0</v>
      </c>
      <c r="J2630">
        <v>0</v>
      </c>
      <c r="W2630">
        <v>0</v>
      </c>
      <c r="Y2630">
        <v>0</v>
      </c>
    </row>
    <row r="2631" spans="1:25" x14ac:dyDescent="0.3">
      <c r="A2631" t="s">
        <v>53</v>
      </c>
      <c r="B2631">
        <v>61</v>
      </c>
      <c r="D2631">
        <v>0</v>
      </c>
      <c r="E2631">
        <v>0</v>
      </c>
      <c r="I2631">
        <v>0</v>
      </c>
      <c r="J2631">
        <v>0</v>
      </c>
      <c r="W2631">
        <v>0</v>
      </c>
      <c r="Y2631">
        <v>0</v>
      </c>
    </row>
    <row r="2632" spans="1:25" x14ac:dyDescent="0.3">
      <c r="A2632" t="s">
        <v>54</v>
      </c>
      <c r="B2632">
        <v>61</v>
      </c>
      <c r="D2632">
        <v>0</v>
      </c>
      <c r="E2632">
        <v>0</v>
      </c>
      <c r="I2632">
        <v>0</v>
      </c>
      <c r="J2632">
        <v>0</v>
      </c>
      <c r="W2632">
        <v>0</v>
      </c>
      <c r="Y2632">
        <v>0</v>
      </c>
    </row>
    <row r="2633" spans="1:25" x14ac:dyDescent="0.3">
      <c r="A2633" t="s">
        <v>55</v>
      </c>
      <c r="B2633">
        <v>61</v>
      </c>
      <c r="D2633">
        <v>0</v>
      </c>
      <c r="E2633">
        <v>0</v>
      </c>
      <c r="I2633">
        <v>0</v>
      </c>
      <c r="J2633">
        <v>0</v>
      </c>
      <c r="W2633">
        <v>0</v>
      </c>
      <c r="Y2633">
        <v>0</v>
      </c>
    </row>
    <row r="2634" spans="1:25" x14ac:dyDescent="0.3">
      <c r="A2634" t="s">
        <v>56</v>
      </c>
      <c r="B2634">
        <v>61</v>
      </c>
      <c r="D2634">
        <v>0.92</v>
      </c>
      <c r="E2634">
        <v>0.92</v>
      </c>
      <c r="I2634">
        <v>0.92</v>
      </c>
      <c r="J2634">
        <v>0.92</v>
      </c>
      <c r="W2634">
        <v>0.92</v>
      </c>
      <c r="Y2634">
        <v>0.92</v>
      </c>
    </row>
    <row r="2635" spans="1:25" x14ac:dyDescent="0.3">
      <c r="A2635" t="s">
        <v>57</v>
      </c>
      <c r="B2635">
        <v>61</v>
      </c>
      <c r="D2635">
        <v>100</v>
      </c>
      <c r="E2635">
        <v>100</v>
      </c>
      <c r="I2635">
        <v>100</v>
      </c>
      <c r="J2635">
        <v>100</v>
      </c>
      <c r="W2635">
        <v>100</v>
      </c>
      <c r="Y2635">
        <v>100</v>
      </c>
    </row>
    <row r="2636" spans="1:25" x14ac:dyDescent="0.3">
      <c r="A2636" t="s">
        <v>58</v>
      </c>
      <c r="B2636">
        <v>61</v>
      </c>
      <c r="D2636">
        <v>2</v>
      </c>
      <c r="E2636">
        <v>2</v>
      </c>
      <c r="I2636">
        <v>2</v>
      </c>
      <c r="J2636">
        <v>2</v>
      </c>
      <c r="W2636">
        <v>2</v>
      </c>
      <c r="Y2636">
        <v>2</v>
      </c>
    </row>
    <row r="2637" spans="1:25" x14ac:dyDescent="0.3">
      <c r="A2637" t="s">
        <v>59</v>
      </c>
      <c r="B2637">
        <v>61</v>
      </c>
      <c r="D2637">
        <v>0</v>
      </c>
      <c r="E2637">
        <v>0</v>
      </c>
      <c r="I2637">
        <v>0</v>
      </c>
      <c r="J2637">
        <v>0</v>
      </c>
      <c r="W2637">
        <v>0</v>
      </c>
      <c r="Y2637">
        <v>0</v>
      </c>
    </row>
    <row r="2638" spans="1:25" x14ac:dyDescent="0.3">
      <c r="A2638" t="s">
        <v>730</v>
      </c>
      <c r="B2638">
        <v>61</v>
      </c>
      <c r="E2638">
        <v>0</v>
      </c>
      <c r="I2638">
        <v>0</v>
      </c>
      <c r="W2638">
        <v>0</v>
      </c>
    </row>
    <row r="2639" spans="1:25" x14ac:dyDescent="0.3">
      <c r="A2639" t="s">
        <v>679</v>
      </c>
      <c r="B2639">
        <v>61</v>
      </c>
      <c r="E2639">
        <v>224</v>
      </c>
      <c r="I2639">
        <v>603</v>
      </c>
      <c r="W2639">
        <v>340</v>
      </c>
    </row>
    <row r="2640" spans="1:25" x14ac:dyDescent="0.3">
      <c r="A2640" t="s">
        <v>78</v>
      </c>
      <c r="B2640">
        <v>61</v>
      </c>
      <c r="E2640">
        <v>5.0999999999999996</v>
      </c>
      <c r="I2640">
        <v>13.7</v>
      </c>
      <c r="W2640">
        <v>7.7</v>
      </c>
    </row>
    <row r="2641" spans="1:25" x14ac:dyDescent="0.3">
      <c r="A2641" t="s">
        <v>731</v>
      </c>
      <c r="B2641">
        <v>61</v>
      </c>
      <c r="E2641">
        <v>1</v>
      </c>
      <c r="J2641">
        <v>2</v>
      </c>
      <c r="Y2641">
        <v>0</v>
      </c>
    </row>
    <row r="2642" spans="1:25" x14ac:dyDescent="0.3">
      <c r="A2642" t="s">
        <v>752</v>
      </c>
      <c r="B2642">
        <v>61</v>
      </c>
      <c r="E2642">
        <v>200</v>
      </c>
      <c r="J2642">
        <v>50</v>
      </c>
    </row>
    <row r="2643" spans="1:25" x14ac:dyDescent="0.3">
      <c r="A2643" t="s">
        <v>753</v>
      </c>
      <c r="B2643">
        <v>61</v>
      </c>
      <c r="E2643">
        <v>0</v>
      </c>
      <c r="J2643">
        <v>0</v>
      </c>
    </row>
    <row r="2644" spans="1:25" x14ac:dyDescent="0.3">
      <c r="A2644" t="s">
        <v>732</v>
      </c>
      <c r="B2644">
        <v>61</v>
      </c>
      <c r="D2644">
        <v>0</v>
      </c>
      <c r="E2644">
        <v>0</v>
      </c>
      <c r="I2644">
        <v>0</v>
      </c>
      <c r="J2644">
        <v>1</v>
      </c>
      <c r="W2644">
        <v>0</v>
      </c>
      <c r="Y2644">
        <v>1</v>
      </c>
    </row>
    <row r="2645" spans="1:25" x14ac:dyDescent="0.3">
      <c r="A2645" t="s">
        <v>733</v>
      </c>
      <c r="B2645">
        <v>61</v>
      </c>
      <c r="D2645">
        <v>0</v>
      </c>
      <c r="E2645">
        <v>0</v>
      </c>
      <c r="I2645">
        <v>0</v>
      </c>
      <c r="J2645">
        <v>0</v>
      </c>
      <c r="W2645">
        <v>0</v>
      </c>
      <c r="Y2645">
        <v>0</v>
      </c>
    </row>
    <row r="2646" spans="1:25" x14ac:dyDescent="0.3">
      <c r="A2646" t="s">
        <v>52</v>
      </c>
      <c r="B2646">
        <v>61</v>
      </c>
      <c r="D2646">
        <v>1</v>
      </c>
      <c r="E2646">
        <v>1</v>
      </c>
      <c r="I2646">
        <v>1</v>
      </c>
      <c r="J2646">
        <v>1</v>
      </c>
      <c r="W2646">
        <v>1</v>
      </c>
      <c r="Y2646">
        <v>1</v>
      </c>
    </row>
    <row r="2647" spans="1:25" x14ac:dyDescent="0.3">
      <c r="A2647" t="s">
        <v>734</v>
      </c>
      <c r="B2647">
        <v>61</v>
      </c>
      <c r="D2647">
        <v>15</v>
      </c>
      <c r="E2647">
        <v>60</v>
      </c>
      <c r="I2647">
        <v>60</v>
      </c>
      <c r="J2647">
        <v>9</v>
      </c>
      <c r="W2647">
        <v>15</v>
      </c>
      <c r="Y2647">
        <v>9</v>
      </c>
    </row>
    <row r="2648" spans="1:25" x14ac:dyDescent="0.3">
      <c r="A2648" t="s">
        <v>43</v>
      </c>
      <c r="B2648">
        <v>61</v>
      </c>
      <c r="E2648">
        <v>100</v>
      </c>
      <c r="W2648">
        <v>20</v>
      </c>
    </row>
    <row r="2649" spans="1:25" x14ac:dyDescent="0.3">
      <c r="A2649" t="s">
        <v>44</v>
      </c>
      <c r="B2649">
        <v>61</v>
      </c>
      <c r="E2649">
        <v>0</v>
      </c>
      <c r="W2649">
        <v>0</v>
      </c>
    </row>
    <row r="2650" spans="1:25" x14ac:dyDescent="0.3">
      <c r="A2650" t="s">
        <v>750</v>
      </c>
      <c r="B2650">
        <v>61</v>
      </c>
      <c r="E2650">
        <v>0</v>
      </c>
      <c r="I2650">
        <v>0</v>
      </c>
      <c r="W2650">
        <v>0</v>
      </c>
    </row>
    <row r="2651" spans="1:25" x14ac:dyDescent="0.3">
      <c r="A2651" t="s">
        <v>405</v>
      </c>
      <c r="B2651">
        <v>61</v>
      </c>
      <c r="W2651">
        <v>0</v>
      </c>
    </row>
    <row r="2652" spans="1:25" x14ac:dyDescent="0.3">
      <c r="A2652" t="s">
        <v>751</v>
      </c>
      <c r="B2652">
        <v>61</v>
      </c>
      <c r="D2652">
        <v>0</v>
      </c>
      <c r="E2652">
        <v>0</v>
      </c>
      <c r="I2652">
        <v>0</v>
      </c>
      <c r="J2652">
        <v>0</v>
      </c>
      <c r="W2652">
        <v>0</v>
      </c>
      <c r="Y2652">
        <v>0</v>
      </c>
    </row>
    <row r="2653" spans="1:25" x14ac:dyDescent="0.3">
      <c r="A2653" t="s">
        <v>34</v>
      </c>
      <c r="B2653">
        <v>62</v>
      </c>
      <c r="L2653">
        <v>56</v>
      </c>
      <c r="M2653">
        <v>56</v>
      </c>
      <c r="P2653">
        <v>64</v>
      </c>
      <c r="S2653">
        <v>64</v>
      </c>
      <c r="T2653">
        <v>64</v>
      </c>
    </row>
    <row r="2654" spans="1:25" x14ac:dyDescent="0.3">
      <c r="A2654" t="s">
        <v>35</v>
      </c>
      <c r="B2654">
        <v>62</v>
      </c>
      <c r="L2654">
        <v>63</v>
      </c>
      <c r="M2654">
        <v>64</v>
      </c>
      <c r="P2654">
        <v>64</v>
      </c>
      <c r="S2654">
        <v>56</v>
      </c>
      <c r="T2654">
        <v>63</v>
      </c>
    </row>
    <row r="2655" spans="1:25" x14ac:dyDescent="0.3">
      <c r="A2655" t="s">
        <v>36</v>
      </c>
      <c r="B2655">
        <v>62</v>
      </c>
      <c r="L2655">
        <v>0</v>
      </c>
      <c r="M2655">
        <v>3</v>
      </c>
      <c r="P2655">
        <v>0</v>
      </c>
      <c r="S2655">
        <v>3</v>
      </c>
      <c r="T2655">
        <v>0</v>
      </c>
    </row>
    <row r="2656" spans="1:25" x14ac:dyDescent="0.3">
      <c r="A2656" t="s">
        <v>37</v>
      </c>
      <c r="B2656">
        <v>62</v>
      </c>
      <c r="L2656">
        <v>0</v>
      </c>
      <c r="M2656">
        <v>0</v>
      </c>
      <c r="S2656">
        <v>2</v>
      </c>
    </row>
    <row r="2657" spans="1:20" x14ac:dyDescent="0.3">
      <c r="A2657" t="s">
        <v>38</v>
      </c>
      <c r="B2657">
        <v>62</v>
      </c>
      <c r="L2657">
        <v>12</v>
      </c>
      <c r="M2657">
        <v>12</v>
      </c>
      <c r="P2657">
        <v>12</v>
      </c>
      <c r="S2657">
        <v>12</v>
      </c>
      <c r="T2657">
        <v>12</v>
      </c>
    </row>
    <row r="2658" spans="1:20" x14ac:dyDescent="0.3">
      <c r="A2658" t="s">
        <v>39</v>
      </c>
      <c r="B2658">
        <v>62</v>
      </c>
    </row>
    <row r="2659" spans="1:20" x14ac:dyDescent="0.3">
      <c r="A2659" t="s">
        <v>726</v>
      </c>
      <c r="B2659">
        <v>62</v>
      </c>
    </row>
    <row r="2660" spans="1:20" x14ac:dyDescent="0.3">
      <c r="A2660" t="s">
        <v>40</v>
      </c>
      <c r="B2660">
        <v>62</v>
      </c>
    </row>
    <row r="2661" spans="1:20" x14ac:dyDescent="0.3">
      <c r="A2661" t="s">
        <v>41</v>
      </c>
      <c r="B2661">
        <v>62</v>
      </c>
    </row>
    <row r="2662" spans="1:20" x14ac:dyDescent="0.3">
      <c r="A2662" t="s">
        <v>42</v>
      </c>
      <c r="B2662">
        <v>62</v>
      </c>
      <c r="M2662">
        <v>40</v>
      </c>
      <c r="S2662">
        <v>40</v>
      </c>
    </row>
    <row r="2663" spans="1:20" x14ac:dyDescent="0.3">
      <c r="A2663" t="s">
        <v>754</v>
      </c>
      <c r="B2663">
        <v>62</v>
      </c>
      <c r="M2663">
        <v>0</v>
      </c>
      <c r="S2663">
        <v>0</v>
      </c>
    </row>
    <row r="2664" spans="1:20" x14ac:dyDescent="0.3">
      <c r="A2664" t="s">
        <v>48</v>
      </c>
      <c r="B2664">
        <v>62</v>
      </c>
      <c r="L2664">
        <v>1900</v>
      </c>
      <c r="M2664">
        <v>1900</v>
      </c>
      <c r="P2664">
        <v>1900</v>
      </c>
      <c r="S2664">
        <v>1900</v>
      </c>
      <c r="T2664">
        <v>1900</v>
      </c>
    </row>
    <row r="2665" spans="1:20" x14ac:dyDescent="0.3">
      <c r="A2665" t="s">
        <v>728</v>
      </c>
      <c r="B2665">
        <v>62</v>
      </c>
      <c r="L2665">
        <v>0</v>
      </c>
      <c r="M2665">
        <v>5085</v>
      </c>
      <c r="P2665">
        <v>0</v>
      </c>
      <c r="S2665">
        <v>4917</v>
      </c>
      <c r="T2665">
        <v>0</v>
      </c>
    </row>
    <row r="2666" spans="1:20" x14ac:dyDescent="0.3">
      <c r="A2666" t="s">
        <v>50</v>
      </c>
      <c r="B2666">
        <v>62</v>
      </c>
      <c r="L2666">
        <v>0</v>
      </c>
      <c r="M2666">
        <v>5085</v>
      </c>
      <c r="P2666">
        <v>0</v>
      </c>
      <c r="S2666">
        <v>4917</v>
      </c>
      <c r="T2666">
        <v>0</v>
      </c>
    </row>
    <row r="2667" spans="1:20" x14ac:dyDescent="0.3">
      <c r="A2667" t="s">
        <v>729</v>
      </c>
      <c r="B2667">
        <v>62</v>
      </c>
      <c r="L2667">
        <v>1</v>
      </c>
      <c r="M2667">
        <v>1</v>
      </c>
      <c r="P2667">
        <v>1</v>
      </c>
      <c r="S2667">
        <v>1</v>
      </c>
      <c r="T2667">
        <v>1</v>
      </c>
    </row>
    <row r="2668" spans="1:20" x14ac:dyDescent="0.3">
      <c r="A2668" t="s">
        <v>51</v>
      </c>
      <c r="B2668">
        <v>62</v>
      </c>
      <c r="L2668">
        <v>0</v>
      </c>
      <c r="M2668">
        <v>0</v>
      </c>
      <c r="P2668">
        <v>0</v>
      </c>
      <c r="S2668">
        <v>85</v>
      </c>
      <c r="T2668">
        <v>0</v>
      </c>
    </row>
    <row r="2669" spans="1:20" x14ac:dyDescent="0.3">
      <c r="A2669" t="s">
        <v>53</v>
      </c>
      <c r="B2669">
        <v>62</v>
      </c>
      <c r="L2669">
        <v>0</v>
      </c>
      <c r="M2669">
        <v>1340</v>
      </c>
      <c r="P2669">
        <v>0</v>
      </c>
      <c r="S2669">
        <v>1036</v>
      </c>
      <c r="T2669">
        <v>295</v>
      </c>
    </row>
    <row r="2670" spans="1:20" x14ac:dyDescent="0.3">
      <c r="A2670" t="s">
        <v>54</v>
      </c>
      <c r="B2670">
        <v>62</v>
      </c>
      <c r="L2670">
        <v>0</v>
      </c>
      <c r="M2670">
        <v>0</v>
      </c>
      <c r="P2670">
        <v>0</v>
      </c>
      <c r="S2670">
        <v>0</v>
      </c>
      <c r="T2670">
        <v>0</v>
      </c>
    </row>
    <row r="2671" spans="1:20" x14ac:dyDescent="0.3">
      <c r="A2671" t="s">
        <v>55</v>
      </c>
      <c r="B2671">
        <v>62</v>
      </c>
      <c r="L2671">
        <v>0</v>
      </c>
      <c r="M2671">
        <v>0</v>
      </c>
      <c r="P2671">
        <v>0</v>
      </c>
      <c r="S2671">
        <v>0</v>
      </c>
      <c r="T2671">
        <v>0</v>
      </c>
    </row>
    <row r="2672" spans="1:20" x14ac:dyDescent="0.3">
      <c r="A2672" t="s">
        <v>56</v>
      </c>
      <c r="B2672">
        <v>62</v>
      </c>
      <c r="L2672">
        <v>0.92</v>
      </c>
      <c r="M2672">
        <v>0.92</v>
      </c>
      <c r="P2672">
        <v>0.92</v>
      </c>
      <c r="S2672">
        <v>0.92</v>
      </c>
      <c r="T2672">
        <v>0.92</v>
      </c>
    </row>
    <row r="2673" spans="1:20" x14ac:dyDescent="0.3">
      <c r="A2673" t="s">
        <v>57</v>
      </c>
      <c r="B2673">
        <v>62</v>
      </c>
      <c r="L2673">
        <v>100</v>
      </c>
      <c r="M2673">
        <v>100</v>
      </c>
      <c r="P2673">
        <v>100</v>
      </c>
      <c r="S2673">
        <v>100</v>
      </c>
      <c r="T2673">
        <v>100</v>
      </c>
    </row>
    <row r="2674" spans="1:20" x14ac:dyDescent="0.3">
      <c r="A2674" t="s">
        <v>58</v>
      </c>
      <c r="B2674">
        <v>62</v>
      </c>
      <c r="L2674">
        <v>2</v>
      </c>
      <c r="M2674">
        <v>2</v>
      </c>
      <c r="P2674">
        <v>2</v>
      </c>
      <c r="S2674">
        <v>2</v>
      </c>
      <c r="T2674">
        <v>2</v>
      </c>
    </row>
    <row r="2675" spans="1:20" x14ac:dyDescent="0.3">
      <c r="A2675" t="s">
        <v>59</v>
      </c>
      <c r="B2675">
        <v>62</v>
      </c>
      <c r="L2675">
        <v>0</v>
      </c>
      <c r="M2675">
        <v>0</v>
      </c>
      <c r="P2675">
        <v>0</v>
      </c>
      <c r="S2675">
        <v>0</v>
      </c>
      <c r="T2675">
        <v>0</v>
      </c>
    </row>
    <row r="2676" spans="1:20" x14ac:dyDescent="0.3">
      <c r="A2676" t="s">
        <v>730</v>
      </c>
      <c r="B2676">
        <v>62</v>
      </c>
      <c r="M2676">
        <v>0</v>
      </c>
      <c r="S2676">
        <v>0</v>
      </c>
    </row>
    <row r="2677" spans="1:20" x14ac:dyDescent="0.3">
      <c r="A2677" t="s">
        <v>679</v>
      </c>
      <c r="B2677">
        <v>62</v>
      </c>
      <c r="M2677">
        <v>363</v>
      </c>
      <c r="S2677">
        <v>821</v>
      </c>
    </row>
    <row r="2678" spans="1:20" x14ac:dyDescent="0.3">
      <c r="A2678" t="s">
        <v>78</v>
      </c>
      <c r="B2678">
        <v>62</v>
      </c>
      <c r="M2678">
        <v>6.2</v>
      </c>
      <c r="S2678">
        <v>14</v>
      </c>
    </row>
    <row r="2679" spans="1:20" x14ac:dyDescent="0.3">
      <c r="A2679" t="s">
        <v>731</v>
      </c>
      <c r="B2679">
        <v>62</v>
      </c>
      <c r="M2679">
        <v>0</v>
      </c>
      <c r="T2679">
        <v>1</v>
      </c>
    </row>
    <row r="2680" spans="1:20" x14ac:dyDescent="0.3">
      <c r="A2680" t="s">
        <v>752</v>
      </c>
      <c r="B2680">
        <v>62</v>
      </c>
      <c r="T2680">
        <v>50</v>
      </c>
    </row>
    <row r="2681" spans="1:20" x14ac:dyDescent="0.3">
      <c r="A2681" t="s">
        <v>753</v>
      </c>
      <c r="B2681">
        <v>62</v>
      </c>
      <c r="T2681">
        <v>0</v>
      </c>
    </row>
    <row r="2682" spans="1:20" x14ac:dyDescent="0.3">
      <c r="A2682" t="s">
        <v>732</v>
      </c>
      <c r="B2682">
        <v>62</v>
      </c>
      <c r="L2682">
        <v>0</v>
      </c>
      <c r="M2682">
        <v>0</v>
      </c>
      <c r="P2682">
        <v>3</v>
      </c>
      <c r="S2682">
        <v>0</v>
      </c>
      <c r="T2682">
        <v>1</v>
      </c>
    </row>
    <row r="2683" spans="1:20" x14ac:dyDescent="0.3">
      <c r="A2683" t="s">
        <v>733</v>
      </c>
      <c r="B2683">
        <v>62</v>
      </c>
      <c r="L2683">
        <v>0</v>
      </c>
      <c r="M2683">
        <v>0</v>
      </c>
      <c r="P2683">
        <v>0</v>
      </c>
      <c r="S2683">
        <v>0</v>
      </c>
      <c r="T2683">
        <v>0</v>
      </c>
    </row>
    <row r="2684" spans="1:20" x14ac:dyDescent="0.3">
      <c r="A2684" t="s">
        <v>52</v>
      </c>
      <c r="B2684">
        <v>62</v>
      </c>
      <c r="L2684">
        <v>1</v>
      </c>
      <c r="M2684">
        <v>1</v>
      </c>
      <c r="P2684">
        <v>1</v>
      </c>
      <c r="S2684">
        <v>1</v>
      </c>
      <c r="T2684">
        <v>1</v>
      </c>
    </row>
    <row r="2685" spans="1:20" x14ac:dyDescent="0.3">
      <c r="A2685" t="s">
        <v>734</v>
      </c>
      <c r="B2685">
        <v>62</v>
      </c>
      <c r="L2685">
        <v>15</v>
      </c>
      <c r="M2685">
        <v>60</v>
      </c>
      <c r="P2685">
        <v>9</v>
      </c>
      <c r="S2685">
        <v>60</v>
      </c>
      <c r="T2685">
        <v>9</v>
      </c>
    </row>
    <row r="2686" spans="1:20" x14ac:dyDescent="0.3">
      <c r="A2686" t="s">
        <v>43</v>
      </c>
      <c r="B2686">
        <v>62</v>
      </c>
      <c r="M2686">
        <v>100</v>
      </c>
      <c r="S2686">
        <v>100</v>
      </c>
    </row>
    <row r="2687" spans="1:20" x14ac:dyDescent="0.3">
      <c r="A2687" t="s">
        <v>44</v>
      </c>
      <c r="B2687">
        <v>62</v>
      </c>
      <c r="M2687">
        <v>0</v>
      </c>
      <c r="S2687">
        <v>0</v>
      </c>
    </row>
    <row r="2688" spans="1:20" x14ac:dyDescent="0.3">
      <c r="A2688" t="s">
        <v>750</v>
      </c>
      <c r="B2688">
        <v>62</v>
      </c>
      <c r="M2688">
        <v>0</v>
      </c>
      <c r="S2688">
        <v>0</v>
      </c>
    </row>
    <row r="2689" spans="1:20" x14ac:dyDescent="0.3">
      <c r="A2689" t="s">
        <v>405</v>
      </c>
      <c r="B2689">
        <v>62</v>
      </c>
      <c r="M2689">
        <v>0</v>
      </c>
    </row>
    <row r="2690" spans="1:20" x14ac:dyDescent="0.3">
      <c r="A2690" t="s">
        <v>751</v>
      </c>
      <c r="B2690">
        <v>62</v>
      </c>
      <c r="L2690">
        <v>0</v>
      </c>
      <c r="M2690">
        <v>1457</v>
      </c>
      <c r="P2690">
        <v>0</v>
      </c>
      <c r="S2690">
        <v>1447</v>
      </c>
      <c r="T2690">
        <v>0</v>
      </c>
    </row>
    <row r="2691" spans="1:20" x14ac:dyDescent="0.3">
      <c r="A2691" t="s">
        <v>34</v>
      </c>
      <c r="B2691">
        <v>64</v>
      </c>
      <c r="D2691">
        <v>66</v>
      </c>
      <c r="E2691">
        <v>66</v>
      </c>
      <c r="F2691">
        <v>66</v>
      </c>
      <c r="H2691">
        <v>65</v>
      </c>
      <c r="I2691">
        <v>65</v>
      </c>
      <c r="J2691">
        <v>65</v>
      </c>
      <c r="L2691">
        <v>62</v>
      </c>
      <c r="M2691">
        <v>62</v>
      </c>
      <c r="N2691">
        <v>62</v>
      </c>
      <c r="P2691">
        <v>67</v>
      </c>
      <c r="R2691">
        <v>67</v>
      </c>
      <c r="S2691">
        <v>67</v>
      </c>
      <c r="T2691">
        <v>67</v>
      </c>
    </row>
    <row r="2692" spans="1:20" x14ac:dyDescent="0.3">
      <c r="A2692" t="s">
        <v>35</v>
      </c>
      <c r="B2692">
        <v>64</v>
      </c>
      <c r="D2692">
        <v>62</v>
      </c>
      <c r="E2692">
        <v>65</v>
      </c>
      <c r="F2692">
        <v>67</v>
      </c>
      <c r="H2692">
        <v>67</v>
      </c>
      <c r="I2692">
        <v>66</v>
      </c>
      <c r="J2692">
        <v>62</v>
      </c>
      <c r="L2692">
        <v>65</v>
      </c>
      <c r="M2692">
        <v>67</v>
      </c>
      <c r="N2692">
        <v>66</v>
      </c>
      <c r="P2692">
        <v>67</v>
      </c>
      <c r="R2692">
        <v>66</v>
      </c>
      <c r="S2692">
        <v>62</v>
      </c>
      <c r="T2692">
        <v>65</v>
      </c>
    </row>
    <row r="2693" spans="1:20" x14ac:dyDescent="0.3">
      <c r="A2693" t="s">
        <v>36</v>
      </c>
      <c r="B2693">
        <v>64</v>
      </c>
      <c r="D2693">
        <v>1</v>
      </c>
      <c r="E2693">
        <v>0</v>
      </c>
      <c r="F2693">
        <v>1</v>
      </c>
      <c r="H2693">
        <v>1</v>
      </c>
      <c r="I2693">
        <v>0</v>
      </c>
      <c r="J2693">
        <v>1</v>
      </c>
      <c r="L2693">
        <v>1</v>
      </c>
      <c r="M2693">
        <v>3</v>
      </c>
      <c r="N2693">
        <v>1</v>
      </c>
      <c r="P2693">
        <v>0</v>
      </c>
      <c r="R2693">
        <v>1</v>
      </c>
      <c r="S2693">
        <v>3</v>
      </c>
      <c r="T2693">
        <v>0</v>
      </c>
    </row>
    <row r="2694" spans="1:20" x14ac:dyDescent="0.3">
      <c r="A2694" t="s">
        <v>37</v>
      </c>
      <c r="B2694">
        <v>64</v>
      </c>
      <c r="D2694">
        <v>0</v>
      </c>
      <c r="E2694">
        <v>0</v>
      </c>
      <c r="H2694">
        <v>1</v>
      </c>
      <c r="I2694">
        <v>0</v>
      </c>
      <c r="L2694">
        <v>0</v>
      </c>
      <c r="M2694">
        <v>0</v>
      </c>
      <c r="R2694">
        <v>0</v>
      </c>
      <c r="S2694">
        <v>2</v>
      </c>
    </row>
    <row r="2695" spans="1:20" x14ac:dyDescent="0.3">
      <c r="A2695" t="s">
        <v>38</v>
      </c>
      <c r="B2695">
        <v>64</v>
      </c>
      <c r="D2695">
        <v>12</v>
      </c>
      <c r="E2695">
        <v>12</v>
      </c>
      <c r="F2695">
        <v>12</v>
      </c>
      <c r="H2695">
        <v>12</v>
      </c>
      <c r="I2695">
        <v>12</v>
      </c>
      <c r="J2695">
        <v>12</v>
      </c>
      <c r="L2695">
        <v>12</v>
      </c>
      <c r="M2695">
        <v>12</v>
      </c>
      <c r="N2695">
        <v>12</v>
      </c>
      <c r="P2695">
        <v>12</v>
      </c>
      <c r="R2695">
        <v>12</v>
      </c>
      <c r="S2695">
        <v>12</v>
      </c>
      <c r="T2695">
        <v>12</v>
      </c>
    </row>
    <row r="2696" spans="1:20" x14ac:dyDescent="0.3">
      <c r="A2696" t="s">
        <v>39</v>
      </c>
      <c r="B2696">
        <v>64</v>
      </c>
      <c r="L2696">
        <v>118</v>
      </c>
      <c r="N2696">
        <v>211</v>
      </c>
      <c r="R2696">
        <v>123</v>
      </c>
    </row>
    <row r="2697" spans="1:20" x14ac:dyDescent="0.3">
      <c r="A2697" t="s">
        <v>726</v>
      </c>
      <c r="B2697">
        <v>64</v>
      </c>
      <c r="L2697">
        <v>25</v>
      </c>
      <c r="N2697">
        <v>25</v>
      </c>
      <c r="R2697">
        <v>25</v>
      </c>
    </row>
    <row r="2698" spans="1:20" x14ac:dyDescent="0.3">
      <c r="A2698" t="s">
        <v>40</v>
      </c>
      <c r="B2698">
        <v>64</v>
      </c>
      <c r="L2698">
        <v>1</v>
      </c>
      <c r="N2698">
        <v>1</v>
      </c>
      <c r="R2698">
        <v>1</v>
      </c>
    </row>
    <row r="2699" spans="1:20" x14ac:dyDescent="0.3">
      <c r="A2699" t="s">
        <v>41</v>
      </c>
      <c r="B2699">
        <v>64</v>
      </c>
    </row>
    <row r="2700" spans="1:20" x14ac:dyDescent="0.3">
      <c r="A2700" t="s">
        <v>42</v>
      </c>
      <c r="B2700">
        <v>64</v>
      </c>
      <c r="E2700">
        <v>25</v>
      </c>
      <c r="I2700">
        <v>25</v>
      </c>
      <c r="M2700">
        <v>40</v>
      </c>
      <c r="S2700">
        <v>40</v>
      </c>
    </row>
    <row r="2701" spans="1:20" x14ac:dyDescent="0.3">
      <c r="A2701" t="s">
        <v>45</v>
      </c>
      <c r="B2701">
        <v>64</v>
      </c>
      <c r="D2701">
        <v>4</v>
      </c>
      <c r="H2701">
        <v>8</v>
      </c>
      <c r="L2701">
        <v>1</v>
      </c>
      <c r="M2701">
        <v>6</v>
      </c>
      <c r="S2701">
        <v>2</v>
      </c>
    </row>
    <row r="2702" spans="1:20" x14ac:dyDescent="0.3">
      <c r="A2702" t="s">
        <v>46</v>
      </c>
      <c r="B2702">
        <v>64</v>
      </c>
      <c r="F2702">
        <v>4</v>
      </c>
      <c r="J2702">
        <v>8</v>
      </c>
      <c r="L2702">
        <v>6</v>
      </c>
      <c r="N2702">
        <v>6</v>
      </c>
      <c r="R2702">
        <v>2</v>
      </c>
    </row>
    <row r="2703" spans="1:20" x14ac:dyDescent="0.3">
      <c r="A2703" t="s">
        <v>49</v>
      </c>
      <c r="B2703">
        <v>64</v>
      </c>
      <c r="D2703">
        <v>6</v>
      </c>
      <c r="E2703">
        <v>4</v>
      </c>
      <c r="F2703">
        <v>6</v>
      </c>
      <c r="H2703">
        <v>6</v>
      </c>
      <c r="I2703">
        <v>4</v>
      </c>
      <c r="J2703">
        <v>6</v>
      </c>
      <c r="L2703">
        <v>4</v>
      </c>
      <c r="M2703">
        <v>5</v>
      </c>
      <c r="N2703">
        <v>5</v>
      </c>
      <c r="P2703">
        <v>4</v>
      </c>
      <c r="R2703">
        <v>5</v>
      </c>
      <c r="S2703">
        <v>5</v>
      </c>
      <c r="T2703">
        <v>4</v>
      </c>
    </row>
    <row r="2704" spans="1:20" x14ac:dyDescent="0.3">
      <c r="A2704" t="s">
        <v>727</v>
      </c>
      <c r="B2704">
        <v>64</v>
      </c>
      <c r="D2704">
        <v>0</v>
      </c>
      <c r="E2704">
        <v>0</v>
      </c>
      <c r="F2704">
        <v>0</v>
      </c>
      <c r="H2704">
        <v>0</v>
      </c>
      <c r="I2704">
        <v>0</v>
      </c>
      <c r="J2704">
        <v>0</v>
      </c>
      <c r="L2704">
        <v>0</v>
      </c>
      <c r="M2704">
        <v>0</v>
      </c>
      <c r="N2704">
        <v>0</v>
      </c>
      <c r="P2704">
        <v>0</v>
      </c>
      <c r="R2704">
        <v>0</v>
      </c>
      <c r="S2704">
        <v>0</v>
      </c>
      <c r="T2704">
        <v>0</v>
      </c>
    </row>
    <row r="2705" spans="1:20" x14ac:dyDescent="0.3">
      <c r="A2705" t="s">
        <v>48</v>
      </c>
      <c r="B2705">
        <v>64</v>
      </c>
      <c r="D2705">
        <v>1900</v>
      </c>
      <c r="E2705">
        <v>1900</v>
      </c>
      <c r="F2705">
        <v>1900</v>
      </c>
      <c r="H2705">
        <v>1900</v>
      </c>
      <c r="I2705">
        <v>1900</v>
      </c>
      <c r="J2705">
        <v>1900</v>
      </c>
      <c r="L2705">
        <v>1900</v>
      </c>
      <c r="M2705">
        <v>1900</v>
      </c>
      <c r="N2705">
        <v>1900</v>
      </c>
      <c r="P2705">
        <v>1900</v>
      </c>
      <c r="R2705">
        <v>1900</v>
      </c>
      <c r="S2705">
        <v>1900</v>
      </c>
      <c r="T2705">
        <v>1900</v>
      </c>
    </row>
    <row r="2706" spans="1:20" x14ac:dyDescent="0.3">
      <c r="A2706" t="s">
        <v>728</v>
      </c>
      <c r="B2706">
        <v>64</v>
      </c>
      <c r="D2706">
        <v>1770</v>
      </c>
      <c r="E2706">
        <v>0</v>
      </c>
      <c r="F2706">
        <v>1583</v>
      </c>
      <c r="H2706">
        <v>1770</v>
      </c>
      <c r="I2706">
        <v>0</v>
      </c>
      <c r="J2706">
        <v>1583</v>
      </c>
      <c r="L2706">
        <v>1770</v>
      </c>
      <c r="M2706">
        <v>5085</v>
      </c>
      <c r="N2706">
        <v>1583</v>
      </c>
      <c r="P2706">
        <v>0</v>
      </c>
      <c r="R2706">
        <v>1770</v>
      </c>
      <c r="S2706">
        <v>5075</v>
      </c>
      <c r="T2706">
        <v>0</v>
      </c>
    </row>
    <row r="2707" spans="1:20" x14ac:dyDescent="0.3">
      <c r="A2707" t="s">
        <v>50</v>
      </c>
      <c r="B2707">
        <v>64</v>
      </c>
      <c r="D2707">
        <v>1770</v>
      </c>
      <c r="E2707">
        <v>0</v>
      </c>
      <c r="F2707">
        <v>1583</v>
      </c>
      <c r="H2707">
        <v>1770</v>
      </c>
      <c r="I2707">
        <v>0</v>
      </c>
      <c r="J2707">
        <v>1583</v>
      </c>
      <c r="L2707">
        <v>199</v>
      </c>
      <c r="M2707">
        <v>5085</v>
      </c>
      <c r="N2707">
        <v>1583</v>
      </c>
      <c r="P2707">
        <v>0</v>
      </c>
      <c r="R2707">
        <v>346</v>
      </c>
      <c r="S2707">
        <v>5075</v>
      </c>
      <c r="T2707">
        <v>0</v>
      </c>
    </row>
    <row r="2708" spans="1:20" x14ac:dyDescent="0.3">
      <c r="A2708" t="s">
        <v>729</v>
      </c>
      <c r="B2708">
        <v>64</v>
      </c>
      <c r="D2708">
        <v>1</v>
      </c>
      <c r="E2708">
        <v>1</v>
      </c>
      <c r="F2708">
        <v>1</v>
      </c>
      <c r="H2708">
        <v>1</v>
      </c>
      <c r="I2708">
        <v>1</v>
      </c>
      <c r="J2708">
        <v>1</v>
      </c>
      <c r="L2708">
        <v>1</v>
      </c>
      <c r="M2708">
        <v>1</v>
      </c>
      <c r="N2708">
        <v>1</v>
      </c>
      <c r="P2708">
        <v>1</v>
      </c>
      <c r="R2708">
        <v>1</v>
      </c>
      <c r="S2708">
        <v>1</v>
      </c>
      <c r="T2708">
        <v>1</v>
      </c>
    </row>
    <row r="2709" spans="1:20" x14ac:dyDescent="0.3">
      <c r="A2709" t="s">
        <v>51</v>
      </c>
      <c r="B2709">
        <v>64</v>
      </c>
      <c r="D2709">
        <v>0</v>
      </c>
      <c r="E2709">
        <v>0</v>
      </c>
      <c r="F2709">
        <v>60</v>
      </c>
      <c r="H2709">
        <v>0</v>
      </c>
      <c r="I2709">
        <v>0</v>
      </c>
      <c r="J2709">
        <v>148</v>
      </c>
      <c r="L2709">
        <v>0</v>
      </c>
      <c r="M2709">
        <v>0</v>
      </c>
      <c r="N2709">
        <v>99</v>
      </c>
      <c r="P2709">
        <v>0</v>
      </c>
      <c r="R2709">
        <v>0</v>
      </c>
      <c r="S2709">
        <v>2</v>
      </c>
      <c r="T2709">
        <v>0</v>
      </c>
    </row>
    <row r="2710" spans="1:20" x14ac:dyDescent="0.3">
      <c r="A2710" t="s">
        <v>53</v>
      </c>
      <c r="B2710">
        <v>64</v>
      </c>
      <c r="D2710">
        <v>182</v>
      </c>
      <c r="E2710">
        <v>0</v>
      </c>
      <c r="F2710">
        <v>78</v>
      </c>
      <c r="H2710">
        <v>157</v>
      </c>
      <c r="I2710">
        <v>0</v>
      </c>
      <c r="J2710">
        <v>136</v>
      </c>
      <c r="L2710">
        <v>56</v>
      </c>
      <c r="M2710">
        <v>1263</v>
      </c>
      <c r="N2710">
        <v>91</v>
      </c>
      <c r="P2710">
        <v>0</v>
      </c>
      <c r="R2710">
        <v>26</v>
      </c>
      <c r="S2710">
        <v>1315</v>
      </c>
      <c r="T2710">
        <v>19</v>
      </c>
    </row>
    <row r="2711" spans="1:20" x14ac:dyDescent="0.3">
      <c r="A2711" t="s">
        <v>54</v>
      </c>
      <c r="B2711">
        <v>64</v>
      </c>
      <c r="D2711">
        <v>0</v>
      </c>
      <c r="E2711">
        <v>0</v>
      </c>
      <c r="F2711">
        <v>0</v>
      </c>
      <c r="H2711">
        <v>0</v>
      </c>
      <c r="I2711">
        <v>0</v>
      </c>
      <c r="J2711">
        <v>0</v>
      </c>
      <c r="L2711">
        <v>0</v>
      </c>
      <c r="M2711">
        <v>0</v>
      </c>
      <c r="N2711">
        <v>0</v>
      </c>
      <c r="P2711">
        <v>0</v>
      </c>
      <c r="R2711">
        <v>0</v>
      </c>
      <c r="S2711">
        <v>0</v>
      </c>
      <c r="T2711">
        <v>0</v>
      </c>
    </row>
    <row r="2712" spans="1:20" x14ac:dyDescent="0.3">
      <c r="A2712" t="s">
        <v>55</v>
      </c>
      <c r="B2712">
        <v>64</v>
      </c>
      <c r="D2712">
        <v>0</v>
      </c>
      <c r="E2712">
        <v>0</v>
      </c>
      <c r="F2712">
        <v>0</v>
      </c>
      <c r="H2712">
        <v>0</v>
      </c>
      <c r="I2712">
        <v>0</v>
      </c>
      <c r="J2712">
        <v>0</v>
      </c>
      <c r="L2712">
        <v>0</v>
      </c>
      <c r="M2712">
        <v>0</v>
      </c>
      <c r="N2712">
        <v>0</v>
      </c>
      <c r="P2712">
        <v>0</v>
      </c>
      <c r="R2712">
        <v>0</v>
      </c>
      <c r="S2712">
        <v>0</v>
      </c>
      <c r="T2712">
        <v>0</v>
      </c>
    </row>
    <row r="2713" spans="1:20" x14ac:dyDescent="0.3">
      <c r="A2713" t="s">
        <v>56</v>
      </c>
      <c r="B2713">
        <v>64</v>
      </c>
      <c r="D2713">
        <v>0.92</v>
      </c>
      <c r="E2713">
        <v>0.92</v>
      </c>
      <c r="F2713">
        <v>0.92</v>
      </c>
      <c r="H2713">
        <v>0.92</v>
      </c>
      <c r="I2713">
        <v>0.92</v>
      </c>
      <c r="J2713">
        <v>0.92</v>
      </c>
      <c r="L2713">
        <v>0.92</v>
      </c>
      <c r="M2713">
        <v>0.92</v>
      </c>
      <c r="N2713">
        <v>0.92</v>
      </c>
      <c r="P2713">
        <v>0.92</v>
      </c>
      <c r="R2713">
        <v>0.92</v>
      </c>
      <c r="S2713">
        <v>0.92</v>
      </c>
      <c r="T2713">
        <v>0.92</v>
      </c>
    </row>
    <row r="2714" spans="1:20" x14ac:dyDescent="0.3">
      <c r="A2714" t="s">
        <v>57</v>
      </c>
      <c r="B2714">
        <v>64</v>
      </c>
      <c r="D2714">
        <v>100</v>
      </c>
      <c r="E2714">
        <v>100</v>
      </c>
      <c r="F2714">
        <v>100</v>
      </c>
      <c r="H2714">
        <v>100</v>
      </c>
      <c r="I2714">
        <v>100</v>
      </c>
      <c r="J2714">
        <v>100</v>
      </c>
      <c r="L2714">
        <v>100</v>
      </c>
      <c r="M2714">
        <v>100</v>
      </c>
      <c r="N2714">
        <v>100</v>
      </c>
      <c r="P2714">
        <v>100</v>
      </c>
      <c r="R2714">
        <v>100</v>
      </c>
      <c r="S2714">
        <v>100</v>
      </c>
      <c r="T2714">
        <v>100</v>
      </c>
    </row>
    <row r="2715" spans="1:20" x14ac:dyDescent="0.3">
      <c r="A2715" t="s">
        <v>58</v>
      </c>
      <c r="B2715">
        <v>64</v>
      </c>
      <c r="D2715">
        <v>2</v>
      </c>
      <c r="E2715">
        <v>2</v>
      </c>
      <c r="F2715">
        <v>2</v>
      </c>
      <c r="H2715">
        <v>2</v>
      </c>
      <c r="I2715">
        <v>2</v>
      </c>
      <c r="J2715">
        <v>2</v>
      </c>
      <c r="L2715">
        <v>2</v>
      </c>
      <c r="M2715">
        <v>2</v>
      </c>
      <c r="N2715">
        <v>2</v>
      </c>
      <c r="P2715">
        <v>2</v>
      </c>
      <c r="R2715">
        <v>2</v>
      </c>
      <c r="S2715">
        <v>2</v>
      </c>
      <c r="T2715">
        <v>2</v>
      </c>
    </row>
    <row r="2716" spans="1:20" x14ac:dyDescent="0.3">
      <c r="A2716" t="s">
        <v>59</v>
      </c>
      <c r="B2716">
        <v>64</v>
      </c>
      <c r="D2716">
        <v>0</v>
      </c>
      <c r="E2716">
        <v>0</v>
      </c>
      <c r="F2716">
        <v>0</v>
      </c>
      <c r="H2716">
        <v>0</v>
      </c>
      <c r="I2716">
        <v>0</v>
      </c>
      <c r="J2716">
        <v>0</v>
      </c>
      <c r="L2716">
        <v>0</v>
      </c>
      <c r="M2716">
        <v>0</v>
      </c>
      <c r="N2716">
        <v>0</v>
      </c>
      <c r="P2716">
        <v>0</v>
      </c>
      <c r="R2716">
        <v>0</v>
      </c>
      <c r="S2716">
        <v>0</v>
      </c>
      <c r="T2716">
        <v>0</v>
      </c>
    </row>
    <row r="2717" spans="1:20" x14ac:dyDescent="0.3">
      <c r="A2717" t="s">
        <v>730</v>
      </c>
      <c r="B2717">
        <v>64</v>
      </c>
      <c r="E2717">
        <v>0</v>
      </c>
      <c r="I2717">
        <v>0</v>
      </c>
      <c r="M2717">
        <v>0</v>
      </c>
      <c r="S2717">
        <v>0</v>
      </c>
    </row>
    <row r="2718" spans="1:20" x14ac:dyDescent="0.3">
      <c r="A2718" t="s">
        <v>679</v>
      </c>
      <c r="B2718">
        <v>64</v>
      </c>
      <c r="E2718">
        <v>449</v>
      </c>
      <c r="I2718">
        <v>430</v>
      </c>
      <c r="M2718">
        <v>821</v>
      </c>
      <c r="S2718">
        <v>913</v>
      </c>
    </row>
    <row r="2719" spans="1:20" x14ac:dyDescent="0.3">
      <c r="A2719" t="s">
        <v>78</v>
      </c>
      <c r="B2719">
        <v>64</v>
      </c>
      <c r="E2719">
        <v>12.2</v>
      </c>
      <c r="I2719">
        <v>11.7</v>
      </c>
      <c r="M2719">
        <v>14</v>
      </c>
      <c r="S2719">
        <v>15.6</v>
      </c>
    </row>
    <row r="2720" spans="1:20" x14ac:dyDescent="0.3">
      <c r="A2720" t="s">
        <v>731</v>
      </c>
      <c r="B2720">
        <v>64</v>
      </c>
      <c r="F2720">
        <v>0</v>
      </c>
      <c r="J2720">
        <v>0</v>
      </c>
      <c r="N2720">
        <v>0</v>
      </c>
      <c r="T2720">
        <v>0</v>
      </c>
    </row>
    <row r="2721" spans="1:20" x14ac:dyDescent="0.3">
      <c r="A2721" t="s">
        <v>732</v>
      </c>
      <c r="B2721">
        <v>64</v>
      </c>
      <c r="D2721">
        <v>0</v>
      </c>
      <c r="E2721">
        <v>0</v>
      </c>
      <c r="F2721">
        <v>1</v>
      </c>
      <c r="H2721">
        <v>0</v>
      </c>
      <c r="I2721">
        <v>0</v>
      </c>
      <c r="J2721">
        <v>1</v>
      </c>
      <c r="L2721">
        <v>0</v>
      </c>
      <c r="M2721">
        <v>0</v>
      </c>
      <c r="N2721">
        <v>1</v>
      </c>
      <c r="P2721">
        <v>3</v>
      </c>
      <c r="R2721">
        <v>0</v>
      </c>
      <c r="S2721">
        <v>0</v>
      </c>
      <c r="T2721">
        <v>1</v>
      </c>
    </row>
    <row r="2722" spans="1:20" x14ac:dyDescent="0.3">
      <c r="A2722" t="s">
        <v>733</v>
      </c>
      <c r="B2722">
        <v>64</v>
      </c>
      <c r="D2722">
        <v>0</v>
      </c>
      <c r="E2722">
        <v>0</v>
      </c>
      <c r="F2722">
        <v>0</v>
      </c>
      <c r="H2722">
        <v>0</v>
      </c>
      <c r="I2722">
        <v>0</v>
      </c>
      <c r="J2722">
        <v>0</v>
      </c>
      <c r="L2722">
        <v>0</v>
      </c>
      <c r="M2722">
        <v>0</v>
      </c>
      <c r="N2722">
        <v>0</v>
      </c>
      <c r="P2722">
        <v>0</v>
      </c>
      <c r="R2722">
        <v>0</v>
      </c>
      <c r="S2722">
        <v>0</v>
      </c>
      <c r="T2722">
        <v>0</v>
      </c>
    </row>
    <row r="2723" spans="1:20" x14ac:dyDescent="0.3">
      <c r="A2723" t="s">
        <v>52</v>
      </c>
      <c r="B2723">
        <v>64</v>
      </c>
      <c r="D2723">
        <v>1</v>
      </c>
      <c r="E2723">
        <v>1</v>
      </c>
      <c r="F2723">
        <v>1</v>
      </c>
      <c r="H2723">
        <v>1</v>
      </c>
      <c r="I2723">
        <v>1</v>
      </c>
      <c r="J2723">
        <v>1</v>
      </c>
      <c r="L2723">
        <v>1</v>
      </c>
      <c r="M2723">
        <v>1</v>
      </c>
      <c r="N2723">
        <v>1</v>
      </c>
      <c r="P2723">
        <v>1</v>
      </c>
      <c r="R2723">
        <v>1</v>
      </c>
      <c r="S2723">
        <v>1</v>
      </c>
      <c r="T2723">
        <v>1</v>
      </c>
    </row>
    <row r="2724" spans="1:20" x14ac:dyDescent="0.3">
      <c r="A2724" t="s">
        <v>734</v>
      </c>
      <c r="B2724">
        <v>64</v>
      </c>
      <c r="D2724">
        <v>15</v>
      </c>
      <c r="E2724">
        <v>60</v>
      </c>
      <c r="F2724">
        <v>9</v>
      </c>
      <c r="H2724">
        <v>15</v>
      </c>
      <c r="I2724">
        <v>60</v>
      </c>
      <c r="J2724">
        <v>9</v>
      </c>
      <c r="L2724">
        <v>15</v>
      </c>
      <c r="M2724">
        <v>60</v>
      </c>
      <c r="N2724">
        <v>9</v>
      </c>
      <c r="P2724">
        <v>9</v>
      </c>
      <c r="R2724">
        <v>15</v>
      </c>
      <c r="S2724">
        <v>60</v>
      </c>
      <c r="T2724">
        <v>9</v>
      </c>
    </row>
    <row r="2725" spans="1:20" x14ac:dyDescent="0.3">
      <c r="A2725" t="s">
        <v>43</v>
      </c>
      <c r="B2725">
        <v>64</v>
      </c>
      <c r="D2725">
        <v>20</v>
      </c>
      <c r="F2725">
        <v>20</v>
      </c>
      <c r="H2725">
        <v>20</v>
      </c>
      <c r="J2725">
        <v>20</v>
      </c>
      <c r="L2725">
        <v>20</v>
      </c>
      <c r="M2725">
        <v>100</v>
      </c>
      <c r="N2725">
        <v>20</v>
      </c>
      <c r="R2725">
        <v>20</v>
      </c>
      <c r="S2725">
        <v>100</v>
      </c>
    </row>
    <row r="2726" spans="1:20" x14ac:dyDescent="0.3">
      <c r="A2726" t="s">
        <v>44</v>
      </c>
      <c r="B2726">
        <v>64</v>
      </c>
      <c r="D2726">
        <v>0</v>
      </c>
      <c r="F2726">
        <v>0</v>
      </c>
      <c r="H2726">
        <v>0</v>
      </c>
      <c r="J2726">
        <v>0</v>
      </c>
      <c r="L2726">
        <v>0</v>
      </c>
      <c r="M2726">
        <v>0</v>
      </c>
      <c r="N2726">
        <v>0</v>
      </c>
      <c r="R2726">
        <v>0</v>
      </c>
      <c r="S2726">
        <v>0</v>
      </c>
    </row>
    <row r="2727" spans="1:20" x14ac:dyDescent="0.3">
      <c r="A2727" t="s">
        <v>47</v>
      </c>
      <c r="B2727">
        <v>64</v>
      </c>
      <c r="D2727">
        <v>4</v>
      </c>
      <c r="F2727">
        <v>4</v>
      </c>
      <c r="H2727">
        <v>8</v>
      </c>
      <c r="J2727">
        <v>8</v>
      </c>
      <c r="L2727">
        <v>1</v>
      </c>
      <c r="M2727">
        <v>6</v>
      </c>
      <c r="N2727">
        <v>6</v>
      </c>
      <c r="R2727">
        <v>2</v>
      </c>
      <c r="S2727">
        <v>2</v>
      </c>
    </row>
    <row r="2728" spans="1:20" x14ac:dyDescent="0.3">
      <c r="A2728" t="s">
        <v>735</v>
      </c>
      <c r="B2728">
        <v>64</v>
      </c>
      <c r="D2728">
        <v>0</v>
      </c>
      <c r="F2728">
        <v>0</v>
      </c>
      <c r="H2728">
        <v>0</v>
      </c>
      <c r="J2728">
        <v>0</v>
      </c>
      <c r="L2728">
        <v>0</v>
      </c>
      <c r="M2728">
        <v>0</v>
      </c>
      <c r="N2728">
        <v>0</v>
      </c>
      <c r="R2728">
        <v>0</v>
      </c>
      <c r="S2728">
        <v>0</v>
      </c>
    </row>
    <row r="2729" spans="1:20" x14ac:dyDescent="0.3">
      <c r="A2729" t="s">
        <v>736</v>
      </c>
      <c r="B2729">
        <v>64</v>
      </c>
      <c r="D2729">
        <v>0</v>
      </c>
      <c r="F2729">
        <v>0</v>
      </c>
      <c r="H2729">
        <v>0</v>
      </c>
      <c r="J2729">
        <v>0</v>
      </c>
      <c r="L2729">
        <v>0</v>
      </c>
      <c r="M2729">
        <v>0</v>
      </c>
      <c r="N2729">
        <v>0</v>
      </c>
      <c r="R2729">
        <v>0</v>
      </c>
      <c r="S2729">
        <v>0</v>
      </c>
    </row>
    <row r="2730" spans="1:20" x14ac:dyDescent="0.3">
      <c r="A2730" t="s">
        <v>737</v>
      </c>
      <c r="B2730">
        <v>64</v>
      </c>
      <c r="D2730">
        <v>0</v>
      </c>
      <c r="F2730">
        <v>0</v>
      </c>
      <c r="H2730">
        <v>0</v>
      </c>
      <c r="J2730">
        <v>0</v>
      </c>
      <c r="L2730">
        <v>0</v>
      </c>
      <c r="M2730">
        <v>0</v>
      </c>
      <c r="N2730">
        <v>0</v>
      </c>
      <c r="R2730">
        <v>0</v>
      </c>
      <c r="S2730">
        <v>0</v>
      </c>
    </row>
    <row r="2731" spans="1:20" x14ac:dyDescent="0.3">
      <c r="A2731" t="s">
        <v>738</v>
      </c>
      <c r="B2731">
        <v>64</v>
      </c>
      <c r="D2731">
        <v>0</v>
      </c>
      <c r="F2731">
        <v>0</v>
      </c>
      <c r="H2731">
        <v>0</v>
      </c>
      <c r="J2731">
        <v>0</v>
      </c>
      <c r="L2731">
        <v>0</v>
      </c>
      <c r="M2731">
        <v>0</v>
      </c>
      <c r="N2731">
        <v>0</v>
      </c>
      <c r="R2731">
        <v>0</v>
      </c>
      <c r="S2731">
        <v>0</v>
      </c>
    </row>
    <row r="2732" spans="1:20" x14ac:dyDescent="0.3">
      <c r="A2732" t="s">
        <v>739</v>
      </c>
      <c r="B2732">
        <v>64</v>
      </c>
      <c r="D2732">
        <v>1</v>
      </c>
      <c r="F2732">
        <v>1</v>
      </c>
      <c r="H2732">
        <v>1</v>
      </c>
      <c r="J2732">
        <v>1</v>
      </c>
      <c r="L2732">
        <v>1</v>
      </c>
      <c r="M2732">
        <v>2</v>
      </c>
      <c r="N2732">
        <v>1</v>
      </c>
      <c r="R2732">
        <v>1</v>
      </c>
      <c r="S2732">
        <v>2</v>
      </c>
    </row>
    <row r="2733" spans="1:20" x14ac:dyDescent="0.3">
      <c r="A2733" t="s">
        <v>740</v>
      </c>
      <c r="B2733">
        <v>64</v>
      </c>
      <c r="D2733">
        <v>0</v>
      </c>
      <c r="F2733">
        <v>0</v>
      </c>
      <c r="H2733">
        <v>0</v>
      </c>
      <c r="J2733">
        <v>0</v>
      </c>
      <c r="L2733">
        <v>0</v>
      </c>
      <c r="M2733">
        <v>0</v>
      </c>
      <c r="N2733">
        <v>0</v>
      </c>
      <c r="R2733">
        <v>0</v>
      </c>
      <c r="S2733">
        <v>0</v>
      </c>
    </row>
    <row r="2734" spans="1:20" x14ac:dyDescent="0.3">
      <c r="A2734" t="s">
        <v>741</v>
      </c>
      <c r="B2734">
        <v>64</v>
      </c>
      <c r="D2734">
        <v>20</v>
      </c>
      <c r="F2734">
        <v>20</v>
      </c>
      <c r="H2734">
        <v>20</v>
      </c>
      <c r="J2734">
        <v>20</v>
      </c>
      <c r="L2734">
        <v>20</v>
      </c>
      <c r="M2734">
        <v>6</v>
      </c>
      <c r="N2734">
        <v>20</v>
      </c>
      <c r="R2734">
        <v>20</v>
      </c>
      <c r="S2734">
        <v>6</v>
      </c>
    </row>
    <row r="2735" spans="1:20" x14ac:dyDescent="0.3">
      <c r="A2735" t="s">
        <v>742</v>
      </c>
      <c r="B2735">
        <v>64</v>
      </c>
      <c r="D2735">
        <v>3</v>
      </c>
      <c r="F2735">
        <v>3</v>
      </c>
      <c r="H2735">
        <v>3</v>
      </c>
      <c r="J2735">
        <v>3</v>
      </c>
      <c r="L2735">
        <v>3</v>
      </c>
      <c r="M2735">
        <v>3</v>
      </c>
      <c r="N2735">
        <v>3</v>
      </c>
      <c r="R2735">
        <v>3</v>
      </c>
      <c r="S2735">
        <v>3</v>
      </c>
    </row>
    <row r="2736" spans="1:20" x14ac:dyDescent="0.3">
      <c r="A2736" t="s">
        <v>743</v>
      </c>
      <c r="B2736">
        <v>64</v>
      </c>
      <c r="D2736">
        <v>0</v>
      </c>
      <c r="F2736">
        <v>0</v>
      </c>
      <c r="H2736">
        <v>0</v>
      </c>
      <c r="J2736">
        <v>0</v>
      </c>
      <c r="L2736">
        <v>0</v>
      </c>
      <c r="M2736">
        <v>0</v>
      </c>
      <c r="N2736">
        <v>0</v>
      </c>
      <c r="R2736">
        <v>0</v>
      </c>
      <c r="S2736">
        <v>0</v>
      </c>
    </row>
    <row r="2737" spans="1:20" x14ac:dyDescent="0.3">
      <c r="A2737" t="s">
        <v>744</v>
      </c>
      <c r="B2737">
        <v>64</v>
      </c>
      <c r="D2737">
        <v>0</v>
      </c>
      <c r="F2737">
        <v>0</v>
      </c>
      <c r="H2737">
        <v>0</v>
      </c>
      <c r="J2737">
        <v>0</v>
      </c>
      <c r="L2737">
        <v>0</v>
      </c>
      <c r="M2737">
        <v>0</v>
      </c>
      <c r="N2737">
        <v>0</v>
      </c>
      <c r="R2737">
        <v>0</v>
      </c>
      <c r="S2737">
        <v>0</v>
      </c>
    </row>
    <row r="2738" spans="1:20" x14ac:dyDescent="0.3">
      <c r="A2738" t="s">
        <v>745</v>
      </c>
      <c r="B2738">
        <v>64</v>
      </c>
      <c r="D2738">
        <v>0</v>
      </c>
      <c r="F2738">
        <v>0</v>
      </c>
      <c r="H2738">
        <v>0</v>
      </c>
      <c r="J2738">
        <v>0</v>
      </c>
      <c r="L2738">
        <v>0</v>
      </c>
      <c r="M2738">
        <v>0</v>
      </c>
      <c r="N2738">
        <v>0</v>
      </c>
      <c r="R2738">
        <v>0</v>
      </c>
      <c r="S2738">
        <v>0</v>
      </c>
    </row>
    <row r="2739" spans="1:20" x14ac:dyDescent="0.3">
      <c r="A2739" t="s">
        <v>746</v>
      </c>
      <c r="B2739">
        <v>64</v>
      </c>
      <c r="M2739">
        <v>94</v>
      </c>
      <c r="S2739">
        <v>94</v>
      </c>
    </row>
    <row r="2740" spans="1:20" x14ac:dyDescent="0.3">
      <c r="A2740" t="s">
        <v>747</v>
      </c>
      <c r="B2740">
        <v>64</v>
      </c>
      <c r="M2740">
        <v>6</v>
      </c>
      <c r="S2740">
        <v>6</v>
      </c>
    </row>
    <row r="2741" spans="1:20" x14ac:dyDescent="0.3">
      <c r="A2741" t="s">
        <v>748</v>
      </c>
      <c r="B2741">
        <v>64</v>
      </c>
      <c r="M2741">
        <v>3</v>
      </c>
      <c r="S2741">
        <v>3</v>
      </c>
    </row>
    <row r="2742" spans="1:20" x14ac:dyDescent="0.3">
      <c r="A2742" t="s">
        <v>749</v>
      </c>
      <c r="B2742">
        <v>64</v>
      </c>
      <c r="M2742">
        <v>0</v>
      </c>
      <c r="S2742">
        <v>0</v>
      </c>
    </row>
    <row r="2743" spans="1:20" x14ac:dyDescent="0.3">
      <c r="A2743" t="s">
        <v>750</v>
      </c>
      <c r="B2743">
        <v>64</v>
      </c>
      <c r="E2743">
        <v>0</v>
      </c>
      <c r="I2743">
        <v>0</v>
      </c>
      <c r="M2743">
        <v>0</v>
      </c>
      <c r="S2743">
        <v>0</v>
      </c>
    </row>
    <row r="2744" spans="1:20" x14ac:dyDescent="0.3">
      <c r="A2744" t="s">
        <v>405</v>
      </c>
      <c r="B2744">
        <v>64</v>
      </c>
      <c r="E2744">
        <v>0</v>
      </c>
    </row>
    <row r="2745" spans="1:20" x14ac:dyDescent="0.3">
      <c r="A2745" t="s">
        <v>751</v>
      </c>
      <c r="B2745">
        <v>64</v>
      </c>
      <c r="D2745">
        <v>198</v>
      </c>
      <c r="E2745">
        <v>0</v>
      </c>
      <c r="F2745">
        <v>85</v>
      </c>
      <c r="H2745">
        <v>171</v>
      </c>
      <c r="I2745">
        <v>0</v>
      </c>
      <c r="J2745">
        <v>148</v>
      </c>
      <c r="L2745">
        <v>61</v>
      </c>
      <c r="M2745">
        <v>1373</v>
      </c>
      <c r="N2745">
        <v>99</v>
      </c>
      <c r="P2745">
        <v>0</v>
      </c>
      <c r="R2745">
        <v>28</v>
      </c>
      <c r="S2745">
        <v>1450</v>
      </c>
      <c r="T2745">
        <v>0</v>
      </c>
    </row>
    <row r="2746" spans="1:20" x14ac:dyDescent="0.3">
      <c r="A2746" t="s">
        <v>34</v>
      </c>
      <c r="B2746">
        <v>67</v>
      </c>
      <c r="D2746">
        <v>69</v>
      </c>
      <c r="E2746">
        <v>69</v>
      </c>
      <c r="F2746">
        <v>69</v>
      </c>
      <c r="H2746">
        <v>68</v>
      </c>
      <c r="I2746">
        <v>68</v>
      </c>
      <c r="J2746">
        <v>68</v>
      </c>
      <c r="L2746">
        <v>64</v>
      </c>
      <c r="M2746">
        <v>64</v>
      </c>
      <c r="N2746">
        <v>64</v>
      </c>
      <c r="P2746">
        <v>70</v>
      </c>
      <c r="R2746">
        <v>70</v>
      </c>
      <c r="S2746">
        <v>70</v>
      </c>
      <c r="T2746">
        <v>70</v>
      </c>
    </row>
    <row r="2747" spans="1:20" x14ac:dyDescent="0.3">
      <c r="A2747" t="s">
        <v>35</v>
      </c>
      <c r="B2747">
        <v>67</v>
      </c>
      <c r="D2747">
        <v>64</v>
      </c>
      <c r="E2747">
        <v>68</v>
      </c>
      <c r="F2747">
        <v>70</v>
      </c>
      <c r="H2747">
        <v>70</v>
      </c>
      <c r="I2747">
        <v>69</v>
      </c>
      <c r="J2747">
        <v>64</v>
      </c>
      <c r="L2747">
        <v>68</v>
      </c>
      <c r="M2747">
        <v>70</v>
      </c>
      <c r="N2747">
        <v>69</v>
      </c>
      <c r="P2747">
        <v>70</v>
      </c>
      <c r="R2747">
        <v>69</v>
      </c>
      <c r="S2747">
        <v>64</v>
      </c>
      <c r="T2747">
        <v>68</v>
      </c>
    </row>
    <row r="2748" spans="1:20" x14ac:dyDescent="0.3">
      <c r="A2748" t="s">
        <v>36</v>
      </c>
      <c r="B2748">
        <v>67</v>
      </c>
      <c r="D2748">
        <v>1</v>
      </c>
      <c r="E2748">
        <v>2</v>
      </c>
      <c r="F2748">
        <v>0</v>
      </c>
      <c r="H2748">
        <v>1</v>
      </c>
      <c r="I2748">
        <v>2</v>
      </c>
      <c r="J2748">
        <v>0</v>
      </c>
      <c r="L2748">
        <v>1</v>
      </c>
      <c r="M2748">
        <v>3</v>
      </c>
      <c r="N2748">
        <v>0</v>
      </c>
      <c r="P2748">
        <v>0</v>
      </c>
      <c r="R2748">
        <v>1</v>
      </c>
      <c r="S2748">
        <v>3</v>
      </c>
      <c r="T2748">
        <v>0</v>
      </c>
    </row>
    <row r="2749" spans="1:20" x14ac:dyDescent="0.3">
      <c r="A2749" t="s">
        <v>37</v>
      </c>
      <c r="B2749">
        <v>67</v>
      </c>
      <c r="D2749">
        <v>0</v>
      </c>
      <c r="E2749">
        <v>2</v>
      </c>
      <c r="H2749">
        <v>0</v>
      </c>
      <c r="I2749">
        <v>0</v>
      </c>
      <c r="L2749">
        <v>0</v>
      </c>
      <c r="M2749">
        <v>2</v>
      </c>
      <c r="R2749">
        <v>0</v>
      </c>
      <c r="S2749">
        <v>2</v>
      </c>
    </row>
    <row r="2750" spans="1:20" x14ac:dyDescent="0.3">
      <c r="A2750" t="s">
        <v>38</v>
      </c>
      <c r="B2750">
        <v>67</v>
      </c>
      <c r="D2750">
        <v>12</v>
      </c>
      <c r="E2750">
        <v>12</v>
      </c>
      <c r="F2750">
        <v>12</v>
      </c>
      <c r="H2750">
        <v>12</v>
      </c>
      <c r="I2750">
        <v>12</v>
      </c>
      <c r="J2750">
        <v>12</v>
      </c>
      <c r="L2750">
        <v>12</v>
      </c>
      <c r="M2750">
        <v>12</v>
      </c>
      <c r="N2750">
        <v>12</v>
      </c>
      <c r="P2750">
        <v>12</v>
      </c>
      <c r="R2750">
        <v>12</v>
      </c>
      <c r="S2750">
        <v>12</v>
      </c>
      <c r="T2750">
        <v>12</v>
      </c>
    </row>
    <row r="2751" spans="1:20" x14ac:dyDescent="0.3">
      <c r="A2751" t="s">
        <v>39</v>
      </c>
      <c r="B2751">
        <v>67</v>
      </c>
      <c r="D2751">
        <v>253</v>
      </c>
      <c r="H2751">
        <v>157</v>
      </c>
      <c r="L2751">
        <v>250</v>
      </c>
      <c r="R2751">
        <v>152</v>
      </c>
    </row>
    <row r="2752" spans="1:20" x14ac:dyDescent="0.3">
      <c r="A2752" t="s">
        <v>726</v>
      </c>
      <c r="B2752">
        <v>67</v>
      </c>
      <c r="D2752">
        <v>25</v>
      </c>
      <c r="H2752">
        <v>25</v>
      </c>
      <c r="L2752">
        <v>25</v>
      </c>
      <c r="R2752">
        <v>25</v>
      </c>
    </row>
    <row r="2753" spans="1:20" x14ac:dyDescent="0.3">
      <c r="A2753" t="s">
        <v>40</v>
      </c>
      <c r="B2753">
        <v>67</v>
      </c>
      <c r="D2753">
        <v>1</v>
      </c>
      <c r="H2753">
        <v>1</v>
      </c>
      <c r="L2753">
        <v>1</v>
      </c>
      <c r="R2753">
        <v>1</v>
      </c>
    </row>
    <row r="2754" spans="1:20" x14ac:dyDescent="0.3">
      <c r="A2754" t="s">
        <v>41</v>
      </c>
      <c r="B2754">
        <v>67</v>
      </c>
    </row>
    <row r="2755" spans="1:20" x14ac:dyDescent="0.3">
      <c r="A2755" t="s">
        <v>42</v>
      </c>
      <c r="B2755">
        <v>67</v>
      </c>
      <c r="E2755">
        <v>40</v>
      </c>
      <c r="I2755">
        <v>40</v>
      </c>
      <c r="M2755">
        <v>45</v>
      </c>
      <c r="S2755">
        <v>45</v>
      </c>
    </row>
    <row r="2756" spans="1:20" x14ac:dyDescent="0.3">
      <c r="A2756" t="s">
        <v>45</v>
      </c>
      <c r="B2756">
        <v>67</v>
      </c>
      <c r="D2756">
        <v>7</v>
      </c>
      <c r="E2756">
        <v>4</v>
      </c>
      <c r="H2756">
        <v>3</v>
      </c>
      <c r="I2756">
        <v>8</v>
      </c>
      <c r="L2756">
        <v>1</v>
      </c>
      <c r="M2756">
        <v>6</v>
      </c>
      <c r="R2756">
        <v>5</v>
      </c>
      <c r="S2756">
        <v>2</v>
      </c>
    </row>
    <row r="2757" spans="1:20" x14ac:dyDescent="0.3">
      <c r="A2757" t="s">
        <v>46</v>
      </c>
      <c r="B2757">
        <v>67</v>
      </c>
      <c r="D2757">
        <v>4</v>
      </c>
      <c r="H2757">
        <v>8</v>
      </c>
      <c r="L2757">
        <v>6</v>
      </c>
      <c r="R2757">
        <v>2</v>
      </c>
    </row>
    <row r="2758" spans="1:20" x14ac:dyDescent="0.3">
      <c r="A2758" t="s">
        <v>49</v>
      </c>
      <c r="B2758">
        <v>67</v>
      </c>
      <c r="D2758">
        <v>4</v>
      </c>
      <c r="E2758">
        <v>5.9</v>
      </c>
      <c r="F2758">
        <v>4</v>
      </c>
      <c r="H2758">
        <v>4</v>
      </c>
      <c r="I2758">
        <v>5.9</v>
      </c>
      <c r="J2758">
        <v>4</v>
      </c>
      <c r="L2758">
        <v>4</v>
      </c>
      <c r="M2758">
        <v>5.4</v>
      </c>
      <c r="N2758">
        <v>4</v>
      </c>
      <c r="P2758">
        <v>4</v>
      </c>
      <c r="R2758">
        <v>4</v>
      </c>
      <c r="S2758">
        <v>5.4</v>
      </c>
      <c r="T2758">
        <v>4</v>
      </c>
    </row>
    <row r="2759" spans="1:20" x14ac:dyDescent="0.3">
      <c r="A2759" t="s">
        <v>727</v>
      </c>
      <c r="B2759">
        <v>67</v>
      </c>
      <c r="D2759">
        <v>0</v>
      </c>
      <c r="E2759">
        <v>0</v>
      </c>
      <c r="F2759">
        <v>0</v>
      </c>
      <c r="H2759">
        <v>0</v>
      </c>
      <c r="I2759">
        <v>0</v>
      </c>
      <c r="J2759">
        <v>0</v>
      </c>
      <c r="L2759">
        <v>0</v>
      </c>
      <c r="M2759">
        <v>0</v>
      </c>
      <c r="N2759">
        <v>0</v>
      </c>
      <c r="P2759">
        <v>0</v>
      </c>
      <c r="R2759">
        <v>0</v>
      </c>
      <c r="S2759">
        <v>0</v>
      </c>
      <c r="T2759">
        <v>0</v>
      </c>
    </row>
    <row r="2760" spans="1:20" x14ac:dyDescent="0.3">
      <c r="A2760" t="s">
        <v>48</v>
      </c>
      <c r="B2760">
        <v>67</v>
      </c>
      <c r="D2760">
        <v>1900</v>
      </c>
      <c r="E2760">
        <v>1900</v>
      </c>
      <c r="F2760">
        <v>1900</v>
      </c>
      <c r="H2760">
        <v>1900</v>
      </c>
      <c r="I2760">
        <v>1900</v>
      </c>
      <c r="J2760">
        <v>1900</v>
      </c>
      <c r="L2760">
        <v>1900</v>
      </c>
      <c r="M2760">
        <v>1900</v>
      </c>
      <c r="N2760">
        <v>1900</v>
      </c>
      <c r="P2760">
        <v>1900</v>
      </c>
      <c r="R2760">
        <v>1900</v>
      </c>
      <c r="S2760">
        <v>1900</v>
      </c>
      <c r="T2760">
        <v>1900</v>
      </c>
    </row>
    <row r="2761" spans="1:20" x14ac:dyDescent="0.3">
      <c r="A2761" t="s">
        <v>728</v>
      </c>
      <c r="B2761">
        <v>67</v>
      </c>
      <c r="D2761">
        <v>1770</v>
      </c>
      <c r="E2761">
        <v>3306</v>
      </c>
      <c r="F2761">
        <v>0</v>
      </c>
      <c r="H2761">
        <v>1770</v>
      </c>
      <c r="I2761">
        <v>3295</v>
      </c>
      <c r="J2761">
        <v>0</v>
      </c>
      <c r="L2761">
        <v>1770</v>
      </c>
      <c r="M2761">
        <v>4979</v>
      </c>
      <c r="N2761">
        <v>0</v>
      </c>
      <c r="P2761">
        <v>0</v>
      </c>
      <c r="R2761">
        <v>1770</v>
      </c>
      <c r="S2761">
        <v>5040</v>
      </c>
      <c r="T2761">
        <v>0</v>
      </c>
    </row>
    <row r="2762" spans="1:20" x14ac:dyDescent="0.3">
      <c r="A2762" t="s">
        <v>50</v>
      </c>
      <c r="B2762">
        <v>67</v>
      </c>
      <c r="D2762">
        <v>872</v>
      </c>
      <c r="E2762">
        <v>3306</v>
      </c>
      <c r="F2762">
        <v>0</v>
      </c>
      <c r="H2762">
        <v>1025</v>
      </c>
      <c r="I2762">
        <v>3295</v>
      </c>
      <c r="J2762">
        <v>0</v>
      </c>
      <c r="L2762">
        <v>253</v>
      </c>
      <c r="M2762">
        <v>4979</v>
      </c>
      <c r="N2762">
        <v>0</v>
      </c>
      <c r="P2762">
        <v>0</v>
      </c>
      <c r="R2762">
        <v>320</v>
      </c>
      <c r="S2762">
        <v>5040</v>
      </c>
      <c r="T2762">
        <v>0</v>
      </c>
    </row>
    <row r="2763" spans="1:20" x14ac:dyDescent="0.3">
      <c r="A2763" t="s">
        <v>729</v>
      </c>
      <c r="B2763">
        <v>67</v>
      </c>
      <c r="D2763">
        <v>1</v>
      </c>
      <c r="E2763">
        <v>1</v>
      </c>
      <c r="F2763">
        <v>1</v>
      </c>
      <c r="H2763">
        <v>1</v>
      </c>
      <c r="I2763">
        <v>1</v>
      </c>
      <c r="J2763">
        <v>1</v>
      </c>
      <c r="L2763">
        <v>1</v>
      </c>
      <c r="M2763">
        <v>1</v>
      </c>
      <c r="N2763">
        <v>1</v>
      </c>
      <c r="P2763">
        <v>1</v>
      </c>
      <c r="R2763">
        <v>1</v>
      </c>
      <c r="S2763">
        <v>1</v>
      </c>
      <c r="T2763">
        <v>1</v>
      </c>
    </row>
    <row r="2764" spans="1:20" x14ac:dyDescent="0.3">
      <c r="A2764" t="s">
        <v>51</v>
      </c>
      <c r="B2764">
        <v>67</v>
      </c>
      <c r="D2764">
        <v>0</v>
      </c>
      <c r="E2764">
        <v>147</v>
      </c>
      <c r="F2764">
        <v>0</v>
      </c>
      <c r="H2764">
        <v>0</v>
      </c>
      <c r="I2764">
        <v>130</v>
      </c>
      <c r="J2764">
        <v>0</v>
      </c>
      <c r="L2764">
        <v>0</v>
      </c>
      <c r="M2764">
        <v>32</v>
      </c>
      <c r="N2764">
        <v>0</v>
      </c>
      <c r="P2764">
        <v>0</v>
      </c>
      <c r="R2764">
        <v>0</v>
      </c>
      <c r="S2764">
        <v>10</v>
      </c>
      <c r="T2764">
        <v>0</v>
      </c>
    </row>
    <row r="2765" spans="1:20" x14ac:dyDescent="0.3">
      <c r="A2765" t="s">
        <v>53</v>
      </c>
      <c r="B2765">
        <v>67</v>
      </c>
      <c r="D2765">
        <v>178</v>
      </c>
      <c r="E2765">
        <v>173</v>
      </c>
      <c r="F2765">
        <v>135</v>
      </c>
      <c r="H2765">
        <v>67</v>
      </c>
      <c r="I2765">
        <v>142</v>
      </c>
      <c r="J2765">
        <v>120</v>
      </c>
      <c r="L2765">
        <v>94</v>
      </c>
      <c r="M2765">
        <v>904</v>
      </c>
      <c r="N2765">
        <v>144</v>
      </c>
      <c r="P2765">
        <v>0</v>
      </c>
      <c r="R2765">
        <v>143</v>
      </c>
      <c r="S2765">
        <v>1077</v>
      </c>
      <c r="T2765">
        <v>69</v>
      </c>
    </row>
    <row r="2766" spans="1:20" x14ac:dyDescent="0.3">
      <c r="A2766" t="s">
        <v>54</v>
      </c>
      <c r="B2766">
        <v>67</v>
      </c>
      <c r="D2766">
        <v>0</v>
      </c>
      <c r="E2766">
        <v>0</v>
      </c>
      <c r="F2766">
        <v>0</v>
      </c>
      <c r="H2766">
        <v>0</v>
      </c>
      <c r="I2766">
        <v>0</v>
      </c>
      <c r="J2766">
        <v>0</v>
      </c>
      <c r="L2766">
        <v>0</v>
      </c>
      <c r="M2766">
        <v>0</v>
      </c>
      <c r="N2766">
        <v>0</v>
      </c>
      <c r="P2766">
        <v>0</v>
      </c>
      <c r="R2766">
        <v>0</v>
      </c>
      <c r="S2766">
        <v>0</v>
      </c>
      <c r="T2766">
        <v>0</v>
      </c>
    </row>
    <row r="2767" spans="1:20" x14ac:dyDescent="0.3">
      <c r="A2767" t="s">
        <v>55</v>
      </c>
      <c r="B2767">
        <v>67</v>
      </c>
      <c r="D2767">
        <v>0</v>
      </c>
      <c r="E2767">
        <v>0</v>
      </c>
      <c r="F2767">
        <v>0</v>
      </c>
      <c r="H2767">
        <v>0</v>
      </c>
      <c r="I2767">
        <v>0</v>
      </c>
      <c r="J2767">
        <v>0</v>
      </c>
      <c r="L2767">
        <v>0</v>
      </c>
      <c r="M2767">
        <v>0</v>
      </c>
      <c r="N2767">
        <v>0</v>
      </c>
      <c r="P2767">
        <v>0</v>
      </c>
      <c r="R2767">
        <v>0</v>
      </c>
      <c r="S2767">
        <v>0</v>
      </c>
      <c r="T2767">
        <v>0</v>
      </c>
    </row>
    <row r="2768" spans="1:20" x14ac:dyDescent="0.3">
      <c r="A2768" t="s">
        <v>56</v>
      </c>
      <c r="B2768">
        <v>67</v>
      </c>
      <c r="D2768">
        <v>0.92</v>
      </c>
      <c r="E2768">
        <v>0.92</v>
      </c>
      <c r="F2768">
        <v>0.92</v>
      </c>
      <c r="H2768">
        <v>0.92</v>
      </c>
      <c r="I2768">
        <v>0.92</v>
      </c>
      <c r="J2768">
        <v>0.92</v>
      </c>
      <c r="L2768">
        <v>0.92</v>
      </c>
      <c r="M2768">
        <v>0.92</v>
      </c>
      <c r="N2768">
        <v>0.92</v>
      </c>
      <c r="P2768">
        <v>0.92</v>
      </c>
      <c r="R2768">
        <v>0.92</v>
      </c>
      <c r="S2768">
        <v>0.92</v>
      </c>
      <c r="T2768">
        <v>0.92</v>
      </c>
    </row>
    <row r="2769" spans="1:20" x14ac:dyDescent="0.3">
      <c r="A2769" t="s">
        <v>57</v>
      </c>
      <c r="B2769">
        <v>67</v>
      </c>
      <c r="D2769">
        <v>100</v>
      </c>
      <c r="E2769">
        <v>100</v>
      </c>
      <c r="F2769">
        <v>100</v>
      </c>
      <c r="H2769">
        <v>100</v>
      </c>
      <c r="I2769">
        <v>100</v>
      </c>
      <c r="J2769">
        <v>100</v>
      </c>
      <c r="L2769">
        <v>100</v>
      </c>
      <c r="M2769">
        <v>100</v>
      </c>
      <c r="N2769">
        <v>100</v>
      </c>
      <c r="P2769">
        <v>100</v>
      </c>
      <c r="R2769">
        <v>100</v>
      </c>
      <c r="S2769">
        <v>100</v>
      </c>
      <c r="T2769">
        <v>100</v>
      </c>
    </row>
    <row r="2770" spans="1:20" x14ac:dyDescent="0.3">
      <c r="A2770" t="s">
        <v>58</v>
      </c>
      <c r="B2770">
        <v>67</v>
      </c>
      <c r="D2770">
        <v>2</v>
      </c>
      <c r="E2770">
        <v>2</v>
      </c>
      <c r="F2770">
        <v>2</v>
      </c>
      <c r="H2770">
        <v>2</v>
      </c>
      <c r="I2770">
        <v>2</v>
      </c>
      <c r="J2770">
        <v>2</v>
      </c>
      <c r="L2770">
        <v>2</v>
      </c>
      <c r="M2770">
        <v>2</v>
      </c>
      <c r="N2770">
        <v>2</v>
      </c>
      <c r="P2770">
        <v>2</v>
      </c>
      <c r="R2770">
        <v>2</v>
      </c>
      <c r="S2770">
        <v>2</v>
      </c>
      <c r="T2770">
        <v>2</v>
      </c>
    </row>
    <row r="2771" spans="1:20" x14ac:dyDescent="0.3">
      <c r="A2771" t="s">
        <v>59</v>
      </c>
      <c r="B2771">
        <v>67</v>
      </c>
      <c r="D2771">
        <v>0</v>
      </c>
      <c r="E2771">
        <v>0</v>
      </c>
      <c r="F2771">
        <v>0</v>
      </c>
      <c r="H2771">
        <v>0</v>
      </c>
      <c r="I2771">
        <v>0</v>
      </c>
      <c r="J2771">
        <v>0</v>
      </c>
      <c r="L2771">
        <v>0</v>
      </c>
      <c r="M2771">
        <v>0</v>
      </c>
      <c r="N2771">
        <v>0</v>
      </c>
      <c r="P2771">
        <v>0</v>
      </c>
      <c r="R2771">
        <v>0</v>
      </c>
      <c r="S2771">
        <v>0</v>
      </c>
      <c r="T2771">
        <v>0</v>
      </c>
    </row>
    <row r="2772" spans="1:20" x14ac:dyDescent="0.3">
      <c r="A2772" t="s">
        <v>730</v>
      </c>
      <c r="B2772">
        <v>67</v>
      </c>
      <c r="E2772">
        <v>0</v>
      </c>
      <c r="I2772">
        <v>0</v>
      </c>
      <c r="M2772">
        <v>0</v>
      </c>
      <c r="S2772">
        <v>0</v>
      </c>
    </row>
    <row r="2773" spans="1:20" x14ac:dyDescent="0.3">
      <c r="A2773" t="s">
        <v>679</v>
      </c>
      <c r="B2773">
        <v>67</v>
      </c>
      <c r="E2773">
        <v>766</v>
      </c>
      <c r="I2773">
        <v>638</v>
      </c>
      <c r="M2773">
        <v>913</v>
      </c>
      <c r="S2773">
        <v>2943</v>
      </c>
    </row>
    <row r="2774" spans="1:20" x14ac:dyDescent="0.3">
      <c r="A2774" t="s">
        <v>78</v>
      </c>
      <c r="B2774">
        <v>67</v>
      </c>
      <c r="E2774">
        <v>13.1</v>
      </c>
      <c r="I2774">
        <v>10.9</v>
      </c>
      <c r="M2774">
        <v>13.8</v>
      </c>
      <c r="S2774">
        <v>44.6</v>
      </c>
    </row>
    <row r="2775" spans="1:20" x14ac:dyDescent="0.3">
      <c r="A2775" t="s">
        <v>731</v>
      </c>
      <c r="B2775">
        <v>67</v>
      </c>
      <c r="F2775">
        <v>0</v>
      </c>
      <c r="J2775">
        <v>0</v>
      </c>
      <c r="N2775">
        <v>0</v>
      </c>
      <c r="T2775">
        <v>0</v>
      </c>
    </row>
    <row r="2776" spans="1:20" x14ac:dyDescent="0.3">
      <c r="A2776" t="s">
        <v>732</v>
      </c>
      <c r="B2776">
        <v>67</v>
      </c>
      <c r="D2776">
        <v>0</v>
      </c>
      <c r="E2776">
        <v>0</v>
      </c>
      <c r="F2776">
        <v>1</v>
      </c>
      <c r="H2776">
        <v>0</v>
      </c>
      <c r="I2776">
        <v>0</v>
      </c>
      <c r="J2776">
        <v>1</v>
      </c>
      <c r="L2776">
        <v>0</v>
      </c>
      <c r="M2776">
        <v>0</v>
      </c>
      <c r="N2776">
        <v>1</v>
      </c>
      <c r="P2776">
        <v>3</v>
      </c>
      <c r="R2776">
        <v>0</v>
      </c>
      <c r="S2776">
        <v>0</v>
      </c>
      <c r="T2776">
        <v>1</v>
      </c>
    </row>
    <row r="2777" spans="1:20" x14ac:dyDescent="0.3">
      <c r="A2777" t="s">
        <v>733</v>
      </c>
      <c r="B2777">
        <v>67</v>
      </c>
      <c r="D2777">
        <v>0</v>
      </c>
      <c r="E2777">
        <v>0</v>
      </c>
      <c r="F2777">
        <v>0</v>
      </c>
      <c r="H2777">
        <v>0</v>
      </c>
      <c r="I2777">
        <v>0</v>
      </c>
      <c r="J2777">
        <v>0</v>
      </c>
      <c r="L2777">
        <v>0</v>
      </c>
      <c r="M2777">
        <v>0</v>
      </c>
      <c r="N2777">
        <v>0</v>
      </c>
      <c r="P2777">
        <v>0</v>
      </c>
      <c r="R2777">
        <v>0</v>
      </c>
      <c r="S2777">
        <v>0</v>
      </c>
      <c r="T2777">
        <v>0</v>
      </c>
    </row>
    <row r="2778" spans="1:20" x14ac:dyDescent="0.3">
      <c r="A2778" t="s">
        <v>52</v>
      </c>
      <c r="B2778">
        <v>67</v>
      </c>
      <c r="D2778">
        <v>1</v>
      </c>
      <c r="E2778">
        <v>1</v>
      </c>
      <c r="F2778">
        <v>1</v>
      </c>
      <c r="H2778">
        <v>1</v>
      </c>
      <c r="I2778">
        <v>1</v>
      </c>
      <c r="J2778">
        <v>1</v>
      </c>
      <c r="L2778">
        <v>1</v>
      </c>
      <c r="M2778">
        <v>1</v>
      </c>
      <c r="N2778">
        <v>1</v>
      </c>
      <c r="P2778">
        <v>1</v>
      </c>
      <c r="R2778">
        <v>1</v>
      </c>
      <c r="S2778">
        <v>1</v>
      </c>
      <c r="T2778">
        <v>1</v>
      </c>
    </row>
    <row r="2779" spans="1:20" x14ac:dyDescent="0.3">
      <c r="A2779" t="s">
        <v>734</v>
      </c>
      <c r="B2779">
        <v>67</v>
      </c>
      <c r="D2779">
        <v>15</v>
      </c>
      <c r="E2779">
        <v>60</v>
      </c>
      <c r="F2779">
        <v>9</v>
      </c>
      <c r="H2779">
        <v>15</v>
      </c>
      <c r="I2779">
        <v>60</v>
      </c>
      <c r="J2779">
        <v>9</v>
      </c>
      <c r="L2779">
        <v>15</v>
      </c>
      <c r="M2779">
        <v>60</v>
      </c>
      <c r="N2779">
        <v>9</v>
      </c>
      <c r="P2779">
        <v>9</v>
      </c>
      <c r="R2779">
        <v>15</v>
      </c>
      <c r="S2779">
        <v>60</v>
      </c>
      <c r="T2779">
        <v>9</v>
      </c>
    </row>
    <row r="2780" spans="1:20" x14ac:dyDescent="0.3">
      <c r="A2780" t="s">
        <v>43</v>
      </c>
      <c r="B2780">
        <v>67</v>
      </c>
      <c r="D2780">
        <v>20</v>
      </c>
      <c r="E2780">
        <v>100</v>
      </c>
      <c r="H2780">
        <v>20</v>
      </c>
      <c r="I2780">
        <v>100</v>
      </c>
      <c r="L2780">
        <v>20</v>
      </c>
      <c r="M2780">
        <v>100</v>
      </c>
      <c r="R2780">
        <v>20</v>
      </c>
      <c r="S2780">
        <v>100</v>
      </c>
    </row>
    <row r="2781" spans="1:20" x14ac:dyDescent="0.3">
      <c r="A2781" t="s">
        <v>44</v>
      </c>
      <c r="B2781">
        <v>67</v>
      </c>
      <c r="D2781">
        <v>0</v>
      </c>
      <c r="E2781">
        <v>0</v>
      </c>
      <c r="H2781">
        <v>0</v>
      </c>
      <c r="I2781">
        <v>0</v>
      </c>
      <c r="L2781">
        <v>0</v>
      </c>
      <c r="M2781">
        <v>0</v>
      </c>
      <c r="R2781">
        <v>0</v>
      </c>
      <c r="S2781">
        <v>0</v>
      </c>
    </row>
    <row r="2782" spans="1:20" x14ac:dyDescent="0.3">
      <c r="A2782" t="s">
        <v>47</v>
      </c>
      <c r="B2782">
        <v>67</v>
      </c>
      <c r="D2782">
        <v>7</v>
      </c>
      <c r="E2782">
        <v>4</v>
      </c>
      <c r="H2782">
        <v>3</v>
      </c>
      <c r="I2782">
        <v>8</v>
      </c>
      <c r="L2782">
        <v>1</v>
      </c>
      <c r="M2782">
        <v>6</v>
      </c>
      <c r="R2782">
        <v>5</v>
      </c>
      <c r="S2782">
        <v>2</v>
      </c>
    </row>
    <row r="2783" spans="1:20" x14ac:dyDescent="0.3">
      <c r="A2783" t="s">
        <v>735</v>
      </c>
      <c r="B2783">
        <v>67</v>
      </c>
      <c r="D2783">
        <v>0</v>
      </c>
      <c r="E2783">
        <v>0</v>
      </c>
      <c r="H2783">
        <v>0</v>
      </c>
      <c r="I2783">
        <v>0</v>
      </c>
      <c r="L2783">
        <v>0</v>
      </c>
      <c r="M2783">
        <v>0</v>
      </c>
      <c r="R2783">
        <v>0</v>
      </c>
      <c r="S2783">
        <v>0</v>
      </c>
    </row>
    <row r="2784" spans="1:20" x14ac:dyDescent="0.3">
      <c r="A2784" t="s">
        <v>736</v>
      </c>
      <c r="B2784">
        <v>67</v>
      </c>
      <c r="D2784">
        <v>0</v>
      </c>
      <c r="E2784">
        <v>0</v>
      </c>
      <c r="H2784">
        <v>0</v>
      </c>
      <c r="I2784">
        <v>0</v>
      </c>
      <c r="L2784">
        <v>0</v>
      </c>
      <c r="M2784">
        <v>0</v>
      </c>
      <c r="R2784">
        <v>0</v>
      </c>
      <c r="S2784">
        <v>0</v>
      </c>
    </row>
    <row r="2785" spans="1:20" x14ac:dyDescent="0.3">
      <c r="A2785" t="s">
        <v>737</v>
      </c>
      <c r="B2785">
        <v>67</v>
      </c>
      <c r="D2785">
        <v>0</v>
      </c>
      <c r="E2785">
        <v>0</v>
      </c>
      <c r="H2785">
        <v>0</v>
      </c>
      <c r="I2785">
        <v>0</v>
      </c>
      <c r="L2785">
        <v>0</v>
      </c>
      <c r="M2785">
        <v>0</v>
      </c>
      <c r="R2785">
        <v>0</v>
      </c>
      <c r="S2785">
        <v>0</v>
      </c>
    </row>
    <row r="2786" spans="1:20" x14ac:dyDescent="0.3">
      <c r="A2786" t="s">
        <v>738</v>
      </c>
      <c r="B2786">
        <v>67</v>
      </c>
      <c r="D2786">
        <v>0</v>
      </c>
      <c r="E2786">
        <v>0</v>
      </c>
      <c r="H2786">
        <v>0</v>
      </c>
      <c r="I2786">
        <v>0</v>
      </c>
      <c r="L2786">
        <v>0</v>
      </c>
      <c r="M2786">
        <v>0</v>
      </c>
      <c r="R2786">
        <v>0</v>
      </c>
      <c r="S2786">
        <v>0</v>
      </c>
    </row>
    <row r="2787" spans="1:20" x14ac:dyDescent="0.3">
      <c r="A2787" t="s">
        <v>739</v>
      </c>
      <c r="B2787">
        <v>67</v>
      </c>
      <c r="D2787">
        <v>1</v>
      </c>
      <c r="E2787">
        <v>2</v>
      </c>
      <c r="H2787">
        <v>1</v>
      </c>
      <c r="I2787">
        <v>2</v>
      </c>
      <c r="L2787">
        <v>1</v>
      </c>
      <c r="M2787">
        <v>2</v>
      </c>
      <c r="R2787">
        <v>1</v>
      </c>
      <c r="S2787">
        <v>2</v>
      </c>
    </row>
    <row r="2788" spans="1:20" x14ac:dyDescent="0.3">
      <c r="A2788" t="s">
        <v>740</v>
      </c>
      <c r="B2788">
        <v>67</v>
      </c>
      <c r="D2788">
        <v>0</v>
      </c>
      <c r="E2788">
        <v>0</v>
      </c>
      <c r="H2788">
        <v>0</v>
      </c>
      <c r="I2788">
        <v>0</v>
      </c>
      <c r="L2788">
        <v>0</v>
      </c>
      <c r="M2788">
        <v>0</v>
      </c>
      <c r="R2788">
        <v>0</v>
      </c>
      <c r="S2788">
        <v>0</v>
      </c>
    </row>
    <row r="2789" spans="1:20" x14ac:dyDescent="0.3">
      <c r="A2789" t="s">
        <v>741</v>
      </c>
      <c r="B2789">
        <v>67</v>
      </c>
      <c r="D2789">
        <v>20</v>
      </c>
      <c r="E2789">
        <v>6</v>
      </c>
      <c r="H2789">
        <v>20</v>
      </c>
      <c r="I2789">
        <v>6</v>
      </c>
      <c r="L2789">
        <v>20</v>
      </c>
      <c r="M2789">
        <v>6</v>
      </c>
      <c r="R2789">
        <v>20</v>
      </c>
      <c r="S2789">
        <v>6</v>
      </c>
    </row>
    <row r="2790" spans="1:20" x14ac:dyDescent="0.3">
      <c r="A2790" t="s">
        <v>742</v>
      </c>
      <c r="B2790">
        <v>67</v>
      </c>
      <c r="D2790">
        <v>3</v>
      </c>
      <c r="E2790">
        <v>3</v>
      </c>
      <c r="H2790">
        <v>3</v>
      </c>
      <c r="I2790">
        <v>3</v>
      </c>
      <c r="L2790">
        <v>3</v>
      </c>
      <c r="M2790">
        <v>3</v>
      </c>
      <c r="R2790">
        <v>3</v>
      </c>
      <c r="S2790">
        <v>3</v>
      </c>
    </row>
    <row r="2791" spans="1:20" x14ac:dyDescent="0.3">
      <c r="A2791" t="s">
        <v>743</v>
      </c>
      <c r="B2791">
        <v>67</v>
      </c>
      <c r="D2791">
        <v>0</v>
      </c>
      <c r="E2791">
        <v>0</v>
      </c>
      <c r="H2791">
        <v>0</v>
      </c>
      <c r="I2791">
        <v>0</v>
      </c>
      <c r="L2791">
        <v>0</v>
      </c>
      <c r="M2791">
        <v>0</v>
      </c>
      <c r="R2791">
        <v>0</v>
      </c>
      <c r="S2791">
        <v>0</v>
      </c>
    </row>
    <row r="2792" spans="1:20" x14ac:dyDescent="0.3">
      <c r="A2792" t="s">
        <v>744</v>
      </c>
      <c r="B2792">
        <v>67</v>
      </c>
      <c r="D2792">
        <v>0</v>
      </c>
      <c r="E2792">
        <v>0</v>
      </c>
      <c r="H2792">
        <v>0</v>
      </c>
      <c r="I2792">
        <v>0</v>
      </c>
      <c r="L2792">
        <v>0</v>
      </c>
      <c r="M2792">
        <v>0</v>
      </c>
      <c r="R2792">
        <v>0</v>
      </c>
      <c r="S2792">
        <v>0</v>
      </c>
    </row>
    <row r="2793" spans="1:20" x14ac:dyDescent="0.3">
      <c r="A2793" t="s">
        <v>745</v>
      </c>
      <c r="B2793">
        <v>67</v>
      </c>
      <c r="D2793">
        <v>0</v>
      </c>
      <c r="E2793">
        <v>0</v>
      </c>
      <c r="H2793">
        <v>0</v>
      </c>
      <c r="I2793">
        <v>0</v>
      </c>
      <c r="L2793">
        <v>0</v>
      </c>
      <c r="M2793">
        <v>0</v>
      </c>
      <c r="R2793">
        <v>0</v>
      </c>
      <c r="S2793">
        <v>0</v>
      </c>
    </row>
    <row r="2794" spans="1:20" x14ac:dyDescent="0.3">
      <c r="A2794" t="s">
        <v>746</v>
      </c>
      <c r="B2794">
        <v>67</v>
      </c>
      <c r="E2794">
        <v>94</v>
      </c>
      <c r="I2794">
        <v>94</v>
      </c>
      <c r="M2794">
        <v>94</v>
      </c>
      <c r="S2794">
        <v>94</v>
      </c>
    </row>
    <row r="2795" spans="1:20" x14ac:dyDescent="0.3">
      <c r="A2795" t="s">
        <v>747</v>
      </c>
      <c r="B2795">
        <v>67</v>
      </c>
      <c r="E2795">
        <v>6</v>
      </c>
      <c r="I2795">
        <v>6</v>
      </c>
      <c r="M2795">
        <v>6</v>
      </c>
      <c r="S2795">
        <v>6</v>
      </c>
    </row>
    <row r="2796" spans="1:20" x14ac:dyDescent="0.3">
      <c r="A2796" t="s">
        <v>748</v>
      </c>
      <c r="B2796">
        <v>67</v>
      </c>
      <c r="E2796">
        <v>3</v>
      </c>
      <c r="I2796">
        <v>3</v>
      </c>
      <c r="M2796">
        <v>3</v>
      </c>
      <c r="S2796">
        <v>3</v>
      </c>
    </row>
    <row r="2797" spans="1:20" x14ac:dyDescent="0.3">
      <c r="A2797" t="s">
        <v>749</v>
      </c>
      <c r="B2797">
        <v>67</v>
      </c>
      <c r="E2797">
        <v>0</v>
      </c>
      <c r="I2797">
        <v>0</v>
      </c>
      <c r="M2797">
        <v>0</v>
      </c>
      <c r="S2797">
        <v>0</v>
      </c>
    </row>
    <row r="2798" spans="1:20" x14ac:dyDescent="0.3">
      <c r="A2798" t="s">
        <v>750</v>
      </c>
      <c r="B2798">
        <v>67</v>
      </c>
      <c r="E2798">
        <v>0</v>
      </c>
      <c r="I2798">
        <v>0</v>
      </c>
      <c r="M2798">
        <v>0</v>
      </c>
      <c r="S2798">
        <v>0</v>
      </c>
    </row>
    <row r="2799" spans="1:20" x14ac:dyDescent="0.3">
      <c r="A2799" t="s">
        <v>405</v>
      </c>
      <c r="B2799">
        <v>67</v>
      </c>
      <c r="E2799">
        <v>0</v>
      </c>
    </row>
    <row r="2800" spans="1:20" x14ac:dyDescent="0.3">
      <c r="A2800" t="s">
        <v>751</v>
      </c>
      <c r="B2800">
        <v>67</v>
      </c>
      <c r="D2800">
        <v>193</v>
      </c>
      <c r="E2800">
        <v>335</v>
      </c>
      <c r="F2800">
        <v>0</v>
      </c>
      <c r="H2800">
        <v>73</v>
      </c>
      <c r="I2800">
        <v>284</v>
      </c>
      <c r="J2800">
        <v>0</v>
      </c>
      <c r="L2800">
        <v>102</v>
      </c>
      <c r="M2800">
        <v>1140</v>
      </c>
      <c r="N2800">
        <v>0</v>
      </c>
      <c r="P2800">
        <v>0</v>
      </c>
      <c r="R2800">
        <v>155</v>
      </c>
      <c r="S2800">
        <v>1246</v>
      </c>
      <c r="T2800">
        <v>0</v>
      </c>
    </row>
    <row r="2801" spans="1:20" x14ac:dyDescent="0.3">
      <c r="A2801" t="s">
        <v>34</v>
      </c>
      <c r="B2801">
        <v>70</v>
      </c>
      <c r="D2801">
        <v>72</v>
      </c>
      <c r="E2801">
        <v>72</v>
      </c>
      <c r="F2801">
        <v>72</v>
      </c>
      <c r="H2801">
        <v>71</v>
      </c>
      <c r="I2801">
        <v>71</v>
      </c>
      <c r="J2801">
        <v>71</v>
      </c>
      <c r="L2801">
        <v>67</v>
      </c>
      <c r="M2801">
        <v>67</v>
      </c>
      <c r="N2801">
        <v>67</v>
      </c>
      <c r="P2801">
        <v>5</v>
      </c>
      <c r="R2801">
        <v>5</v>
      </c>
      <c r="S2801">
        <v>5</v>
      </c>
      <c r="T2801">
        <v>5</v>
      </c>
    </row>
    <row r="2802" spans="1:20" x14ac:dyDescent="0.3">
      <c r="A2802" t="s">
        <v>35</v>
      </c>
      <c r="B2802">
        <v>70</v>
      </c>
      <c r="D2802">
        <v>67</v>
      </c>
      <c r="E2802">
        <v>71</v>
      </c>
      <c r="F2802">
        <v>5</v>
      </c>
      <c r="H2802">
        <v>5</v>
      </c>
      <c r="I2802">
        <v>72</v>
      </c>
      <c r="J2802">
        <v>67</v>
      </c>
      <c r="L2802">
        <v>71</v>
      </c>
      <c r="M2802">
        <v>5</v>
      </c>
      <c r="N2802">
        <v>72</v>
      </c>
      <c r="P2802">
        <v>5</v>
      </c>
      <c r="R2802">
        <v>72</v>
      </c>
      <c r="S2802">
        <v>67</v>
      </c>
      <c r="T2802">
        <v>71</v>
      </c>
    </row>
    <row r="2803" spans="1:20" x14ac:dyDescent="0.3">
      <c r="A2803" t="s">
        <v>36</v>
      </c>
      <c r="B2803">
        <v>70</v>
      </c>
      <c r="D2803">
        <v>1</v>
      </c>
      <c r="E2803">
        <v>1</v>
      </c>
      <c r="F2803">
        <v>0</v>
      </c>
      <c r="H2803">
        <v>1</v>
      </c>
      <c r="I2803">
        <v>1</v>
      </c>
      <c r="J2803">
        <v>0</v>
      </c>
      <c r="L2803">
        <v>1</v>
      </c>
      <c r="M2803">
        <v>3</v>
      </c>
      <c r="N2803">
        <v>0</v>
      </c>
      <c r="P2803">
        <v>0</v>
      </c>
      <c r="R2803">
        <v>1</v>
      </c>
      <c r="S2803">
        <v>3</v>
      </c>
      <c r="T2803">
        <v>0</v>
      </c>
    </row>
    <row r="2804" spans="1:20" x14ac:dyDescent="0.3">
      <c r="A2804" t="s">
        <v>37</v>
      </c>
      <c r="B2804">
        <v>70</v>
      </c>
      <c r="D2804">
        <v>0</v>
      </c>
      <c r="E2804">
        <v>2</v>
      </c>
      <c r="H2804">
        <v>0</v>
      </c>
      <c r="I2804">
        <v>2</v>
      </c>
      <c r="L2804">
        <v>0</v>
      </c>
      <c r="M2804">
        <v>2</v>
      </c>
      <c r="R2804">
        <v>0</v>
      </c>
      <c r="S2804">
        <v>2</v>
      </c>
    </row>
    <row r="2805" spans="1:20" x14ac:dyDescent="0.3">
      <c r="A2805" t="s">
        <v>38</v>
      </c>
      <c r="B2805">
        <v>70</v>
      </c>
      <c r="D2805">
        <v>12</v>
      </c>
      <c r="E2805">
        <v>12</v>
      </c>
      <c r="F2805">
        <v>12</v>
      </c>
      <c r="H2805">
        <v>12</v>
      </c>
      <c r="I2805">
        <v>12</v>
      </c>
      <c r="J2805">
        <v>12</v>
      </c>
      <c r="L2805">
        <v>12</v>
      </c>
      <c r="M2805">
        <v>12</v>
      </c>
      <c r="N2805">
        <v>12</v>
      </c>
      <c r="P2805">
        <v>12</v>
      </c>
      <c r="R2805">
        <v>12</v>
      </c>
      <c r="S2805">
        <v>12</v>
      </c>
      <c r="T2805">
        <v>12</v>
      </c>
    </row>
    <row r="2806" spans="1:20" x14ac:dyDescent="0.3">
      <c r="A2806" t="s">
        <v>39</v>
      </c>
      <c r="B2806">
        <v>70</v>
      </c>
      <c r="D2806">
        <v>146</v>
      </c>
      <c r="H2806">
        <v>160</v>
      </c>
      <c r="L2806">
        <v>120</v>
      </c>
      <c r="R2806">
        <v>105</v>
      </c>
    </row>
    <row r="2807" spans="1:20" x14ac:dyDescent="0.3">
      <c r="A2807" t="s">
        <v>726</v>
      </c>
      <c r="B2807">
        <v>70</v>
      </c>
      <c r="D2807">
        <v>25</v>
      </c>
      <c r="H2807">
        <v>25</v>
      </c>
      <c r="L2807">
        <v>25</v>
      </c>
      <c r="R2807">
        <v>25</v>
      </c>
    </row>
    <row r="2808" spans="1:20" x14ac:dyDescent="0.3">
      <c r="A2808" t="s">
        <v>40</v>
      </c>
      <c r="B2808">
        <v>70</v>
      </c>
      <c r="D2808">
        <v>1</v>
      </c>
      <c r="H2808">
        <v>1</v>
      </c>
      <c r="L2808">
        <v>1</v>
      </c>
      <c r="R2808">
        <v>1</v>
      </c>
    </row>
    <row r="2809" spans="1:20" x14ac:dyDescent="0.3">
      <c r="A2809" t="s">
        <v>41</v>
      </c>
      <c r="B2809">
        <v>70</v>
      </c>
    </row>
    <row r="2810" spans="1:20" x14ac:dyDescent="0.3">
      <c r="A2810" t="s">
        <v>42</v>
      </c>
      <c r="B2810">
        <v>70</v>
      </c>
      <c r="E2810">
        <v>40</v>
      </c>
      <c r="I2810">
        <v>30</v>
      </c>
      <c r="M2810">
        <v>45</v>
      </c>
      <c r="S2810">
        <v>45</v>
      </c>
    </row>
    <row r="2811" spans="1:20" x14ac:dyDescent="0.3">
      <c r="A2811" t="s">
        <v>45</v>
      </c>
      <c r="B2811">
        <v>70</v>
      </c>
      <c r="E2811">
        <v>4</v>
      </c>
      <c r="I2811">
        <v>8</v>
      </c>
      <c r="L2811">
        <v>1</v>
      </c>
      <c r="M2811">
        <v>6</v>
      </c>
      <c r="R2811">
        <v>5</v>
      </c>
      <c r="S2811">
        <v>2</v>
      </c>
    </row>
    <row r="2812" spans="1:20" x14ac:dyDescent="0.3">
      <c r="A2812" t="s">
        <v>46</v>
      </c>
      <c r="B2812">
        <v>70</v>
      </c>
      <c r="D2812">
        <v>4</v>
      </c>
      <c r="H2812">
        <v>8</v>
      </c>
      <c r="L2812">
        <v>6</v>
      </c>
      <c r="R2812">
        <v>2</v>
      </c>
    </row>
    <row r="2813" spans="1:20" x14ac:dyDescent="0.3">
      <c r="A2813" t="s">
        <v>49</v>
      </c>
      <c r="B2813">
        <v>70</v>
      </c>
      <c r="D2813">
        <v>5.6</v>
      </c>
      <c r="E2813">
        <v>5.6</v>
      </c>
      <c r="F2813">
        <v>4</v>
      </c>
      <c r="H2813">
        <v>5.6</v>
      </c>
      <c r="I2813">
        <v>5.6</v>
      </c>
      <c r="J2813">
        <v>4</v>
      </c>
      <c r="L2813">
        <v>4</v>
      </c>
      <c r="M2813">
        <v>5.3</v>
      </c>
      <c r="N2813">
        <v>4</v>
      </c>
      <c r="P2813">
        <v>4</v>
      </c>
      <c r="R2813">
        <v>4</v>
      </c>
      <c r="S2813">
        <v>5.3</v>
      </c>
      <c r="T2813">
        <v>4</v>
      </c>
    </row>
    <row r="2814" spans="1:20" x14ac:dyDescent="0.3">
      <c r="A2814" t="s">
        <v>727</v>
      </c>
      <c r="B2814">
        <v>70</v>
      </c>
      <c r="D2814">
        <v>0</v>
      </c>
      <c r="E2814">
        <v>0</v>
      </c>
      <c r="F2814">
        <v>0</v>
      </c>
      <c r="H2814">
        <v>0</v>
      </c>
      <c r="I2814">
        <v>0</v>
      </c>
      <c r="J2814">
        <v>0</v>
      </c>
      <c r="L2814">
        <v>0</v>
      </c>
      <c r="M2814">
        <v>0</v>
      </c>
      <c r="N2814">
        <v>0</v>
      </c>
      <c r="P2814">
        <v>0</v>
      </c>
      <c r="R2814">
        <v>0</v>
      </c>
      <c r="S2814">
        <v>0</v>
      </c>
      <c r="T2814">
        <v>0</v>
      </c>
    </row>
    <row r="2815" spans="1:20" x14ac:dyDescent="0.3">
      <c r="A2815" t="s">
        <v>48</v>
      </c>
      <c r="B2815">
        <v>70</v>
      </c>
      <c r="D2815">
        <v>1900</v>
      </c>
      <c r="E2815">
        <v>1900</v>
      </c>
      <c r="F2815">
        <v>1900</v>
      </c>
      <c r="H2815">
        <v>1900</v>
      </c>
      <c r="I2815">
        <v>1900</v>
      </c>
      <c r="J2815">
        <v>1900</v>
      </c>
      <c r="L2815">
        <v>1900</v>
      </c>
      <c r="M2815">
        <v>1900</v>
      </c>
      <c r="N2815">
        <v>1900</v>
      </c>
      <c r="P2815">
        <v>1900</v>
      </c>
      <c r="R2815">
        <v>1900</v>
      </c>
      <c r="S2815">
        <v>1900</v>
      </c>
      <c r="T2815">
        <v>1900</v>
      </c>
    </row>
    <row r="2816" spans="1:20" x14ac:dyDescent="0.3">
      <c r="A2816" t="s">
        <v>728</v>
      </c>
      <c r="B2816">
        <v>70</v>
      </c>
      <c r="D2816">
        <v>1770</v>
      </c>
      <c r="E2816">
        <v>1703</v>
      </c>
      <c r="F2816">
        <v>0</v>
      </c>
      <c r="H2816">
        <v>1770</v>
      </c>
      <c r="I2816">
        <v>1676</v>
      </c>
      <c r="J2816">
        <v>0</v>
      </c>
      <c r="L2816">
        <v>1770</v>
      </c>
      <c r="M2816">
        <v>5060</v>
      </c>
      <c r="N2816">
        <v>0</v>
      </c>
      <c r="P2816">
        <v>0</v>
      </c>
      <c r="R2816">
        <v>1770</v>
      </c>
      <c r="S2816">
        <v>5029</v>
      </c>
      <c r="T2816">
        <v>0</v>
      </c>
    </row>
    <row r="2817" spans="1:20" x14ac:dyDescent="0.3">
      <c r="A2817" t="s">
        <v>50</v>
      </c>
      <c r="B2817">
        <v>70</v>
      </c>
      <c r="D2817">
        <v>1282</v>
      </c>
      <c r="E2817">
        <v>1703</v>
      </c>
      <c r="F2817">
        <v>0</v>
      </c>
      <c r="H2817">
        <v>1261</v>
      </c>
      <c r="I2817">
        <v>1676</v>
      </c>
      <c r="J2817">
        <v>0</v>
      </c>
      <c r="L2817">
        <v>250</v>
      </c>
      <c r="M2817">
        <v>5060</v>
      </c>
      <c r="N2817">
        <v>0</v>
      </c>
      <c r="P2817">
        <v>0</v>
      </c>
      <c r="R2817">
        <v>296</v>
      </c>
      <c r="S2817">
        <v>5029</v>
      </c>
      <c r="T2817">
        <v>0</v>
      </c>
    </row>
    <row r="2818" spans="1:20" x14ac:dyDescent="0.3">
      <c r="A2818" t="s">
        <v>729</v>
      </c>
      <c r="B2818">
        <v>70</v>
      </c>
      <c r="D2818">
        <v>1</v>
      </c>
      <c r="E2818">
        <v>1</v>
      </c>
      <c r="F2818">
        <v>1</v>
      </c>
      <c r="H2818">
        <v>1</v>
      </c>
      <c r="I2818">
        <v>1</v>
      </c>
      <c r="J2818">
        <v>1</v>
      </c>
      <c r="L2818">
        <v>1</v>
      </c>
      <c r="M2818">
        <v>1</v>
      </c>
      <c r="N2818">
        <v>1</v>
      </c>
      <c r="P2818">
        <v>1</v>
      </c>
      <c r="R2818">
        <v>1</v>
      </c>
      <c r="S2818">
        <v>1</v>
      </c>
      <c r="T2818">
        <v>1</v>
      </c>
    </row>
    <row r="2819" spans="1:20" x14ac:dyDescent="0.3">
      <c r="A2819" t="s">
        <v>51</v>
      </c>
      <c r="B2819">
        <v>70</v>
      </c>
      <c r="D2819">
        <v>0</v>
      </c>
      <c r="E2819">
        <v>57</v>
      </c>
      <c r="F2819">
        <v>0</v>
      </c>
      <c r="H2819">
        <v>0</v>
      </c>
      <c r="I2819">
        <v>71</v>
      </c>
      <c r="J2819">
        <v>0</v>
      </c>
      <c r="L2819">
        <v>0</v>
      </c>
      <c r="M2819">
        <v>6</v>
      </c>
      <c r="N2819">
        <v>0</v>
      </c>
      <c r="P2819">
        <v>0</v>
      </c>
      <c r="R2819">
        <v>0</v>
      </c>
      <c r="S2819">
        <v>15</v>
      </c>
      <c r="T2819">
        <v>0</v>
      </c>
    </row>
    <row r="2820" spans="1:20" x14ac:dyDescent="0.3">
      <c r="A2820" t="s">
        <v>53</v>
      </c>
      <c r="B2820">
        <v>70</v>
      </c>
      <c r="D2820">
        <v>67</v>
      </c>
      <c r="E2820">
        <v>46</v>
      </c>
      <c r="F2820">
        <v>62</v>
      </c>
      <c r="H2820">
        <v>58</v>
      </c>
      <c r="I2820">
        <v>33</v>
      </c>
      <c r="J2820">
        <v>65</v>
      </c>
      <c r="L2820">
        <v>60</v>
      </c>
      <c r="M2820">
        <v>1135</v>
      </c>
      <c r="N2820">
        <v>39</v>
      </c>
      <c r="P2820">
        <v>0</v>
      </c>
      <c r="R2820">
        <v>48</v>
      </c>
      <c r="S2820">
        <v>1188</v>
      </c>
      <c r="T2820">
        <v>90</v>
      </c>
    </row>
    <row r="2821" spans="1:20" x14ac:dyDescent="0.3">
      <c r="A2821" t="s">
        <v>54</v>
      </c>
      <c r="B2821">
        <v>70</v>
      </c>
      <c r="D2821">
        <v>0</v>
      </c>
      <c r="E2821">
        <v>0</v>
      </c>
      <c r="F2821">
        <v>0</v>
      </c>
      <c r="H2821">
        <v>0</v>
      </c>
      <c r="I2821">
        <v>0</v>
      </c>
      <c r="J2821">
        <v>0</v>
      </c>
      <c r="L2821">
        <v>0</v>
      </c>
      <c r="M2821">
        <v>0</v>
      </c>
      <c r="N2821">
        <v>0</v>
      </c>
      <c r="P2821">
        <v>0</v>
      </c>
      <c r="R2821">
        <v>0</v>
      </c>
      <c r="S2821">
        <v>0</v>
      </c>
      <c r="T2821">
        <v>0</v>
      </c>
    </row>
    <row r="2822" spans="1:20" x14ac:dyDescent="0.3">
      <c r="A2822" t="s">
        <v>55</v>
      </c>
      <c r="B2822">
        <v>70</v>
      </c>
      <c r="D2822">
        <v>0</v>
      </c>
      <c r="E2822">
        <v>0</v>
      </c>
      <c r="F2822">
        <v>0</v>
      </c>
      <c r="H2822">
        <v>0</v>
      </c>
      <c r="I2822">
        <v>0</v>
      </c>
      <c r="J2822">
        <v>0</v>
      </c>
      <c r="L2822">
        <v>0</v>
      </c>
      <c r="M2822">
        <v>0</v>
      </c>
      <c r="N2822">
        <v>0</v>
      </c>
      <c r="P2822">
        <v>0</v>
      </c>
      <c r="R2822">
        <v>0</v>
      </c>
      <c r="S2822">
        <v>0</v>
      </c>
      <c r="T2822">
        <v>0</v>
      </c>
    </row>
    <row r="2823" spans="1:20" x14ac:dyDescent="0.3">
      <c r="A2823" t="s">
        <v>56</v>
      </c>
      <c r="B2823">
        <v>70</v>
      </c>
      <c r="D2823">
        <v>0.92</v>
      </c>
      <c r="E2823">
        <v>0.92</v>
      </c>
      <c r="F2823">
        <v>0.92</v>
      </c>
      <c r="H2823">
        <v>0.92</v>
      </c>
      <c r="I2823">
        <v>0.92</v>
      </c>
      <c r="J2823">
        <v>0.92</v>
      </c>
      <c r="L2823">
        <v>0.92</v>
      </c>
      <c r="M2823">
        <v>0.92</v>
      </c>
      <c r="N2823">
        <v>0.92</v>
      </c>
      <c r="P2823">
        <v>0.92</v>
      </c>
      <c r="R2823">
        <v>0.92</v>
      </c>
      <c r="S2823">
        <v>0.92</v>
      </c>
      <c r="T2823">
        <v>0.92</v>
      </c>
    </row>
    <row r="2824" spans="1:20" x14ac:dyDescent="0.3">
      <c r="A2824" t="s">
        <v>57</v>
      </c>
      <c r="B2824">
        <v>70</v>
      </c>
      <c r="D2824">
        <v>100</v>
      </c>
      <c r="E2824">
        <v>100</v>
      </c>
      <c r="F2824">
        <v>100</v>
      </c>
      <c r="H2824">
        <v>100</v>
      </c>
      <c r="I2824">
        <v>100</v>
      </c>
      <c r="J2824">
        <v>100</v>
      </c>
      <c r="L2824">
        <v>100</v>
      </c>
      <c r="M2824">
        <v>100</v>
      </c>
      <c r="N2824">
        <v>100</v>
      </c>
      <c r="P2824">
        <v>100</v>
      </c>
      <c r="R2824">
        <v>100</v>
      </c>
      <c r="S2824">
        <v>100</v>
      </c>
      <c r="T2824">
        <v>100</v>
      </c>
    </row>
    <row r="2825" spans="1:20" x14ac:dyDescent="0.3">
      <c r="A2825" t="s">
        <v>58</v>
      </c>
      <c r="B2825">
        <v>70</v>
      </c>
      <c r="D2825">
        <v>2</v>
      </c>
      <c r="E2825">
        <v>2</v>
      </c>
      <c r="F2825">
        <v>2</v>
      </c>
      <c r="H2825">
        <v>2</v>
      </c>
      <c r="I2825">
        <v>2</v>
      </c>
      <c r="J2825">
        <v>2</v>
      </c>
      <c r="L2825">
        <v>2</v>
      </c>
      <c r="M2825">
        <v>2</v>
      </c>
      <c r="N2825">
        <v>2</v>
      </c>
      <c r="P2825">
        <v>2</v>
      </c>
      <c r="R2825">
        <v>2</v>
      </c>
      <c r="S2825">
        <v>2</v>
      </c>
      <c r="T2825">
        <v>2</v>
      </c>
    </row>
    <row r="2826" spans="1:20" x14ac:dyDescent="0.3">
      <c r="A2826" t="s">
        <v>59</v>
      </c>
      <c r="B2826">
        <v>70</v>
      </c>
      <c r="D2826">
        <v>0</v>
      </c>
      <c r="E2826">
        <v>0</v>
      </c>
      <c r="F2826">
        <v>0</v>
      </c>
      <c r="H2826">
        <v>0</v>
      </c>
      <c r="I2826">
        <v>0</v>
      </c>
      <c r="J2826">
        <v>0</v>
      </c>
      <c r="L2826">
        <v>0</v>
      </c>
      <c r="M2826">
        <v>0</v>
      </c>
      <c r="N2826">
        <v>0</v>
      </c>
      <c r="P2826">
        <v>0</v>
      </c>
      <c r="R2826">
        <v>0</v>
      </c>
      <c r="S2826">
        <v>0</v>
      </c>
      <c r="T2826">
        <v>0</v>
      </c>
    </row>
    <row r="2827" spans="1:20" x14ac:dyDescent="0.3">
      <c r="A2827" t="s">
        <v>730</v>
      </c>
      <c r="B2827">
        <v>70</v>
      </c>
      <c r="E2827">
        <v>0</v>
      </c>
      <c r="I2827">
        <v>0</v>
      </c>
      <c r="M2827">
        <v>0</v>
      </c>
      <c r="S2827">
        <v>0</v>
      </c>
    </row>
    <row r="2828" spans="1:20" x14ac:dyDescent="0.3">
      <c r="A2828" t="s">
        <v>679</v>
      </c>
      <c r="B2828">
        <v>70</v>
      </c>
      <c r="E2828">
        <v>599</v>
      </c>
      <c r="I2828">
        <v>592</v>
      </c>
      <c r="M2828">
        <v>2943</v>
      </c>
      <c r="S2828">
        <v>1781</v>
      </c>
    </row>
    <row r="2829" spans="1:20" x14ac:dyDescent="0.3">
      <c r="A2829" t="s">
        <v>78</v>
      </c>
      <c r="B2829">
        <v>70</v>
      </c>
      <c r="E2829">
        <v>10.199999999999999</v>
      </c>
      <c r="I2829">
        <v>13.5</v>
      </c>
      <c r="M2829">
        <v>44.6</v>
      </c>
      <c r="S2829">
        <v>27</v>
      </c>
    </row>
    <row r="2830" spans="1:20" x14ac:dyDescent="0.3">
      <c r="A2830" t="s">
        <v>731</v>
      </c>
      <c r="B2830">
        <v>70</v>
      </c>
      <c r="F2830">
        <v>0</v>
      </c>
      <c r="J2830">
        <v>0</v>
      </c>
      <c r="N2830">
        <v>0</v>
      </c>
      <c r="T2830">
        <v>0</v>
      </c>
    </row>
    <row r="2831" spans="1:20" x14ac:dyDescent="0.3">
      <c r="A2831" t="s">
        <v>732</v>
      </c>
      <c r="B2831">
        <v>70</v>
      </c>
      <c r="D2831">
        <v>0</v>
      </c>
      <c r="E2831">
        <v>0</v>
      </c>
      <c r="F2831">
        <v>1</v>
      </c>
      <c r="H2831">
        <v>0</v>
      </c>
      <c r="I2831">
        <v>0</v>
      </c>
      <c r="J2831">
        <v>1</v>
      </c>
      <c r="L2831">
        <v>0</v>
      </c>
      <c r="M2831">
        <v>0</v>
      </c>
      <c r="N2831">
        <v>1</v>
      </c>
      <c r="P2831">
        <v>3</v>
      </c>
      <c r="R2831">
        <v>0</v>
      </c>
      <c r="S2831">
        <v>0</v>
      </c>
      <c r="T2831">
        <v>1</v>
      </c>
    </row>
    <row r="2832" spans="1:20" x14ac:dyDescent="0.3">
      <c r="A2832" t="s">
        <v>733</v>
      </c>
      <c r="B2832">
        <v>70</v>
      </c>
      <c r="D2832">
        <v>0</v>
      </c>
      <c r="E2832">
        <v>0</v>
      </c>
      <c r="F2832">
        <v>0</v>
      </c>
      <c r="H2832">
        <v>0</v>
      </c>
      <c r="I2832">
        <v>0</v>
      </c>
      <c r="J2832">
        <v>0</v>
      </c>
      <c r="L2832">
        <v>0</v>
      </c>
      <c r="M2832">
        <v>0</v>
      </c>
      <c r="N2832">
        <v>0</v>
      </c>
      <c r="P2832">
        <v>0</v>
      </c>
      <c r="R2832">
        <v>0</v>
      </c>
      <c r="S2832">
        <v>0</v>
      </c>
      <c r="T2832">
        <v>0</v>
      </c>
    </row>
    <row r="2833" spans="1:20" x14ac:dyDescent="0.3">
      <c r="A2833" t="s">
        <v>52</v>
      </c>
      <c r="B2833">
        <v>70</v>
      </c>
      <c r="D2833">
        <v>1</v>
      </c>
      <c r="E2833">
        <v>1</v>
      </c>
      <c r="F2833">
        <v>1</v>
      </c>
      <c r="H2833">
        <v>1</v>
      </c>
      <c r="I2833">
        <v>1</v>
      </c>
      <c r="J2833">
        <v>1</v>
      </c>
      <c r="L2833">
        <v>1</v>
      </c>
      <c r="M2833">
        <v>1</v>
      </c>
      <c r="N2833">
        <v>1</v>
      </c>
      <c r="P2833">
        <v>1</v>
      </c>
      <c r="R2833">
        <v>1</v>
      </c>
      <c r="S2833">
        <v>1</v>
      </c>
      <c r="T2833">
        <v>1</v>
      </c>
    </row>
    <row r="2834" spans="1:20" x14ac:dyDescent="0.3">
      <c r="A2834" t="s">
        <v>734</v>
      </c>
      <c r="B2834">
        <v>70</v>
      </c>
      <c r="D2834">
        <v>15</v>
      </c>
      <c r="E2834">
        <v>60</v>
      </c>
      <c r="F2834">
        <v>9</v>
      </c>
      <c r="H2834">
        <v>15</v>
      </c>
      <c r="I2834">
        <v>60</v>
      </c>
      <c r="J2834">
        <v>9</v>
      </c>
      <c r="L2834">
        <v>15</v>
      </c>
      <c r="M2834">
        <v>60</v>
      </c>
      <c r="N2834">
        <v>9</v>
      </c>
      <c r="P2834">
        <v>9</v>
      </c>
      <c r="R2834">
        <v>15</v>
      </c>
      <c r="S2834">
        <v>60</v>
      </c>
      <c r="T2834">
        <v>9</v>
      </c>
    </row>
    <row r="2835" spans="1:20" x14ac:dyDescent="0.3">
      <c r="A2835" t="s">
        <v>43</v>
      </c>
      <c r="B2835">
        <v>70</v>
      </c>
      <c r="D2835">
        <v>20</v>
      </c>
      <c r="E2835">
        <v>100</v>
      </c>
      <c r="H2835">
        <v>20</v>
      </c>
      <c r="I2835">
        <v>100</v>
      </c>
      <c r="L2835">
        <v>20</v>
      </c>
      <c r="M2835">
        <v>100</v>
      </c>
      <c r="R2835">
        <v>20</v>
      </c>
      <c r="S2835">
        <v>100</v>
      </c>
    </row>
    <row r="2836" spans="1:20" x14ac:dyDescent="0.3">
      <c r="A2836" t="s">
        <v>44</v>
      </c>
      <c r="B2836">
        <v>70</v>
      </c>
      <c r="D2836">
        <v>0</v>
      </c>
      <c r="E2836">
        <v>0</v>
      </c>
      <c r="H2836">
        <v>0</v>
      </c>
      <c r="I2836">
        <v>0</v>
      </c>
      <c r="L2836">
        <v>0</v>
      </c>
      <c r="M2836">
        <v>0</v>
      </c>
      <c r="R2836">
        <v>0</v>
      </c>
      <c r="S2836">
        <v>0</v>
      </c>
    </row>
    <row r="2837" spans="1:20" x14ac:dyDescent="0.3">
      <c r="A2837" t="s">
        <v>47</v>
      </c>
      <c r="B2837">
        <v>70</v>
      </c>
      <c r="D2837">
        <v>4</v>
      </c>
      <c r="E2837">
        <v>4</v>
      </c>
      <c r="H2837">
        <v>8</v>
      </c>
      <c r="I2837">
        <v>8</v>
      </c>
      <c r="L2837">
        <v>1</v>
      </c>
      <c r="M2837">
        <v>6</v>
      </c>
      <c r="R2837">
        <v>5</v>
      </c>
      <c r="S2837">
        <v>2</v>
      </c>
    </row>
    <row r="2838" spans="1:20" x14ac:dyDescent="0.3">
      <c r="A2838" t="s">
        <v>735</v>
      </c>
      <c r="B2838">
        <v>70</v>
      </c>
      <c r="D2838">
        <v>0</v>
      </c>
      <c r="E2838">
        <v>0</v>
      </c>
      <c r="H2838">
        <v>0</v>
      </c>
      <c r="I2838">
        <v>0</v>
      </c>
      <c r="L2838">
        <v>0</v>
      </c>
      <c r="M2838">
        <v>0</v>
      </c>
      <c r="R2838">
        <v>0</v>
      </c>
      <c r="S2838">
        <v>0</v>
      </c>
    </row>
    <row r="2839" spans="1:20" x14ac:dyDescent="0.3">
      <c r="A2839" t="s">
        <v>736</v>
      </c>
      <c r="B2839">
        <v>70</v>
      </c>
      <c r="D2839">
        <v>0</v>
      </c>
      <c r="E2839">
        <v>0</v>
      </c>
      <c r="H2839">
        <v>0</v>
      </c>
      <c r="I2839">
        <v>0</v>
      </c>
      <c r="L2839">
        <v>0</v>
      </c>
      <c r="M2839">
        <v>0</v>
      </c>
      <c r="R2839">
        <v>0</v>
      </c>
      <c r="S2839">
        <v>0</v>
      </c>
    </row>
    <row r="2840" spans="1:20" x14ac:dyDescent="0.3">
      <c r="A2840" t="s">
        <v>737</v>
      </c>
      <c r="B2840">
        <v>70</v>
      </c>
      <c r="D2840">
        <v>0</v>
      </c>
      <c r="E2840">
        <v>0</v>
      </c>
      <c r="H2840">
        <v>0</v>
      </c>
      <c r="I2840">
        <v>0</v>
      </c>
      <c r="L2840">
        <v>0</v>
      </c>
      <c r="M2840">
        <v>0</v>
      </c>
      <c r="R2840">
        <v>0</v>
      </c>
      <c r="S2840">
        <v>0</v>
      </c>
    </row>
    <row r="2841" spans="1:20" x14ac:dyDescent="0.3">
      <c r="A2841" t="s">
        <v>738</v>
      </c>
      <c r="B2841">
        <v>70</v>
      </c>
      <c r="D2841">
        <v>0</v>
      </c>
      <c r="E2841">
        <v>0</v>
      </c>
      <c r="H2841">
        <v>0</v>
      </c>
      <c r="I2841">
        <v>0</v>
      </c>
      <c r="L2841">
        <v>0</v>
      </c>
      <c r="M2841">
        <v>0</v>
      </c>
      <c r="R2841">
        <v>0</v>
      </c>
      <c r="S2841">
        <v>0</v>
      </c>
    </row>
    <row r="2842" spans="1:20" x14ac:dyDescent="0.3">
      <c r="A2842" t="s">
        <v>739</v>
      </c>
      <c r="B2842">
        <v>70</v>
      </c>
      <c r="D2842">
        <v>1</v>
      </c>
      <c r="E2842">
        <v>2</v>
      </c>
      <c r="H2842">
        <v>1</v>
      </c>
      <c r="I2842">
        <v>2</v>
      </c>
      <c r="L2842">
        <v>1</v>
      </c>
      <c r="M2842">
        <v>2</v>
      </c>
      <c r="R2842">
        <v>1</v>
      </c>
      <c r="S2842">
        <v>2</v>
      </c>
    </row>
    <row r="2843" spans="1:20" x14ac:dyDescent="0.3">
      <c r="A2843" t="s">
        <v>740</v>
      </c>
      <c r="B2843">
        <v>70</v>
      </c>
      <c r="D2843">
        <v>0</v>
      </c>
      <c r="E2843">
        <v>0</v>
      </c>
      <c r="H2843">
        <v>0</v>
      </c>
      <c r="I2843">
        <v>0</v>
      </c>
      <c r="L2843">
        <v>0</v>
      </c>
      <c r="M2843">
        <v>0</v>
      </c>
      <c r="R2843">
        <v>0</v>
      </c>
      <c r="S2843">
        <v>0</v>
      </c>
    </row>
    <row r="2844" spans="1:20" x14ac:dyDescent="0.3">
      <c r="A2844" t="s">
        <v>741</v>
      </c>
      <c r="B2844">
        <v>70</v>
      </c>
      <c r="D2844">
        <v>20</v>
      </c>
      <c r="E2844">
        <v>6</v>
      </c>
      <c r="H2844">
        <v>20</v>
      </c>
      <c r="I2844">
        <v>6</v>
      </c>
      <c r="L2844">
        <v>20</v>
      </c>
      <c r="M2844">
        <v>6</v>
      </c>
      <c r="R2844">
        <v>20</v>
      </c>
      <c r="S2844">
        <v>6</v>
      </c>
    </row>
    <row r="2845" spans="1:20" x14ac:dyDescent="0.3">
      <c r="A2845" t="s">
        <v>742</v>
      </c>
      <c r="B2845">
        <v>70</v>
      </c>
      <c r="D2845">
        <v>3</v>
      </c>
      <c r="E2845">
        <v>3</v>
      </c>
      <c r="H2845">
        <v>3</v>
      </c>
      <c r="I2845">
        <v>3</v>
      </c>
      <c r="L2845">
        <v>3</v>
      </c>
      <c r="M2845">
        <v>3</v>
      </c>
      <c r="R2845">
        <v>3</v>
      </c>
      <c r="S2845">
        <v>3</v>
      </c>
    </row>
    <row r="2846" spans="1:20" x14ac:dyDescent="0.3">
      <c r="A2846" t="s">
        <v>743</v>
      </c>
      <c r="B2846">
        <v>70</v>
      </c>
      <c r="D2846">
        <v>0</v>
      </c>
      <c r="E2846">
        <v>0</v>
      </c>
      <c r="H2846">
        <v>0</v>
      </c>
      <c r="I2846">
        <v>0</v>
      </c>
      <c r="L2846">
        <v>0</v>
      </c>
      <c r="M2846">
        <v>0</v>
      </c>
      <c r="R2846">
        <v>0</v>
      </c>
      <c r="S2846">
        <v>0</v>
      </c>
    </row>
    <row r="2847" spans="1:20" x14ac:dyDescent="0.3">
      <c r="A2847" t="s">
        <v>744</v>
      </c>
      <c r="B2847">
        <v>70</v>
      </c>
      <c r="D2847">
        <v>0</v>
      </c>
      <c r="E2847">
        <v>0</v>
      </c>
      <c r="H2847">
        <v>0</v>
      </c>
      <c r="I2847">
        <v>0</v>
      </c>
      <c r="L2847">
        <v>0</v>
      </c>
      <c r="M2847">
        <v>0</v>
      </c>
      <c r="R2847">
        <v>0</v>
      </c>
      <c r="S2847">
        <v>0</v>
      </c>
    </row>
    <row r="2848" spans="1:20" x14ac:dyDescent="0.3">
      <c r="A2848" t="s">
        <v>745</v>
      </c>
      <c r="B2848">
        <v>70</v>
      </c>
      <c r="D2848">
        <v>0</v>
      </c>
      <c r="E2848">
        <v>0</v>
      </c>
      <c r="H2848">
        <v>0</v>
      </c>
      <c r="I2848">
        <v>0</v>
      </c>
      <c r="L2848">
        <v>0</v>
      </c>
      <c r="M2848">
        <v>0</v>
      </c>
      <c r="R2848">
        <v>0</v>
      </c>
      <c r="S2848">
        <v>0</v>
      </c>
    </row>
    <row r="2849" spans="1:20" x14ac:dyDescent="0.3">
      <c r="A2849" t="s">
        <v>746</v>
      </c>
      <c r="B2849">
        <v>70</v>
      </c>
      <c r="E2849">
        <v>94</v>
      </c>
      <c r="I2849">
        <v>94</v>
      </c>
      <c r="M2849">
        <v>94</v>
      </c>
      <c r="S2849">
        <v>94</v>
      </c>
    </row>
    <row r="2850" spans="1:20" x14ac:dyDescent="0.3">
      <c r="A2850" t="s">
        <v>747</v>
      </c>
      <c r="B2850">
        <v>70</v>
      </c>
      <c r="E2850">
        <v>6</v>
      </c>
      <c r="I2850">
        <v>6</v>
      </c>
      <c r="M2850">
        <v>6</v>
      </c>
      <c r="S2850">
        <v>6</v>
      </c>
    </row>
    <row r="2851" spans="1:20" x14ac:dyDescent="0.3">
      <c r="A2851" t="s">
        <v>748</v>
      </c>
      <c r="B2851">
        <v>70</v>
      </c>
      <c r="E2851">
        <v>3</v>
      </c>
      <c r="I2851">
        <v>3</v>
      </c>
      <c r="M2851">
        <v>3</v>
      </c>
      <c r="S2851">
        <v>3</v>
      </c>
    </row>
    <row r="2852" spans="1:20" x14ac:dyDescent="0.3">
      <c r="A2852" t="s">
        <v>749</v>
      </c>
      <c r="B2852">
        <v>70</v>
      </c>
      <c r="E2852">
        <v>0</v>
      </c>
      <c r="I2852">
        <v>0</v>
      </c>
      <c r="M2852">
        <v>0</v>
      </c>
      <c r="S2852">
        <v>0</v>
      </c>
    </row>
    <row r="2853" spans="1:20" x14ac:dyDescent="0.3">
      <c r="A2853" t="s">
        <v>750</v>
      </c>
      <c r="B2853">
        <v>70</v>
      </c>
      <c r="E2853">
        <v>0</v>
      </c>
      <c r="I2853">
        <v>0</v>
      </c>
      <c r="M2853">
        <v>0</v>
      </c>
      <c r="S2853">
        <v>0</v>
      </c>
    </row>
    <row r="2854" spans="1:20" x14ac:dyDescent="0.3">
      <c r="A2854" t="s">
        <v>405</v>
      </c>
      <c r="B2854">
        <v>70</v>
      </c>
      <c r="E2854">
        <v>0</v>
      </c>
    </row>
    <row r="2855" spans="1:20" x14ac:dyDescent="0.3">
      <c r="A2855" t="s">
        <v>751</v>
      </c>
      <c r="B2855">
        <v>70</v>
      </c>
      <c r="D2855">
        <v>73</v>
      </c>
      <c r="E2855">
        <v>117</v>
      </c>
      <c r="F2855">
        <v>0</v>
      </c>
      <c r="H2855">
        <v>63</v>
      </c>
      <c r="I2855">
        <v>107</v>
      </c>
      <c r="J2855">
        <v>0</v>
      </c>
      <c r="L2855">
        <v>65</v>
      </c>
      <c r="M2855">
        <v>1276</v>
      </c>
      <c r="N2855">
        <v>0</v>
      </c>
      <c r="P2855">
        <v>0</v>
      </c>
      <c r="R2855">
        <v>52</v>
      </c>
      <c r="S2855">
        <v>1389</v>
      </c>
      <c r="T2855">
        <v>0</v>
      </c>
    </row>
    <row r="2856" spans="1:20" x14ac:dyDescent="0.3">
      <c r="A2856" t="s">
        <v>34</v>
      </c>
      <c r="B2856">
        <v>73</v>
      </c>
      <c r="D2856">
        <v>74</v>
      </c>
      <c r="F2856">
        <v>74</v>
      </c>
      <c r="M2856">
        <v>27</v>
      </c>
      <c r="N2856">
        <v>27</v>
      </c>
      <c r="P2856">
        <v>32</v>
      </c>
      <c r="R2856">
        <v>32</v>
      </c>
      <c r="S2856">
        <v>32</v>
      </c>
    </row>
    <row r="2857" spans="1:20" x14ac:dyDescent="0.3">
      <c r="A2857" t="s">
        <v>35</v>
      </c>
      <c r="B2857">
        <v>73</v>
      </c>
      <c r="D2857">
        <v>27</v>
      </c>
      <c r="F2857">
        <v>32</v>
      </c>
      <c r="M2857">
        <v>32</v>
      </c>
      <c r="N2857">
        <v>74</v>
      </c>
      <c r="P2857">
        <v>32</v>
      </c>
      <c r="R2857">
        <v>74</v>
      </c>
      <c r="S2857">
        <v>27</v>
      </c>
    </row>
    <row r="2858" spans="1:20" x14ac:dyDescent="0.3">
      <c r="A2858" t="s">
        <v>36</v>
      </c>
      <c r="B2858">
        <v>73</v>
      </c>
      <c r="D2858">
        <v>1</v>
      </c>
      <c r="F2858">
        <v>1</v>
      </c>
      <c r="M2858">
        <v>3</v>
      </c>
      <c r="N2858">
        <v>0</v>
      </c>
      <c r="P2858">
        <v>0</v>
      </c>
      <c r="R2858">
        <v>1</v>
      </c>
      <c r="S2858">
        <v>3</v>
      </c>
    </row>
    <row r="2859" spans="1:20" x14ac:dyDescent="0.3">
      <c r="A2859" t="s">
        <v>37</v>
      </c>
      <c r="B2859">
        <v>73</v>
      </c>
      <c r="D2859">
        <v>0</v>
      </c>
      <c r="M2859">
        <v>2</v>
      </c>
      <c r="R2859">
        <v>0</v>
      </c>
      <c r="S2859">
        <v>0</v>
      </c>
    </row>
    <row r="2860" spans="1:20" x14ac:dyDescent="0.3">
      <c r="A2860" t="s">
        <v>38</v>
      </c>
      <c r="B2860">
        <v>73</v>
      </c>
      <c r="D2860">
        <v>12</v>
      </c>
      <c r="F2860">
        <v>12</v>
      </c>
      <c r="M2860">
        <v>12</v>
      </c>
      <c r="N2860">
        <v>12</v>
      </c>
      <c r="P2860">
        <v>12</v>
      </c>
      <c r="R2860">
        <v>12</v>
      </c>
      <c r="S2860">
        <v>12</v>
      </c>
    </row>
    <row r="2861" spans="1:20" x14ac:dyDescent="0.3">
      <c r="A2861" t="s">
        <v>39</v>
      </c>
      <c r="B2861">
        <v>73</v>
      </c>
      <c r="R2861">
        <v>110</v>
      </c>
    </row>
    <row r="2862" spans="1:20" x14ac:dyDescent="0.3">
      <c r="A2862" t="s">
        <v>726</v>
      </c>
      <c r="B2862">
        <v>73</v>
      </c>
      <c r="R2862">
        <v>25</v>
      </c>
    </row>
    <row r="2863" spans="1:20" x14ac:dyDescent="0.3">
      <c r="A2863" t="s">
        <v>40</v>
      </c>
      <c r="B2863">
        <v>73</v>
      </c>
      <c r="R2863">
        <v>1</v>
      </c>
    </row>
    <row r="2864" spans="1:20" x14ac:dyDescent="0.3">
      <c r="A2864" t="s">
        <v>41</v>
      </c>
      <c r="B2864">
        <v>73</v>
      </c>
    </row>
    <row r="2865" spans="1:19" x14ac:dyDescent="0.3">
      <c r="A2865" t="s">
        <v>42</v>
      </c>
      <c r="B2865">
        <v>73</v>
      </c>
      <c r="D2865">
        <v>30</v>
      </c>
      <c r="M2865">
        <v>45</v>
      </c>
      <c r="S2865">
        <v>40</v>
      </c>
    </row>
    <row r="2866" spans="1:19" x14ac:dyDescent="0.3">
      <c r="A2866" t="s">
        <v>45</v>
      </c>
      <c r="B2866">
        <v>73</v>
      </c>
      <c r="D2866">
        <v>4</v>
      </c>
      <c r="F2866">
        <v>4</v>
      </c>
      <c r="M2866">
        <v>6</v>
      </c>
      <c r="R2866">
        <v>5</v>
      </c>
      <c r="S2866">
        <v>6</v>
      </c>
    </row>
    <row r="2867" spans="1:19" x14ac:dyDescent="0.3">
      <c r="A2867" t="s">
        <v>46</v>
      </c>
      <c r="B2867">
        <v>73</v>
      </c>
      <c r="M2867">
        <v>2</v>
      </c>
      <c r="R2867">
        <v>6</v>
      </c>
      <c r="S2867">
        <v>2</v>
      </c>
    </row>
    <row r="2868" spans="1:19" x14ac:dyDescent="0.3">
      <c r="A2868" t="s">
        <v>49</v>
      </c>
      <c r="B2868">
        <v>73</v>
      </c>
      <c r="D2868">
        <v>5.6</v>
      </c>
      <c r="F2868">
        <v>5.6</v>
      </c>
      <c r="M2868">
        <v>5.3</v>
      </c>
      <c r="N2868">
        <v>4</v>
      </c>
      <c r="P2868">
        <v>4</v>
      </c>
      <c r="R2868">
        <v>4</v>
      </c>
      <c r="S2868">
        <v>5.3</v>
      </c>
    </row>
    <row r="2869" spans="1:19" x14ac:dyDescent="0.3">
      <c r="A2869" t="s">
        <v>727</v>
      </c>
      <c r="B2869">
        <v>73</v>
      </c>
      <c r="D2869">
        <v>0</v>
      </c>
      <c r="F2869">
        <v>0</v>
      </c>
      <c r="M2869">
        <v>0</v>
      </c>
      <c r="N2869">
        <v>0</v>
      </c>
      <c r="P2869">
        <v>0</v>
      </c>
      <c r="R2869">
        <v>0</v>
      </c>
      <c r="S2869">
        <v>0</v>
      </c>
    </row>
    <row r="2870" spans="1:19" x14ac:dyDescent="0.3">
      <c r="A2870" t="s">
        <v>48</v>
      </c>
      <c r="B2870">
        <v>73</v>
      </c>
      <c r="D2870">
        <v>1900</v>
      </c>
      <c r="F2870">
        <v>1900</v>
      </c>
      <c r="M2870">
        <v>1900</v>
      </c>
      <c r="N2870">
        <v>1900</v>
      </c>
      <c r="P2870">
        <v>1900</v>
      </c>
      <c r="R2870">
        <v>1900</v>
      </c>
      <c r="S2870">
        <v>1900</v>
      </c>
    </row>
    <row r="2871" spans="1:19" x14ac:dyDescent="0.3">
      <c r="A2871" t="s">
        <v>728</v>
      </c>
      <c r="B2871">
        <v>73</v>
      </c>
      <c r="D2871">
        <v>1770</v>
      </c>
      <c r="F2871">
        <v>1583</v>
      </c>
      <c r="M2871">
        <v>5085</v>
      </c>
      <c r="N2871">
        <v>0</v>
      </c>
      <c r="P2871">
        <v>0</v>
      </c>
      <c r="R2871">
        <v>1770</v>
      </c>
      <c r="S2871">
        <v>5085</v>
      </c>
    </row>
    <row r="2872" spans="1:19" x14ac:dyDescent="0.3">
      <c r="A2872" t="s">
        <v>50</v>
      </c>
      <c r="B2872">
        <v>73</v>
      </c>
      <c r="D2872">
        <v>1770</v>
      </c>
      <c r="F2872">
        <v>1583</v>
      </c>
      <c r="M2872">
        <v>5085</v>
      </c>
      <c r="N2872">
        <v>0</v>
      </c>
      <c r="P2872">
        <v>0</v>
      </c>
      <c r="R2872">
        <v>378</v>
      </c>
      <c r="S2872">
        <v>5085</v>
      </c>
    </row>
    <row r="2873" spans="1:19" x14ac:dyDescent="0.3">
      <c r="A2873" t="s">
        <v>729</v>
      </c>
      <c r="B2873">
        <v>73</v>
      </c>
      <c r="D2873">
        <v>1</v>
      </c>
      <c r="F2873">
        <v>1</v>
      </c>
      <c r="M2873">
        <v>1</v>
      </c>
      <c r="N2873">
        <v>1</v>
      </c>
      <c r="P2873">
        <v>1</v>
      </c>
      <c r="R2873">
        <v>1</v>
      </c>
      <c r="S2873">
        <v>1</v>
      </c>
    </row>
    <row r="2874" spans="1:19" x14ac:dyDescent="0.3">
      <c r="A2874" t="s">
        <v>51</v>
      </c>
      <c r="B2874">
        <v>73</v>
      </c>
      <c r="D2874">
        <v>0</v>
      </c>
      <c r="F2874">
        <v>11</v>
      </c>
      <c r="M2874">
        <v>0</v>
      </c>
      <c r="N2874">
        <v>0</v>
      </c>
      <c r="P2874">
        <v>0</v>
      </c>
      <c r="R2874">
        <v>0</v>
      </c>
      <c r="S2874">
        <v>0</v>
      </c>
    </row>
    <row r="2875" spans="1:19" x14ac:dyDescent="0.3">
      <c r="A2875" t="s">
        <v>53</v>
      </c>
      <c r="B2875">
        <v>73</v>
      </c>
      <c r="D2875">
        <v>10</v>
      </c>
      <c r="F2875">
        <v>10</v>
      </c>
      <c r="M2875">
        <v>1186</v>
      </c>
      <c r="N2875">
        <v>0</v>
      </c>
      <c r="P2875">
        <v>0</v>
      </c>
      <c r="R2875">
        <v>10</v>
      </c>
      <c r="S2875">
        <v>998</v>
      </c>
    </row>
    <row r="2876" spans="1:19" x14ac:dyDescent="0.3">
      <c r="A2876" t="s">
        <v>54</v>
      </c>
      <c r="B2876">
        <v>73</v>
      </c>
      <c r="D2876">
        <v>0</v>
      </c>
      <c r="F2876">
        <v>0</v>
      </c>
      <c r="M2876">
        <v>0</v>
      </c>
      <c r="N2876">
        <v>0</v>
      </c>
      <c r="P2876">
        <v>0</v>
      </c>
      <c r="R2876">
        <v>0</v>
      </c>
      <c r="S2876">
        <v>0</v>
      </c>
    </row>
    <row r="2877" spans="1:19" x14ac:dyDescent="0.3">
      <c r="A2877" t="s">
        <v>55</v>
      </c>
      <c r="B2877">
        <v>73</v>
      </c>
      <c r="D2877">
        <v>0</v>
      </c>
      <c r="F2877">
        <v>0</v>
      </c>
      <c r="M2877">
        <v>0</v>
      </c>
      <c r="N2877">
        <v>0</v>
      </c>
      <c r="P2877">
        <v>0</v>
      </c>
      <c r="R2877">
        <v>0</v>
      </c>
      <c r="S2877">
        <v>0</v>
      </c>
    </row>
    <row r="2878" spans="1:19" x14ac:dyDescent="0.3">
      <c r="A2878" t="s">
        <v>56</v>
      </c>
      <c r="B2878">
        <v>73</v>
      </c>
      <c r="D2878">
        <v>0.92</v>
      </c>
      <c r="F2878">
        <v>0.92</v>
      </c>
      <c r="M2878">
        <v>0.92</v>
      </c>
      <c r="N2878">
        <v>0.92</v>
      </c>
      <c r="P2878">
        <v>0.92</v>
      </c>
      <c r="R2878">
        <v>0.92</v>
      </c>
      <c r="S2878">
        <v>0.92</v>
      </c>
    </row>
    <row r="2879" spans="1:19" x14ac:dyDescent="0.3">
      <c r="A2879" t="s">
        <v>57</v>
      </c>
      <c r="B2879">
        <v>73</v>
      </c>
      <c r="D2879">
        <v>100</v>
      </c>
      <c r="F2879">
        <v>100</v>
      </c>
      <c r="M2879">
        <v>100</v>
      </c>
      <c r="N2879">
        <v>100</v>
      </c>
      <c r="P2879">
        <v>100</v>
      </c>
      <c r="R2879">
        <v>100</v>
      </c>
      <c r="S2879">
        <v>100</v>
      </c>
    </row>
    <row r="2880" spans="1:19" x14ac:dyDescent="0.3">
      <c r="A2880" t="s">
        <v>58</v>
      </c>
      <c r="B2880">
        <v>73</v>
      </c>
      <c r="D2880">
        <v>2</v>
      </c>
      <c r="F2880">
        <v>2</v>
      </c>
      <c r="M2880">
        <v>2</v>
      </c>
      <c r="N2880">
        <v>2</v>
      </c>
      <c r="P2880">
        <v>2</v>
      </c>
      <c r="R2880">
        <v>2</v>
      </c>
      <c r="S2880">
        <v>2</v>
      </c>
    </row>
    <row r="2881" spans="1:19" x14ac:dyDescent="0.3">
      <c r="A2881" t="s">
        <v>59</v>
      </c>
      <c r="B2881">
        <v>73</v>
      </c>
      <c r="D2881">
        <v>0</v>
      </c>
      <c r="F2881">
        <v>0</v>
      </c>
      <c r="M2881">
        <v>0</v>
      </c>
      <c r="N2881">
        <v>0</v>
      </c>
      <c r="P2881">
        <v>0</v>
      </c>
      <c r="R2881">
        <v>0</v>
      </c>
      <c r="S2881">
        <v>0</v>
      </c>
    </row>
    <row r="2882" spans="1:19" x14ac:dyDescent="0.3">
      <c r="A2882" t="s">
        <v>730</v>
      </c>
      <c r="B2882">
        <v>73</v>
      </c>
      <c r="D2882">
        <v>0</v>
      </c>
      <c r="M2882">
        <v>0</v>
      </c>
      <c r="S2882">
        <v>0</v>
      </c>
    </row>
    <row r="2883" spans="1:19" x14ac:dyDescent="0.3">
      <c r="A2883" t="s">
        <v>679</v>
      </c>
      <c r="B2883">
        <v>73</v>
      </c>
      <c r="D2883">
        <v>616</v>
      </c>
      <c r="M2883">
        <v>1322</v>
      </c>
      <c r="S2883">
        <v>1302</v>
      </c>
    </row>
    <row r="2884" spans="1:19" x14ac:dyDescent="0.3">
      <c r="A2884" t="s">
        <v>78</v>
      </c>
      <c r="B2884">
        <v>73</v>
      </c>
      <c r="D2884">
        <v>14</v>
      </c>
      <c r="M2884">
        <v>20</v>
      </c>
      <c r="S2884">
        <v>22.2</v>
      </c>
    </row>
    <row r="2885" spans="1:19" x14ac:dyDescent="0.3">
      <c r="A2885" t="s">
        <v>731</v>
      </c>
      <c r="B2885">
        <v>73</v>
      </c>
      <c r="F2885">
        <v>0</v>
      </c>
      <c r="N2885">
        <v>0</v>
      </c>
      <c r="S2885">
        <v>0</v>
      </c>
    </row>
    <row r="2886" spans="1:19" x14ac:dyDescent="0.3">
      <c r="A2886" t="s">
        <v>732</v>
      </c>
      <c r="B2886">
        <v>73</v>
      </c>
      <c r="D2886">
        <v>0</v>
      </c>
      <c r="F2886">
        <v>1</v>
      </c>
      <c r="M2886">
        <v>0</v>
      </c>
      <c r="N2886">
        <v>1</v>
      </c>
      <c r="P2886">
        <v>3</v>
      </c>
      <c r="R2886">
        <v>0</v>
      </c>
      <c r="S2886">
        <v>0</v>
      </c>
    </row>
    <row r="2887" spans="1:19" x14ac:dyDescent="0.3">
      <c r="A2887" t="s">
        <v>733</v>
      </c>
      <c r="B2887">
        <v>73</v>
      </c>
      <c r="D2887">
        <v>0</v>
      </c>
      <c r="F2887">
        <v>0</v>
      </c>
      <c r="M2887">
        <v>0</v>
      </c>
      <c r="N2887">
        <v>0</v>
      </c>
      <c r="P2887">
        <v>0</v>
      </c>
      <c r="R2887">
        <v>0</v>
      </c>
      <c r="S2887">
        <v>0</v>
      </c>
    </row>
    <row r="2888" spans="1:19" x14ac:dyDescent="0.3">
      <c r="A2888" t="s">
        <v>52</v>
      </c>
      <c r="B2888">
        <v>73</v>
      </c>
      <c r="D2888">
        <v>1</v>
      </c>
      <c r="F2888">
        <v>1</v>
      </c>
      <c r="M2888">
        <v>1</v>
      </c>
      <c r="N2888">
        <v>1</v>
      </c>
      <c r="P2888">
        <v>1</v>
      </c>
      <c r="R2888">
        <v>1</v>
      </c>
      <c r="S2888">
        <v>1</v>
      </c>
    </row>
    <row r="2889" spans="1:19" x14ac:dyDescent="0.3">
      <c r="A2889" t="s">
        <v>734</v>
      </c>
      <c r="B2889">
        <v>73</v>
      </c>
      <c r="D2889">
        <v>15</v>
      </c>
      <c r="F2889">
        <v>9</v>
      </c>
      <c r="M2889">
        <v>60</v>
      </c>
      <c r="N2889">
        <v>9</v>
      </c>
      <c r="P2889">
        <v>9</v>
      </c>
      <c r="R2889">
        <v>15</v>
      </c>
      <c r="S2889">
        <v>60</v>
      </c>
    </row>
    <row r="2890" spans="1:19" x14ac:dyDescent="0.3">
      <c r="A2890" t="s">
        <v>43</v>
      </c>
      <c r="B2890">
        <v>73</v>
      </c>
      <c r="D2890">
        <v>20</v>
      </c>
      <c r="F2890">
        <v>20</v>
      </c>
      <c r="M2890">
        <v>100</v>
      </c>
      <c r="R2890">
        <v>20</v>
      </c>
      <c r="S2890">
        <v>100</v>
      </c>
    </row>
    <row r="2891" spans="1:19" x14ac:dyDescent="0.3">
      <c r="A2891" t="s">
        <v>44</v>
      </c>
      <c r="B2891">
        <v>73</v>
      </c>
      <c r="D2891">
        <v>0</v>
      </c>
      <c r="F2891">
        <v>0</v>
      </c>
      <c r="M2891">
        <v>0</v>
      </c>
      <c r="R2891">
        <v>0</v>
      </c>
      <c r="S2891">
        <v>0</v>
      </c>
    </row>
    <row r="2892" spans="1:19" x14ac:dyDescent="0.3">
      <c r="A2892" t="s">
        <v>47</v>
      </c>
      <c r="B2892">
        <v>73</v>
      </c>
      <c r="D2892">
        <v>4</v>
      </c>
      <c r="F2892">
        <v>4</v>
      </c>
      <c r="M2892">
        <v>6</v>
      </c>
      <c r="R2892">
        <v>5</v>
      </c>
      <c r="S2892">
        <v>6</v>
      </c>
    </row>
    <row r="2893" spans="1:19" x14ac:dyDescent="0.3">
      <c r="A2893" t="s">
        <v>735</v>
      </c>
      <c r="B2893">
        <v>73</v>
      </c>
      <c r="D2893">
        <v>0</v>
      </c>
      <c r="F2893">
        <v>0</v>
      </c>
      <c r="M2893">
        <v>0</v>
      </c>
      <c r="R2893">
        <v>0</v>
      </c>
      <c r="S2893">
        <v>0</v>
      </c>
    </row>
    <row r="2894" spans="1:19" x14ac:dyDescent="0.3">
      <c r="A2894" t="s">
        <v>736</v>
      </c>
      <c r="B2894">
        <v>73</v>
      </c>
      <c r="D2894">
        <v>0</v>
      </c>
      <c r="F2894">
        <v>0</v>
      </c>
      <c r="M2894">
        <v>0</v>
      </c>
      <c r="R2894">
        <v>0</v>
      </c>
      <c r="S2894">
        <v>0</v>
      </c>
    </row>
    <row r="2895" spans="1:19" x14ac:dyDescent="0.3">
      <c r="A2895" t="s">
        <v>737</v>
      </c>
      <c r="B2895">
        <v>73</v>
      </c>
      <c r="D2895">
        <v>0</v>
      </c>
      <c r="F2895">
        <v>0</v>
      </c>
      <c r="M2895">
        <v>0</v>
      </c>
      <c r="R2895">
        <v>0</v>
      </c>
      <c r="S2895">
        <v>0</v>
      </c>
    </row>
    <row r="2896" spans="1:19" x14ac:dyDescent="0.3">
      <c r="A2896" t="s">
        <v>738</v>
      </c>
      <c r="B2896">
        <v>73</v>
      </c>
      <c r="D2896">
        <v>0</v>
      </c>
      <c r="F2896">
        <v>0</v>
      </c>
      <c r="M2896">
        <v>0</v>
      </c>
      <c r="R2896">
        <v>0</v>
      </c>
      <c r="S2896">
        <v>0</v>
      </c>
    </row>
    <row r="2897" spans="1:20" x14ac:dyDescent="0.3">
      <c r="A2897" t="s">
        <v>739</v>
      </c>
      <c r="B2897">
        <v>73</v>
      </c>
      <c r="D2897">
        <v>1</v>
      </c>
      <c r="F2897">
        <v>1</v>
      </c>
      <c r="M2897">
        <v>2</v>
      </c>
      <c r="R2897">
        <v>1</v>
      </c>
      <c r="S2897">
        <v>2</v>
      </c>
    </row>
    <row r="2898" spans="1:20" x14ac:dyDescent="0.3">
      <c r="A2898" t="s">
        <v>740</v>
      </c>
      <c r="B2898">
        <v>73</v>
      </c>
      <c r="D2898">
        <v>0</v>
      </c>
      <c r="F2898">
        <v>0</v>
      </c>
      <c r="M2898">
        <v>0</v>
      </c>
      <c r="R2898">
        <v>0</v>
      </c>
      <c r="S2898">
        <v>0</v>
      </c>
    </row>
    <row r="2899" spans="1:20" x14ac:dyDescent="0.3">
      <c r="A2899" t="s">
        <v>741</v>
      </c>
      <c r="B2899">
        <v>73</v>
      </c>
      <c r="D2899">
        <v>20</v>
      </c>
      <c r="F2899">
        <v>20</v>
      </c>
      <c r="M2899">
        <v>6</v>
      </c>
      <c r="R2899">
        <v>20</v>
      </c>
      <c r="S2899">
        <v>6</v>
      </c>
    </row>
    <row r="2900" spans="1:20" x14ac:dyDescent="0.3">
      <c r="A2900" t="s">
        <v>742</v>
      </c>
      <c r="B2900">
        <v>73</v>
      </c>
      <c r="D2900">
        <v>3</v>
      </c>
      <c r="F2900">
        <v>3</v>
      </c>
      <c r="M2900">
        <v>3</v>
      </c>
      <c r="R2900">
        <v>3</v>
      </c>
      <c r="S2900">
        <v>3</v>
      </c>
    </row>
    <row r="2901" spans="1:20" x14ac:dyDescent="0.3">
      <c r="A2901" t="s">
        <v>743</v>
      </c>
      <c r="B2901">
        <v>73</v>
      </c>
      <c r="D2901">
        <v>0</v>
      </c>
      <c r="F2901">
        <v>0</v>
      </c>
      <c r="M2901">
        <v>0</v>
      </c>
      <c r="R2901">
        <v>0</v>
      </c>
      <c r="S2901">
        <v>0</v>
      </c>
    </row>
    <row r="2902" spans="1:20" x14ac:dyDescent="0.3">
      <c r="A2902" t="s">
        <v>744</v>
      </c>
      <c r="B2902">
        <v>73</v>
      </c>
      <c r="D2902">
        <v>0</v>
      </c>
      <c r="F2902">
        <v>0</v>
      </c>
      <c r="M2902">
        <v>0</v>
      </c>
      <c r="R2902">
        <v>0</v>
      </c>
      <c r="S2902">
        <v>0</v>
      </c>
    </row>
    <row r="2903" spans="1:20" x14ac:dyDescent="0.3">
      <c r="A2903" t="s">
        <v>745</v>
      </c>
      <c r="B2903">
        <v>73</v>
      </c>
      <c r="D2903">
        <v>0</v>
      </c>
      <c r="F2903">
        <v>0</v>
      </c>
      <c r="M2903">
        <v>0</v>
      </c>
      <c r="R2903">
        <v>0</v>
      </c>
      <c r="S2903">
        <v>0</v>
      </c>
    </row>
    <row r="2904" spans="1:20" x14ac:dyDescent="0.3">
      <c r="A2904" t="s">
        <v>746</v>
      </c>
      <c r="B2904">
        <v>73</v>
      </c>
      <c r="M2904">
        <v>94</v>
      </c>
      <c r="S2904">
        <v>94</v>
      </c>
    </row>
    <row r="2905" spans="1:20" x14ac:dyDescent="0.3">
      <c r="A2905" t="s">
        <v>747</v>
      </c>
      <c r="B2905">
        <v>73</v>
      </c>
      <c r="M2905">
        <v>6</v>
      </c>
      <c r="S2905">
        <v>6</v>
      </c>
    </row>
    <row r="2906" spans="1:20" x14ac:dyDescent="0.3">
      <c r="A2906" t="s">
        <v>748</v>
      </c>
      <c r="B2906">
        <v>73</v>
      </c>
      <c r="M2906">
        <v>3</v>
      </c>
      <c r="S2906">
        <v>3</v>
      </c>
    </row>
    <row r="2907" spans="1:20" x14ac:dyDescent="0.3">
      <c r="A2907" t="s">
        <v>749</v>
      </c>
      <c r="B2907">
        <v>73</v>
      </c>
      <c r="M2907">
        <v>0</v>
      </c>
      <c r="S2907">
        <v>0</v>
      </c>
    </row>
    <row r="2908" spans="1:20" x14ac:dyDescent="0.3">
      <c r="A2908" t="s">
        <v>750</v>
      </c>
      <c r="B2908">
        <v>73</v>
      </c>
      <c r="D2908">
        <v>0</v>
      </c>
      <c r="M2908">
        <v>0</v>
      </c>
      <c r="S2908">
        <v>0</v>
      </c>
    </row>
    <row r="2909" spans="1:20" x14ac:dyDescent="0.3">
      <c r="A2909" t="s">
        <v>405</v>
      </c>
      <c r="B2909">
        <v>73</v>
      </c>
      <c r="D2909">
        <v>0</v>
      </c>
    </row>
    <row r="2910" spans="1:20" x14ac:dyDescent="0.3">
      <c r="A2910" t="s">
        <v>751</v>
      </c>
      <c r="B2910">
        <v>73</v>
      </c>
      <c r="D2910">
        <v>11</v>
      </c>
      <c r="F2910">
        <v>11</v>
      </c>
      <c r="M2910">
        <v>1289</v>
      </c>
      <c r="N2910">
        <v>0</v>
      </c>
      <c r="P2910">
        <v>0</v>
      </c>
      <c r="R2910">
        <v>11</v>
      </c>
      <c r="S2910">
        <v>1085</v>
      </c>
    </row>
    <row r="2911" spans="1:20" x14ac:dyDescent="0.3">
      <c r="A2911" t="s">
        <v>34</v>
      </c>
      <c r="B2911">
        <v>97</v>
      </c>
      <c r="D2911">
        <v>99</v>
      </c>
      <c r="F2911">
        <v>99</v>
      </c>
      <c r="G2911">
        <v>99</v>
      </c>
      <c r="L2911">
        <v>53</v>
      </c>
      <c r="M2911">
        <v>53</v>
      </c>
      <c r="N2911">
        <v>53</v>
      </c>
      <c r="P2911">
        <v>56</v>
      </c>
      <c r="R2911">
        <v>56</v>
      </c>
      <c r="S2911">
        <v>56</v>
      </c>
      <c r="T2911">
        <v>56</v>
      </c>
    </row>
    <row r="2912" spans="1:20" x14ac:dyDescent="0.3">
      <c r="A2912" t="s">
        <v>35</v>
      </c>
      <c r="B2912">
        <v>97</v>
      </c>
      <c r="D2912">
        <v>53</v>
      </c>
      <c r="F2912">
        <v>60</v>
      </c>
      <c r="G2912">
        <v>56</v>
      </c>
      <c r="L2912">
        <v>60</v>
      </c>
      <c r="M2912">
        <v>56</v>
      </c>
      <c r="N2912">
        <v>99</v>
      </c>
      <c r="P2912">
        <v>56</v>
      </c>
      <c r="R2912">
        <v>99</v>
      </c>
      <c r="S2912">
        <v>53</v>
      </c>
      <c r="T2912">
        <v>60</v>
      </c>
    </row>
    <row r="2913" spans="1:20" x14ac:dyDescent="0.3">
      <c r="A2913" t="s">
        <v>36</v>
      </c>
      <c r="B2913">
        <v>97</v>
      </c>
      <c r="D2913">
        <v>0</v>
      </c>
      <c r="F2913">
        <v>0</v>
      </c>
      <c r="G2913">
        <v>0</v>
      </c>
      <c r="L2913">
        <v>0</v>
      </c>
      <c r="M2913">
        <v>3</v>
      </c>
      <c r="N2913">
        <v>1</v>
      </c>
      <c r="P2913">
        <v>0</v>
      </c>
      <c r="R2913">
        <v>0</v>
      </c>
      <c r="S2913">
        <v>3</v>
      </c>
      <c r="T2913">
        <v>0</v>
      </c>
    </row>
    <row r="2914" spans="1:20" x14ac:dyDescent="0.3">
      <c r="A2914" t="s">
        <v>37</v>
      </c>
      <c r="B2914">
        <v>97</v>
      </c>
      <c r="D2914">
        <v>0</v>
      </c>
      <c r="F2914">
        <v>0</v>
      </c>
      <c r="L2914">
        <v>0</v>
      </c>
      <c r="M2914">
        <v>0</v>
      </c>
      <c r="R2914">
        <v>0</v>
      </c>
      <c r="S2914">
        <v>0</v>
      </c>
    </row>
    <row r="2915" spans="1:20" x14ac:dyDescent="0.3">
      <c r="A2915" t="s">
        <v>38</v>
      </c>
      <c r="B2915">
        <v>97</v>
      </c>
      <c r="D2915">
        <v>12</v>
      </c>
      <c r="F2915">
        <v>12</v>
      </c>
      <c r="G2915">
        <v>12</v>
      </c>
      <c r="L2915">
        <v>12</v>
      </c>
      <c r="M2915">
        <v>12</v>
      </c>
      <c r="N2915">
        <v>12</v>
      </c>
      <c r="P2915">
        <v>12</v>
      </c>
      <c r="R2915">
        <v>12</v>
      </c>
      <c r="S2915">
        <v>12</v>
      </c>
      <c r="T2915">
        <v>12</v>
      </c>
    </row>
    <row r="2916" spans="1:20" x14ac:dyDescent="0.3">
      <c r="A2916" t="s">
        <v>39</v>
      </c>
      <c r="B2916">
        <v>97</v>
      </c>
      <c r="N2916">
        <v>244</v>
      </c>
    </row>
    <row r="2917" spans="1:20" x14ac:dyDescent="0.3">
      <c r="A2917" t="s">
        <v>726</v>
      </c>
      <c r="B2917">
        <v>97</v>
      </c>
      <c r="N2917">
        <v>25</v>
      </c>
    </row>
    <row r="2918" spans="1:20" x14ac:dyDescent="0.3">
      <c r="A2918" t="s">
        <v>40</v>
      </c>
      <c r="B2918">
        <v>97</v>
      </c>
      <c r="N2918">
        <v>1</v>
      </c>
    </row>
    <row r="2919" spans="1:20" x14ac:dyDescent="0.3">
      <c r="A2919" t="s">
        <v>41</v>
      </c>
      <c r="B2919">
        <v>97</v>
      </c>
    </row>
    <row r="2920" spans="1:20" x14ac:dyDescent="0.3">
      <c r="A2920" t="s">
        <v>42</v>
      </c>
      <c r="B2920">
        <v>97</v>
      </c>
      <c r="D2920">
        <v>30</v>
      </c>
      <c r="M2920">
        <v>40</v>
      </c>
      <c r="S2920">
        <v>40</v>
      </c>
    </row>
    <row r="2921" spans="1:20" x14ac:dyDescent="0.3">
      <c r="A2921" t="s">
        <v>754</v>
      </c>
      <c r="B2921">
        <v>97</v>
      </c>
      <c r="D2921">
        <v>0</v>
      </c>
      <c r="M2921">
        <v>0</v>
      </c>
      <c r="S2921">
        <v>0</v>
      </c>
    </row>
    <row r="2922" spans="1:20" x14ac:dyDescent="0.3">
      <c r="A2922" t="s">
        <v>48</v>
      </c>
      <c r="B2922">
        <v>97</v>
      </c>
      <c r="D2922">
        <v>1900</v>
      </c>
      <c r="F2922">
        <v>1900</v>
      </c>
      <c r="G2922">
        <v>1900</v>
      </c>
      <c r="L2922">
        <v>1900</v>
      </c>
      <c r="M2922">
        <v>1900</v>
      </c>
      <c r="N2922">
        <v>1900</v>
      </c>
      <c r="P2922">
        <v>1900</v>
      </c>
      <c r="R2922">
        <v>1900</v>
      </c>
      <c r="S2922">
        <v>1900</v>
      </c>
      <c r="T2922">
        <v>1900</v>
      </c>
    </row>
    <row r="2923" spans="1:20" x14ac:dyDescent="0.3">
      <c r="A2923" t="s">
        <v>728</v>
      </c>
      <c r="B2923">
        <v>97</v>
      </c>
      <c r="D2923">
        <v>0</v>
      </c>
      <c r="F2923">
        <v>0</v>
      </c>
      <c r="G2923">
        <v>0</v>
      </c>
      <c r="L2923">
        <v>0</v>
      </c>
      <c r="M2923">
        <v>5085</v>
      </c>
      <c r="N2923">
        <v>1583</v>
      </c>
      <c r="P2923">
        <v>0</v>
      </c>
      <c r="R2923">
        <v>0</v>
      </c>
      <c r="S2923">
        <v>5085</v>
      </c>
      <c r="T2923">
        <v>0</v>
      </c>
    </row>
    <row r="2924" spans="1:20" x14ac:dyDescent="0.3">
      <c r="A2924" t="s">
        <v>50</v>
      </c>
      <c r="B2924">
        <v>97</v>
      </c>
      <c r="D2924">
        <v>0</v>
      </c>
      <c r="F2924">
        <v>0</v>
      </c>
      <c r="G2924">
        <v>0</v>
      </c>
      <c r="L2924">
        <v>0</v>
      </c>
      <c r="M2924">
        <v>5085</v>
      </c>
      <c r="N2924">
        <v>1583</v>
      </c>
      <c r="P2924">
        <v>0</v>
      </c>
      <c r="R2924">
        <v>0</v>
      </c>
      <c r="S2924">
        <v>5085</v>
      </c>
      <c r="T2924">
        <v>0</v>
      </c>
    </row>
    <row r="2925" spans="1:20" x14ac:dyDescent="0.3">
      <c r="A2925" t="s">
        <v>729</v>
      </c>
      <c r="B2925">
        <v>97</v>
      </c>
      <c r="D2925">
        <v>1</v>
      </c>
      <c r="F2925">
        <v>1</v>
      </c>
      <c r="G2925">
        <v>1</v>
      </c>
      <c r="L2925">
        <v>1</v>
      </c>
      <c r="M2925">
        <v>1</v>
      </c>
      <c r="N2925">
        <v>1</v>
      </c>
      <c r="P2925">
        <v>1</v>
      </c>
      <c r="R2925">
        <v>1</v>
      </c>
      <c r="S2925">
        <v>1</v>
      </c>
      <c r="T2925">
        <v>1</v>
      </c>
    </row>
    <row r="2926" spans="1:20" x14ac:dyDescent="0.3">
      <c r="A2926" t="s">
        <v>51</v>
      </c>
      <c r="B2926">
        <v>97</v>
      </c>
      <c r="D2926">
        <v>0</v>
      </c>
      <c r="F2926">
        <v>0</v>
      </c>
      <c r="G2926">
        <v>0</v>
      </c>
      <c r="L2926">
        <v>0</v>
      </c>
      <c r="M2926">
        <v>0</v>
      </c>
      <c r="N2926">
        <v>419</v>
      </c>
      <c r="P2926">
        <v>0</v>
      </c>
      <c r="R2926">
        <v>0</v>
      </c>
      <c r="S2926">
        <v>0</v>
      </c>
      <c r="T2926">
        <v>0</v>
      </c>
    </row>
    <row r="2927" spans="1:20" x14ac:dyDescent="0.3">
      <c r="A2927" t="s">
        <v>53</v>
      </c>
      <c r="B2927">
        <v>97</v>
      </c>
      <c r="D2927">
        <v>0</v>
      </c>
      <c r="F2927">
        <v>0</v>
      </c>
      <c r="G2927">
        <v>0</v>
      </c>
      <c r="L2927">
        <v>0</v>
      </c>
      <c r="M2927">
        <v>696</v>
      </c>
      <c r="N2927">
        <v>368</v>
      </c>
      <c r="P2927">
        <v>0</v>
      </c>
      <c r="R2927">
        <v>0</v>
      </c>
      <c r="S2927">
        <v>1645</v>
      </c>
      <c r="T2927">
        <v>0</v>
      </c>
    </row>
    <row r="2928" spans="1:20" x14ac:dyDescent="0.3">
      <c r="A2928" t="s">
        <v>54</v>
      </c>
      <c r="B2928">
        <v>97</v>
      </c>
      <c r="D2928">
        <v>0</v>
      </c>
      <c r="F2928">
        <v>0</v>
      </c>
      <c r="G2928">
        <v>0</v>
      </c>
      <c r="L2928">
        <v>0</v>
      </c>
      <c r="M2928">
        <v>0</v>
      </c>
      <c r="N2928">
        <v>0</v>
      </c>
      <c r="P2928">
        <v>0</v>
      </c>
      <c r="R2928">
        <v>0</v>
      </c>
      <c r="S2928">
        <v>0</v>
      </c>
      <c r="T2928">
        <v>0</v>
      </c>
    </row>
    <row r="2929" spans="1:20" x14ac:dyDescent="0.3">
      <c r="A2929" t="s">
        <v>55</v>
      </c>
      <c r="B2929">
        <v>97</v>
      </c>
      <c r="D2929">
        <v>0</v>
      </c>
      <c r="F2929">
        <v>0</v>
      </c>
      <c r="G2929">
        <v>0</v>
      </c>
      <c r="L2929">
        <v>0</v>
      </c>
      <c r="M2929">
        <v>0</v>
      </c>
      <c r="N2929">
        <v>0</v>
      </c>
      <c r="P2929">
        <v>0</v>
      </c>
      <c r="R2929">
        <v>0</v>
      </c>
      <c r="S2929">
        <v>0</v>
      </c>
      <c r="T2929">
        <v>0</v>
      </c>
    </row>
    <row r="2930" spans="1:20" x14ac:dyDescent="0.3">
      <c r="A2930" t="s">
        <v>56</v>
      </c>
      <c r="B2930">
        <v>97</v>
      </c>
      <c r="D2930">
        <v>0.92</v>
      </c>
      <c r="F2930">
        <v>0.92</v>
      </c>
      <c r="G2930">
        <v>0.92</v>
      </c>
      <c r="L2930">
        <v>0.92</v>
      </c>
      <c r="M2930">
        <v>0.92</v>
      </c>
      <c r="N2930">
        <v>0.92</v>
      </c>
      <c r="P2930">
        <v>0.92</v>
      </c>
      <c r="R2930">
        <v>0.92</v>
      </c>
      <c r="S2930">
        <v>0.92</v>
      </c>
      <c r="T2930">
        <v>0.92</v>
      </c>
    </row>
    <row r="2931" spans="1:20" x14ac:dyDescent="0.3">
      <c r="A2931" t="s">
        <v>57</v>
      </c>
      <c r="B2931">
        <v>97</v>
      </c>
      <c r="D2931">
        <v>100</v>
      </c>
      <c r="F2931">
        <v>100</v>
      </c>
      <c r="G2931">
        <v>100</v>
      </c>
      <c r="L2931">
        <v>100</v>
      </c>
      <c r="M2931">
        <v>100</v>
      </c>
      <c r="N2931">
        <v>100</v>
      </c>
      <c r="P2931">
        <v>100</v>
      </c>
      <c r="R2931">
        <v>100</v>
      </c>
      <c r="S2931">
        <v>100</v>
      </c>
      <c r="T2931">
        <v>100</v>
      </c>
    </row>
    <row r="2932" spans="1:20" x14ac:dyDescent="0.3">
      <c r="A2932" t="s">
        <v>58</v>
      </c>
      <c r="B2932">
        <v>97</v>
      </c>
      <c r="D2932">
        <v>2</v>
      </c>
      <c r="F2932">
        <v>2</v>
      </c>
      <c r="G2932">
        <v>2</v>
      </c>
      <c r="L2932">
        <v>2</v>
      </c>
      <c r="M2932">
        <v>2</v>
      </c>
      <c r="N2932">
        <v>2</v>
      </c>
      <c r="P2932">
        <v>2</v>
      </c>
      <c r="R2932">
        <v>2</v>
      </c>
      <c r="S2932">
        <v>2</v>
      </c>
      <c r="T2932">
        <v>2</v>
      </c>
    </row>
    <row r="2933" spans="1:20" x14ac:dyDescent="0.3">
      <c r="A2933" t="s">
        <v>59</v>
      </c>
      <c r="B2933">
        <v>97</v>
      </c>
      <c r="D2933">
        <v>0</v>
      </c>
      <c r="F2933">
        <v>0</v>
      </c>
      <c r="G2933">
        <v>0</v>
      </c>
      <c r="L2933">
        <v>0</v>
      </c>
      <c r="M2933">
        <v>0</v>
      </c>
      <c r="N2933">
        <v>0</v>
      </c>
      <c r="P2933">
        <v>0</v>
      </c>
      <c r="R2933">
        <v>0</v>
      </c>
      <c r="S2933">
        <v>0</v>
      </c>
      <c r="T2933">
        <v>0</v>
      </c>
    </row>
    <row r="2934" spans="1:20" x14ac:dyDescent="0.3">
      <c r="A2934" t="s">
        <v>730</v>
      </c>
      <c r="B2934">
        <v>97</v>
      </c>
      <c r="D2934">
        <v>0</v>
      </c>
      <c r="M2934">
        <v>0</v>
      </c>
      <c r="S2934">
        <v>0</v>
      </c>
    </row>
    <row r="2935" spans="1:20" x14ac:dyDescent="0.3">
      <c r="A2935" t="s">
        <v>679</v>
      </c>
      <c r="B2935">
        <v>97</v>
      </c>
      <c r="D2935">
        <v>233</v>
      </c>
      <c r="M2935">
        <v>1087</v>
      </c>
      <c r="S2935">
        <v>283</v>
      </c>
    </row>
    <row r="2936" spans="1:20" x14ac:dyDescent="0.3">
      <c r="A2936" t="s">
        <v>78</v>
      </c>
      <c r="B2936">
        <v>97</v>
      </c>
      <c r="D2936">
        <v>5.3</v>
      </c>
      <c r="M2936">
        <v>18.5</v>
      </c>
      <c r="S2936">
        <v>4.8</v>
      </c>
    </row>
    <row r="2937" spans="1:20" x14ac:dyDescent="0.3">
      <c r="A2937" t="s">
        <v>731</v>
      </c>
      <c r="B2937">
        <v>97</v>
      </c>
      <c r="G2937">
        <v>0</v>
      </c>
      <c r="N2937">
        <v>2</v>
      </c>
      <c r="T2937">
        <v>0</v>
      </c>
    </row>
    <row r="2938" spans="1:20" x14ac:dyDescent="0.3">
      <c r="A2938" t="s">
        <v>752</v>
      </c>
      <c r="B2938">
        <v>97</v>
      </c>
      <c r="N2938">
        <v>200</v>
      </c>
    </row>
    <row r="2939" spans="1:20" x14ac:dyDescent="0.3">
      <c r="A2939" t="s">
        <v>753</v>
      </c>
      <c r="B2939">
        <v>97</v>
      </c>
      <c r="N2939">
        <v>0</v>
      </c>
    </row>
    <row r="2940" spans="1:20" x14ac:dyDescent="0.3">
      <c r="A2940" t="s">
        <v>732</v>
      </c>
      <c r="B2940">
        <v>97</v>
      </c>
      <c r="D2940">
        <v>0</v>
      </c>
      <c r="F2940">
        <v>1</v>
      </c>
      <c r="G2940">
        <v>1</v>
      </c>
      <c r="L2940">
        <v>0</v>
      </c>
      <c r="M2940">
        <v>0</v>
      </c>
      <c r="N2940">
        <v>1</v>
      </c>
      <c r="P2940">
        <v>3</v>
      </c>
      <c r="R2940">
        <v>0</v>
      </c>
      <c r="S2940">
        <v>0</v>
      </c>
      <c r="T2940">
        <v>1</v>
      </c>
    </row>
    <row r="2941" spans="1:20" x14ac:dyDescent="0.3">
      <c r="A2941" t="s">
        <v>733</v>
      </c>
      <c r="B2941">
        <v>97</v>
      </c>
      <c r="D2941">
        <v>0</v>
      </c>
      <c r="F2941">
        <v>0</v>
      </c>
      <c r="G2941">
        <v>0</v>
      </c>
      <c r="L2941">
        <v>0</v>
      </c>
      <c r="M2941">
        <v>0</v>
      </c>
      <c r="N2941">
        <v>0</v>
      </c>
      <c r="P2941">
        <v>0</v>
      </c>
      <c r="R2941">
        <v>0</v>
      </c>
      <c r="S2941">
        <v>0</v>
      </c>
      <c r="T2941">
        <v>0</v>
      </c>
    </row>
    <row r="2942" spans="1:20" x14ac:dyDescent="0.3">
      <c r="A2942" t="s">
        <v>52</v>
      </c>
      <c r="B2942">
        <v>97</v>
      </c>
      <c r="D2942">
        <v>1</v>
      </c>
      <c r="F2942">
        <v>1</v>
      </c>
      <c r="G2942">
        <v>1</v>
      </c>
      <c r="L2942">
        <v>1</v>
      </c>
      <c r="M2942">
        <v>1</v>
      </c>
      <c r="N2942">
        <v>1</v>
      </c>
      <c r="P2942">
        <v>1</v>
      </c>
      <c r="R2942">
        <v>1</v>
      </c>
      <c r="S2942">
        <v>1</v>
      </c>
      <c r="T2942">
        <v>1</v>
      </c>
    </row>
    <row r="2943" spans="1:20" x14ac:dyDescent="0.3">
      <c r="A2943" t="s">
        <v>734</v>
      </c>
      <c r="B2943">
        <v>97</v>
      </c>
      <c r="D2943">
        <v>15</v>
      </c>
      <c r="F2943">
        <v>9</v>
      </c>
      <c r="G2943">
        <v>9</v>
      </c>
      <c r="L2943">
        <v>15</v>
      </c>
      <c r="M2943">
        <v>60</v>
      </c>
      <c r="N2943">
        <v>9</v>
      </c>
      <c r="P2943">
        <v>9</v>
      </c>
      <c r="R2943">
        <v>15</v>
      </c>
      <c r="S2943">
        <v>60</v>
      </c>
      <c r="T2943">
        <v>9</v>
      </c>
    </row>
    <row r="2944" spans="1:20" x14ac:dyDescent="0.3">
      <c r="A2944" t="s">
        <v>43</v>
      </c>
      <c r="B2944">
        <v>97</v>
      </c>
      <c r="M2944">
        <v>100</v>
      </c>
      <c r="N2944">
        <v>20</v>
      </c>
      <c r="S2944">
        <v>100</v>
      </c>
    </row>
    <row r="2945" spans="1:20" x14ac:dyDescent="0.3">
      <c r="A2945" t="s">
        <v>44</v>
      </c>
      <c r="B2945">
        <v>97</v>
      </c>
      <c r="M2945">
        <v>0</v>
      </c>
      <c r="N2945">
        <v>0</v>
      </c>
      <c r="S2945">
        <v>0</v>
      </c>
    </row>
    <row r="2946" spans="1:20" x14ac:dyDescent="0.3">
      <c r="A2946" t="s">
        <v>750</v>
      </c>
      <c r="B2946">
        <v>97</v>
      </c>
      <c r="D2946">
        <v>0</v>
      </c>
      <c r="M2946">
        <v>0</v>
      </c>
      <c r="S2946">
        <v>0</v>
      </c>
    </row>
    <row r="2947" spans="1:20" x14ac:dyDescent="0.3">
      <c r="A2947" t="s">
        <v>405</v>
      </c>
      <c r="B2947">
        <v>97</v>
      </c>
      <c r="D2947">
        <v>0</v>
      </c>
    </row>
    <row r="2948" spans="1:20" x14ac:dyDescent="0.3">
      <c r="A2948" t="s">
        <v>751</v>
      </c>
      <c r="B2948">
        <v>97</v>
      </c>
      <c r="D2948">
        <v>0</v>
      </c>
      <c r="F2948">
        <v>0</v>
      </c>
      <c r="G2948">
        <v>0</v>
      </c>
      <c r="L2948">
        <v>0</v>
      </c>
      <c r="M2948">
        <v>757</v>
      </c>
      <c r="N2948">
        <v>400</v>
      </c>
      <c r="P2948">
        <v>0</v>
      </c>
      <c r="R2948">
        <v>0</v>
      </c>
      <c r="S2948">
        <v>1788</v>
      </c>
      <c r="T2948">
        <v>0</v>
      </c>
    </row>
    <row r="2949" spans="1:20" x14ac:dyDescent="0.3">
      <c r="A2949" t="s">
        <v>34</v>
      </c>
      <c r="B2949">
        <v>99</v>
      </c>
      <c r="D2949">
        <v>59</v>
      </c>
      <c r="E2949">
        <v>59</v>
      </c>
      <c r="I2949">
        <v>56</v>
      </c>
      <c r="J2949">
        <v>56</v>
      </c>
    </row>
    <row r="2950" spans="1:20" x14ac:dyDescent="0.3">
      <c r="A2950" t="s">
        <v>35</v>
      </c>
      <c r="B2950">
        <v>99</v>
      </c>
      <c r="D2950">
        <v>97</v>
      </c>
      <c r="E2950">
        <v>56</v>
      </c>
      <c r="I2950">
        <v>59</v>
      </c>
      <c r="J2950">
        <v>97</v>
      </c>
    </row>
    <row r="2951" spans="1:20" x14ac:dyDescent="0.3">
      <c r="A2951" t="s">
        <v>36</v>
      </c>
      <c r="B2951">
        <v>99</v>
      </c>
      <c r="D2951">
        <v>0</v>
      </c>
      <c r="E2951">
        <v>0</v>
      </c>
      <c r="I2951">
        <v>2</v>
      </c>
      <c r="J2951">
        <v>0</v>
      </c>
    </row>
    <row r="2952" spans="1:20" x14ac:dyDescent="0.3">
      <c r="A2952" t="s">
        <v>37</v>
      </c>
      <c r="B2952">
        <v>99</v>
      </c>
      <c r="D2952">
        <v>0</v>
      </c>
      <c r="E2952">
        <v>0</v>
      </c>
      <c r="I2952">
        <v>0</v>
      </c>
    </row>
    <row r="2953" spans="1:20" x14ac:dyDescent="0.3">
      <c r="A2953" t="s">
        <v>38</v>
      </c>
      <c r="B2953">
        <v>99</v>
      </c>
      <c r="D2953">
        <v>12</v>
      </c>
      <c r="E2953">
        <v>12</v>
      </c>
      <c r="I2953">
        <v>12</v>
      </c>
      <c r="J2953">
        <v>12</v>
      </c>
    </row>
    <row r="2954" spans="1:20" x14ac:dyDescent="0.3">
      <c r="A2954" t="s">
        <v>39</v>
      </c>
      <c r="B2954">
        <v>99</v>
      </c>
    </row>
    <row r="2955" spans="1:20" x14ac:dyDescent="0.3">
      <c r="A2955" t="s">
        <v>726</v>
      </c>
      <c r="B2955">
        <v>99</v>
      </c>
    </row>
    <row r="2956" spans="1:20" x14ac:dyDescent="0.3">
      <c r="A2956" t="s">
        <v>40</v>
      </c>
      <c r="B2956">
        <v>99</v>
      </c>
    </row>
    <row r="2957" spans="1:20" x14ac:dyDescent="0.3">
      <c r="A2957" t="s">
        <v>41</v>
      </c>
      <c r="B2957">
        <v>99</v>
      </c>
    </row>
    <row r="2958" spans="1:20" x14ac:dyDescent="0.3">
      <c r="A2958" t="s">
        <v>42</v>
      </c>
      <c r="B2958">
        <v>99</v>
      </c>
      <c r="E2958">
        <v>30</v>
      </c>
      <c r="I2958">
        <v>30</v>
      </c>
    </row>
    <row r="2959" spans="1:20" x14ac:dyDescent="0.3">
      <c r="A2959" t="s">
        <v>754</v>
      </c>
      <c r="B2959">
        <v>99</v>
      </c>
      <c r="E2959">
        <v>1</v>
      </c>
      <c r="I2959">
        <v>1</v>
      </c>
    </row>
    <row r="2960" spans="1:20" x14ac:dyDescent="0.3">
      <c r="A2960" t="s">
        <v>48</v>
      </c>
      <c r="B2960">
        <v>99</v>
      </c>
      <c r="D2960">
        <v>1900</v>
      </c>
      <c r="E2960">
        <v>1900</v>
      </c>
      <c r="I2960">
        <v>1900</v>
      </c>
      <c r="J2960">
        <v>1900</v>
      </c>
    </row>
    <row r="2961" spans="1:10" x14ac:dyDescent="0.3">
      <c r="A2961" t="s">
        <v>728</v>
      </c>
      <c r="B2961">
        <v>99</v>
      </c>
      <c r="D2961">
        <v>0</v>
      </c>
      <c r="E2961">
        <v>0</v>
      </c>
      <c r="I2961">
        <v>3539</v>
      </c>
      <c r="J2961">
        <v>0</v>
      </c>
    </row>
    <row r="2962" spans="1:10" x14ac:dyDescent="0.3">
      <c r="A2962" t="s">
        <v>50</v>
      </c>
      <c r="B2962">
        <v>99</v>
      </c>
      <c r="D2962">
        <v>0</v>
      </c>
      <c r="E2962">
        <v>0</v>
      </c>
      <c r="I2962">
        <v>3539</v>
      </c>
      <c r="J2962">
        <v>0</v>
      </c>
    </row>
    <row r="2963" spans="1:10" x14ac:dyDescent="0.3">
      <c r="A2963" t="s">
        <v>729</v>
      </c>
      <c r="B2963">
        <v>99</v>
      </c>
      <c r="D2963">
        <v>1</v>
      </c>
      <c r="E2963">
        <v>1</v>
      </c>
      <c r="I2963">
        <v>1</v>
      </c>
      <c r="J2963">
        <v>1</v>
      </c>
    </row>
    <row r="2964" spans="1:10" x14ac:dyDescent="0.3">
      <c r="A2964" t="s">
        <v>51</v>
      </c>
      <c r="B2964">
        <v>99</v>
      </c>
      <c r="D2964">
        <v>0</v>
      </c>
      <c r="E2964">
        <v>0</v>
      </c>
      <c r="I2964">
        <v>0</v>
      </c>
      <c r="J2964">
        <v>0</v>
      </c>
    </row>
    <row r="2965" spans="1:10" x14ac:dyDescent="0.3">
      <c r="A2965" t="s">
        <v>53</v>
      </c>
      <c r="B2965">
        <v>99</v>
      </c>
      <c r="D2965">
        <v>0</v>
      </c>
      <c r="E2965">
        <v>0</v>
      </c>
      <c r="I2965">
        <v>0</v>
      </c>
      <c r="J2965">
        <v>0</v>
      </c>
    </row>
    <row r="2966" spans="1:10" x14ac:dyDescent="0.3">
      <c r="A2966" t="s">
        <v>54</v>
      </c>
      <c r="B2966">
        <v>99</v>
      </c>
      <c r="D2966">
        <v>0</v>
      </c>
      <c r="E2966">
        <v>0</v>
      </c>
      <c r="I2966">
        <v>0</v>
      </c>
      <c r="J2966">
        <v>0</v>
      </c>
    </row>
    <row r="2967" spans="1:10" x14ac:dyDescent="0.3">
      <c r="A2967" t="s">
        <v>55</v>
      </c>
      <c r="B2967">
        <v>99</v>
      </c>
      <c r="D2967">
        <v>0</v>
      </c>
      <c r="E2967">
        <v>0</v>
      </c>
      <c r="I2967">
        <v>0</v>
      </c>
      <c r="J2967">
        <v>0</v>
      </c>
    </row>
    <row r="2968" spans="1:10" x14ac:dyDescent="0.3">
      <c r="A2968" t="s">
        <v>56</v>
      </c>
      <c r="B2968">
        <v>99</v>
      </c>
      <c r="D2968">
        <v>0.92</v>
      </c>
      <c r="E2968">
        <v>0.92</v>
      </c>
      <c r="I2968">
        <v>0.92</v>
      </c>
      <c r="J2968">
        <v>0.92</v>
      </c>
    </row>
    <row r="2969" spans="1:10" x14ac:dyDescent="0.3">
      <c r="A2969" t="s">
        <v>57</v>
      </c>
      <c r="B2969">
        <v>99</v>
      </c>
      <c r="D2969">
        <v>100</v>
      </c>
      <c r="E2969">
        <v>100</v>
      </c>
      <c r="I2969">
        <v>100</v>
      </c>
      <c r="J2969">
        <v>100</v>
      </c>
    </row>
    <row r="2970" spans="1:10" x14ac:dyDescent="0.3">
      <c r="A2970" t="s">
        <v>58</v>
      </c>
      <c r="B2970">
        <v>99</v>
      </c>
      <c r="D2970">
        <v>2</v>
      </c>
      <c r="E2970">
        <v>2</v>
      </c>
      <c r="I2970">
        <v>2</v>
      </c>
      <c r="J2970">
        <v>2</v>
      </c>
    </row>
    <row r="2971" spans="1:10" x14ac:dyDescent="0.3">
      <c r="A2971" t="s">
        <v>59</v>
      </c>
      <c r="B2971">
        <v>99</v>
      </c>
      <c r="D2971">
        <v>0</v>
      </c>
      <c r="E2971">
        <v>0</v>
      </c>
      <c r="I2971">
        <v>0</v>
      </c>
      <c r="J2971">
        <v>0</v>
      </c>
    </row>
    <row r="2972" spans="1:10" x14ac:dyDescent="0.3">
      <c r="A2972" t="s">
        <v>730</v>
      </c>
      <c r="B2972">
        <v>99</v>
      </c>
      <c r="E2972">
        <v>0</v>
      </c>
      <c r="I2972">
        <v>0</v>
      </c>
    </row>
    <row r="2973" spans="1:10" x14ac:dyDescent="0.3">
      <c r="A2973" t="s">
        <v>679</v>
      </c>
      <c r="B2973">
        <v>99</v>
      </c>
      <c r="E2973">
        <v>383</v>
      </c>
      <c r="I2973">
        <v>289</v>
      </c>
    </row>
    <row r="2974" spans="1:10" x14ac:dyDescent="0.3">
      <c r="A2974" t="s">
        <v>78</v>
      </c>
      <c r="B2974">
        <v>99</v>
      </c>
      <c r="E2974">
        <v>8.6999999999999993</v>
      </c>
      <c r="I2974">
        <v>6.6</v>
      </c>
    </row>
    <row r="2975" spans="1:10" x14ac:dyDescent="0.3">
      <c r="A2975" t="s">
        <v>731</v>
      </c>
      <c r="B2975">
        <v>99</v>
      </c>
      <c r="E2975">
        <v>0</v>
      </c>
      <c r="J2975">
        <v>0</v>
      </c>
    </row>
    <row r="2976" spans="1:10" x14ac:dyDescent="0.3">
      <c r="A2976" t="s">
        <v>752</v>
      </c>
      <c r="B2976">
        <v>99</v>
      </c>
    </row>
    <row r="2977" spans="1:10" x14ac:dyDescent="0.3">
      <c r="A2977" t="s">
        <v>753</v>
      </c>
      <c r="B2977">
        <v>99</v>
      </c>
    </row>
    <row r="2978" spans="1:10" x14ac:dyDescent="0.3">
      <c r="A2978" t="s">
        <v>732</v>
      </c>
      <c r="B2978">
        <v>99</v>
      </c>
      <c r="D2978">
        <v>0</v>
      </c>
      <c r="E2978">
        <v>0</v>
      </c>
      <c r="I2978">
        <v>0</v>
      </c>
      <c r="J2978">
        <v>1</v>
      </c>
    </row>
    <row r="2979" spans="1:10" x14ac:dyDescent="0.3">
      <c r="A2979" t="s">
        <v>733</v>
      </c>
      <c r="B2979">
        <v>99</v>
      </c>
      <c r="D2979">
        <v>0</v>
      </c>
      <c r="E2979">
        <v>0</v>
      </c>
      <c r="I2979">
        <v>0</v>
      </c>
      <c r="J2979">
        <v>0</v>
      </c>
    </row>
    <row r="2980" spans="1:10" x14ac:dyDescent="0.3">
      <c r="A2980" t="s">
        <v>52</v>
      </c>
      <c r="B2980">
        <v>99</v>
      </c>
      <c r="D2980">
        <v>1</v>
      </c>
      <c r="E2980">
        <v>1</v>
      </c>
      <c r="I2980">
        <v>1</v>
      </c>
      <c r="J2980">
        <v>1</v>
      </c>
    </row>
    <row r="2981" spans="1:10" x14ac:dyDescent="0.3">
      <c r="A2981" t="s">
        <v>734</v>
      </c>
      <c r="B2981">
        <v>99</v>
      </c>
      <c r="D2981">
        <v>15</v>
      </c>
      <c r="E2981">
        <v>60</v>
      </c>
      <c r="I2981">
        <v>60</v>
      </c>
      <c r="J2981">
        <v>9</v>
      </c>
    </row>
    <row r="2982" spans="1:10" x14ac:dyDescent="0.3">
      <c r="A2982" t="s">
        <v>43</v>
      </c>
      <c r="B2982">
        <v>99</v>
      </c>
      <c r="I2982">
        <v>100</v>
      </c>
    </row>
    <row r="2983" spans="1:10" x14ac:dyDescent="0.3">
      <c r="A2983" t="s">
        <v>44</v>
      </c>
      <c r="B2983">
        <v>99</v>
      </c>
      <c r="I2983">
        <v>0</v>
      </c>
    </row>
    <row r="2984" spans="1:10" x14ac:dyDescent="0.3">
      <c r="A2984" t="s">
        <v>750</v>
      </c>
      <c r="B2984">
        <v>99</v>
      </c>
      <c r="E2984">
        <v>0</v>
      </c>
      <c r="I2984">
        <v>0</v>
      </c>
    </row>
    <row r="2985" spans="1:10" x14ac:dyDescent="0.3">
      <c r="A2985" t="s">
        <v>405</v>
      </c>
      <c r="B2985">
        <v>99</v>
      </c>
      <c r="E2985">
        <v>0</v>
      </c>
    </row>
    <row r="2986" spans="1:10" x14ac:dyDescent="0.3">
      <c r="A2986" t="s">
        <v>751</v>
      </c>
      <c r="B2986">
        <v>99</v>
      </c>
      <c r="D2986">
        <v>0</v>
      </c>
      <c r="E2986">
        <v>0</v>
      </c>
      <c r="I2986">
        <v>0</v>
      </c>
      <c r="J2986">
        <v>0</v>
      </c>
    </row>
    <row r="2988" spans="1:10" x14ac:dyDescent="0.3">
      <c r="A2988" t="s">
        <v>565</v>
      </c>
    </row>
    <row r="2989" spans="1:10" x14ac:dyDescent="0.3">
      <c r="A2989" t="s">
        <v>755</v>
      </c>
    </row>
    <row r="2990" spans="1:10" x14ac:dyDescent="0.3">
      <c r="A2990" t="s">
        <v>0</v>
      </c>
      <c r="B2990" t="s">
        <v>1</v>
      </c>
      <c r="C2990" t="s">
        <v>644</v>
      </c>
    </row>
    <row r="2991" spans="1:10" x14ac:dyDescent="0.3">
      <c r="A2991" t="s">
        <v>756</v>
      </c>
      <c r="B2991">
        <v>3</v>
      </c>
      <c r="C2991">
        <v>0</v>
      </c>
    </row>
    <row r="2992" spans="1:10" x14ac:dyDescent="0.3">
      <c r="A2992" t="s">
        <v>757</v>
      </c>
      <c r="B2992">
        <v>3</v>
      </c>
      <c r="C2992">
        <v>120</v>
      </c>
    </row>
    <row r="2993" spans="1:3" x14ac:dyDescent="0.3">
      <c r="A2993" t="s">
        <v>758</v>
      </c>
      <c r="B2993">
        <v>3</v>
      </c>
      <c r="C2993">
        <v>1</v>
      </c>
    </row>
    <row r="2994" spans="1:3" x14ac:dyDescent="0.3">
      <c r="A2994" t="s">
        <v>759</v>
      </c>
      <c r="B2994">
        <v>3</v>
      </c>
      <c r="C2994">
        <v>0</v>
      </c>
    </row>
    <row r="2995" spans="1:3" x14ac:dyDescent="0.3">
      <c r="A2995" t="s">
        <v>760</v>
      </c>
      <c r="B2995">
        <v>3</v>
      </c>
      <c r="C2995">
        <v>206</v>
      </c>
    </row>
    <row r="2996" spans="1:3" x14ac:dyDescent="0.3">
      <c r="A2996" t="s">
        <v>563</v>
      </c>
      <c r="B2996">
        <v>3</v>
      </c>
      <c r="C2996">
        <v>0</v>
      </c>
    </row>
    <row r="2997" spans="1:3" x14ac:dyDescent="0.3">
      <c r="A2997" t="s">
        <v>761</v>
      </c>
      <c r="B2997">
        <v>3</v>
      </c>
      <c r="C2997">
        <v>0</v>
      </c>
    </row>
    <row r="2998" spans="1:3" x14ac:dyDescent="0.3">
      <c r="A2998" t="s">
        <v>272</v>
      </c>
      <c r="B2998">
        <v>3</v>
      </c>
      <c r="C2998">
        <v>0</v>
      </c>
    </row>
    <row r="2999" spans="1:3" x14ac:dyDescent="0.3">
      <c r="A2999" t="s">
        <v>762</v>
      </c>
      <c r="B2999">
        <v>3</v>
      </c>
      <c r="C2999">
        <v>3</v>
      </c>
    </row>
    <row r="3000" spans="1:3" x14ac:dyDescent="0.3">
      <c r="A3000" t="s">
        <v>763</v>
      </c>
      <c r="B3000">
        <v>3</v>
      </c>
      <c r="C3000">
        <v>0</v>
      </c>
    </row>
    <row r="3001" spans="1:3" x14ac:dyDescent="0.3">
      <c r="A3001" t="s">
        <v>756</v>
      </c>
      <c r="B3001">
        <v>6</v>
      </c>
      <c r="C3001">
        <v>0</v>
      </c>
    </row>
    <row r="3002" spans="1:3" x14ac:dyDescent="0.3">
      <c r="A3002" t="s">
        <v>757</v>
      </c>
      <c r="B3002">
        <v>6</v>
      </c>
      <c r="C3002">
        <v>120</v>
      </c>
    </row>
    <row r="3003" spans="1:3" x14ac:dyDescent="0.3">
      <c r="A3003" t="s">
        <v>758</v>
      </c>
      <c r="B3003">
        <v>6</v>
      </c>
      <c r="C3003">
        <v>1</v>
      </c>
    </row>
    <row r="3004" spans="1:3" x14ac:dyDescent="0.3">
      <c r="A3004" t="s">
        <v>759</v>
      </c>
      <c r="B3004">
        <v>6</v>
      </c>
      <c r="C3004">
        <v>0</v>
      </c>
    </row>
    <row r="3005" spans="1:3" x14ac:dyDescent="0.3">
      <c r="A3005" t="s">
        <v>760</v>
      </c>
      <c r="B3005">
        <v>6</v>
      </c>
      <c r="C3005">
        <v>206</v>
      </c>
    </row>
    <row r="3006" spans="1:3" x14ac:dyDescent="0.3">
      <c r="A3006" t="s">
        <v>563</v>
      </c>
      <c r="B3006">
        <v>6</v>
      </c>
      <c r="C3006">
        <v>0</v>
      </c>
    </row>
    <row r="3007" spans="1:3" x14ac:dyDescent="0.3">
      <c r="A3007" t="s">
        <v>761</v>
      </c>
      <c r="B3007">
        <v>6</v>
      </c>
      <c r="C3007">
        <v>1</v>
      </c>
    </row>
    <row r="3008" spans="1:3" x14ac:dyDescent="0.3">
      <c r="A3008" t="s">
        <v>272</v>
      </c>
      <c r="B3008">
        <v>6</v>
      </c>
      <c r="C3008">
        <v>0</v>
      </c>
    </row>
    <row r="3009" spans="1:3" x14ac:dyDescent="0.3">
      <c r="A3009" t="s">
        <v>762</v>
      </c>
      <c r="B3009">
        <v>6</v>
      </c>
      <c r="C3009">
        <v>6</v>
      </c>
    </row>
    <row r="3010" spans="1:3" x14ac:dyDescent="0.3">
      <c r="A3010" t="s">
        <v>763</v>
      </c>
      <c r="B3010">
        <v>6</v>
      </c>
      <c r="C3010">
        <v>0</v>
      </c>
    </row>
    <row r="3011" spans="1:3" x14ac:dyDescent="0.3">
      <c r="A3011" t="s">
        <v>756</v>
      </c>
      <c r="B3011">
        <v>10</v>
      </c>
      <c r="C3011">
        <v>0</v>
      </c>
    </row>
    <row r="3012" spans="1:3" x14ac:dyDescent="0.3">
      <c r="A3012" t="s">
        <v>757</v>
      </c>
      <c r="B3012">
        <v>10</v>
      </c>
      <c r="C3012">
        <v>120</v>
      </c>
    </row>
    <row r="3013" spans="1:3" x14ac:dyDescent="0.3">
      <c r="A3013" t="s">
        <v>758</v>
      </c>
      <c r="B3013">
        <v>10</v>
      </c>
      <c r="C3013">
        <v>1</v>
      </c>
    </row>
    <row r="3014" spans="1:3" x14ac:dyDescent="0.3">
      <c r="A3014" t="s">
        <v>759</v>
      </c>
      <c r="B3014">
        <v>10</v>
      </c>
      <c r="C3014">
        <v>0</v>
      </c>
    </row>
    <row r="3015" spans="1:3" x14ac:dyDescent="0.3">
      <c r="A3015" t="s">
        <v>760</v>
      </c>
      <c r="B3015">
        <v>10</v>
      </c>
      <c r="C3015">
        <v>2</v>
      </c>
    </row>
    <row r="3016" spans="1:3" x14ac:dyDescent="0.3">
      <c r="A3016" t="s">
        <v>563</v>
      </c>
      <c r="B3016">
        <v>10</v>
      </c>
      <c r="C3016">
        <v>0</v>
      </c>
    </row>
    <row r="3017" spans="1:3" x14ac:dyDescent="0.3">
      <c r="A3017" t="s">
        <v>761</v>
      </c>
      <c r="B3017">
        <v>10</v>
      </c>
      <c r="C3017">
        <v>0</v>
      </c>
    </row>
    <row r="3018" spans="1:3" x14ac:dyDescent="0.3">
      <c r="A3018" t="s">
        <v>272</v>
      </c>
      <c r="B3018">
        <v>10</v>
      </c>
      <c r="C3018">
        <v>0</v>
      </c>
    </row>
    <row r="3019" spans="1:3" x14ac:dyDescent="0.3">
      <c r="A3019" t="s">
        <v>762</v>
      </c>
      <c r="B3019">
        <v>10</v>
      </c>
      <c r="C3019">
        <v>10</v>
      </c>
    </row>
    <row r="3020" spans="1:3" x14ac:dyDescent="0.3">
      <c r="A3020" t="s">
        <v>763</v>
      </c>
      <c r="B3020">
        <v>10</v>
      </c>
      <c r="C3020">
        <v>0</v>
      </c>
    </row>
    <row r="3021" spans="1:3" x14ac:dyDescent="0.3">
      <c r="A3021" t="s">
        <v>756</v>
      </c>
      <c r="B3021">
        <v>13</v>
      </c>
      <c r="C3021">
        <v>0</v>
      </c>
    </row>
    <row r="3022" spans="1:3" x14ac:dyDescent="0.3">
      <c r="A3022" t="s">
        <v>757</v>
      </c>
      <c r="B3022">
        <v>13</v>
      </c>
      <c r="C3022">
        <v>120</v>
      </c>
    </row>
    <row r="3023" spans="1:3" x14ac:dyDescent="0.3">
      <c r="A3023" t="s">
        <v>758</v>
      </c>
      <c r="B3023">
        <v>13</v>
      </c>
      <c r="C3023">
        <v>1</v>
      </c>
    </row>
    <row r="3024" spans="1:3" x14ac:dyDescent="0.3">
      <c r="A3024" t="s">
        <v>759</v>
      </c>
      <c r="B3024">
        <v>13</v>
      </c>
      <c r="C3024">
        <v>0</v>
      </c>
    </row>
    <row r="3025" spans="1:3" x14ac:dyDescent="0.3">
      <c r="A3025" t="s">
        <v>760</v>
      </c>
      <c r="B3025">
        <v>13</v>
      </c>
      <c r="C3025">
        <v>2</v>
      </c>
    </row>
    <row r="3026" spans="1:3" x14ac:dyDescent="0.3">
      <c r="A3026" t="s">
        <v>563</v>
      </c>
      <c r="B3026">
        <v>13</v>
      </c>
      <c r="C3026">
        <v>0</v>
      </c>
    </row>
    <row r="3027" spans="1:3" x14ac:dyDescent="0.3">
      <c r="A3027" t="s">
        <v>761</v>
      </c>
      <c r="B3027">
        <v>13</v>
      </c>
      <c r="C3027">
        <v>0</v>
      </c>
    </row>
    <row r="3028" spans="1:3" x14ac:dyDescent="0.3">
      <c r="A3028" t="s">
        <v>272</v>
      </c>
      <c r="B3028">
        <v>13</v>
      </c>
      <c r="C3028">
        <v>0</v>
      </c>
    </row>
    <row r="3029" spans="1:3" x14ac:dyDescent="0.3">
      <c r="A3029" t="s">
        <v>762</v>
      </c>
      <c r="B3029">
        <v>13</v>
      </c>
      <c r="C3029">
        <v>13</v>
      </c>
    </row>
    <row r="3030" spans="1:3" x14ac:dyDescent="0.3">
      <c r="A3030" t="s">
        <v>763</v>
      </c>
      <c r="B3030">
        <v>13</v>
      </c>
      <c r="C3030">
        <v>0</v>
      </c>
    </row>
    <row r="3031" spans="1:3" x14ac:dyDescent="0.3">
      <c r="A3031" t="s">
        <v>756</v>
      </c>
      <c r="B3031">
        <v>16</v>
      </c>
      <c r="C3031">
        <v>0</v>
      </c>
    </row>
    <row r="3032" spans="1:3" x14ac:dyDescent="0.3">
      <c r="A3032" t="s">
        <v>757</v>
      </c>
      <c r="B3032">
        <v>16</v>
      </c>
      <c r="C3032">
        <v>120</v>
      </c>
    </row>
    <row r="3033" spans="1:3" x14ac:dyDescent="0.3">
      <c r="A3033" t="s">
        <v>758</v>
      </c>
      <c r="B3033">
        <v>16</v>
      </c>
      <c r="C3033">
        <v>1</v>
      </c>
    </row>
    <row r="3034" spans="1:3" x14ac:dyDescent="0.3">
      <c r="A3034" t="s">
        <v>759</v>
      </c>
      <c r="B3034">
        <v>16</v>
      </c>
      <c r="C3034">
        <v>0</v>
      </c>
    </row>
    <row r="3035" spans="1:3" x14ac:dyDescent="0.3">
      <c r="A3035" t="s">
        <v>760</v>
      </c>
      <c r="B3035">
        <v>16</v>
      </c>
      <c r="C3035">
        <v>2</v>
      </c>
    </row>
    <row r="3036" spans="1:3" x14ac:dyDescent="0.3">
      <c r="A3036" t="s">
        <v>563</v>
      </c>
      <c r="B3036">
        <v>16</v>
      </c>
      <c r="C3036">
        <v>0</v>
      </c>
    </row>
    <row r="3037" spans="1:3" x14ac:dyDescent="0.3">
      <c r="A3037" t="s">
        <v>761</v>
      </c>
      <c r="B3037">
        <v>16</v>
      </c>
      <c r="C3037">
        <v>0</v>
      </c>
    </row>
    <row r="3038" spans="1:3" x14ac:dyDescent="0.3">
      <c r="A3038" t="s">
        <v>272</v>
      </c>
      <c r="B3038">
        <v>16</v>
      </c>
      <c r="C3038">
        <v>0</v>
      </c>
    </row>
    <row r="3039" spans="1:3" x14ac:dyDescent="0.3">
      <c r="A3039" t="s">
        <v>762</v>
      </c>
      <c r="B3039">
        <v>16</v>
      </c>
      <c r="C3039">
        <v>16</v>
      </c>
    </row>
    <row r="3040" spans="1:3" x14ac:dyDescent="0.3">
      <c r="A3040" t="s">
        <v>763</v>
      </c>
      <c r="B3040">
        <v>16</v>
      </c>
      <c r="C3040">
        <v>0</v>
      </c>
    </row>
    <row r="3041" spans="1:3" x14ac:dyDescent="0.3">
      <c r="A3041" t="s">
        <v>756</v>
      </c>
      <c r="B3041">
        <v>21</v>
      </c>
      <c r="C3041">
        <v>0</v>
      </c>
    </row>
    <row r="3042" spans="1:3" x14ac:dyDescent="0.3">
      <c r="A3042" t="s">
        <v>757</v>
      </c>
      <c r="B3042">
        <v>21</v>
      </c>
      <c r="C3042">
        <v>120</v>
      </c>
    </row>
    <row r="3043" spans="1:3" x14ac:dyDescent="0.3">
      <c r="A3043" t="s">
        <v>758</v>
      </c>
      <c r="B3043">
        <v>21</v>
      </c>
      <c r="C3043">
        <v>0</v>
      </c>
    </row>
    <row r="3044" spans="1:3" x14ac:dyDescent="0.3">
      <c r="A3044" t="s">
        <v>759</v>
      </c>
      <c r="B3044">
        <v>21</v>
      </c>
      <c r="C3044">
        <v>0</v>
      </c>
    </row>
    <row r="3045" spans="1:3" x14ac:dyDescent="0.3">
      <c r="A3045" t="s">
        <v>760</v>
      </c>
      <c r="B3045">
        <v>21</v>
      </c>
      <c r="C3045">
        <v>2</v>
      </c>
    </row>
    <row r="3046" spans="1:3" x14ac:dyDescent="0.3">
      <c r="A3046" t="s">
        <v>563</v>
      </c>
      <c r="B3046">
        <v>21</v>
      </c>
      <c r="C3046">
        <v>67</v>
      </c>
    </row>
    <row r="3047" spans="1:3" x14ac:dyDescent="0.3">
      <c r="A3047" t="s">
        <v>761</v>
      </c>
      <c r="B3047">
        <v>21</v>
      </c>
      <c r="C3047">
        <v>0</v>
      </c>
    </row>
    <row r="3048" spans="1:3" x14ac:dyDescent="0.3">
      <c r="A3048" t="s">
        <v>272</v>
      </c>
      <c r="B3048">
        <v>21</v>
      </c>
      <c r="C3048">
        <v>0</v>
      </c>
    </row>
    <row r="3049" spans="1:3" x14ac:dyDescent="0.3">
      <c r="A3049" t="s">
        <v>762</v>
      </c>
      <c r="B3049">
        <v>21</v>
      </c>
      <c r="C3049">
        <v>21</v>
      </c>
    </row>
    <row r="3050" spans="1:3" x14ac:dyDescent="0.3">
      <c r="A3050" t="s">
        <v>763</v>
      </c>
      <c r="B3050">
        <v>21</v>
      </c>
      <c r="C3050">
        <v>0</v>
      </c>
    </row>
    <row r="3051" spans="1:3" x14ac:dyDescent="0.3">
      <c r="A3051" t="s">
        <v>756</v>
      </c>
      <c r="B3051">
        <v>24</v>
      </c>
      <c r="C3051">
        <v>0</v>
      </c>
    </row>
    <row r="3052" spans="1:3" x14ac:dyDescent="0.3">
      <c r="A3052" t="s">
        <v>757</v>
      </c>
      <c r="B3052">
        <v>24</v>
      </c>
      <c r="C3052">
        <v>60</v>
      </c>
    </row>
    <row r="3053" spans="1:3" x14ac:dyDescent="0.3">
      <c r="A3053" t="s">
        <v>758</v>
      </c>
      <c r="B3053">
        <v>24</v>
      </c>
      <c r="C3053">
        <v>0</v>
      </c>
    </row>
    <row r="3054" spans="1:3" x14ac:dyDescent="0.3">
      <c r="A3054" t="s">
        <v>759</v>
      </c>
      <c r="B3054">
        <v>24</v>
      </c>
      <c r="C3054">
        <v>0</v>
      </c>
    </row>
    <row r="3055" spans="1:3" x14ac:dyDescent="0.3">
      <c r="A3055" t="s">
        <v>760</v>
      </c>
      <c r="B3055">
        <v>24</v>
      </c>
      <c r="C3055">
        <v>1</v>
      </c>
    </row>
    <row r="3056" spans="1:3" x14ac:dyDescent="0.3">
      <c r="A3056" t="s">
        <v>563</v>
      </c>
      <c r="B3056">
        <v>24</v>
      </c>
      <c r="C3056">
        <v>14</v>
      </c>
    </row>
    <row r="3057" spans="1:3" x14ac:dyDescent="0.3">
      <c r="A3057" t="s">
        <v>761</v>
      </c>
      <c r="B3057">
        <v>24</v>
      </c>
      <c r="C3057">
        <v>0</v>
      </c>
    </row>
    <row r="3058" spans="1:3" x14ac:dyDescent="0.3">
      <c r="A3058" t="s">
        <v>272</v>
      </c>
      <c r="B3058">
        <v>24</v>
      </c>
      <c r="C3058">
        <v>0</v>
      </c>
    </row>
    <row r="3059" spans="1:3" x14ac:dyDescent="0.3">
      <c r="A3059" t="s">
        <v>762</v>
      </c>
      <c r="B3059">
        <v>24</v>
      </c>
      <c r="C3059">
        <v>24</v>
      </c>
    </row>
    <row r="3060" spans="1:3" x14ac:dyDescent="0.3">
      <c r="A3060" t="s">
        <v>763</v>
      </c>
      <c r="B3060">
        <v>24</v>
      </c>
      <c r="C3060">
        <v>0</v>
      </c>
    </row>
    <row r="3061" spans="1:3" x14ac:dyDescent="0.3">
      <c r="A3061" t="s">
        <v>756</v>
      </c>
      <c r="B3061">
        <v>27</v>
      </c>
      <c r="C3061">
        <v>0</v>
      </c>
    </row>
    <row r="3062" spans="1:3" x14ac:dyDescent="0.3">
      <c r="A3062" t="s">
        <v>757</v>
      </c>
      <c r="B3062">
        <v>27</v>
      </c>
      <c r="C3062">
        <v>120</v>
      </c>
    </row>
    <row r="3063" spans="1:3" x14ac:dyDescent="0.3">
      <c r="A3063" t="s">
        <v>758</v>
      </c>
      <c r="B3063">
        <v>27</v>
      </c>
      <c r="C3063">
        <v>0</v>
      </c>
    </row>
    <row r="3064" spans="1:3" x14ac:dyDescent="0.3">
      <c r="A3064" t="s">
        <v>759</v>
      </c>
      <c r="B3064">
        <v>27</v>
      </c>
      <c r="C3064">
        <v>0</v>
      </c>
    </row>
    <row r="3065" spans="1:3" x14ac:dyDescent="0.3">
      <c r="A3065" t="s">
        <v>760</v>
      </c>
      <c r="B3065">
        <v>27</v>
      </c>
      <c r="C3065">
        <v>1</v>
      </c>
    </row>
    <row r="3066" spans="1:3" x14ac:dyDescent="0.3">
      <c r="A3066" t="s">
        <v>563</v>
      </c>
      <c r="B3066">
        <v>27</v>
      </c>
      <c r="C3066">
        <v>0</v>
      </c>
    </row>
    <row r="3067" spans="1:3" x14ac:dyDescent="0.3">
      <c r="A3067" t="s">
        <v>761</v>
      </c>
      <c r="B3067">
        <v>27</v>
      </c>
      <c r="C3067">
        <v>0</v>
      </c>
    </row>
    <row r="3068" spans="1:3" x14ac:dyDescent="0.3">
      <c r="A3068" t="s">
        <v>272</v>
      </c>
      <c r="B3068">
        <v>27</v>
      </c>
      <c r="C3068">
        <v>0</v>
      </c>
    </row>
    <row r="3069" spans="1:3" x14ac:dyDescent="0.3">
      <c r="A3069" t="s">
        <v>762</v>
      </c>
      <c r="B3069">
        <v>27</v>
      </c>
      <c r="C3069">
        <v>27</v>
      </c>
    </row>
    <row r="3070" spans="1:3" x14ac:dyDescent="0.3">
      <c r="A3070" t="s">
        <v>763</v>
      </c>
      <c r="B3070">
        <v>27</v>
      </c>
      <c r="C3070">
        <v>0</v>
      </c>
    </row>
    <row r="3071" spans="1:3" x14ac:dyDescent="0.3">
      <c r="A3071" t="s">
        <v>756</v>
      </c>
      <c r="B3071">
        <v>32</v>
      </c>
      <c r="C3071">
        <v>0</v>
      </c>
    </row>
    <row r="3072" spans="1:3" x14ac:dyDescent="0.3">
      <c r="A3072" t="s">
        <v>757</v>
      </c>
      <c r="B3072">
        <v>32</v>
      </c>
      <c r="C3072">
        <v>120</v>
      </c>
    </row>
    <row r="3073" spans="1:3" x14ac:dyDescent="0.3">
      <c r="A3073" t="s">
        <v>758</v>
      </c>
      <c r="B3073">
        <v>32</v>
      </c>
      <c r="C3073">
        <v>0</v>
      </c>
    </row>
    <row r="3074" spans="1:3" x14ac:dyDescent="0.3">
      <c r="A3074" t="s">
        <v>759</v>
      </c>
      <c r="B3074">
        <v>32</v>
      </c>
      <c r="C3074">
        <v>0</v>
      </c>
    </row>
    <row r="3075" spans="1:3" x14ac:dyDescent="0.3">
      <c r="A3075" t="s">
        <v>760</v>
      </c>
      <c r="B3075">
        <v>32</v>
      </c>
      <c r="C3075">
        <v>206</v>
      </c>
    </row>
    <row r="3076" spans="1:3" x14ac:dyDescent="0.3">
      <c r="A3076" t="s">
        <v>563</v>
      </c>
      <c r="B3076">
        <v>32</v>
      </c>
      <c r="C3076">
        <v>70</v>
      </c>
    </row>
    <row r="3077" spans="1:3" x14ac:dyDescent="0.3">
      <c r="A3077" t="s">
        <v>761</v>
      </c>
      <c r="B3077">
        <v>32</v>
      </c>
      <c r="C3077">
        <v>0</v>
      </c>
    </row>
    <row r="3078" spans="1:3" x14ac:dyDescent="0.3">
      <c r="A3078" t="s">
        <v>272</v>
      </c>
      <c r="B3078">
        <v>32</v>
      </c>
      <c r="C3078">
        <v>0</v>
      </c>
    </row>
    <row r="3079" spans="1:3" x14ac:dyDescent="0.3">
      <c r="A3079" t="s">
        <v>762</v>
      </c>
      <c r="B3079">
        <v>32</v>
      </c>
      <c r="C3079">
        <v>32</v>
      </c>
    </row>
    <row r="3080" spans="1:3" x14ac:dyDescent="0.3">
      <c r="A3080" t="s">
        <v>763</v>
      </c>
      <c r="B3080">
        <v>32</v>
      </c>
      <c r="C3080">
        <v>0</v>
      </c>
    </row>
    <row r="3081" spans="1:3" x14ac:dyDescent="0.3">
      <c r="A3081" t="s">
        <v>756</v>
      </c>
      <c r="B3081">
        <v>35</v>
      </c>
      <c r="C3081">
        <v>0</v>
      </c>
    </row>
    <row r="3082" spans="1:3" x14ac:dyDescent="0.3">
      <c r="A3082" t="s">
        <v>757</v>
      </c>
      <c r="B3082">
        <v>35</v>
      </c>
      <c r="C3082">
        <v>120</v>
      </c>
    </row>
    <row r="3083" spans="1:3" x14ac:dyDescent="0.3">
      <c r="A3083" t="s">
        <v>758</v>
      </c>
      <c r="B3083">
        <v>35</v>
      </c>
      <c r="C3083">
        <v>0</v>
      </c>
    </row>
    <row r="3084" spans="1:3" x14ac:dyDescent="0.3">
      <c r="A3084" t="s">
        <v>759</v>
      </c>
      <c r="B3084">
        <v>35</v>
      </c>
      <c r="C3084">
        <v>0</v>
      </c>
    </row>
    <row r="3085" spans="1:3" x14ac:dyDescent="0.3">
      <c r="A3085" t="s">
        <v>760</v>
      </c>
      <c r="B3085">
        <v>35</v>
      </c>
      <c r="C3085">
        <v>1</v>
      </c>
    </row>
    <row r="3086" spans="1:3" x14ac:dyDescent="0.3">
      <c r="A3086" t="s">
        <v>563</v>
      </c>
      <c r="B3086">
        <v>35</v>
      </c>
      <c r="C3086">
        <v>0</v>
      </c>
    </row>
    <row r="3087" spans="1:3" x14ac:dyDescent="0.3">
      <c r="A3087" t="s">
        <v>761</v>
      </c>
      <c r="B3087">
        <v>35</v>
      </c>
      <c r="C3087">
        <v>0</v>
      </c>
    </row>
    <row r="3088" spans="1:3" x14ac:dyDescent="0.3">
      <c r="A3088" t="s">
        <v>272</v>
      </c>
      <c r="B3088">
        <v>35</v>
      </c>
      <c r="C3088">
        <v>0</v>
      </c>
    </row>
    <row r="3089" spans="1:3" x14ac:dyDescent="0.3">
      <c r="A3089" t="s">
        <v>762</v>
      </c>
      <c r="B3089">
        <v>35</v>
      </c>
      <c r="C3089">
        <v>35</v>
      </c>
    </row>
    <row r="3090" spans="1:3" x14ac:dyDescent="0.3">
      <c r="A3090" t="s">
        <v>763</v>
      </c>
      <c r="B3090">
        <v>35</v>
      </c>
      <c r="C3090">
        <v>0</v>
      </c>
    </row>
    <row r="3091" spans="1:3" x14ac:dyDescent="0.3">
      <c r="A3091" t="s">
        <v>756</v>
      </c>
      <c r="B3091">
        <v>41</v>
      </c>
      <c r="C3091">
        <v>0</v>
      </c>
    </row>
    <row r="3092" spans="1:3" x14ac:dyDescent="0.3">
      <c r="A3092" t="s">
        <v>757</v>
      </c>
      <c r="B3092">
        <v>41</v>
      </c>
      <c r="C3092">
        <v>120</v>
      </c>
    </row>
    <row r="3093" spans="1:3" x14ac:dyDescent="0.3">
      <c r="A3093" t="s">
        <v>758</v>
      </c>
      <c r="B3093">
        <v>41</v>
      </c>
      <c r="C3093">
        <v>0</v>
      </c>
    </row>
    <row r="3094" spans="1:3" x14ac:dyDescent="0.3">
      <c r="A3094" t="s">
        <v>759</v>
      </c>
      <c r="B3094">
        <v>41</v>
      </c>
      <c r="C3094">
        <v>0</v>
      </c>
    </row>
    <row r="3095" spans="1:3" x14ac:dyDescent="0.3">
      <c r="A3095" t="s">
        <v>760</v>
      </c>
      <c r="B3095">
        <v>41</v>
      </c>
      <c r="C3095">
        <v>2</v>
      </c>
    </row>
    <row r="3096" spans="1:3" x14ac:dyDescent="0.3">
      <c r="A3096" t="s">
        <v>563</v>
      </c>
      <c r="B3096">
        <v>41</v>
      </c>
      <c r="C3096">
        <v>68</v>
      </c>
    </row>
    <row r="3097" spans="1:3" x14ac:dyDescent="0.3">
      <c r="A3097" t="s">
        <v>761</v>
      </c>
      <c r="B3097">
        <v>41</v>
      </c>
      <c r="C3097">
        <v>0</v>
      </c>
    </row>
    <row r="3098" spans="1:3" x14ac:dyDescent="0.3">
      <c r="A3098" t="s">
        <v>272</v>
      </c>
      <c r="B3098">
        <v>41</v>
      </c>
      <c r="C3098">
        <v>0</v>
      </c>
    </row>
    <row r="3099" spans="1:3" x14ac:dyDescent="0.3">
      <c r="A3099" t="s">
        <v>762</v>
      </c>
      <c r="B3099">
        <v>41</v>
      </c>
      <c r="C3099">
        <v>41</v>
      </c>
    </row>
    <row r="3100" spans="1:3" x14ac:dyDescent="0.3">
      <c r="A3100" t="s">
        <v>763</v>
      </c>
      <c r="B3100">
        <v>41</v>
      </c>
      <c r="C3100">
        <v>0</v>
      </c>
    </row>
    <row r="3101" spans="1:3" x14ac:dyDescent="0.3">
      <c r="A3101" t="s">
        <v>756</v>
      </c>
      <c r="B3101">
        <v>44</v>
      </c>
      <c r="C3101">
        <v>0</v>
      </c>
    </row>
    <row r="3102" spans="1:3" x14ac:dyDescent="0.3">
      <c r="A3102" t="s">
        <v>757</v>
      </c>
      <c r="B3102">
        <v>44</v>
      </c>
      <c r="C3102">
        <v>120</v>
      </c>
    </row>
    <row r="3103" spans="1:3" x14ac:dyDescent="0.3">
      <c r="A3103" t="s">
        <v>758</v>
      </c>
      <c r="B3103">
        <v>44</v>
      </c>
      <c r="C3103">
        <v>0</v>
      </c>
    </row>
    <row r="3104" spans="1:3" x14ac:dyDescent="0.3">
      <c r="A3104" t="s">
        <v>759</v>
      </c>
      <c r="B3104">
        <v>44</v>
      </c>
      <c r="C3104">
        <v>0</v>
      </c>
    </row>
    <row r="3105" spans="1:3" x14ac:dyDescent="0.3">
      <c r="A3105" t="s">
        <v>760</v>
      </c>
      <c r="B3105">
        <v>44</v>
      </c>
      <c r="C3105">
        <v>1</v>
      </c>
    </row>
    <row r="3106" spans="1:3" x14ac:dyDescent="0.3">
      <c r="A3106" t="s">
        <v>563</v>
      </c>
      <c r="B3106">
        <v>44</v>
      </c>
      <c r="C3106">
        <v>106</v>
      </c>
    </row>
    <row r="3107" spans="1:3" x14ac:dyDescent="0.3">
      <c r="A3107" t="s">
        <v>761</v>
      </c>
      <c r="B3107">
        <v>44</v>
      </c>
      <c r="C3107">
        <v>0</v>
      </c>
    </row>
    <row r="3108" spans="1:3" x14ac:dyDescent="0.3">
      <c r="A3108" t="s">
        <v>272</v>
      </c>
      <c r="B3108">
        <v>44</v>
      </c>
      <c r="C3108">
        <v>0</v>
      </c>
    </row>
    <row r="3109" spans="1:3" x14ac:dyDescent="0.3">
      <c r="A3109" t="s">
        <v>762</v>
      </c>
      <c r="B3109">
        <v>44</v>
      </c>
      <c r="C3109">
        <v>44</v>
      </c>
    </row>
    <row r="3110" spans="1:3" x14ac:dyDescent="0.3">
      <c r="A3110" t="s">
        <v>763</v>
      </c>
      <c r="B3110">
        <v>44</v>
      </c>
      <c r="C3110">
        <v>0</v>
      </c>
    </row>
    <row r="3111" spans="1:3" x14ac:dyDescent="0.3">
      <c r="A3111" t="s">
        <v>756</v>
      </c>
      <c r="B3111">
        <v>48</v>
      </c>
      <c r="C3111">
        <v>0</v>
      </c>
    </row>
    <row r="3112" spans="1:3" x14ac:dyDescent="0.3">
      <c r="A3112" t="s">
        <v>757</v>
      </c>
      <c r="B3112">
        <v>48</v>
      </c>
      <c r="C3112">
        <v>120</v>
      </c>
    </row>
    <row r="3113" spans="1:3" x14ac:dyDescent="0.3">
      <c r="A3113" t="s">
        <v>758</v>
      </c>
      <c r="B3113">
        <v>48</v>
      </c>
      <c r="C3113">
        <v>0</v>
      </c>
    </row>
    <row r="3114" spans="1:3" x14ac:dyDescent="0.3">
      <c r="A3114" t="s">
        <v>759</v>
      </c>
      <c r="B3114">
        <v>48</v>
      </c>
      <c r="C3114">
        <v>0</v>
      </c>
    </row>
    <row r="3115" spans="1:3" x14ac:dyDescent="0.3">
      <c r="A3115" t="s">
        <v>760</v>
      </c>
      <c r="B3115">
        <v>48</v>
      </c>
      <c r="C3115">
        <v>206</v>
      </c>
    </row>
    <row r="3116" spans="1:3" x14ac:dyDescent="0.3">
      <c r="A3116" t="s">
        <v>563</v>
      </c>
      <c r="B3116">
        <v>48</v>
      </c>
      <c r="C3116">
        <v>114</v>
      </c>
    </row>
    <row r="3117" spans="1:3" x14ac:dyDescent="0.3">
      <c r="A3117" t="s">
        <v>761</v>
      </c>
      <c r="B3117">
        <v>48</v>
      </c>
      <c r="C3117">
        <v>0</v>
      </c>
    </row>
    <row r="3118" spans="1:3" x14ac:dyDescent="0.3">
      <c r="A3118" t="s">
        <v>272</v>
      </c>
      <c r="B3118">
        <v>48</v>
      </c>
      <c r="C3118">
        <v>0</v>
      </c>
    </row>
    <row r="3119" spans="1:3" x14ac:dyDescent="0.3">
      <c r="A3119" t="s">
        <v>762</v>
      </c>
      <c r="B3119">
        <v>48</v>
      </c>
      <c r="C3119">
        <v>48</v>
      </c>
    </row>
    <row r="3120" spans="1:3" x14ac:dyDescent="0.3">
      <c r="A3120" t="s">
        <v>763</v>
      </c>
      <c r="B3120">
        <v>48</v>
      </c>
      <c r="C3120">
        <v>0</v>
      </c>
    </row>
    <row r="3121" spans="1:3" x14ac:dyDescent="0.3">
      <c r="A3121" t="s">
        <v>756</v>
      </c>
      <c r="B3121">
        <v>49</v>
      </c>
      <c r="C3121">
        <v>0</v>
      </c>
    </row>
    <row r="3122" spans="1:3" x14ac:dyDescent="0.3">
      <c r="A3122" t="s">
        <v>757</v>
      </c>
      <c r="B3122">
        <v>49</v>
      </c>
      <c r="C3122">
        <v>120</v>
      </c>
    </row>
    <row r="3123" spans="1:3" x14ac:dyDescent="0.3">
      <c r="A3123" t="s">
        <v>758</v>
      </c>
      <c r="B3123">
        <v>49</v>
      </c>
      <c r="C3123">
        <v>0</v>
      </c>
    </row>
    <row r="3124" spans="1:3" x14ac:dyDescent="0.3">
      <c r="A3124" t="s">
        <v>759</v>
      </c>
      <c r="B3124">
        <v>49</v>
      </c>
      <c r="C3124">
        <v>0</v>
      </c>
    </row>
    <row r="3125" spans="1:3" x14ac:dyDescent="0.3">
      <c r="A3125" t="s">
        <v>760</v>
      </c>
      <c r="B3125">
        <v>49</v>
      </c>
      <c r="C3125">
        <v>206</v>
      </c>
    </row>
    <row r="3126" spans="1:3" x14ac:dyDescent="0.3">
      <c r="A3126" t="s">
        <v>563</v>
      </c>
      <c r="B3126">
        <v>49</v>
      </c>
      <c r="C3126">
        <v>0</v>
      </c>
    </row>
    <row r="3127" spans="1:3" x14ac:dyDescent="0.3">
      <c r="A3127" t="s">
        <v>761</v>
      </c>
      <c r="B3127">
        <v>49</v>
      </c>
      <c r="C3127">
        <v>0</v>
      </c>
    </row>
    <row r="3128" spans="1:3" x14ac:dyDescent="0.3">
      <c r="A3128" t="s">
        <v>272</v>
      </c>
      <c r="B3128">
        <v>49</v>
      </c>
      <c r="C3128">
        <v>0</v>
      </c>
    </row>
    <row r="3129" spans="1:3" x14ac:dyDescent="0.3">
      <c r="A3129" t="s">
        <v>762</v>
      </c>
      <c r="B3129">
        <v>49</v>
      </c>
      <c r="C3129">
        <v>49</v>
      </c>
    </row>
    <row r="3130" spans="1:3" x14ac:dyDescent="0.3">
      <c r="A3130" t="s">
        <v>763</v>
      </c>
      <c r="B3130">
        <v>49</v>
      </c>
      <c r="C3130">
        <v>0</v>
      </c>
    </row>
    <row r="3131" spans="1:3" x14ac:dyDescent="0.3">
      <c r="A3131" t="s">
        <v>756</v>
      </c>
      <c r="B3131">
        <v>53</v>
      </c>
      <c r="C3131">
        <v>0</v>
      </c>
    </row>
    <row r="3132" spans="1:3" x14ac:dyDescent="0.3">
      <c r="A3132" t="s">
        <v>757</v>
      </c>
      <c r="B3132">
        <v>53</v>
      </c>
      <c r="C3132">
        <v>120</v>
      </c>
    </row>
    <row r="3133" spans="1:3" x14ac:dyDescent="0.3">
      <c r="A3133" t="s">
        <v>758</v>
      </c>
      <c r="B3133">
        <v>53</v>
      </c>
      <c r="C3133">
        <v>0</v>
      </c>
    </row>
    <row r="3134" spans="1:3" x14ac:dyDescent="0.3">
      <c r="A3134" t="s">
        <v>759</v>
      </c>
      <c r="B3134">
        <v>53</v>
      </c>
      <c r="C3134">
        <v>0</v>
      </c>
    </row>
    <row r="3135" spans="1:3" x14ac:dyDescent="0.3">
      <c r="A3135" t="s">
        <v>760</v>
      </c>
      <c r="B3135">
        <v>53</v>
      </c>
      <c r="C3135">
        <v>206</v>
      </c>
    </row>
    <row r="3136" spans="1:3" x14ac:dyDescent="0.3">
      <c r="A3136" t="s">
        <v>563</v>
      </c>
      <c r="B3136">
        <v>53</v>
      </c>
      <c r="C3136">
        <v>52</v>
      </c>
    </row>
    <row r="3137" spans="1:3" x14ac:dyDescent="0.3">
      <c r="A3137" t="s">
        <v>761</v>
      </c>
      <c r="B3137">
        <v>53</v>
      </c>
      <c r="C3137">
        <v>0</v>
      </c>
    </row>
    <row r="3138" spans="1:3" x14ac:dyDescent="0.3">
      <c r="A3138" t="s">
        <v>272</v>
      </c>
      <c r="B3138">
        <v>53</v>
      </c>
      <c r="C3138">
        <v>0</v>
      </c>
    </row>
    <row r="3139" spans="1:3" x14ac:dyDescent="0.3">
      <c r="A3139" t="s">
        <v>762</v>
      </c>
      <c r="B3139">
        <v>53</v>
      </c>
      <c r="C3139">
        <v>53</v>
      </c>
    </row>
    <row r="3140" spans="1:3" x14ac:dyDescent="0.3">
      <c r="A3140" t="s">
        <v>763</v>
      </c>
      <c r="B3140">
        <v>53</v>
      </c>
      <c r="C3140">
        <v>0</v>
      </c>
    </row>
    <row r="3141" spans="1:3" x14ac:dyDescent="0.3">
      <c r="A3141" t="s">
        <v>756</v>
      </c>
      <c r="B3141">
        <v>56</v>
      </c>
      <c r="C3141">
        <v>0</v>
      </c>
    </row>
    <row r="3142" spans="1:3" x14ac:dyDescent="0.3">
      <c r="A3142" t="s">
        <v>757</v>
      </c>
      <c r="B3142">
        <v>56</v>
      </c>
      <c r="C3142">
        <v>120</v>
      </c>
    </row>
    <row r="3143" spans="1:3" x14ac:dyDescent="0.3">
      <c r="A3143" t="s">
        <v>758</v>
      </c>
      <c r="B3143">
        <v>56</v>
      </c>
      <c r="C3143">
        <v>0</v>
      </c>
    </row>
    <row r="3144" spans="1:3" x14ac:dyDescent="0.3">
      <c r="A3144" t="s">
        <v>759</v>
      </c>
      <c r="B3144">
        <v>56</v>
      </c>
      <c r="C3144">
        <v>0</v>
      </c>
    </row>
    <row r="3145" spans="1:3" x14ac:dyDescent="0.3">
      <c r="A3145" t="s">
        <v>760</v>
      </c>
      <c r="B3145">
        <v>56</v>
      </c>
      <c r="C3145">
        <v>206</v>
      </c>
    </row>
    <row r="3146" spans="1:3" x14ac:dyDescent="0.3">
      <c r="A3146" t="s">
        <v>563</v>
      </c>
      <c r="B3146">
        <v>56</v>
      </c>
      <c r="C3146">
        <v>90</v>
      </c>
    </row>
    <row r="3147" spans="1:3" x14ac:dyDescent="0.3">
      <c r="A3147" t="s">
        <v>761</v>
      </c>
      <c r="B3147">
        <v>56</v>
      </c>
      <c r="C3147">
        <v>0</v>
      </c>
    </row>
    <row r="3148" spans="1:3" x14ac:dyDescent="0.3">
      <c r="A3148" t="s">
        <v>272</v>
      </c>
      <c r="B3148">
        <v>56</v>
      </c>
      <c r="C3148">
        <v>0</v>
      </c>
    </row>
    <row r="3149" spans="1:3" x14ac:dyDescent="0.3">
      <c r="A3149" t="s">
        <v>762</v>
      </c>
      <c r="B3149">
        <v>56</v>
      </c>
      <c r="C3149">
        <v>56</v>
      </c>
    </row>
    <row r="3150" spans="1:3" x14ac:dyDescent="0.3">
      <c r="A3150" t="s">
        <v>763</v>
      </c>
      <c r="B3150">
        <v>56</v>
      </c>
      <c r="C3150">
        <v>0</v>
      </c>
    </row>
    <row r="3151" spans="1:3" x14ac:dyDescent="0.3">
      <c r="A3151" t="s">
        <v>756</v>
      </c>
      <c r="B3151">
        <v>64</v>
      </c>
      <c r="C3151">
        <v>0</v>
      </c>
    </row>
    <row r="3152" spans="1:3" x14ac:dyDescent="0.3">
      <c r="A3152" t="s">
        <v>757</v>
      </c>
      <c r="B3152">
        <v>64</v>
      </c>
      <c r="C3152">
        <v>120</v>
      </c>
    </row>
    <row r="3153" spans="1:3" x14ac:dyDescent="0.3">
      <c r="A3153" t="s">
        <v>758</v>
      </c>
      <c r="B3153">
        <v>64</v>
      </c>
      <c r="C3153">
        <v>0</v>
      </c>
    </row>
    <row r="3154" spans="1:3" x14ac:dyDescent="0.3">
      <c r="A3154" t="s">
        <v>759</v>
      </c>
      <c r="B3154">
        <v>64</v>
      </c>
      <c r="C3154">
        <v>0</v>
      </c>
    </row>
    <row r="3155" spans="1:3" x14ac:dyDescent="0.3">
      <c r="A3155" t="s">
        <v>760</v>
      </c>
      <c r="B3155">
        <v>64</v>
      </c>
      <c r="C3155">
        <v>206</v>
      </c>
    </row>
    <row r="3156" spans="1:3" x14ac:dyDescent="0.3">
      <c r="A3156" t="s">
        <v>563</v>
      </c>
      <c r="B3156">
        <v>64</v>
      </c>
      <c r="C3156">
        <v>98</v>
      </c>
    </row>
    <row r="3157" spans="1:3" x14ac:dyDescent="0.3">
      <c r="A3157" t="s">
        <v>761</v>
      </c>
      <c r="B3157">
        <v>64</v>
      </c>
      <c r="C3157">
        <v>0</v>
      </c>
    </row>
    <row r="3158" spans="1:3" x14ac:dyDescent="0.3">
      <c r="A3158" t="s">
        <v>272</v>
      </c>
      <c r="B3158">
        <v>64</v>
      </c>
      <c r="C3158">
        <v>0</v>
      </c>
    </row>
    <row r="3159" spans="1:3" x14ac:dyDescent="0.3">
      <c r="A3159" t="s">
        <v>762</v>
      </c>
      <c r="B3159">
        <v>64</v>
      </c>
      <c r="C3159">
        <v>64</v>
      </c>
    </row>
    <row r="3160" spans="1:3" x14ac:dyDescent="0.3">
      <c r="A3160" t="s">
        <v>763</v>
      </c>
      <c r="B3160">
        <v>64</v>
      </c>
      <c r="C3160">
        <v>0</v>
      </c>
    </row>
    <row r="3161" spans="1:3" x14ac:dyDescent="0.3">
      <c r="A3161" t="s">
        <v>756</v>
      </c>
      <c r="B3161">
        <v>67</v>
      </c>
      <c r="C3161">
        <v>0</v>
      </c>
    </row>
    <row r="3162" spans="1:3" x14ac:dyDescent="0.3">
      <c r="A3162" t="s">
        <v>757</v>
      </c>
      <c r="B3162">
        <v>67</v>
      </c>
      <c r="C3162">
        <v>120</v>
      </c>
    </row>
    <row r="3163" spans="1:3" x14ac:dyDescent="0.3">
      <c r="A3163" t="s">
        <v>758</v>
      </c>
      <c r="B3163">
        <v>67</v>
      </c>
      <c r="C3163">
        <v>0</v>
      </c>
    </row>
    <row r="3164" spans="1:3" x14ac:dyDescent="0.3">
      <c r="A3164" t="s">
        <v>759</v>
      </c>
      <c r="B3164">
        <v>67</v>
      </c>
      <c r="C3164">
        <v>0</v>
      </c>
    </row>
    <row r="3165" spans="1:3" x14ac:dyDescent="0.3">
      <c r="A3165" t="s">
        <v>760</v>
      </c>
      <c r="B3165">
        <v>67</v>
      </c>
      <c r="C3165">
        <v>206</v>
      </c>
    </row>
    <row r="3166" spans="1:3" x14ac:dyDescent="0.3">
      <c r="A3166" t="s">
        <v>563</v>
      </c>
      <c r="B3166">
        <v>67</v>
      </c>
      <c r="C3166">
        <v>0</v>
      </c>
    </row>
    <row r="3167" spans="1:3" x14ac:dyDescent="0.3">
      <c r="A3167" t="s">
        <v>761</v>
      </c>
      <c r="B3167">
        <v>67</v>
      </c>
      <c r="C3167">
        <v>0</v>
      </c>
    </row>
    <row r="3168" spans="1:3" x14ac:dyDescent="0.3">
      <c r="A3168" t="s">
        <v>272</v>
      </c>
      <c r="B3168">
        <v>67</v>
      </c>
      <c r="C3168">
        <v>0</v>
      </c>
    </row>
    <row r="3169" spans="1:3" x14ac:dyDescent="0.3">
      <c r="A3169" t="s">
        <v>762</v>
      </c>
      <c r="B3169">
        <v>67</v>
      </c>
      <c r="C3169">
        <v>67</v>
      </c>
    </row>
    <row r="3170" spans="1:3" x14ac:dyDescent="0.3">
      <c r="A3170" t="s">
        <v>763</v>
      </c>
      <c r="B3170">
        <v>67</v>
      </c>
      <c r="C3170">
        <v>0</v>
      </c>
    </row>
    <row r="3171" spans="1:3" x14ac:dyDescent="0.3">
      <c r="A3171" t="s">
        <v>756</v>
      </c>
      <c r="B3171">
        <v>70</v>
      </c>
      <c r="C3171">
        <v>0</v>
      </c>
    </row>
    <row r="3172" spans="1:3" x14ac:dyDescent="0.3">
      <c r="A3172" t="s">
        <v>757</v>
      </c>
      <c r="B3172">
        <v>70</v>
      </c>
      <c r="C3172">
        <v>120</v>
      </c>
    </row>
    <row r="3173" spans="1:3" x14ac:dyDescent="0.3">
      <c r="A3173" t="s">
        <v>758</v>
      </c>
      <c r="B3173">
        <v>70</v>
      </c>
      <c r="C3173">
        <v>0</v>
      </c>
    </row>
    <row r="3174" spans="1:3" x14ac:dyDescent="0.3">
      <c r="A3174" t="s">
        <v>759</v>
      </c>
      <c r="B3174">
        <v>70</v>
      </c>
      <c r="C3174">
        <v>0</v>
      </c>
    </row>
    <row r="3175" spans="1:3" x14ac:dyDescent="0.3">
      <c r="A3175" t="s">
        <v>760</v>
      </c>
      <c r="B3175">
        <v>70</v>
      </c>
      <c r="C3175">
        <v>206</v>
      </c>
    </row>
    <row r="3176" spans="1:3" x14ac:dyDescent="0.3">
      <c r="A3176" t="s">
        <v>563</v>
      </c>
      <c r="B3176">
        <v>70</v>
      </c>
      <c r="C3176">
        <v>32</v>
      </c>
    </row>
    <row r="3177" spans="1:3" x14ac:dyDescent="0.3">
      <c r="A3177" t="s">
        <v>761</v>
      </c>
      <c r="B3177">
        <v>70</v>
      </c>
      <c r="C3177">
        <v>0</v>
      </c>
    </row>
    <row r="3178" spans="1:3" x14ac:dyDescent="0.3">
      <c r="A3178" t="s">
        <v>272</v>
      </c>
      <c r="B3178">
        <v>70</v>
      </c>
      <c r="C3178">
        <v>0</v>
      </c>
    </row>
    <row r="3179" spans="1:3" x14ac:dyDescent="0.3">
      <c r="A3179" t="s">
        <v>762</v>
      </c>
      <c r="B3179">
        <v>70</v>
      </c>
      <c r="C3179">
        <v>70</v>
      </c>
    </row>
    <row r="3180" spans="1:3" x14ac:dyDescent="0.3">
      <c r="A3180" t="s">
        <v>763</v>
      </c>
      <c r="B3180">
        <v>70</v>
      </c>
      <c r="C3180">
        <v>0</v>
      </c>
    </row>
    <row r="3181" spans="1:3" x14ac:dyDescent="0.3">
      <c r="A3181" t="s">
        <v>756</v>
      </c>
      <c r="B3181">
        <v>73</v>
      </c>
      <c r="C3181">
        <v>0</v>
      </c>
    </row>
    <row r="3182" spans="1:3" x14ac:dyDescent="0.3">
      <c r="A3182" t="s">
        <v>757</v>
      </c>
      <c r="B3182">
        <v>73</v>
      </c>
      <c r="C3182">
        <v>120</v>
      </c>
    </row>
    <row r="3183" spans="1:3" x14ac:dyDescent="0.3">
      <c r="A3183" t="s">
        <v>758</v>
      </c>
      <c r="B3183">
        <v>73</v>
      </c>
      <c r="C3183">
        <v>1</v>
      </c>
    </row>
    <row r="3184" spans="1:3" x14ac:dyDescent="0.3">
      <c r="A3184" t="s">
        <v>759</v>
      </c>
      <c r="B3184">
        <v>73</v>
      </c>
      <c r="C3184">
        <v>0</v>
      </c>
    </row>
    <row r="3185" spans="1:18" x14ac:dyDescent="0.3">
      <c r="A3185" t="s">
        <v>760</v>
      </c>
      <c r="B3185">
        <v>73</v>
      </c>
      <c r="C3185">
        <v>2</v>
      </c>
    </row>
    <row r="3186" spans="1:18" x14ac:dyDescent="0.3">
      <c r="A3186" t="s">
        <v>563</v>
      </c>
      <c r="B3186">
        <v>73</v>
      </c>
      <c r="C3186">
        <v>0</v>
      </c>
    </row>
    <row r="3187" spans="1:18" x14ac:dyDescent="0.3">
      <c r="A3187" t="s">
        <v>761</v>
      </c>
      <c r="B3187">
        <v>73</v>
      </c>
      <c r="C3187">
        <v>0</v>
      </c>
    </row>
    <row r="3188" spans="1:18" x14ac:dyDescent="0.3">
      <c r="A3188" t="s">
        <v>272</v>
      </c>
      <c r="B3188">
        <v>73</v>
      </c>
      <c r="C3188">
        <v>0</v>
      </c>
    </row>
    <row r="3189" spans="1:18" x14ac:dyDescent="0.3">
      <c r="A3189" t="s">
        <v>762</v>
      </c>
      <c r="B3189">
        <v>73</v>
      </c>
      <c r="C3189">
        <v>73</v>
      </c>
    </row>
    <row r="3190" spans="1:18" x14ac:dyDescent="0.3">
      <c r="A3190" t="s">
        <v>763</v>
      </c>
      <c r="B3190">
        <v>73</v>
      </c>
      <c r="C3190">
        <v>0</v>
      </c>
    </row>
    <row r="3192" spans="1:18" x14ac:dyDescent="0.3">
      <c r="A3192" t="s">
        <v>566</v>
      </c>
    </row>
    <row r="3193" spans="1:18" x14ac:dyDescent="0.3">
      <c r="A3193" t="s">
        <v>764</v>
      </c>
    </row>
    <row r="3194" spans="1:18" x14ac:dyDescent="0.3">
      <c r="A3194" t="s">
        <v>0</v>
      </c>
      <c r="B3194" t="s">
        <v>1</v>
      </c>
      <c r="C3194" t="s">
        <v>246</v>
      </c>
      <c r="D3194" t="s">
        <v>247</v>
      </c>
      <c r="E3194" t="s">
        <v>248</v>
      </c>
      <c r="F3194" t="s">
        <v>249</v>
      </c>
      <c r="G3194" t="s">
        <v>250</v>
      </c>
      <c r="H3194" t="s">
        <v>251</v>
      </c>
      <c r="I3194" t="s">
        <v>252</v>
      </c>
      <c r="J3194" t="s">
        <v>253</v>
      </c>
      <c r="K3194" t="s">
        <v>765</v>
      </c>
      <c r="L3194" t="s">
        <v>766</v>
      </c>
      <c r="M3194" t="s">
        <v>767</v>
      </c>
      <c r="N3194" t="s">
        <v>768</v>
      </c>
      <c r="O3194" t="s">
        <v>769</v>
      </c>
      <c r="P3194" t="s">
        <v>770</v>
      </c>
      <c r="Q3194" t="s">
        <v>771</v>
      </c>
      <c r="R3194" t="s">
        <v>772</v>
      </c>
    </row>
    <row r="3195" spans="1:18" x14ac:dyDescent="0.3">
      <c r="A3195" t="s">
        <v>254</v>
      </c>
      <c r="B3195">
        <v>3</v>
      </c>
      <c r="D3195">
        <v>111</v>
      </c>
      <c r="F3195">
        <v>211</v>
      </c>
      <c r="H3195">
        <v>121</v>
      </c>
      <c r="J3195">
        <v>221</v>
      </c>
      <c r="K3195">
        <v>311</v>
      </c>
      <c r="L3195">
        <v>312</v>
      </c>
      <c r="M3195">
        <v>411</v>
      </c>
      <c r="N3195">
        <v>412</v>
      </c>
      <c r="O3195">
        <v>321</v>
      </c>
      <c r="P3195">
        <v>322</v>
      </c>
      <c r="Q3195">
        <v>421</v>
      </c>
      <c r="R3195">
        <v>422</v>
      </c>
    </row>
    <row r="3196" spans="1:18" x14ac:dyDescent="0.3">
      <c r="A3196" t="s">
        <v>255</v>
      </c>
      <c r="B3196">
        <v>3</v>
      </c>
      <c r="D3196">
        <v>15</v>
      </c>
      <c r="F3196">
        <v>15</v>
      </c>
      <c r="H3196">
        <v>15</v>
      </c>
      <c r="J3196">
        <v>15</v>
      </c>
    </row>
    <row r="3197" spans="1:18" x14ac:dyDescent="0.3">
      <c r="A3197" t="s">
        <v>256</v>
      </c>
      <c r="B3197">
        <v>3</v>
      </c>
      <c r="D3197">
        <v>76</v>
      </c>
      <c r="F3197">
        <v>33.4</v>
      </c>
      <c r="H3197">
        <v>76</v>
      </c>
      <c r="J3197">
        <v>33.4</v>
      </c>
    </row>
    <row r="3198" spans="1:18" x14ac:dyDescent="0.3">
      <c r="A3198" t="s">
        <v>257</v>
      </c>
      <c r="B3198">
        <v>3</v>
      </c>
      <c r="D3198">
        <v>2</v>
      </c>
      <c r="F3198">
        <v>2</v>
      </c>
      <c r="H3198">
        <v>2</v>
      </c>
      <c r="J3198">
        <v>2</v>
      </c>
    </row>
    <row r="3199" spans="1:18" x14ac:dyDescent="0.3">
      <c r="A3199" t="s">
        <v>258</v>
      </c>
      <c r="B3199">
        <v>3</v>
      </c>
      <c r="D3199">
        <v>0</v>
      </c>
      <c r="F3199">
        <v>0</v>
      </c>
      <c r="H3199">
        <v>0</v>
      </c>
      <c r="J3199">
        <v>0</v>
      </c>
    </row>
    <row r="3200" spans="1:18" x14ac:dyDescent="0.3">
      <c r="A3200" t="s">
        <v>259</v>
      </c>
      <c r="B3200">
        <v>3</v>
      </c>
      <c r="D3200">
        <v>0</v>
      </c>
      <c r="F3200">
        <v>0</v>
      </c>
      <c r="H3200">
        <v>0</v>
      </c>
      <c r="J3200">
        <v>0</v>
      </c>
    </row>
    <row r="3201" spans="1:10" x14ac:dyDescent="0.3">
      <c r="A3201" t="s">
        <v>260</v>
      </c>
      <c r="B3201">
        <v>3</v>
      </c>
      <c r="D3201">
        <v>0.2</v>
      </c>
      <c r="F3201">
        <v>0.2</v>
      </c>
      <c r="H3201">
        <v>0.2</v>
      </c>
      <c r="J3201">
        <v>0</v>
      </c>
    </row>
    <row r="3202" spans="1:10" x14ac:dyDescent="0.3">
      <c r="A3202" t="s">
        <v>261</v>
      </c>
      <c r="B3202">
        <v>3</v>
      </c>
      <c r="D3202">
        <v>4</v>
      </c>
      <c r="F3202">
        <v>3</v>
      </c>
      <c r="H3202">
        <v>4</v>
      </c>
      <c r="J3202">
        <v>3</v>
      </c>
    </row>
    <row r="3203" spans="1:10" x14ac:dyDescent="0.3">
      <c r="A3203" t="s">
        <v>262</v>
      </c>
      <c r="B3203">
        <v>3</v>
      </c>
      <c r="D3203">
        <v>1</v>
      </c>
      <c r="F3203">
        <v>2.6</v>
      </c>
      <c r="H3203">
        <v>1</v>
      </c>
      <c r="J3203">
        <v>2.6</v>
      </c>
    </row>
    <row r="3204" spans="1:10" x14ac:dyDescent="0.3">
      <c r="A3204" t="s">
        <v>263</v>
      </c>
      <c r="B3204">
        <v>3</v>
      </c>
      <c r="D3204">
        <v>3</v>
      </c>
      <c r="F3204">
        <v>3</v>
      </c>
      <c r="H3204">
        <v>3</v>
      </c>
      <c r="J3204">
        <v>3</v>
      </c>
    </row>
    <row r="3205" spans="1:10" x14ac:dyDescent="0.3">
      <c r="A3205" t="s">
        <v>264</v>
      </c>
      <c r="B3205">
        <v>3</v>
      </c>
      <c r="D3205">
        <v>8</v>
      </c>
      <c r="F3205">
        <v>8</v>
      </c>
      <c r="H3205">
        <v>8</v>
      </c>
      <c r="J3205">
        <v>8</v>
      </c>
    </row>
    <row r="3206" spans="1:10" x14ac:dyDescent="0.3">
      <c r="A3206" t="s">
        <v>265</v>
      </c>
      <c r="B3206">
        <v>3</v>
      </c>
      <c r="D3206">
        <v>8</v>
      </c>
      <c r="F3206">
        <v>21</v>
      </c>
      <c r="H3206">
        <v>8</v>
      </c>
      <c r="J3206">
        <v>21</v>
      </c>
    </row>
    <row r="3207" spans="1:10" x14ac:dyDescent="0.3">
      <c r="A3207" t="s">
        <v>266</v>
      </c>
      <c r="B3207">
        <v>3</v>
      </c>
      <c r="D3207">
        <v>0</v>
      </c>
      <c r="F3207">
        <v>0</v>
      </c>
      <c r="H3207">
        <v>0</v>
      </c>
      <c r="J3207">
        <v>0</v>
      </c>
    </row>
    <row r="3208" spans="1:10" x14ac:dyDescent="0.3">
      <c r="A3208" t="s">
        <v>267</v>
      </c>
      <c r="B3208">
        <v>3</v>
      </c>
      <c r="D3208">
        <v>23.5</v>
      </c>
      <c r="F3208">
        <v>34.6</v>
      </c>
      <c r="H3208">
        <v>23.5</v>
      </c>
      <c r="J3208">
        <v>34.6</v>
      </c>
    </row>
    <row r="3209" spans="1:10" x14ac:dyDescent="0.3">
      <c r="A3209" t="s">
        <v>268</v>
      </c>
      <c r="B3209">
        <v>3</v>
      </c>
      <c r="D3209">
        <v>1</v>
      </c>
      <c r="F3209">
        <v>1</v>
      </c>
      <c r="H3209">
        <v>1</v>
      </c>
      <c r="J3209">
        <v>1</v>
      </c>
    </row>
    <row r="3210" spans="1:10" x14ac:dyDescent="0.3">
      <c r="A3210" t="s">
        <v>269</v>
      </c>
      <c r="B3210">
        <v>3</v>
      </c>
      <c r="D3210">
        <v>1</v>
      </c>
      <c r="F3210">
        <v>1</v>
      </c>
      <c r="H3210">
        <v>1</v>
      </c>
      <c r="J3210">
        <v>1</v>
      </c>
    </row>
    <row r="3211" spans="1:10" x14ac:dyDescent="0.3">
      <c r="A3211" t="s">
        <v>270</v>
      </c>
      <c r="B3211">
        <v>3</v>
      </c>
      <c r="D3211">
        <v>0</v>
      </c>
      <c r="F3211">
        <v>81</v>
      </c>
      <c r="H3211">
        <v>0</v>
      </c>
      <c r="J3211">
        <v>81</v>
      </c>
    </row>
    <row r="3212" spans="1:10" x14ac:dyDescent="0.3">
      <c r="A3212" t="s">
        <v>271</v>
      </c>
      <c r="B3212">
        <v>3</v>
      </c>
      <c r="D3212">
        <v>81</v>
      </c>
      <c r="F3212">
        <v>0</v>
      </c>
      <c r="H3212">
        <v>81</v>
      </c>
      <c r="J3212">
        <v>0</v>
      </c>
    </row>
    <row r="3213" spans="1:10" x14ac:dyDescent="0.3">
      <c r="A3213" t="s">
        <v>272</v>
      </c>
      <c r="B3213">
        <v>3</v>
      </c>
      <c r="D3213">
        <v>76</v>
      </c>
      <c r="F3213">
        <v>114.4</v>
      </c>
      <c r="H3213">
        <v>76</v>
      </c>
      <c r="J3213">
        <v>114.4</v>
      </c>
    </row>
    <row r="3214" spans="1:10" x14ac:dyDescent="0.3">
      <c r="A3214" t="s">
        <v>273</v>
      </c>
      <c r="B3214">
        <v>3</v>
      </c>
      <c r="D3214">
        <v>68</v>
      </c>
      <c r="F3214">
        <v>93.4</v>
      </c>
      <c r="H3214">
        <v>68</v>
      </c>
      <c r="J3214">
        <v>93.4</v>
      </c>
    </row>
    <row r="3215" spans="1:10" x14ac:dyDescent="0.3">
      <c r="A3215" t="s">
        <v>274</v>
      </c>
      <c r="B3215">
        <v>3</v>
      </c>
      <c r="D3215">
        <v>0</v>
      </c>
      <c r="F3215">
        <v>81</v>
      </c>
      <c r="H3215">
        <v>0</v>
      </c>
      <c r="J3215">
        <v>81</v>
      </c>
    </row>
    <row r="3216" spans="1:10" x14ac:dyDescent="0.3">
      <c r="A3216" t="s">
        <v>275</v>
      </c>
      <c r="B3216">
        <v>3</v>
      </c>
      <c r="D3216">
        <v>76</v>
      </c>
      <c r="F3216">
        <v>114.4</v>
      </c>
      <c r="H3216">
        <v>76</v>
      </c>
      <c r="J3216">
        <v>114.4</v>
      </c>
    </row>
    <row r="3217" spans="1:18" x14ac:dyDescent="0.3">
      <c r="A3217" t="s">
        <v>276</v>
      </c>
      <c r="B3217">
        <v>3</v>
      </c>
      <c r="D3217">
        <v>68</v>
      </c>
      <c r="F3217">
        <v>93.4</v>
      </c>
      <c r="H3217">
        <v>68</v>
      </c>
      <c r="J3217">
        <v>93.4</v>
      </c>
    </row>
    <row r="3218" spans="1:18" x14ac:dyDescent="0.3">
      <c r="A3218" t="s">
        <v>567</v>
      </c>
      <c r="B3218">
        <v>3</v>
      </c>
      <c r="D3218">
        <v>76</v>
      </c>
      <c r="F3218">
        <v>33.4</v>
      </c>
      <c r="H3218">
        <v>76</v>
      </c>
      <c r="J3218">
        <v>33.4</v>
      </c>
    </row>
    <row r="3219" spans="1:18" x14ac:dyDescent="0.3">
      <c r="A3219" t="s">
        <v>254</v>
      </c>
      <c r="B3219">
        <v>6</v>
      </c>
      <c r="C3219">
        <v>111</v>
      </c>
      <c r="D3219">
        <v>112</v>
      </c>
      <c r="F3219">
        <v>311</v>
      </c>
      <c r="G3219">
        <v>121</v>
      </c>
      <c r="H3219">
        <v>122</v>
      </c>
      <c r="J3219">
        <v>211</v>
      </c>
      <c r="M3219">
        <v>411</v>
      </c>
      <c r="N3219">
        <v>412</v>
      </c>
      <c r="Q3219">
        <v>421</v>
      </c>
      <c r="R3219">
        <v>422</v>
      </c>
    </row>
    <row r="3220" spans="1:18" x14ac:dyDescent="0.3">
      <c r="A3220" t="s">
        <v>255</v>
      </c>
      <c r="B3220">
        <v>6</v>
      </c>
      <c r="C3220">
        <v>5</v>
      </c>
      <c r="D3220">
        <v>15</v>
      </c>
      <c r="F3220">
        <v>5</v>
      </c>
      <c r="G3220">
        <v>5</v>
      </c>
      <c r="H3220">
        <v>15</v>
      </c>
      <c r="J3220">
        <v>5</v>
      </c>
    </row>
    <row r="3221" spans="1:18" x14ac:dyDescent="0.3">
      <c r="A3221" t="s">
        <v>256</v>
      </c>
      <c r="B3221">
        <v>6</v>
      </c>
      <c r="C3221">
        <v>5.5</v>
      </c>
      <c r="D3221">
        <v>48.9</v>
      </c>
      <c r="F3221">
        <v>16.7</v>
      </c>
      <c r="G3221">
        <v>5.5</v>
      </c>
      <c r="H3221">
        <v>48.9</v>
      </c>
      <c r="J3221">
        <v>28</v>
      </c>
    </row>
    <row r="3222" spans="1:18" x14ac:dyDescent="0.3">
      <c r="A3222" t="s">
        <v>257</v>
      </c>
      <c r="B3222">
        <v>6</v>
      </c>
      <c r="C3222">
        <v>2</v>
      </c>
      <c r="D3222">
        <v>1</v>
      </c>
      <c r="F3222">
        <v>2</v>
      </c>
      <c r="G3222">
        <v>2</v>
      </c>
      <c r="H3222">
        <v>1</v>
      </c>
      <c r="J3222">
        <v>2</v>
      </c>
    </row>
    <row r="3223" spans="1:18" x14ac:dyDescent="0.3">
      <c r="A3223" t="s">
        <v>258</v>
      </c>
      <c r="B3223">
        <v>6</v>
      </c>
      <c r="C3223">
        <v>0</v>
      </c>
      <c r="D3223">
        <v>0</v>
      </c>
      <c r="F3223">
        <v>0</v>
      </c>
      <c r="G3223">
        <v>0</v>
      </c>
      <c r="H3223">
        <v>0</v>
      </c>
      <c r="J3223">
        <v>0</v>
      </c>
    </row>
    <row r="3224" spans="1:18" x14ac:dyDescent="0.3">
      <c r="A3224" t="s">
        <v>259</v>
      </c>
      <c r="B3224">
        <v>6</v>
      </c>
      <c r="C3224">
        <v>0</v>
      </c>
      <c r="D3224">
        <v>0</v>
      </c>
      <c r="F3224">
        <v>0</v>
      </c>
      <c r="G3224">
        <v>0</v>
      </c>
      <c r="H3224">
        <v>0</v>
      </c>
      <c r="J3224">
        <v>0</v>
      </c>
    </row>
    <row r="3225" spans="1:18" x14ac:dyDescent="0.3">
      <c r="A3225" t="s">
        <v>260</v>
      </c>
      <c r="B3225">
        <v>6</v>
      </c>
      <c r="C3225">
        <v>0.2</v>
      </c>
      <c r="D3225">
        <v>0</v>
      </c>
      <c r="F3225">
        <v>0</v>
      </c>
      <c r="G3225">
        <v>0</v>
      </c>
      <c r="H3225">
        <v>0</v>
      </c>
      <c r="J3225">
        <v>0</v>
      </c>
    </row>
    <row r="3226" spans="1:18" x14ac:dyDescent="0.3">
      <c r="A3226" t="s">
        <v>261</v>
      </c>
      <c r="B3226">
        <v>6</v>
      </c>
      <c r="C3226">
        <v>3</v>
      </c>
      <c r="D3226">
        <v>4</v>
      </c>
      <c r="F3226">
        <v>3.2</v>
      </c>
      <c r="G3226">
        <v>3</v>
      </c>
      <c r="H3226">
        <v>4</v>
      </c>
      <c r="J3226">
        <v>3.2</v>
      </c>
    </row>
    <row r="3227" spans="1:18" x14ac:dyDescent="0.3">
      <c r="A3227" t="s">
        <v>262</v>
      </c>
      <c r="B3227">
        <v>6</v>
      </c>
      <c r="C3227">
        <v>1</v>
      </c>
      <c r="D3227">
        <v>1.3</v>
      </c>
      <c r="F3227">
        <v>2.6</v>
      </c>
      <c r="G3227">
        <v>1</v>
      </c>
      <c r="H3227">
        <v>1.3</v>
      </c>
      <c r="J3227">
        <v>2.6</v>
      </c>
    </row>
    <row r="3228" spans="1:18" x14ac:dyDescent="0.3">
      <c r="A3228" t="s">
        <v>263</v>
      </c>
      <c r="B3228">
        <v>6</v>
      </c>
      <c r="C3228">
        <v>3</v>
      </c>
      <c r="D3228">
        <v>3</v>
      </c>
      <c r="F3228">
        <v>3</v>
      </c>
      <c r="G3228">
        <v>3</v>
      </c>
      <c r="H3228">
        <v>3</v>
      </c>
      <c r="J3228">
        <v>3</v>
      </c>
    </row>
    <row r="3229" spans="1:18" x14ac:dyDescent="0.3">
      <c r="A3229" t="s">
        <v>264</v>
      </c>
      <c r="B3229">
        <v>6</v>
      </c>
      <c r="D3229">
        <v>8</v>
      </c>
      <c r="H3229">
        <v>8</v>
      </c>
      <c r="J3229">
        <v>8</v>
      </c>
    </row>
    <row r="3230" spans="1:18" x14ac:dyDescent="0.3">
      <c r="A3230" t="s">
        <v>265</v>
      </c>
      <c r="B3230">
        <v>6</v>
      </c>
      <c r="D3230">
        <v>15</v>
      </c>
      <c r="H3230">
        <v>15</v>
      </c>
      <c r="J3230">
        <v>20</v>
      </c>
    </row>
    <row r="3231" spans="1:18" x14ac:dyDescent="0.3">
      <c r="A3231" t="s">
        <v>266</v>
      </c>
      <c r="B3231">
        <v>6</v>
      </c>
      <c r="D3231">
        <v>0</v>
      </c>
      <c r="H3231">
        <v>0</v>
      </c>
      <c r="J3231">
        <v>0</v>
      </c>
    </row>
    <row r="3232" spans="1:18" x14ac:dyDescent="0.3">
      <c r="A3232" t="s">
        <v>267</v>
      </c>
      <c r="B3232">
        <v>6</v>
      </c>
      <c r="C3232">
        <v>9.5</v>
      </c>
      <c r="D3232">
        <v>28.3</v>
      </c>
      <c r="F3232">
        <v>22.5</v>
      </c>
      <c r="G3232">
        <v>9.5</v>
      </c>
      <c r="H3232">
        <v>28.3</v>
      </c>
      <c r="J3232">
        <v>33.799999999999997</v>
      </c>
    </row>
    <row r="3233" spans="1:18" x14ac:dyDescent="0.3">
      <c r="A3233" t="s">
        <v>268</v>
      </c>
      <c r="B3233">
        <v>6</v>
      </c>
      <c r="C3233">
        <v>0</v>
      </c>
      <c r="D3233">
        <v>1</v>
      </c>
      <c r="F3233">
        <v>0</v>
      </c>
      <c r="G3233">
        <v>0</v>
      </c>
      <c r="H3233">
        <v>1</v>
      </c>
      <c r="J3233">
        <v>0</v>
      </c>
    </row>
    <row r="3234" spans="1:18" x14ac:dyDescent="0.3">
      <c r="A3234" t="s">
        <v>269</v>
      </c>
      <c r="B3234">
        <v>6</v>
      </c>
      <c r="C3234">
        <v>1</v>
      </c>
      <c r="D3234">
        <v>1</v>
      </c>
      <c r="F3234">
        <v>1</v>
      </c>
      <c r="G3234">
        <v>1</v>
      </c>
      <c r="H3234">
        <v>1</v>
      </c>
      <c r="J3234">
        <v>1</v>
      </c>
    </row>
    <row r="3235" spans="1:18" x14ac:dyDescent="0.3">
      <c r="A3235" t="s">
        <v>270</v>
      </c>
      <c r="B3235">
        <v>6</v>
      </c>
      <c r="C3235">
        <v>110.5</v>
      </c>
      <c r="D3235">
        <v>0</v>
      </c>
      <c r="F3235">
        <v>88</v>
      </c>
      <c r="G3235">
        <v>110.5</v>
      </c>
      <c r="H3235">
        <v>0</v>
      </c>
      <c r="J3235">
        <v>54.2</v>
      </c>
    </row>
    <row r="3236" spans="1:18" x14ac:dyDescent="0.3">
      <c r="A3236" t="s">
        <v>271</v>
      </c>
      <c r="B3236">
        <v>6</v>
      </c>
      <c r="C3236">
        <v>0</v>
      </c>
      <c r="D3236">
        <v>54.2</v>
      </c>
      <c r="F3236">
        <v>110.5</v>
      </c>
      <c r="G3236">
        <v>0</v>
      </c>
      <c r="H3236">
        <v>54.2</v>
      </c>
      <c r="J3236">
        <v>88</v>
      </c>
    </row>
    <row r="3237" spans="1:18" x14ac:dyDescent="0.3">
      <c r="A3237" t="s">
        <v>272</v>
      </c>
      <c r="B3237">
        <v>6</v>
      </c>
      <c r="C3237">
        <v>116</v>
      </c>
      <c r="D3237">
        <v>48.9</v>
      </c>
      <c r="F3237">
        <v>104.7</v>
      </c>
      <c r="G3237">
        <v>116</v>
      </c>
      <c r="H3237">
        <v>48.9</v>
      </c>
      <c r="J3237">
        <v>82.2</v>
      </c>
    </row>
    <row r="3238" spans="1:18" x14ac:dyDescent="0.3">
      <c r="A3238" t="s">
        <v>273</v>
      </c>
      <c r="B3238">
        <v>6</v>
      </c>
      <c r="C3238">
        <v>116</v>
      </c>
      <c r="D3238">
        <v>33.9</v>
      </c>
      <c r="F3238">
        <v>104.7</v>
      </c>
      <c r="G3238">
        <v>116</v>
      </c>
      <c r="H3238">
        <v>33.9</v>
      </c>
      <c r="J3238">
        <v>62.2</v>
      </c>
    </row>
    <row r="3239" spans="1:18" x14ac:dyDescent="0.3">
      <c r="A3239" t="s">
        <v>274</v>
      </c>
      <c r="B3239">
        <v>6</v>
      </c>
      <c r="C3239">
        <v>110.5</v>
      </c>
      <c r="D3239">
        <v>0</v>
      </c>
      <c r="F3239">
        <v>88</v>
      </c>
      <c r="G3239">
        <v>110.5</v>
      </c>
      <c r="H3239">
        <v>0</v>
      </c>
      <c r="J3239">
        <v>54.2</v>
      </c>
    </row>
    <row r="3240" spans="1:18" x14ac:dyDescent="0.3">
      <c r="A3240" t="s">
        <v>275</v>
      </c>
      <c r="B3240">
        <v>6</v>
      </c>
      <c r="C3240">
        <v>116</v>
      </c>
      <c r="D3240">
        <v>48.9</v>
      </c>
      <c r="F3240">
        <v>104.7</v>
      </c>
      <c r="G3240">
        <v>116</v>
      </c>
      <c r="H3240">
        <v>48.9</v>
      </c>
      <c r="J3240">
        <v>82.2</v>
      </c>
    </row>
    <row r="3241" spans="1:18" x14ac:dyDescent="0.3">
      <c r="A3241" t="s">
        <v>276</v>
      </c>
      <c r="B3241">
        <v>6</v>
      </c>
      <c r="C3241">
        <v>116</v>
      </c>
      <c r="D3241">
        <v>33.9</v>
      </c>
      <c r="F3241">
        <v>104.7</v>
      </c>
      <c r="G3241">
        <v>116</v>
      </c>
      <c r="H3241">
        <v>33.9</v>
      </c>
      <c r="J3241">
        <v>62.2</v>
      </c>
    </row>
    <row r="3242" spans="1:18" x14ac:dyDescent="0.3">
      <c r="A3242" t="s">
        <v>567</v>
      </c>
      <c r="B3242">
        <v>6</v>
      </c>
      <c r="C3242">
        <v>5.5</v>
      </c>
      <c r="D3242">
        <v>48.9</v>
      </c>
      <c r="F3242">
        <v>16.7</v>
      </c>
      <c r="G3242">
        <v>5.5</v>
      </c>
      <c r="H3242">
        <v>48.9</v>
      </c>
      <c r="J3242">
        <v>28</v>
      </c>
    </row>
    <row r="3243" spans="1:18" x14ac:dyDescent="0.3">
      <c r="A3243" t="s">
        <v>254</v>
      </c>
      <c r="B3243">
        <v>10</v>
      </c>
      <c r="C3243">
        <v>111</v>
      </c>
      <c r="D3243">
        <v>112</v>
      </c>
      <c r="E3243">
        <v>211</v>
      </c>
      <c r="F3243">
        <v>212</v>
      </c>
      <c r="G3243">
        <v>121</v>
      </c>
      <c r="H3243">
        <v>122</v>
      </c>
      <c r="I3243">
        <v>221</v>
      </c>
      <c r="J3243">
        <v>222</v>
      </c>
      <c r="K3243">
        <v>311</v>
      </c>
      <c r="L3243">
        <v>312</v>
      </c>
      <c r="M3243">
        <v>411</v>
      </c>
      <c r="N3243">
        <v>412</v>
      </c>
      <c r="O3243">
        <v>321</v>
      </c>
      <c r="P3243">
        <v>322</v>
      </c>
      <c r="Q3243">
        <v>421</v>
      </c>
      <c r="R3243">
        <v>422</v>
      </c>
    </row>
    <row r="3244" spans="1:18" x14ac:dyDescent="0.3">
      <c r="A3244" t="s">
        <v>255</v>
      </c>
      <c r="B3244">
        <v>10</v>
      </c>
      <c r="C3244">
        <v>5</v>
      </c>
      <c r="D3244">
        <v>15</v>
      </c>
      <c r="E3244">
        <v>5</v>
      </c>
      <c r="F3244">
        <v>5</v>
      </c>
      <c r="G3244">
        <v>5</v>
      </c>
      <c r="H3244">
        <v>15</v>
      </c>
      <c r="I3244">
        <v>5</v>
      </c>
      <c r="J3244">
        <v>5</v>
      </c>
    </row>
    <row r="3245" spans="1:18" x14ac:dyDescent="0.3">
      <c r="A3245" t="s">
        <v>256</v>
      </c>
      <c r="B3245">
        <v>10</v>
      </c>
      <c r="C3245">
        <v>19</v>
      </c>
      <c r="D3245">
        <v>30.7</v>
      </c>
      <c r="E3245">
        <v>17</v>
      </c>
      <c r="F3245">
        <v>33.9</v>
      </c>
      <c r="G3245">
        <v>9</v>
      </c>
      <c r="H3245">
        <v>40.700000000000003</v>
      </c>
      <c r="I3245">
        <v>19</v>
      </c>
      <c r="J3245">
        <v>31.9</v>
      </c>
    </row>
    <row r="3246" spans="1:18" x14ac:dyDescent="0.3">
      <c r="A3246" t="s">
        <v>257</v>
      </c>
      <c r="B3246">
        <v>10</v>
      </c>
      <c r="C3246">
        <v>2</v>
      </c>
      <c r="D3246">
        <v>1</v>
      </c>
      <c r="E3246">
        <v>2</v>
      </c>
      <c r="F3246">
        <v>2</v>
      </c>
      <c r="G3246">
        <v>2</v>
      </c>
      <c r="H3246">
        <v>1</v>
      </c>
      <c r="I3246">
        <v>2</v>
      </c>
      <c r="J3246">
        <v>2</v>
      </c>
    </row>
    <row r="3247" spans="1:18" x14ac:dyDescent="0.3">
      <c r="A3247" t="s">
        <v>258</v>
      </c>
      <c r="B3247">
        <v>10</v>
      </c>
      <c r="C3247">
        <v>0</v>
      </c>
      <c r="D3247">
        <v>0</v>
      </c>
      <c r="E3247">
        <v>0</v>
      </c>
      <c r="F3247">
        <v>0</v>
      </c>
      <c r="G3247">
        <v>0</v>
      </c>
      <c r="H3247">
        <v>0</v>
      </c>
      <c r="I3247">
        <v>0</v>
      </c>
      <c r="J3247">
        <v>0</v>
      </c>
    </row>
    <row r="3248" spans="1:18" x14ac:dyDescent="0.3">
      <c r="A3248" t="s">
        <v>259</v>
      </c>
      <c r="B3248">
        <v>10</v>
      </c>
      <c r="C3248">
        <v>0</v>
      </c>
      <c r="D3248">
        <v>0</v>
      </c>
      <c r="E3248">
        <v>0</v>
      </c>
      <c r="F3248">
        <v>0</v>
      </c>
      <c r="G3248">
        <v>0</v>
      </c>
      <c r="H3248">
        <v>0</v>
      </c>
      <c r="I3248">
        <v>0</v>
      </c>
      <c r="J3248">
        <v>0</v>
      </c>
    </row>
    <row r="3249" spans="1:10" x14ac:dyDescent="0.3">
      <c r="A3249" t="s">
        <v>260</v>
      </c>
      <c r="B3249">
        <v>10</v>
      </c>
      <c r="C3249">
        <v>0</v>
      </c>
      <c r="D3249">
        <v>0</v>
      </c>
      <c r="E3249">
        <v>0</v>
      </c>
      <c r="F3249">
        <v>0</v>
      </c>
      <c r="G3249">
        <v>0</v>
      </c>
      <c r="H3249">
        <v>0</v>
      </c>
      <c r="I3249">
        <v>0</v>
      </c>
      <c r="J3249">
        <v>0</v>
      </c>
    </row>
    <row r="3250" spans="1:10" x14ac:dyDescent="0.3">
      <c r="A3250" t="s">
        <v>261</v>
      </c>
      <c r="B3250">
        <v>10</v>
      </c>
      <c r="C3250">
        <v>3</v>
      </c>
      <c r="D3250">
        <v>4.3</v>
      </c>
      <c r="E3250">
        <v>3</v>
      </c>
      <c r="F3250">
        <v>4</v>
      </c>
      <c r="G3250">
        <v>3</v>
      </c>
      <c r="H3250">
        <v>4.3</v>
      </c>
      <c r="I3250">
        <v>3</v>
      </c>
      <c r="J3250">
        <v>4</v>
      </c>
    </row>
    <row r="3251" spans="1:10" x14ac:dyDescent="0.3">
      <c r="A3251" t="s">
        <v>262</v>
      </c>
      <c r="B3251">
        <v>10</v>
      </c>
      <c r="C3251">
        <v>1</v>
      </c>
      <c r="D3251">
        <v>1</v>
      </c>
      <c r="E3251">
        <v>1</v>
      </c>
      <c r="F3251">
        <v>2.1</v>
      </c>
      <c r="G3251">
        <v>1</v>
      </c>
      <c r="H3251">
        <v>1</v>
      </c>
      <c r="I3251">
        <v>1</v>
      </c>
      <c r="J3251">
        <v>2.1</v>
      </c>
    </row>
    <row r="3252" spans="1:10" x14ac:dyDescent="0.3">
      <c r="A3252" t="s">
        <v>263</v>
      </c>
      <c r="B3252">
        <v>10</v>
      </c>
      <c r="C3252">
        <v>3</v>
      </c>
      <c r="D3252">
        <v>3</v>
      </c>
      <c r="E3252">
        <v>3</v>
      </c>
      <c r="F3252">
        <v>3</v>
      </c>
      <c r="G3252">
        <v>3</v>
      </c>
      <c r="H3252">
        <v>3</v>
      </c>
      <c r="I3252">
        <v>3</v>
      </c>
      <c r="J3252">
        <v>3</v>
      </c>
    </row>
    <row r="3253" spans="1:10" x14ac:dyDescent="0.3">
      <c r="A3253" t="s">
        <v>264</v>
      </c>
      <c r="B3253">
        <v>10</v>
      </c>
      <c r="D3253">
        <v>8</v>
      </c>
      <c r="F3253">
        <v>8</v>
      </c>
      <c r="H3253">
        <v>8</v>
      </c>
      <c r="J3253">
        <v>8</v>
      </c>
    </row>
    <row r="3254" spans="1:10" x14ac:dyDescent="0.3">
      <c r="A3254" t="s">
        <v>265</v>
      </c>
      <c r="B3254">
        <v>10</v>
      </c>
      <c r="D3254">
        <v>13</v>
      </c>
      <c r="F3254">
        <v>23</v>
      </c>
      <c r="H3254">
        <v>13</v>
      </c>
      <c r="J3254">
        <v>23</v>
      </c>
    </row>
    <row r="3255" spans="1:10" x14ac:dyDescent="0.3">
      <c r="A3255" t="s">
        <v>266</v>
      </c>
      <c r="B3255">
        <v>10</v>
      </c>
      <c r="D3255">
        <v>0</v>
      </c>
      <c r="F3255">
        <v>0</v>
      </c>
      <c r="H3255">
        <v>0</v>
      </c>
      <c r="J3255">
        <v>0</v>
      </c>
    </row>
    <row r="3256" spans="1:10" x14ac:dyDescent="0.3">
      <c r="A3256" t="s">
        <v>267</v>
      </c>
      <c r="B3256">
        <v>10</v>
      </c>
      <c r="C3256">
        <v>22.5</v>
      </c>
      <c r="D3256">
        <v>26.3</v>
      </c>
      <c r="E3256">
        <v>9.5</v>
      </c>
      <c r="F3256">
        <v>37.1</v>
      </c>
      <c r="G3256">
        <v>9.5</v>
      </c>
      <c r="H3256">
        <v>26.3</v>
      </c>
      <c r="I3256">
        <v>22.5</v>
      </c>
      <c r="J3256">
        <v>37.1</v>
      </c>
    </row>
    <row r="3257" spans="1:10" x14ac:dyDescent="0.3">
      <c r="A3257" t="s">
        <v>268</v>
      </c>
      <c r="B3257">
        <v>10</v>
      </c>
      <c r="C3257">
        <v>0</v>
      </c>
      <c r="D3257">
        <v>1</v>
      </c>
      <c r="E3257">
        <v>0</v>
      </c>
      <c r="F3257">
        <v>1</v>
      </c>
      <c r="G3257">
        <v>0</v>
      </c>
      <c r="H3257">
        <v>1</v>
      </c>
      <c r="I3257">
        <v>0</v>
      </c>
      <c r="J3257">
        <v>1</v>
      </c>
    </row>
    <row r="3258" spans="1:10" x14ac:dyDescent="0.3">
      <c r="A3258" t="s">
        <v>269</v>
      </c>
      <c r="B3258">
        <v>10</v>
      </c>
      <c r="C3258">
        <v>1</v>
      </c>
      <c r="D3258">
        <v>1</v>
      </c>
      <c r="E3258">
        <v>1</v>
      </c>
      <c r="F3258">
        <v>1</v>
      </c>
      <c r="G3258">
        <v>1</v>
      </c>
      <c r="H3258">
        <v>1</v>
      </c>
      <c r="I3258">
        <v>1</v>
      </c>
      <c r="J3258">
        <v>1</v>
      </c>
    </row>
    <row r="3259" spans="1:10" x14ac:dyDescent="0.3">
      <c r="A3259" t="s">
        <v>270</v>
      </c>
      <c r="B3259">
        <v>10</v>
      </c>
      <c r="C3259">
        <v>97</v>
      </c>
      <c r="D3259">
        <v>0</v>
      </c>
      <c r="E3259">
        <v>36</v>
      </c>
      <c r="F3259">
        <v>57</v>
      </c>
      <c r="G3259">
        <v>97</v>
      </c>
      <c r="H3259">
        <v>110</v>
      </c>
      <c r="I3259">
        <v>36</v>
      </c>
      <c r="J3259">
        <v>59</v>
      </c>
    </row>
    <row r="3260" spans="1:10" x14ac:dyDescent="0.3">
      <c r="A3260" t="s">
        <v>271</v>
      </c>
      <c r="B3260">
        <v>10</v>
      </c>
      <c r="C3260">
        <v>0</v>
      </c>
      <c r="D3260">
        <v>36</v>
      </c>
      <c r="E3260">
        <v>57</v>
      </c>
      <c r="F3260">
        <v>97</v>
      </c>
      <c r="G3260">
        <v>110</v>
      </c>
      <c r="H3260">
        <v>36</v>
      </c>
      <c r="I3260">
        <v>59</v>
      </c>
      <c r="J3260">
        <v>97</v>
      </c>
    </row>
    <row r="3261" spans="1:10" x14ac:dyDescent="0.3">
      <c r="A3261" t="s">
        <v>272</v>
      </c>
      <c r="B3261">
        <v>10</v>
      </c>
      <c r="C3261">
        <v>116</v>
      </c>
      <c r="D3261">
        <v>30.7</v>
      </c>
      <c r="E3261">
        <v>53</v>
      </c>
      <c r="F3261">
        <v>90.9</v>
      </c>
      <c r="G3261">
        <v>106</v>
      </c>
      <c r="H3261">
        <v>30.7</v>
      </c>
      <c r="I3261">
        <v>55</v>
      </c>
      <c r="J3261">
        <v>90.9</v>
      </c>
    </row>
    <row r="3262" spans="1:10" x14ac:dyDescent="0.3">
      <c r="A3262" t="s">
        <v>273</v>
      </c>
      <c r="B3262">
        <v>10</v>
      </c>
      <c r="C3262">
        <v>116</v>
      </c>
      <c r="D3262">
        <v>17.7</v>
      </c>
      <c r="E3262">
        <v>53</v>
      </c>
      <c r="F3262">
        <v>67.900000000000006</v>
      </c>
      <c r="G3262">
        <v>106</v>
      </c>
      <c r="H3262">
        <v>17.7</v>
      </c>
      <c r="I3262">
        <v>55</v>
      </c>
      <c r="J3262">
        <v>67.900000000000006</v>
      </c>
    </row>
    <row r="3263" spans="1:10" x14ac:dyDescent="0.3">
      <c r="A3263" t="s">
        <v>274</v>
      </c>
      <c r="B3263">
        <v>10</v>
      </c>
      <c r="C3263">
        <v>97</v>
      </c>
      <c r="D3263">
        <v>0</v>
      </c>
      <c r="E3263">
        <v>36</v>
      </c>
      <c r="F3263">
        <v>57</v>
      </c>
      <c r="G3263">
        <v>97</v>
      </c>
      <c r="H3263">
        <v>110</v>
      </c>
      <c r="I3263">
        <v>36</v>
      </c>
      <c r="J3263">
        <v>59</v>
      </c>
    </row>
    <row r="3264" spans="1:10" x14ac:dyDescent="0.3">
      <c r="A3264" t="s">
        <v>275</v>
      </c>
      <c r="B3264">
        <v>10</v>
      </c>
      <c r="C3264">
        <v>116</v>
      </c>
      <c r="D3264">
        <v>30.7</v>
      </c>
      <c r="E3264">
        <v>53</v>
      </c>
      <c r="F3264">
        <v>90.9</v>
      </c>
      <c r="G3264">
        <v>106</v>
      </c>
      <c r="H3264">
        <v>30.7</v>
      </c>
      <c r="I3264">
        <v>55</v>
      </c>
      <c r="J3264">
        <v>90.9</v>
      </c>
    </row>
    <row r="3265" spans="1:18" x14ac:dyDescent="0.3">
      <c r="A3265" t="s">
        <v>276</v>
      </c>
      <c r="B3265">
        <v>10</v>
      </c>
      <c r="C3265">
        <v>116</v>
      </c>
      <c r="D3265">
        <v>17.7</v>
      </c>
      <c r="E3265">
        <v>53</v>
      </c>
      <c r="F3265">
        <v>67.900000000000006</v>
      </c>
      <c r="G3265">
        <v>106</v>
      </c>
      <c r="H3265">
        <v>17.7</v>
      </c>
      <c r="I3265">
        <v>55</v>
      </c>
      <c r="J3265">
        <v>67.900000000000006</v>
      </c>
    </row>
    <row r="3266" spans="1:18" x14ac:dyDescent="0.3">
      <c r="A3266" t="s">
        <v>567</v>
      </c>
      <c r="B3266">
        <v>10</v>
      </c>
      <c r="C3266">
        <v>19</v>
      </c>
      <c r="D3266">
        <v>30.7</v>
      </c>
      <c r="E3266">
        <v>17</v>
      </c>
      <c r="F3266">
        <v>33.9</v>
      </c>
      <c r="G3266">
        <v>9</v>
      </c>
      <c r="H3266">
        <v>40.700000000000003</v>
      </c>
      <c r="I3266">
        <v>19</v>
      </c>
      <c r="J3266">
        <v>31.9</v>
      </c>
    </row>
    <row r="3267" spans="1:18" x14ac:dyDescent="0.3">
      <c r="A3267" t="s">
        <v>254</v>
      </c>
      <c r="B3267">
        <v>13</v>
      </c>
      <c r="C3267">
        <v>111</v>
      </c>
      <c r="D3267">
        <v>211</v>
      </c>
      <c r="K3267">
        <v>311</v>
      </c>
      <c r="L3267">
        <v>312</v>
      </c>
      <c r="M3267">
        <v>411</v>
      </c>
      <c r="N3267">
        <v>412</v>
      </c>
      <c r="O3267">
        <v>321</v>
      </c>
      <c r="P3267">
        <v>322</v>
      </c>
      <c r="Q3267">
        <v>421</v>
      </c>
      <c r="R3267">
        <v>422</v>
      </c>
    </row>
    <row r="3268" spans="1:18" x14ac:dyDescent="0.3">
      <c r="A3268" t="s">
        <v>255</v>
      </c>
      <c r="B3268">
        <v>13</v>
      </c>
      <c r="C3268">
        <v>15</v>
      </c>
      <c r="D3268">
        <v>5</v>
      </c>
    </row>
    <row r="3269" spans="1:18" x14ac:dyDescent="0.3">
      <c r="A3269" t="s">
        <v>256</v>
      </c>
      <c r="B3269">
        <v>13</v>
      </c>
      <c r="C3269">
        <v>76</v>
      </c>
      <c r="D3269">
        <v>33.4</v>
      </c>
    </row>
    <row r="3270" spans="1:18" x14ac:dyDescent="0.3">
      <c r="A3270" t="s">
        <v>257</v>
      </c>
      <c r="B3270">
        <v>13</v>
      </c>
      <c r="C3270">
        <v>1</v>
      </c>
      <c r="D3270">
        <v>2</v>
      </c>
    </row>
    <row r="3271" spans="1:18" x14ac:dyDescent="0.3">
      <c r="A3271" t="s">
        <v>258</v>
      </c>
      <c r="B3271">
        <v>13</v>
      </c>
      <c r="C3271">
        <v>0</v>
      </c>
      <c r="D3271">
        <v>0</v>
      </c>
    </row>
    <row r="3272" spans="1:18" x14ac:dyDescent="0.3">
      <c r="A3272" t="s">
        <v>259</v>
      </c>
      <c r="B3272">
        <v>13</v>
      </c>
      <c r="C3272">
        <v>0</v>
      </c>
      <c r="D3272">
        <v>0</v>
      </c>
    </row>
    <row r="3273" spans="1:18" x14ac:dyDescent="0.3">
      <c r="A3273" t="s">
        <v>260</v>
      </c>
      <c r="B3273">
        <v>13</v>
      </c>
      <c r="C3273">
        <v>0</v>
      </c>
      <c r="D3273">
        <v>0</v>
      </c>
    </row>
    <row r="3274" spans="1:18" x14ac:dyDescent="0.3">
      <c r="A3274" t="s">
        <v>261</v>
      </c>
      <c r="B3274">
        <v>13</v>
      </c>
      <c r="C3274">
        <v>4</v>
      </c>
      <c r="D3274">
        <v>3</v>
      </c>
    </row>
    <row r="3275" spans="1:18" x14ac:dyDescent="0.3">
      <c r="A3275" t="s">
        <v>262</v>
      </c>
      <c r="B3275">
        <v>13</v>
      </c>
      <c r="C3275">
        <v>1</v>
      </c>
      <c r="D3275">
        <v>2.6</v>
      </c>
    </row>
    <row r="3276" spans="1:18" x14ac:dyDescent="0.3">
      <c r="A3276" t="s">
        <v>263</v>
      </c>
      <c r="B3276">
        <v>13</v>
      </c>
      <c r="C3276">
        <v>3</v>
      </c>
      <c r="D3276">
        <v>3</v>
      </c>
    </row>
    <row r="3277" spans="1:18" x14ac:dyDescent="0.3">
      <c r="A3277" t="s">
        <v>264</v>
      </c>
      <c r="B3277">
        <v>13</v>
      </c>
      <c r="C3277">
        <v>8</v>
      </c>
      <c r="D3277">
        <v>8</v>
      </c>
    </row>
    <row r="3278" spans="1:18" x14ac:dyDescent="0.3">
      <c r="A3278" t="s">
        <v>265</v>
      </c>
      <c r="B3278">
        <v>13</v>
      </c>
      <c r="C3278">
        <v>8</v>
      </c>
      <c r="D3278">
        <v>20</v>
      </c>
    </row>
    <row r="3279" spans="1:18" x14ac:dyDescent="0.3">
      <c r="A3279" t="s">
        <v>266</v>
      </c>
      <c r="B3279">
        <v>13</v>
      </c>
      <c r="C3279">
        <v>0</v>
      </c>
      <c r="D3279">
        <v>0</v>
      </c>
    </row>
    <row r="3280" spans="1:18" x14ac:dyDescent="0.3">
      <c r="A3280" t="s">
        <v>267</v>
      </c>
      <c r="B3280">
        <v>13</v>
      </c>
      <c r="C3280">
        <v>23.5</v>
      </c>
      <c r="D3280">
        <v>33.6</v>
      </c>
    </row>
    <row r="3281" spans="1:4" x14ac:dyDescent="0.3">
      <c r="A3281" t="s">
        <v>268</v>
      </c>
      <c r="B3281">
        <v>13</v>
      </c>
      <c r="C3281">
        <v>0</v>
      </c>
      <c r="D3281">
        <v>0</v>
      </c>
    </row>
    <row r="3282" spans="1:4" x14ac:dyDescent="0.3">
      <c r="A3282" t="s">
        <v>269</v>
      </c>
      <c r="B3282">
        <v>13</v>
      </c>
      <c r="C3282">
        <v>1</v>
      </c>
      <c r="D3282">
        <v>1</v>
      </c>
    </row>
    <row r="3283" spans="1:4" x14ac:dyDescent="0.3">
      <c r="A3283" t="s">
        <v>270</v>
      </c>
      <c r="B3283">
        <v>13</v>
      </c>
      <c r="C3283">
        <v>39</v>
      </c>
      <c r="D3283">
        <v>0</v>
      </c>
    </row>
    <row r="3284" spans="1:4" x14ac:dyDescent="0.3">
      <c r="A3284" t="s">
        <v>271</v>
      </c>
      <c r="B3284">
        <v>13</v>
      </c>
      <c r="C3284">
        <v>0</v>
      </c>
      <c r="D3284">
        <v>39</v>
      </c>
    </row>
    <row r="3285" spans="1:4" x14ac:dyDescent="0.3">
      <c r="A3285" t="s">
        <v>272</v>
      </c>
      <c r="B3285">
        <v>13</v>
      </c>
      <c r="C3285">
        <v>115</v>
      </c>
      <c r="D3285">
        <v>33.4</v>
      </c>
    </row>
    <row r="3286" spans="1:4" x14ac:dyDescent="0.3">
      <c r="A3286" t="s">
        <v>273</v>
      </c>
      <c r="B3286">
        <v>13</v>
      </c>
      <c r="C3286">
        <v>107</v>
      </c>
      <c r="D3286">
        <v>13.4</v>
      </c>
    </row>
    <row r="3287" spans="1:4" x14ac:dyDescent="0.3">
      <c r="A3287" t="s">
        <v>274</v>
      </c>
      <c r="B3287">
        <v>13</v>
      </c>
      <c r="C3287">
        <v>39</v>
      </c>
      <c r="D3287">
        <v>0</v>
      </c>
    </row>
    <row r="3288" spans="1:4" x14ac:dyDescent="0.3">
      <c r="A3288" t="s">
        <v>275</v>
      </c>
      <c r="B3288">
        <v>13</v>
      </c>
      <c r="C3288">
        <v>115</v>
      </c>
      <c r="D3288">
        <v>33.4</v>
      </c>
    </row>
    <row r="3289" spans="1:4" x14ac:dyDescent="0.3">
      <c r="A3289" t="s">
        <v>276</v>
      </c>
      <c r="B3289">
        <v>13</v>
      </c>
      <c r="C3289">
        <v>107</v>
      </c>
      <c r="D3289">
        <v>13.4</v>
      </c>
    </row>
    <row r="3290" spans="1:4" x14ac:dyDescent="0.3">
      <c r="A3290" t="s">
        <v>567</v>
      </c>
      <c r="B3290">
        <v>13</v>
      </c>
      <c r="C3290">
        <v>76</v>
      </c>
      <c r="D3290">
        <v>33.4</v>
      </c>
    </row>
    <row r="3291" spans="1:4" x14ac:dyDescent="0.3">
      <c r="A3291" t="s">
        <v>254</v>
      </c>
      <c r="B3291">
        <v>16</v>
      </c>
      <c r="C3291">
        <v>111</v>
      </c>
      <c r="D3291">
        <v>211</v>
      </c>
    </row>
    <row r="3292" spans="1:4" x14ac:dyDescent="0.3">
      <c r="A3292" t="s">
        <v>255</v>
      </c>
      <c r="B3292">
        <v>16</v>
      </c>
      <c r="C3292">
        <v>15</v>
      </c>
      <c r="D3292">
        <v>5</v>
      </c>
    </row>
    <row r="3293" spans="1:4" x14ac:dyDescent="0.3">
      <c r="A3293" t="s">
        <v>256</v>
      </c>
      <c r="B3293">
        <v>16</v>
      </c>
      <c r="C3293">
        <v>75</v>
      </c>
      <c r="D3293">
        <v>33.799999999999997</v>
      </c>
    </row>
    <row r="3294" spans="1:4" x14ac:dyDescent="0.3">
      <c r="A3294" t="s">
        <v>257</v>
      </c>
      <c r="B3294">
        <v>16</v>
      </c>
      <c r="C3294">
        <v>1</v>
      </c>
      <c r="D3294">
        <v>2</v>
      </c>
    </row>
    <row r="3295" spans="1:4" x14ac:dyDescent="0.3">
      <c r="A3295" t="s">
        <v>258</v>
      </c>
      <c r="B3295">
        <v>16</v>
      </c>
      <c r="C3295">
        <v>0</v>
      </c>
      <c r="D3295">
        <v>0</v>
      </c>
    </row>
    <row r="3296" spans="1:4" x14ac:dyDescent="0.3">
      <c r="A3296" t="s">
        <v>259</v>
      </c>
      <c r="B3296">
        <v>16</v>
      </c>
      <c r="C3296">
        <v>0</v>
      </c>
      <c r="D3296">
        <v>0</v>
      </c>
    </row>
    <row r="3297" spans="1:4" x14ac:dyDescent="0.3">
      <c r="A3297" t="s">
        <v>260</v>
      </c>
      <c r="B3297">
        <v>16</v>
      </c>
      <c r="C3297">
        <v>0</v>
      </c>
      <c r="D3297">
        <v>0</v>
      </c>
    </row>
    <row r="3298" spans="1:4" x14ac:dyDescent="0.3">
      <c r="A3298" t="s">
        <v>261</v>
      </c>
      <c r="B3298">
        <v>16</v>
      </c>
      <c r="C3298">
        <v>4</v>
      </c>
      <c r="D3298">
        <v>3</v>
      </c>
    </row>
    <row r="3299" spans="1:4" x14ac:dyDescent="0.3">
      <c r="A3299" t="s">
        <v>262</v>
      </c>
      <c r="B3299">
        <v>16</v>
      </c>
      <c r="C3299">
        <v>1</v>
      </c>
      <c r="D3299">
        <v>3.2</v>
      </c>
    </row>
    <row r="3300" spans="1:4" x14ac:dyDescent="0.3">
      <c r="A3300" t="s">
        <v>263</v>
      </c>
      <c r="B3300">
        <v>16</v>
      </c>
      <c r="C3300">
        <v>3</v>
      </c>
      <c r="D3300">
        <v>3</v>
      </c>
    </row>
    <row r="3301" spans="1:4" x14ac:dyDescent="0.3">
      <c r="A3301" t="s">
        <v>264</v>
      </c>
      <c r="B3301">
        <v>16</v>
      </c>
      <c r="C3301">
        <v>8</v>
      </c>
      <c r="D3301">
        <v>8</v>
      </c>
    </row>
    <row r="3302" spans="1:4" x14ac:dyDescent="0.3">
      <c r="A3302" t="s">
        <v>265</v>
      </c>
      <c r="B3302">
        <v>16</v>
      </c>
      <c r="C3302">
        <v>12</v>
      </c>
      <c r="D3302">
        <v>24</v>
      </c>
    </row>
    <row r="3303" spans="1:4" x14ac:dyDescent="0.3">
      <c r="A3303" t="s">
        <v>266</v>
      </c>
      <c r="B3303">
        <v>16</v>
      </c>
      <c r="C3303">
        <v>0</v>
      </c>
      <c r="D3303">
        <v>0</v>
      </c>
    </row>
    <row r="3304" spans="1:4" x14ac:dyDescent="0.3">
      <c r="A3304" t="s">
        <v>267</v>
      </c>
      <c r="B3304">
        <v>16</v>
      </c>
      <c r="C3304">
        <v>25</v>
      </c>
      <c r="D3304">
        <v>38.200000000000003</v>
      </c>
    </row>
    <row r="3305" spans="1:4" x14ac:dyDescent="0.3">
      <c r="A3305" t="s">
        <v>268</v>
      </c>
      <c r="B3305">
        <v>16</v>
      </c>
      <c r="C3305">
        <v>0</v>
      </c>
      <c r="D3305">
        <v>0</v>
      </c>
    </row>
    <row r="3306" spans="1:4" x14ac:dyDescent="0.3">
      <c r="A3306" t="s">
        <v>269</v>
      </c>
      <c r="B3306">
        <v>16</v>
      </c>
      <c r="C3306">
        <v>1</v>
      </c>
      <c r="D3306">
        <v>1</v>
      </c>
    </row>
    <row r="3307" spans="1:4" x14ac:dyDescent="0.3">
      <c r="A3307" t="s">
        <v>270</v>
      </c>
      <c r="B3307">
        <v>16</v>
      </c>
      <c r="C3307">
        <v>40</v>
      </c>
      <c r="D3307">
        <v>0</v>
      </c>
    </row>
    <row r="3308" spans="1:4" x14ac:dyDescent="0.3">
      <c r="A3308" t="s">
        <v>271</v>
      </c>
      <c r="B3308">
        <v>16</v>
      </c>
      <c r="C3308">
        <v>0</v>
      </c>
      <c r="D3308">
        <v>40</v>
      </c>
    </row>
    <row r="3309" spans="1:4" x14ac:dyDescent="0.3">
      <c r="A3309" t="s">
        <v>272</v>
      </c>
      <c r="B3309">
        <v>16</v>
      </c>
      <c r="C3309">
        <v>115</v>
      </c>
      <c r="D3309">
        <v>33.799999999999997</v>
      </c>
    </row>
    <row r="3310" spans="1:4" x14ac:dyDescent="0.3">
      <c r="A3310" t="s">
        <v>273</v>
      </c>
      <c r="B3310">
        <v>16</v>
      </c>
      <c r="C3310">
        <v>103</v>
      </c>
      <c r="D3310">
        <v>9.8000000000000007</v>
      </c>
    </row>
    <row r="3311" spans="1:4" x14ac:dyDescent="0.3">
      <c r="A3311" t="s">
        <v>274</v>
      </c>
      <c r="B3311">
        <v>16</v>
      </c>
      <c r="C3311">
        <v>40</v>
      </c>
      <c r="D3311">
        <v>0</v>
      </c>
    </row>
    <row r="3312" spans="1:4" x14ac:dyDescent="0.3">
      <c r="A3312" t="s">
        <v>275</v>
      </c>
      <c r="B3312">
        <v>16</v>
      </c>
      <c r="C3312">
        <v>115</v>
      </c>
      <c r="D3312">
        <v>33.799999999999997</v>
      </c>
    </row>
    <row r="3313" spans="1:18" x14ac:dyDescent="0.3">
      <c r="A3313" t="s">
        <v>276</v>
      </c>
      <c r="B3313">
        <v>16</v>
      </c>
      <c r="C3313">
        <v>103</v>
      </c>
      <c r="D3313">
        <v>9.8000000000000007</v>
      </c>
    </row>
    <row r="3314" spans="1:18" x14ac:dyDescent="0.3">
      <c r="A3314" t="s">
        <v>567</v>
      </c>
      <c r="B3314">
        <v>16</v>
      </c>
      <c r="C3314">
        <v>75</v>
      </c>
      <c r="D3314">
        <v>33.799999999999997</v>
      </c>
    </row>
    <row r="3315" spans="1:18" x14ac:dyDescent="0.3">
      <c r="A3315" t="s">
        <v>254</v>
      </c>
      <c r="B3315">
        <v>21</v>
      </c>
      <c r="C3315">
        <v>111</v>
      </c>
      <c r="D3315">
        <v>112</v>
      </c>
      <c r="E3315">
        <v>211</v>
      </c>
      <c r="F3315">
        <v>212</v>
      </c>
      <c r="G3315">
        <v>121</v>
      </c>
      <c r="H3315">
        <v>122</v>
      </c>
      <c r="I3315">
        <v>222</v>
      </c>
      <c r="J3315">
        <v>221</v>
      </c>
      <c r="K3315">
        <v>311</v>
      </c>
      <c r="L3315">
        <v>312</v>
      </c>
      <c r="M3315">
        <v>411</v>
      </c>
      <c r="N3315">
        <v>412</v>
      </c>
      <c r="O3315">
        <v>321</v>
      </c>
      <c r="P3315">
        <v>322</v>
      </c>
      <c r="Q3315">
        <v>421</v>
      </c>
      <c r="R3315">
        <v>422</v>
      </c>
    </row>
    <row r="3316" spans="1:18" x14ac:dyDescent="0.3">
      <c r="A3316" t="s">
        <v>255</v>
      </c>
      <c r="B3316">
        <v>21</v>
      </c>
      <c r="C3316">
        <v>5</v>
      </c>
      <c r="D3316">
        <v>15</v>
      </c>
      <c r="E3316">
        <v>5</v>
      </c>
      <c r="F3316">
        <v>15</v>
      </c>
      <c r="G3316">
        <v>5</v>
      </c>
      <c r="H3316">
        <v>15</v>
      </c>
      <c r="I3316">
        <v>5</v>
      </c>
      <c r="J3316">
        <v>15</v>
      </c>
    </row>
    <row r="3317" spans="1:18" x14ac:dyDescent="0.3">
      <c r="A3317" t="s">
        <v>256</v>
      </c>
      <c r="B3317">
        <v>21</v>
      </c>
      <c r="C3317">
        <v>18</v>
      </c>
      <c r="D3317">
        <v>47.4</v>
      </c>
      <c r="E3317">
        <v>5</v>
      </c>
      <c r="F3317">
        <v>27.9</v>
      </c>
      <c r="G3317">
        <v>5</v>
      </c>
      <c r="H3317">
        <v>60.4</v>
      </c>
      <c r="I3317">
        <v>5</v>
      </c>
      <c r="J3317">
        <v>27.9</v>
      </c>
    </row>
    <row r="3318" spans="1:18" x14ac:dyDescent="0.3">
      <c r="A3318" t="s">
        <v>257</v>
      </c>
      <c r="B3318">
        <v>21</v>
      </c>
      <c r="C3318">
        <v>2</v>
      </c>
      <c r="D3318">
        <v>1</v>
      </c>
      <c r="E3318">
        <v>2</v>
      </c>
      <c r="F3318">
        <v>1</v>
      </c>
      <c r="G3318">
        <v>2</v>
      </c>
      <c r="H3318">
        <v>1</v>
      </c>
      <c r="I3318">
        <v>2</v>
      </c>
      <c r="J3318">
        <v>1</v>
      </c>
    </row>
    <row r="3319" spans="1:18" x14ac:dyDescent="0.3">
      <c r="A3319" t="s">
        <v>258</v>
      </c>
      <c r="B3319">
        <v>21</v>
      </c>
      <c r="C3319">
        <v>0</v>
      </c>
      <c r="D3319">
        <v>0</v>
      </c>
      <c r="E3319">
        <v>0</v>
      </c>
      <c r="F3319">
        <v>0</v>
      </c>
      <c r="G3319">
        <v>0</v>
      </c>
      <c r="H3319">
        <v>0</v>
      </c>
      <c r="I3319">
        <v>0</v>
      </c>
      <c r="J3319">
        <v>0</v>
      </c>
    </row>
    <row r="3320" spans="1:18" x14ac:dyDescent="0.3">
      <c r="A3320" t="s">
        <v>259</v>
      </c>
      <c r="B3320">
        <v>21</v>
      </c>
      <c r="C3320">
        <v>0</v>
      </c>
      <c r="D3320">
        <v>0</v>
      </c>
      <c r="E3320">
        <v>0</v>
      </c>
      <c r="F3320">
        <v>0</v>
      </c>
      <c r="G3320">
        <v>0</v>
      </c>
      <c r="H3320">
        <v>0</v>
      </c>
      <c r="I3320">
        <v>0</v>
      </c>
      <c r="J3320">
        <v>0</v>
      </c>
    </row>
    <row r="3321" spans="1:18" x14ac:dyDescent="0.3">
      <c r="A3321" t="s">
        <v>260</v>
      </c>
      <c r="B3321">
        <v>21</v>
      </c>
      <c r="C3321">
        <v>0</v>
      </c>
      <c r="D3321">
        <v>0</v>
      </c>
      <c r="E3321">
        <v>0</v>
      </c>
      <c r="F3321">
        <v>0</v>
      </c>
      <c r="G3321">
        <v>0</v>
      </c>
      <c r="H3321">
        <v>0</v>
      </c>
      <c r="I3321">
        <v>0</v>
      </c>
      <c r="J3321">
        <v>0</v>
      </c>
    </row>
    <row r="3322" spans="1:18" x14ac:dyDescent="0.3">
      <c r="A3322" t="s">
        <v>261</v>
      </c>
      <c r="B3322">
        <v>21</v>
      </c>
      <c r="C3322">
        <v>4</v>
      </c>
      <c r="D3322">
        <v>4</v>
      </c>
      <c r="E3322">
        <v>4</v>
      </c>
      <c r="F3322">
        <v>4.3</v>
      </c>
      <c r="G3322">
        <v>4</v>
      </c>
      <c r="H3322">
        <v>4</v>
      </c>
      <c r="I3322">
        <v>4</v>
      </c>
      <c r="J3322">
        <v>4.3</v>
      </c>
    </row>
    <row r="3323" spans="1:18" x14ac:dyDescent="0.3">
      <c r="A3323" t="s">
        <v>262</v>
      </c>
      <c r="B3323">
        <v>21</v>
      </c>
      <c r="C3323">
        <v>1</v>
      </c>
      <c r="D3323">
        <v>1.6</v>
      </c>
      <c r="E3323">
        <v>1</v>
      </c>
      <c r="F3323">
        <v>1.8</v>
      </c>
      <c r="G3323">
        <v>1</v>
      </c>
      <c r="H3323">
        <v>1.6</v>
      </c>
      <c r="I3323">
        <v>1</v>
      </c>
      <c r="J3323">
        <v>1.8</v>
      </c>
    </row>
    <row r="3324" spans="1:18" x14ac:dyDescent="0.3">
      <c r="A3324" t="s">
        <v>263</v>
      </c>
      <c r="B3324">
        <v>21</v>
      </c>
      <c r="C3324">
        <v>3</v>
      </c>
      <c r="D3324">
        <v>3</v>
      </c>
      <c r="E3324">
        <v>3</v>
      </c>
      <c r="F3324">
        <v>3</v>
      </c>
      <c r="G3324">
        <v>3</v>
      </c>
      <c r="H3324">
        <v>3</v>
      </c>
      <c r="I3324">
        <v>3</v>
      </c>
      <c r="J3324">
        <v>3</v>
      </c>
    </row>
    <row r="3325" spans="1:18" x14ac:dyDescent="0.3">
      <c r="A3325" t="s">
        <v>264</v>
      </c>
      <c r="B3325">
        <v>21</v>
      </c>
      <c r="D3325">
        <v>7</v>
      </c>
      <c r="F3325">
        <v>7</v>
      </c>
      <c r="H3325">
        <v>7</v>
      </c>
      <c r="J3325">
        <v>7</v>
      </c>
    </row>
    <row r="3326" spans="1:18" x14ac:dyDescent="0.3">
      <c r="A3326" t="s">
        <v>265</v>
      </c>
      <c r="B3326">
        <v>21</v>
      </c>
      <c r="D3326">
        <v>18</v>
      </c>
      <c r="F3326">
        <v>20</v>
      </c>
      <c r="H3326">
        <v>18</v>
      </c>
      <c r="J3326">
        <v>20</v>
      </c>
    </row>
    <row r="3327" spans="1:18" x14ac:dyDescent="0.3">
      <c r="A3327" t="s">
        <v>266</v>
      </c>
      <c r="B3327">
        <v>21</v>
      </c>
      <c r="D3327">
        <v>0</v>
      </c>
      <c r="F3327">
        <v>0</v>
      </c>
      <c r="H3327">
        <v>0</v>
      </c>
      <c r="J3327">
        <v>0</v>
      </c>
    </row>
    <row r="3328" spans="1:18" x14ac:dyDescent="0.3">
      <c r="A3328" t="s">
        <v>267</v>
      </c>
      <c r="B3328">
        <v>21</v>
      </c>
      <c r="C3328">
        <v>23</v>
      </c>
      <c r="D3328">
        <v>30.6</v>
      </c>
      <c r="E3328">
        <v>10</v>
      </c>
      <c r="F3328">
        <v>33.1</v>
      </c>
      <c r="G3328">
        <v>10</v>
      </c>
      <c r="H3328">
        <v>30.6</v>
      </c>
      <c r="I3328">
        <v>10</v>
      </c>
      <c r="J3328">
        <v>33.1</v>
      </c>
    </row>
    <row r="3329" spans="1:18" x14ac:dyDescent="0.3">
      <c r="A3329" t="s">
        <v>268</v>
      </c>
      <c r="B3329">
        <v>21</v>
      </c>
      <c r="C3329">
        <v>0</v>
      </c>
      <c r="D3329">
        <v>1</v>
      </c>
      <c r="E3329">
        <v>0</v>
      </c>
      <c r="F3329">
        <v>1</v>
      </c>
      <c r="G3329">
        <v>0</v>
      </c>
      <c r="H3329">
        <v>1</v>
      </c>
      <c r="I3329">
        <v>0</v>
      </c>
      <c r="J3329">
        <v>1</v>
      </c>
    </row>
    <row r="3330" spans="1:18" x14ac:dyDescent="0.3">
      <c r="A3330" t="s">
        <v>269</v>
      </c>
      <c r="B3330">
        <v>21</v>
      </c>
      <c r="C3330">
        <v>1</v>
      </c>
      <c r="D3330">
        <v>1</v>
      </c>
      <c r="E3330">
        <v>1</v>
      </c>
      <c r="F3330">
        <v>1</v>
      </c>
      <c r="G3330">
        <v>1</v>
      </c>
      <c r="H3330">
        <v>1</v>
      </c>
      <c r="I3330">
        <v>1</v>
      </c>
      <c r="J3330">
        <v>1</v>
      </c>
    </row>
    <row r="3331" spans="1:18" x14ac:dyDescent="0.3">
      <c r="A3331" t="s">
        <v>270</v>
      </c>
      <c r="B3331">
        <v>21</v>
      </c>
      <c r="C3331">
        <v>44</v>
      </c>
      <c r="D3331">
        <v>67</v>
      </c>
      <c r="E3331">
        <v>0</v>
      </c>
      <c r="F3331">
        <v>10</v>
      </c>
      <c r="G3331">
        <v>44</v>
      </c>
      <c r="H3331">
        <v>54</v>
      </c>
      <c r="I3331">
        <v>34</v>
      </c>
      <c r="J3331">
        <v>0</v>
      </c>
    </row>
    <row r="3332" spans="1:18" x14ac:dyDescent="0.3">
      <c r="A3332" t="s">
        <v>271</v>
      </c>
      <c r="B3332">
        <v>21</v>
      </c>
      <c r="C3332">
        <v>67</v>
      </c>
      <c r="D3332">
        <v>0</v>
      </c>
      <c r="E3332">
        <v>10</v>
      </c>
      <c r="F3332">
        <v>44</v>
      </c>
      <c r="G3332">
        <v>54</v>
      </c>
      <c r="H3332">
        <v>0</v>
      </c>
      <c r="I3332">
        <v>44</v>
      </c>
      <c r="J3332">
        <v>34</v>
      </c>
    </row>
    <row r="3333" spans="1:18" x14ac:dyDescent="0.3">
      <c r="A3333" t="s">
        <v>272</v>
      </c>
      <c r="B3333">
        <v>21</v>
      </c>
      <c r="C3333">
        <v>62</v>
      </c>
      <c r="D3333">
        <v>114.4</v>
      </c>
      <c r="E3333">
        <v>5</v>
      </c>
      <c r="F3333">
        <v>37.9</v>
      </c>
      <c r="G3333">
        <v>49</v>
      </c>
      <c r="H3333">
        <v>114.4</v>
      </c>
      <c r="I3333">
        <v>39</v>
      </c>
      <c r="J3333">
        <v>27.9</v>
      </c>
    </row>
    <row r="3334" spans="1:18" x14ac:dyDescent="0.3">
      <c r="A3334" t="s">
        <v>273</v>
      </c>
      <c r="B3334">
        <v>21</v>
      </c>
      <c r="C3334">
        <v>62</v>
      </c>
      <c r="D3334">
        <v>96.4</v>
      </c>
      <c r="E3334">
        <v>5</v>
      </c>
      <c r="F3334">
        <v>17.899999999999999</v>
      </c>
      <c r="G3334">
        <v>49</v>
      </c>
      <c r="H3334">
        <v>96.4</v>
      </c>
      <c r="I3334">
        <v>39</v>
      </c>
      <c r="J3334">
        <v>7.9</v>
      </c>
    </row>
    <row r="3335" spans="1:18" x14ac:dyDescent="0.3">
      <c r="A3335" t="s">
        <v>274</v>
      </c>
      <c r="B3335">
        <v>21</v>
      </c>
      <c r="C3335">
        <v>97</v>
      </c>
      <c r="D3335">
        <v>0</v>
      </c>
      <c r="E3335">
        <v>53</v>
      </c>
      <c r="F3335">
        <v>63</v>
      </c>
      <c r="G3335">
        <v>97</v>
      </c>
      <c r="H3335">
        <v>107</v>
      </c>
      <c r="I3335">
        <v>87</v>
      </c>
      <c r="J3335">
        <v>53</v>
      </c>
    </row>
    <row r="3336" spans="1:18" x14ac:dyDescent="0.3">
      <c r="A3336" t="s">
        <v>275</v>
      </c>
      <c r="B3336">
        <v>21</v>
      </c>
      <c r="C3336">
        <v>115</v>
      </c>
      <c r="D3336">
        <v>47.4</v>
      </c>
      <c r="E3336">
        <v>58</v>
      </c>
      <c r="F3336">
        <v>90.9</v>
      </c>
      <c r="G3336">
        <v>102</v>
      </c>
      <c r="H3336">
        <v>47.4</v>
      </c>
      <c r="I3336">
        <v>92</v>
      </c>
      <c r="J3336">
        <v>80.900000000000006</v>
      </c>
    </row>
    <row r="3337" spans="1:18" x14ac:dyDescent="0.3">
      <c r="A3337" t="s">
        <v>276</v>
      </c>
      <c r="B3337">
        <v>21</v>
      </c>
      <c r="C3337">
        <v>115</v>
      </c>
      <c r="D3337">
        <v>29.4</v>
      </c>
      <c r="E3337">
        <v>58</v>
      </c>
      <c r="F3337">
        <v>70.900000000000006</v>
      </c>
      <c r="G3337">
        <v>102</v>
      </c>
      <c r="H3337">
        <v>29.4</v>
      </c>
      <c r="I3337">
        <v>92</v>
      </c>
      <c r="J3337">
        <v>60.9</v>
      </c>
    </row>
    <row r="3338" spans="1:18" x14ac:dyDescent="0.3">
      <c r="A3338" t="s">
        <v>567</v>
      </c>
      <c r="B3338">
        <v>21</v>
      </c>
      <c r="C3338">
        <v>18</v>
      </c>
      <c r="D3338">
        <v>47.4</v>
      </c>
      <c r="E3338">
        <v>5</v>
      </c>
      <c r="F3338">
        <v>27.9</v>
      </c>
      <c r="G3338">
        <v>5</v>
      </c>
      <c r="H3338">
        <v>60.4</v>
      </c>
      <c r="I3338">
        <v>5</v>
      </c>
      <c r="J3338">
        <v>27.9</v>
      </c>
    </row>
    <row r="3339" spans="1:18" x14ac:dyDescent="0.3">
      <c r="A3339" t="s">
        <v>254</v>
      </c>
      <c r="B3339">
        <v>24</v>
      </c>
      <c r="C3339">
        <v>111</v>
      </c>
      <c r="D3339">
        <v>211</v>
      </c>
      <c r="K3339">
        <v>311</v>
      </c>
      <c r="L3339">
        <v>312</v>
      </c>
      <c r="M3339">
        <v>411</v>
      </c>
      <c r="N3339">
        <v>412</v>
      </c>
      <c r="O3339">
        <v>321</v>
      </c>
      <c r="P3339">
        <v>322</v>
      </c>
      <c r="Q3339">
        <v>421</v>
      </c>
      <c r="R3339">
        <v>422</v>
      </c>
    </row>
    <row r="3340" spans="1:18" x14ac:dyDescent="0.3">
      <c r="A3340" t="s">
        <v>255</v>
      </c>
      <c r="B3340">
        <v>24</v>
      </c>
      <c r="C3340">
        <v>15</v>
      </c>
      <c r="D3340">
        <v>5</v>
      </c>
    </row>
    <row r="3341" spans="1:18" x14ac:dyDescent="0.3">
      <c r="A3341" t="s">
        <v>256</v>
      </c>
      <c r="B3341">
        <v>24</v>
      </c>
      <c r="C3341">
        <v>23.4</v>
      </c>
      <c r="D3341">
        <v>26</v>
      </c>
    </row>
    <row r="3342" spans="1:18" x14ac:dyDescent="0.3">
      <c r="A3342" t="s">
        <v>257</v>
      </c>
      <c r="B3342">
        <v>24</v>
      </c>
      <c r="C3342">
        <v>1</v>
      </c>
      <c r="D3342">
        <v>2</v>
      </c>
    </row>
    <row r="3343" spans="1:18" x14ac:dyDescent="0.3">
      <c r="A3343" t="s">
        <v>258</v>
      </c>
      <c r="B3343">
        <v>24</v>
      </c>
      <c r="C3343">
        <v>0</v>
      </c>
      <c r="D3343">
        <v>0</v>
      </c>
    </row>
    <row r="3344" spans="1:18" x14ac:dyDescent="0.3">
      <c r="A3344" t="s">
        <v>259</v>
      </c>
      <c r="B3344">
        <v>24</v>
      </c>
      <c r="C3344">
        <v>0</v>
      </c>
      <c r="D3344">
        <v>0</v>
      </c>
    </row>
    <row r="3345" spans="1:4" x14ac:dyDescent="0.3">
      <c r="A3345" t="s">
        <v>260</v>
      </c>
      <c r="B3345">
        <v>24</v>
      </c>
      <c r="C3345">
        <v>0</v>
      </c>
      <c r="D3345">
        <v>0</v>
      </c>
    </row>
    <row r="3346" spans="1:4" x14ac:dyDescent="0.3">
      <c r="A3346" t="s">
        <v>261</v>
      </c>
      <c r="B3346">
        <v>24</v>
      </c>
      <c r="C3346">
        <v>4</v>
      </c>
      <c r="D3346">
        <v>3</v>
      </c>
    </row>
    <row r="3347" spans="1:4" x14ac:dyDescent="0.3">
      <c r="A3347" t="s">
        <v>262</v>
      </c>
      <c r="B3347">
        <v>24</v>
      </c>
      <c r="C3347">
        <v>1</v>
      </c>
      <c r="D3347">
        <v>2.6</v>
      </c>
    </row>
    <row r="3348" spans="1:4" x14ac:dyDescent="0.3">
      <c r="A3348" t="s">
        <v>263</v>
      </c>
      <c r="B3348">
        <v>24</v>
      </c>
      <c r="C3348">
        <v>3</v>
      </c>
      <c r="D3348">
        <v>3</v>
      </c>
    </row>
    <row r="3349" spans="1:4" x14ac:dyDescent="0.3">
      <c r="A3349" t="s">
        <v>264</v>
      </c>
      <c r="B3349">
        <v>24</v>
      </c>
      <c r="C3349">
        <v>8</v>
      </c>
      <c r="D3349">
        <v>8</v>
      </c>
    </row>
    <row r="3350" spans="1:4" x14ac:dyDescent="0.3">
      <c r="A3350" t="s">
        <v>265</v>
      </c>
      <c r="B3350">
        <v>24</v>
      </c>
      <c r="C3350">
        <v>7</v>
      </c>
      <c r="D3350">
        <v>18</v>
      </c>
    </row>
    <row r="3351" spans="1:4" x14ac:dyDescent="0.3">
      <c r="A3351" t="s">
        <v>266</v>
      </c>
      <c r="B3351">
        <v>24</v>
      </c>
      <c r="C3351">
        <v>0</v>
      </c>
      <c r="D3351">
        <v>0</v>
      </c>
    </row>
    <row r="3352" spans="1:4" x14ac:dyDescent="0.3">
      <c r="A3352" t="s">
        <v>267</v>
      </c>
      <c r="B3352">
        <v>24</v>
      </c>
      <c r="C3352">
        <v>24</v>
      </c>
      <c r="D3352">
        <v>31.6</v>
      </c>
    </row>
    <row r="3353" spans="1:4" x14ac:dyDescent="0.3">
      <c r="A3353" t="s">
        <v>268</v>
      </c>
      <c r="B3353">
        <v>24</v>
      </c>
      <c r="C3353">
        <v>0</v>
      </c>
      <c r="D3353">
        <v>0</v>
      </c>
    </row>
    <row r="3354" spans="1:4" x14ac:dyDescent="0.3">
      <c r="A3354" t="s">
        <v>269</v>
      </c>
      <c r="B3354">
        <v>24</v>
      </c>
      <c r="C3354">
        <v>1</v>
      </c>
      <c r="D3354">
        <v>1</v>
      </c>
    </row>
    <row r="3355" spans="1:4" x14ac:dyDescent="0.3">
      <c r="A3355" t="s">
        <v>270</v>
      </c>
      <c r="B3355">
        <v>24</v>
      </c>
      <c r="C3355">
        <v>14</v>
      </c>
      <c r="D3355">
        <v>42.4</v>
      </c>
    </row>
    <row r="3356" spans="1:4" x14ac:dyDescent="0.3">
      <c r="A3356" t="s">
        <v>271</v>
      </c>
      <c r="B3356">
        <v>24</v>
      </c>
      <c r="C3356">
        <v>42.4</v>
      </c>
      <c r="D3356">
        <v>14</v>
      </c>
    </row>
    <row r="3357" spans="1:4" x14ac:dyDescent="0.3">
      <c r="A3357" t="s">
        <v>272</v>
      </c>
      <c r="B3357">
        <v>24</v>
      </c>
      <c r="C3357">
        <v>37.4</v>
      </c>
      <c r="D3357">
        <v>8.4</v>
      </c>
    </row>
    <row r="3358" spans="1:4" x14ac:dyDescent="0.3">
      <c r="A3358" t="s">
        <v>273</v>
      </c>
      <c r="B3358">
        <v>24</v>
      </c>
      <c r="C3358">
        <v>30.4</v>
      </c>
      <c r="D3358">
        <v>50.4</v>
      </c>
    </row>
    <row r="3359" spans="1:4" x14ac:dyDescent="0.3">
      <c r="A3359" t="s">
        <v>274</v>
      </c>
      <c r="B3359">
        <v>24</v>
      </c>
      <c r="C3359">
        <v>0</v>
      </c>
      <c r="D3359">
        <v>28.4</v>
      </c>
    </row>
    <row r="3360" spans="1:4" x14ac:dyDescent="0.3">
      <c r="A3360" t="s">
        <v>275</v>
      </c>
      <c r="B3360">
        <v>24</v>
      </c>
      <c r="C3360">
        <v>23.4</v>
      </c>
      <c r="D3360">
        <v>54.4</v>
      </c>
    </row>
    <row r="3361" spans="1:18" x14ac:dyDescent="0.3">
      <c r="A3361" t="s">
        <v>276</v>
      </c>
      <c r="B3361">
        <v>24</v>
      </c>
      <c r="C3361">
        <v>16.399999999999999</v>
      </c>
      <c r="D3361">
        <v>36.4</v>
      </c>
    </row>
    <row r="3362" spans="1:18" x14ac:dyDescent="0.3">
      <c r="A3362" t="s">
        <v>567</v>
      </c>
      <c r="B3362">
        <v>24</v>
      </c>
      <c r="C3362">
        <v>23.4</v>
      </c>
      <c r="D3362">
        <v>26</v>
      </c>
    </row>
    <row r="3363" spans="1:18" x14ac:dyDescent="0.3">
      <c r="A3363" t="s">
        <v>254</v>
      </c>
      <c r="B3363">
        <v>27</v>
      </c>
      <c r="C3363">
        <v>111</v>
      </c>
      <c r="D3363">
        <v>211</v>
      </c>
      <c r="K3363">
        <v>311</v>
      </c>
      <c r="L3363">
        <v>312</v>
      </c>
      <c r="M3363">
        <v>411</v>
      </c>
      <c r="N3363">
        <v>412</v>
      </c>
      <c r="O3363">
        <v>321</v>
      </c>
      <c r="P3363">
        <v>322</v>
      </c>
      <c r="Q3363">
        <v>421</v>
      </c>
      <c r="R3363">
        <v>422</v>
      </c>
    </row>
    <row r="3364" spans="1:18" x14ac:dyDescent="0.3">
      <c r="A3364" t="s">
        <v>255</v>
      </c>
      <c r="B3364">
        <v>27</v>
      </c>
      <c r="C3364">
        <v>15</v>
      </c>
      <c r="D3364">
        <v>5</v>
      </c>
    </row>
    <row r="3365" spans="1:18" x14ac:dyDescent="0.3">
      <c r="A3365" t="s">
        <v>256</v>
      </c>
      <c r="B3365">
        <v>27</v>
      </c>
      <c r="C3365">
        <v>80.7</v>
      </c>
      <c r="D3365">
        <v>28.2</v>
      </c>
    </row>
    <row r="3366" spans="1:18" x14ac:dyDescent="0.3">
      <c r="A3366" t="s">
        <v>257</v>
      </c>
      <c r="B3366">
        <v>27</v>
      </c>
      <c r="C3366">
        <v>0.2</v>
      </c>
      <c r="D3366">
        <v>2</v>
      </c>
    </row>
    <row r="3367" spans="1:18" x14ac:dyDescent="0.3">
      <c r="A3367" t="s">
        <v>258</v>
      </c>
      <c r="B3367">
        <v>27</v>
      </c>
      <c r="C3367">
        <v>0</v>
      </c>
      <c r="D3367">
        <v>0</v>
      </c>
    </row>
    <row r="3368" spans="1:18" x14ac:dyDescent="0.3">
      <c r="A3368" t="s">
        <v>259</v>
      </c>
      <c r="B3368">
        <v>27</v>
      </c>
      <c r="C3368">
        <v>0</v>
      </c>
      <c r="D3368">
        <v>0</v>
      </c>
    </row>
    <row r="3369" spans="1:18" x14ac:dyDescent="0.3">
      <c r="A3369" t="s">
        <v>260</v>
      </c>
      <c r="B3369">
        <v>27</v>
      </c>
      <c r="C3369">
        <v>0</v>
      </c>
      <c r="D3369">
        <v>0</v>
      </c>
    </row>
    <row r="3370" spans="1:18" x14ac:dyDescent="0.3">
      <c r="A3370" t="s">
        <v>261</v>
      </c>
      <c r="B3370">
        <v>27</v>
      </c>
      <c r="C3370">
        <v>4.3</v>
      </c>
      <c r="D3370">
        <v>3.2</v>
      </c>
    </row>
    <row r="3371" spans="1:18" x14ac:dyDescent="0.3">
      <c r="A3371" t="s">
        <v>262</v>
      </c>
      <c r="B3371">
        <v>27</v>
      </c>
      <c r="C3371">
        <v>1</v>
      </c>
      <c r="D3371">
        <v>2.6</v>
      </c>
    </row>
    <row r="3372" spans="1:18" x14ac:dyDescent="0.3">
      <c r="A3372" t="s">
        <v>263</v>
      </c>
      <c r="B3372">
        <v>27</v>
      </c>
      <c r="C3372">
        <v>3</v>
      </c>
      <c r="D3372">
        <v>3</v>
      </c>
    </row>
    <row r="3373" spans="1:18" x14ac:dyDescent="0.3">
      <c r="A3373" t="s">
        <v>264</v>
      </c>
      <c r="B3373">
        <v>27</v>
      </c>
      <c r="C3373">
        <v>8</v>
      </c>
      <c r="D3373">
        <v>8</v>
      </c>
    </row>
    <row r="3374" spans="1:18" x14ac:dyDescent="0.3">
      <c r="A3374" t="s">
        <v>265</v>
      </c>
      <c r="B3374">
        <v>27</v>
      </c>
      <c r="C3374">
        <v>20</v>
      </c>
      <c r="D3374">
        <v>18</v>
      </c>
    </row>
    <row r="3375" spans="1:18" x14ac:dyDescent="0.3">
      <c r="A3375" t="s">
        <v>266</v>
      </c>
      <c r="B3375">
        <v>27</v>
      </c>
      <c r="C3375">
        <v>0</v>
      </c>
      <c r="D3375">
        <v>0</v>
      </c>
    </row>
    <row r="3376" spans="1:18" x14ac:dyDescent="0.3">
      <c r="A3376" t="s">
        <v>267</v>
      </c>
      <c r="B3376">
        <v>27</v>
      </c>
      <c r="C3376">
        <v>33.299999999999997</v>
      </c>
      <c r="D3376">
        <v>10.8</v>
      </c>
    </row>
    <row r="3377" spans="1:18" x14ac:dyDescent="0.3">
      <c r="A3377" t="s">
        <v>268</v>
      </c>
      <c r="B3377">
        <v>27</v>
      </c>
      <c r="C3377">
        <v>0</v>
      </c>
      <c r="D3377">
        <v>0</v>
      </c>
    </row>
    <row r="3378" spans="1:18" x14ac:dyDescent="0.3">
      <c r="A3378" t="s">
        <v>269</v>
      </c>
      <c r="B3378">
        <v>27</v>
      </c>
      <c r="C3378">
        <v>1</v>
      </c>
      <c r="D3378">
        <v>1</v>
      </c>
    </row>
    <row r="3379" spans="1:18" x14ac:dyDescent="0.3">
      <c r="A3379" t="s">
        <v>270</v>
      </c>
      <c r="B3379">
        <v>27</v>
      </c>
      <c r="C3379">
        <v>0</v>
      </c>
      <c r="D3379">
        <v>86</v>
      </c>
    </row>
    <row r="3380" spans="1:18" x14ac:dyDescent="0.3">
      <c r="A3380" t="s">
        <v>271</v>
      </c>
      <c r="B3380">
        <v>27</v>
      </c>
      <c r="C3380">
        <v>86</v>
      </c>
      <c r="D3380">
        <v>0</v>
      </c>
    </row>
    <row r="3381" spans="1:18" x14ac:dyDescent="0.3">
      <c r="A3381" t="s">
        <v>272</v>
      </c>
      <c r="B3381">
        <v>27</v>
      </c>
      <c r="C3381">
        <v>80.7</v>
      </c>
      <c r="D3381">
        <v>114.2</v>
      </c>
    </row>
    <row r="3382" spans="1:18" x14ac:dyDescent="0.3">
      <c r="A3382" t="s">
        <v>273</v>
      </c>
      <c r="B3382">
        <v>27</v>
      </c>
      <c r="C3382">
        <v>60.7</v>
      </c>
      <c r="D3382">
        <v>96.2</v>
      </c>
    </row>
    <row r="3383" spans="1:18" x14ac:dyDescent="0.3">
      <c r="A3383" t="s">
        <v>274</v>
      </c>
      <c r="B3383">
        <v>27</v>
      </c>
      <c r="C3383">
        <v>0</v>
      </c>
      <c r="D3383">
        <v>86</v>
      </c>
    </row>
    <row r="3384" spans="1:18" x14ac:dyDescent="0.3">
      <c r="A3384" t="s">
        <v>275</v>
      </c>
      <c r="B3384">
        <v>27</v>
      </c>
      <c r="C3384">
        <v>80.7</v>
      </c>
      <c r="D3384">
        <v>114.2</v>
      </c>
    </row>
    <row r="3385" spans="1:18" x14ac:dyDescent="0.3">
      <c r="A3385" t="s">
        <v>276</v>
      </c>
      <c r="B3385">
        <v>27</v>
      </c>
      <c r="C3385">
        <v>60.7</v>
      </c>
      <c r="D3385">
        <v>96.2</v>
      </c>
    </row>
    <row r="3386" spans="1:18" x14ac:dyDescent="0.3">
      <c r="A3386" t="s">
        <v>567</v>
      </c>
      <c r="B3386">
        <v>27</v>
      </c>
      <c r="C3386">
        <v>80.7</v>
      </c>
      <c r="D3386">
        <v>28.2</v>
      </c>
    </row>
    <row r="3387" spans="1:18" x14ac:dyDescent="0.3">
      <c r="A3387" t="s">
        <v>254</v>
      </c>
      <c r="B3387">
        <v>32</v>
      </c>
      <c r="C3387">
        <v>111</v>
      </c>
      <c r="D3387">
        <v>112</v>
      </c>
      <c r="F3387">
        <v>211</v>
      </c>
      <c r="H3387">
        <v>121</v>
      </c>
      <c r="J3387">
        <v>221</v>
      </c>
      <c r="K3387">
        <v>311</v>
      </c>
      <c r="L3387">
        <v>312</v>
      </c>
      <c r="M3387">
        <v>411</v>
      </c>
      <c r="N3387">
        <v>412</v>
      </c>
      <c r="O3387">
        <v>321</v>
      </c>
      <c r="P3387">
        <v>322</v>
      </c>
      <c r="Q3387">
        <v>421</v>
      </c>
      <c r="R3387">
        <v>422</v>
      </c>
    </row>
    <row r="3388" spans="1:18" x14ac:dyDescent="0.3">
      <c r="A3388" t="s">
        <v>255</v>
      </c>
      <c r="B3388">
        <v>32</v>
      </c>
      <c r="C3388">
        <v>5</v>
      </c>
      <c r="D3388">
        <v>15</v>
      </c>
      <c r="F3388">
        <v>5</v>
      </c>
      <c r="H3388">
        <v>15</v>
      </c>
      <c r="J3388">
        <v>5</v>
      </c>
    </row>
    <row r="3389" spans="1:18" x14ac:dyDescent="0.3">
      <c r="A3389" t="s">
        <v>256</v>
      </c>
      <c r="B3389">
        <v>32</v>
      </c>
      <c r="C3389">
        <v>5.6</v>
      </c>
      <c r="D3389">
        <v>70.099999999999994</v>
      </c>
      <c r="F3389">
        <v>29</v>
      </c>
      <c r="H3389">
        <v>79.7</v>
      </c>
      <c r="J3389">
        <v>29</v>
      </c>
    </row>
    <row r="3390" spans="1:18" x14ac:dyDescent="0.3">
      <c r="A3390" t="s">
        <v>257</v>
      </c>
      <c r="B3390">
        <v>32</v>
      </c>
      <c r="C3390">
        <v>2</v>
      </c>
      <c r="D3390">
        <v>1</v>
      </c>
      <c r="F3390">
        <v>2</v>
      </c>
      <c r="H3390">
        <v>1</v>
      </c>
      <c r="J3390">
        <v>2</v>
      </c>
    </row>
    <row r="3391" spans="1:18" x14ac:dyDescent="0.3">
      <c r="A3391" t="s">
        <v>258</v>
      </c>
      <c r="B3391">
        <v>32</v>
      </c>
      <c r="C3391">
        <v>0</v>
      </c>
      <c r="D3391">
        <v>0</v>
      </c>
      <c r="F3391">
        <v>0</v>
      </c>
      <c r="H3391">
        <v>0</v>
      </c>
      <c r="J3391">
        <v>0</v>
      </c>
    </row>
    <row r="3392" spans="1:18" x14ac:dyDescent="0.3">
      <c r="A3392" t="s">
        <v>259</v>
      </c>
      <c r="B3392">
        <v>32</v>
      </c>
      <c r="C3392">
        <v>0</v>
      </c>
      <c r="D3392">
        <v>0</v>
      </c>
      <c r="F3392">
        <v>0</v>
      </c>
      <c r="H3392">
        <v>0</v>
      </c>
      <c r="J3392">
        <v>0</v>
      </c>
    </row>
    <row r="3393" spans="1:10" x14ac:dyDescent="0.3">
      <c r="A3393" t="s">
        <v>260</v>
      </c>
      <c r="B3393">
        <v>32</v>
      </c>
      <c r="C3393">
        <v>0</v>
      </c>
      <c r="D3393">
        <v>0</v>
      </c>
      <c r="F3393">
        <v>0</v>
      </c>
      <c r="H3393">
        <v>0</v>
      </c>
      <c r="J3393">
        <v>0</v>
      </c>
    </row>
    <row r="3394" spans="1:10" x14ac:dyDescent="0.3">
      <c r="A3394" t="s">
        <v>261</v>
      </c>
      <c r="B3394">
        <v>32</v>
      </c>
      <c r="C3394">
        <v>3</v>
      </c>
      <c r="D3394">
        <v>4.3</v>
      </c>
      <c r="F3394">
        <v>3.6</v>
      </c>
      <c r="H3394">
        <v>4.3</v>
      </c>
      <c r="J3394">
        <v>3.6</v>
      </c>
    </row>
    <row r="3395" spans="1:10" x14ac:dyDescent="0.3">
      <c r="A3395" t="s">
        <v>262</v>
      </c>
      <c r="B3395">
        <v>32</v>
      </c>
      <c r="C3395">
        <v>1</v>
      </c>
      <c r="D3395">
        <v>1</v>
      </c>
      <c r="F3395">
        <v>2.4</v>
      </c>
      <c r="H3395">
        <v>1</v>
      </c>
      <c r="J3395">
        <v>2.4</v>
      </c>
    </row>
    <row r="3396" spans="1:10" x14ac:dyDescent="0.3">
      <c r="A3396" t="s">
        <v>263</v>
      </c>
      <c r="B3396">
        <v>32</v>
      </c>
      <c r="C3396">
        <v>3</v>
      </c>
      <c r="D3396">
        <v>3</v>
      </c>
      <c r="F3396">
        <v>3</v>
      </c>
      <c r="H3396">
        <v>3</v>
      </c>
      <c r="J3396">
        <v>3</v>
      </c>
    </row>
    <row r="3397" spans="1:10" x14ac:dyDescent="0.3">
      <c r="A3397" t="s">
        <v>264</v>
      </c>
      <c r="B3397">
        <v>32</v>
      </c>
      <c r="D3397">
        <v>8</v>
      </c>
      <c r="F3397">
        <v>8</v>
      </c>
      <c r="H3397">
        <v>8</v>
      </c>
      <c r="J3397">
        <v>8</v>
      </c>
    </row>
    <row r="3398" spans="1:10" x14ac:dyDescent="0.3">
      <c r="A3398" t="s">
        <v>265</v>
      </c>
      <c r="B3398">
        <v>32</v>
      </c>
      <c r="D3398">
        <v>12</v>
      </c>
      <c r="F3398">
        <v>21</v>
      </c>
      <c r="H3398">
        <v>12</v>
      </c>
      <c r="J3398">
        <v>21</v>
      </c>
    </row>
    <row r="3399" spans="1:10" x14ac:dyDescent="0.3">
      <c r="A3399" t="s">
        <v>266</v>
      </c>
      <c r="B3399">
        <v>32</v>
      </c>
      <c r="D3399">
        <v>0</v>
      </c>
      <c r="F3399">
        <v>0</v>
      </c>
      <c r="H3399">
        <v>0</v>
      </c>
      <c r="J3399">
        <v>0</v>
      </c>
    </row>
    <row r="3400" spans="1:10" x14ac:dyDescent="0.3">
      <c r="A3400" t="s">
        <v>267</v>
      </c>
      <c r="B3400">
        <v>32</v>
      </c>
      <c r="C3400">
        <v>9.5</v>
      </c>
      <c r="D3400">
        <v>25.3</v>
      </c>
      <c r="F3400">
        <v>35</v>
      </c>
      <c r="H3400">
        <v>25.3</v>
      </c>
      <c r="J3400">
        <v>35</v>
      </c>
    </row>
    <row r="3401" spans="1:10" x14ac:dyDescent="0.3">
      <c r="A3401" t="s">
        <v>268</v>
      </c>
      <c r="B3401">
        <v>32</v>
      </c>
      <c r="C3401">
        <v>0</v>
      </c>
      <c r="D3401">
        <v>1</v>
      </c>
      <c r="F3401">
        <v>1</v>
      </c>
      <c r="H3401">
        <v>1</v>
      </c>
      <c r="J3401">
        <v>1</v>
      </c>
    </row>
    <row r="3402" spans="1:10" x14ac:dyDescent="0.3">
      <c r="A3402" t="s">
        <v>269</v>
      </c>
      <c r="B3402">
        <v>32</v>
      </c>
      <c r="C3402">
        <v>1</v>
      </c>
      <c r="D3402">
        <v>1</v>
      </c>
      <c r="F3402">
        <v>1</v>
      </c>
      <c r="H3402">
        <v>1</v>
      </c>
      <c r="J3402">
        <v>1</v>
      </c>
    </row>
    <row r="3403" spans="1:10" x14ac:dyDescent="0.3">
      <c r="A3403" t="s">
        <v>270</v>
      </c>
      <c r="B3403">
        <v>32</v>
      </c>
      <c r="C3403">
        <v>60.4</v>
      </c>
      <c r="D3403">
        <v>70</v>
      </c>
      <c r="F3403">
        <v>25.4</v>
      </c>
      <c r="H3403">
        <v>60.4</v>
      </c>
      <c r="J3403">
        <v>25.4</v>
      </c>
    </row>
    <row r="3404" spans="1:10" x14ac:dyDescent="0.3">
      <c r="A3404" t="s">
        <v>271</v>
      </c>
      <c r="B3404">
        <v>32</v>
      </c>
      <c r="C3404">
        <v>70</v>
      </c>
      <c r="D3404">
        <v>25.4</v>
      </c>
      <c r="F3404">
        <v>60.4</v>
      </c>
      <c r="H3404">
        <v>25.4</v>
      </c>
      <c r="J3404">
        <v>60.4</v>
      </c>
    </row>
    <row r="3405" spans="1:10" x14ac:dyDescent="0.3">
      <c r="A3405" t="s">
        <v>272</v>
      </c>
      <c r="B3405">
        <v>32</v>
      </c>
      <c r="C3405">
        <v>66</v>
      </c>
      <c r="D3405">
        <v>20.100000000000001</v>
      </c>
      <c r="F3405">
        <v>54.4</v>
      </c>
      <c r="H3405">
        <v>20.100000000000001</v>
      </c>
      <c r="J3405">
        <v>54.4</v>
      </c>
    </row>
    <row r="3406" spans="1:10" x14ac:dyDescent="0.3">
      <c r="A3406" t="s">
        <v>273</v>
      </c>
      <c r="B3406">
        <v>32</v>
      </c>
      <c r="C3406">
        <v>66</v>
      </c>
      <c r="D3406">
        <v>8.1</v>
      </c>
      <c r="F3406">
        <v>33.4</v>
      </c>
      <c r="H3406">
        <v>8.1</v>
      </c>
      <c r="J3406">
        <v>33.4</v>
      </c>
    </row>
    <row r="3407" spans="1:10" x14ac:dyDescent="0.3">
      <c r="A3407" t="s">
        <v>274</v>
      </c>
      <c r="B3407">
        <v>32</v>
      </c>
      <c r="C3407">
        <v>110.4</v>
      </c>
      <c r="D3407">
        <v>0</v>
      </c>
      <c r="F3407">
        <v>75.400000000000006</v>
      </c>
      <c r="H3407">
        <v>110.4</v>
      </c>
      <c r="J3407">
        <v>75.400000000000006</v>
      </c>
    </row>
    <row r="3408" spans="1:10" x14ac:dyDescent="0.3">
      <c r="A3408" t="s">
        <v>275</v>
      </c>
      <c r="B3408">
        <v>32</v>
      </c>
      <c r="C3408">
        <v>116</v>
      </c>
      <c r="D3408">
        <v>70.099999999999994</v>
      </c>
      <c r="F3408">
        <v>104.4</v>
      </c>
      <c r="H3408">
        <v>70.099999999999994</v>
      </c>
      <c r="J3408">
        <v>104.4</v>
      </c>
    </row>
    <row r="3409" spans="1:18" x14ac:dyDescent="0.3">
      <c r="A3409" t="s">
        <v>276</v>
      </c>
      <c r="B3409">
        <v>32</v>
      </c>
      <c r="C3409">
        <v>116</v>
      </c>
      <c r="D3409">
        <v>58.1</v>
      </c>
      <c r="F3409">
        <v>83.4</v>
      </c>
      <c r="H3409">
        <v>58.1</v>
      </c>
      <c r="J3409">
        <v>83.4</v>
      </c>
    </row>
    <row r="3410" spans="1:18" x14ac:dyDescent="0.3">
      <c r="A3410" t="s">
        <v>567</v>
      </c>
      <c r="B3410">
        <v>32</v>
      </c>
      <c r="C3410">
        <v>5.6</v>
      </c>
      <c r="D3410">
        <v>70.099999999999994</v>
      </c>
      <c r="F3410">
        <v>29</v>
      </c>
      <c r="H3410">
        <v>79.7</v>
      </c>
      <c r="J3410">
        <v>29</v>
      </c>
    </row>
    <row r="3411" spans="1:18" x14ac:dyDescent="0.3">
      <c r="A3411" t="s">
        <v>254</v>
      </c>
      <c r="B3411">
        <v>35</v>
      </c>
      <c r="C3411">
        <v>111</v>
      </c>
      <c r="D3411">
        <v>211</v>
      </c>
      <c r="K3411">
        <v>311</v>
      </c>
      <c r="L3411">
        <v>312</v>
      </c>
      <c r="M3411">
        <v>411</v>
      </c>
      <c r="N3411">
        <v>412</v>
      </c>
      <c r="O3411">
        <v>321</v>
      </c>
      <c r="P3411">
        <v>322</v>
      </c>
      <c r="Q3411">
        <v>421</v>
      </c>
      <c r="R3411">
        <v>422</v>
      </c>
    </row>
    <row r="3412" spans="1:18" x14ac:dyDescent="0.3">
      <c r="A3412" t="s">
        <v>255</v>
      </c>
      <c r="B3412">
        <v>35</v>
      </c>
      <c r="C3412">
        <v>15</v>
      </c>
      <c r="D3412">
        <v>4</v>
      </c>
    </row>
    <row r="3413" spans="1:18" x14ac:dyDescent="0.3">
      <c r="A3413" t="s">
        <v>256</v>
      </c>
      <c r="B3413">
        <v>35</v>
      </c>
      <c r="C3413">
        <v>82.3</v>
      </c>
      <c r="D3413">
        <v>26.8</v>
      </c>
    </row>
    <row r="3414" spans="1:18" x14ac:dyDescent="0.3">
      <c r="A3414" t="s">
        <v>257</v>
      </c>
      <c r="B3414">
        <v>35</v>
      </c>
      <c r="C3414">
        <v>0.2</v>
      </c>
      <c r="D3414">
        <v>2</v>
      </c>
    </row>
    <row r="3415" spans="1:18" x14ac:dyDescent="0.3">
      <c r="A3415" t="s">
        <v>258</v>
      </c>
      <c r="B3415">
        <v>35</v>
      </c>
      <c r="C3415">
        <v>0</v>
      </c>
      <c r="D3415">
        <v>0</v>
      </c>
    </row>
    <row r="3416" spans="1:18" x14ac:dyDescent="0.3">
      <c r="A3416" t="s">
        <v>259</v>
      </c>
      <c r="B3416">
        <v>35</v>
      </c>
      <c r="C3416">
        <v>0</v>
      </c>
      <c r="D3416">
        <v>0</v>
      </c>
    </row>
    <row r="3417" spans="1:18" x14ac:dyDescent="0.3">
      <c r="A3417" t="s">
        <v>260</v>
      </c>
      <c r="B3417">
        <v>35</v>
      </c>
      <c r="C3417">
        <v>0</v>
      </c>
      <c r="D3417">
        <v>0</v>
      </c>
    </row>
    <row r="3418" spans="1:18" x14ac:dyDescent="0.3">
      <c r="A3418" t="s">
        <v>261</v>
      </c>
      <c r="B3418">
        <v>35</v>
      </c>
      <c r="C3418">
        <v>4.3</v>
      </c>
      <c r="D3418">
        <v>3</v>
      </c>
    </row>
    <row r="3419" spans="1:18" x14ac:dyDescent="0.3">
      <c r="A3419" t="s">
        <v>262</v>
      </c>
      <c r="B3419">
        <v>35</v>
      </c>
      <c r="C3419">
        <v>1</v>
      </c>
      <c r="D3419">
        <v>2.6</v>
      </c>
    </row>
    <row r="3420" spans="1:18" x14ac:dyDescent="0.3">
      <c r="A3420" t="s">
        <v>263</v>
      </c>
      <c r="B3420">
        <v>35</v>
      </c>
      <c r="C3420">
        <v>3</v>
      </c>
      <c r="D3420">
        <v>3</v>
      </c>
    </row>
    <row r="3421" spans="1:18" x14ac:dyDescent="0.3">
      <c r="A3421" t="s">
        <v>264</v>
      </c>
      <c r="B3421">
        <v>35</v>
      </c>
      <c r="C3421">
        <v>8</v>
      </c>
      <c r="D3421">
        <v>8</v>
      </c>
    </row>
    <row r="3422" spans="1:18" x14ac:dyDescent="0.3">
      <c r="A3422" t="s">
        <v>265</v>
      </c>
      <c r="B3422">
        <v>35</v>
      </c>
      <c r="C3422">
        <v>9</v>
      </c>
      <c r="D3422">
        <v>18</v>
      </c>
    </row>
    <row r="3423" spans="1:18" x14ac:dyDescent="0.3">
      <c r="A3423" t="s">
        <v>266</v>
      </c>
      <c r="B3423">
        <v>35</v>
      </c>
      <c r="C3423">
        <v>0</v>
      </c>
      <c r="D3423">
        <v>0</v>
      </c>
    </row>
    <row r="3424" spans="1:18" x14ac:dyDescent="0.3">
      <c r="A3424" t="s">
        <v>267</v>
      </c>
      <c r="B3424">
        <v>35</v>
      </c>
      <c r="C3424">
        <v>24.3</v>
      </c>
      <c r="D3424">
        <v>31.6</v>
      </c>
    </row>
    <row r="3425" spans="1:18" x14ac:dyDescent="0.3">
      <c r="A3425" t="s">
        <v>268</v>
      </c>
      <c r="B3425">
        <v>35</v>
      </c>
      <c r="C3425">
        <v>0</v>
      </c>
      <c r="D3425">
        <v>0</v>
      </c>
    </row>
    <row r="3426" spans="1:18" x14ac:dyDescent="0.3">
      <c r="A3426" t="s">
        <v>269</v>
      </c>
      <c r="B3426">
        <v>35</v>
      </c>
      <c r="C3426">
        <v>1</v>
      </c>
      <c r="D3426">
        <v>1</v>
      </c>
    </row>
    <row r="3427" spans="1:18" x14ac:dyDescent="0.3">
      <c r="A3427" t="s">
        <v>270</v>
      </c>
      <c r="B3427">
        <v>35</v>
      </c>
      <c r="C3427">
        <v>0</v>
      </c>
      <c r="D3427">
        <v>87.6</v>
      </c>
    </row>
    <row r="3428" spans="1:18" x14ac:dyDescent="0.3">
      <c r="A3428" t="s">
        <v>271</v>
      </c>
      <c r="B3428">
        <v>35</v>
      </c>
      <c r="C3428">
        <v>87.6</v>
      </c>
      <c r="D3428">
        <v>0</v>
      </c>
    </row>
    <row r="3429" spans="1:18" x14ac:dyDescent="0.3">
      <c r="A3429" t="s">
        <v>272</v>
      </c>
      <c r="B3429">
        <v>35</v>
      </c>
      <c r="C3429">
        <v>82.3</v>
      </c>
      <c r="D3429">
        <v>114.4</v>
      </c>
    </row>
    <row r="3430" spans="1:18" x14ac:dyDescent="0.3">
      <c r="A3430" t="s">
        <v>273</v>
      </c>
      <c r="B3430">
        <v>35</v>
      </c>
      <c r="C3430">
        <v>73.3</v>
      </c>
      <c r="D3430">
        <v>96.4</v>
      </c>
    </row>
    <row r="3431" spans="1:18" x14ac:dyDescent="0.3">
      <c r="A3431" t="s">
        <v>274</v>
      </c>
      <c r="B3431">
        <v>35</v>
      </c>
      <c r="C3431">
        <v>0</v>
      </c>
      <c r="D3431">
        <v>87.6</v>
      </c>
    </row>
    <row r="3432" spans="1:18" x14ac:dyDescent="0.3">
      <c r="A3432" t="s">
        <v>275</v>
      </c>
      <c r="B3432">
        <v>35</v>
      </c>
      <c r="C3432">
        <v>82.3</v>
      </c>
      <c r="D3432">
        <v>114.4</v>
      </c>
    </row>
    <row r="3433" spans="1:18" x14ac:dyDescent="0.3">
      <c r="A3433" t="s">
        <v>276</v>
      </c>
      <c r="B3433">
        <v>35</v>
      </c>
      <c r="C3433">
        <v>73.3</v>
      </c>
      <c r="D3433">
        <v>96.4</v>
      </c>
    </row>
    <row r="3434" spans="1:18" x14ac:dyDescent="0.3">
      <c r="A3434" t="s">
        <v>567</v>
      </c>
      <c r="B3434">
        <v>35</v>
      </c>
      <c r="C3434">
        <v>82.3</v>
      </c>
      <c r="D3434">
        <v>26.8</v>
      </c>
    </row>
    <row r="3435" spans="1:18" x14ac:dyDescent="0.3">
      <c r="A3435" t="s">
        <v>254</v>
      </c>
      <c r="B3435">
        <v>41</v>
      </c>
      <c r="C3435">
        <v>111</v>
      </c>
      <c r="D3435">
        <v>112</v>
      </c>
      <c r="E3435">
        <v>211</v>
      </c>
      <c r="F3435">
        <v>212</v>
      </c>
      <c r="G3435">
        <v>121</v>
      </c>
      <c r="H3435">
        <v>122</v>
      </c>
      <c r="I3435">
        <v>221</v>
      </c>
      <c r="J3435">
        <v>222</v>
      </c>
      <c r="K3435">
        <v>311</v>
      </c>
      <c r="L3435">
        <v>312</v>
      </c>
      <c r="M3435">
        <v>411</v>
      </c>
      <c r="N3435">
        <v>412</v>
      </c>
      <c r="O3435">
        <v>321</v>
      </c>
      <c r="P3435">
        <v>322</v>
      </c>
      <c r="Q3435">
        <v>421</v>
      </c>
      <c r="R3435">
        <v>422</v>
      </c>
    </row>
    <row r="3436" spans="1:18" x14ac:dyDescent="0.3">
      <c r="A3436" t="s">
        <v>255</v>
      </c>
      <c r="B3436">
        <v>41</v>
      </c>
      <c r="C3436">
        <v>5</v>
      </c>
      <c r="D3436">
        <v>15</v>
      </c>
      <c r="E3436">
        <v>5</v>
      </c>
      <c r="F3436">
        <v>15</v>
      </c>
      <c r="G3436">
        <v>5</v>
      </c>
      <c r="H3436">
        <v>15</v>
      </c>
      <c r="I3436">
        <v>5</v>
      </c>
      <c r="J3436">
        <v>15</v>
      </c>
    </row>
    <row r="3437" spans="1:18" x14ac:dyDescent="0.3">
      <c r="A3437" t="s">
        <v>256</v>
      </c>
      <c r="B3437">
        <v>41</v>
      </c>
      <c r="C3437">
        <v>5.6</v>
      </c>
      <c r="D3437">
        <v>49.5</v>
      </c>
      <c r="E3437">
        <v>14</v>
      </c>
      <c r="F3437">
        <v>31</v>
      </c>
      <c r="G3437">
        <v>5.5</v>
      </c>
      <c r="H3437">
        <v>49.6</v>
      </c>
      <c r="I3437">
        <v>10</v>
      </c>
      <c r="J3437">
        <v>35</v>
      </c>
    </row>
    <row r="3438" spans="1:18" x14ac:dyDescent="0.3">
      <c r="A3438" t="s">
        <v>257</v>
      </c>
      <c r="B3438">
        <v>41</v>
      </c>
      <c r="C3438">
        <v>2</v>
      </c>
      <c r="D3438">
        <v>2</v>
      </c>
      <c r="E3438">
        <v>2</v>
      </c>
      <c r="F3438">
        <v>2</v>
      </c>
      <c r="G3438">
        <v>2</v>
      </c>
      <c r="H3438">
        <v>2</v>
      </c>
      <c r="I3438">
        <v>2</v>
      </c>
      <c r="J3438">
        <v>2</v>
      </c>
    </row>
    <row r="3439" spans="1:18" x14ac:dyDescent="0.3">
      <c r="A3439" t="s">
        <v>258</v>
      </c>
      <c r="B3439">
        <v>41</v>
      </c>
      <c r="C3439">
        <v>0</v>
      </c>
      <c r="D3439">
        <v>0</v>
      </c>
      <c r="E3439">
        <v>0</v>
      </c>
      <c r="F3439">
        <v>0</v>
      </c>
      <c r="G3439">
        <v>0</v>
      </c>
      <c r="H3439">
        <v>0</v>
      </c>
      <c r="I3439">
        <v>0</v>
      </c>
      <c r="J3439">
        <v>0</v>
      </c>
    </row>
    <row r="3440" spans="1:18" x14ac:dyDescent="0.3">
      <c r="A3440" t="s">
        <v>259</v>
      </c>
      <c r="B3440">
        <v>41</v>
      </c>
      <c r="C3440">
        <v>0</v>
      </c>
      <c r="D3440">
        <v>0</v>
      </c>
      <c r="E3440">
        <v>0</v>
      </c>
      <c r="F3440">
        <v>0</v>
      </c>
      <c r="G3440">
        <v>0</v>
      </c>
      <c r="H3440">
        <v>0</v>
      </c>
      <c r="I3440">
        <v>0</v>
      </c>
      <c r="J3440">
        <v>0</v>
      </c>
    </row>
    <row r="3441" spans="1:10" x14ac:dyDescent="0.3">
      <c r="A3441" t="s">
        <v>260</v>
      </c>
      <c r="B3441">
        <v>41</v>
      </c>
      <c r="C3441">
        <v>0</v>
      </c>
      <c r="D3441">
        <v>0</v>
      </c>
      <c r="E3441">
        <v>0</v>
      </c>
      <c r="F3441">
        <v>0</v>
      </c>
      <c r="G3441">
        <v>0</v>
      </c>
      <c r="H3441">
        <v>0</v>
      </c>
      <c r="I3441">
        <v>0</v>
      </c>
      <c r="J3441">
        <v>0</v>
      </c>
    </row>
    <row r="3442" spans="1:10" x14ac:dyDescent="0.3">
      <c r="A3442" t="s">
        <v>261</v>
      </c>
      <c r="B3442">
        <v>41</v>
      </c>
      <c r="C3442">
        <v>3</v>
      </c>
      <c r="D3442">
        <v>4</v>
      </c>
      <c r="E3442">
        <v>3</v>
      </c>
      <c r="F3442">
        <v>4.3</v>
      </c>
      <c r="G3442">
        <v>3</v>
      </c>
      <c r="H3442">
        <v>4</v>
      </c>
      <c r="I3442">
        <v>3</v>
      </c>
      <c r="J3442">
        <v>4.3</v>
      </c>
    </row>
    <row r="3443" spans="1:10" x14ac:dyDescent="0.3">
      <c r="A3443" t="s">
        <v>262</v>
      </c>
      <c r="B3443">
        <v>41</v>
      </c>
      <c r="C3443">
        <v>1</v>
      </c>
      <c r="D3443">
        <v>1.8</v>
      </c>
      <c r="E3443">
        <v>1</v>
      </c>
      <c r="F3443">
        <v>1.8</v>
      </c>
      <c r="G3443">
        <v>1</v>
      </c>
      <c r="H3443">
        <v>1.8</v>
      </c>
      <c r="I3443">
        <v>1</v>
      </c>
      <c r="J3443">
        <v>1.8</v>
      </c>
    </row>
    <row r="3444" spans="1:10" x14ac:dyDescent="0.3">
      <c r="A3444" t="s">
        <v>263</v>
      </c>
      <c r="B3444">
        <v>41</v>
      </c>
      <c r="C3444">
        <v>3</v>
      </c>
      <c r="D3444">
        <v>3</v>
      </c>
      <c r="E3444">
        <v>3</v>
      </c>
      <c r="F3444">
        <v>3</v>
      </c>
      <c r="G3444">
        <v>3</v>
      </c>
      <c r="H3444">
        <v>3</v>
      </c>
      <c r="I3444">
        <v>3</v>
      </c>
      <c r="J3444">
        <v>3</v>
      </c>
    </row>
    <row r="3445" spans="1:10" x14ac:dyDescent="0.3">
      <c r="A3445" t="s">
        <v>264</v>
      </c>
      <c r="B3445">
        <v>41</v>
      </c>
      <c r="D3445">
        <v>8</v>
      </c>
      <c r="F3445">
        <v>8</v>
      </c>
      <c r="H3445">
        <v>8</v>
      </c>
      <c r="J3445">
        <v>8</v>
      </c>
    </row>
    <row r="3446" spans="1:10" x14ac:dyDescent="0.3">
      <c r="A3446" t="s">
        <v>265</v>
      </c>
      <c r="B3446">
        <v>41</v>
      </c>
      <c r="D3446">
        <v>21</v>
      </c>
      <c r="F3446">
        <v>23</v>
      </c>
      <c r="H3446">
        <v>21</v>
      </c>
      <c r="J3446">
        <v>23</v>
      </c>
    </row>
    <row r="3447" spans="1:10" x14ac:dyDescent="0.3">
      <c r="A3447" t="s">
        <v>266</v>
      </c>
      <c r="B3447">
        <v>41</v>
      </c>
      <c r="D3447">
        <v>0</v>
      </c>
      <c r="F3447">
        <v>0</v>
      </c>
      <c r="H3447">
        <v>0</v>
      </c>
      <c r="J3447">
        <v>0</v>
      </c>
    </row>
    <row r="3448" spans="1:10" x14ac:dyDescent="0.3">
      <c r="A3448" t="s">
        <v>267</v>
      </c>
      <c r="B3448">
        <v>41</v>
      </c>
      <c r="C3448">
        <v>9.5</v>
      </c>
      <c r="D3448">
        <v>34.799999999999997</v>
      </c>
      <c r="E3448">
        <v>9.5</v>
      </c>
      <c r="F3448">
        <v>37.1</v>
      </c>
      <c r="G3448">
        <v>9.5</v>
      </c>
      <c r="H3448">
        <v>34.799999999999997</v>
      </c>
      <c r="I3448">
        <v>9.5</v>
      </c>
      <c r="J3448">
        <v>37.1</v>
      </c>
    </row>
    <row r="3449" spans="1:10" x14ac:dyDescent="0.3">
      <c r="A3449" t="s">
        <v>268</v>
      </c>
      <c r="B3449">
        <v>41</v>
      </c>
      <c r="C3449">
        <v>0</v>
      </c>
      <c r="D3449">
        <v>1</v>
      </c>
      <c r="E3449">
        <v>0</v>
      </c>
      <c r="F3449">
        <v>1</v>
      </c>
      <c r="G3449">
        <v>0</v>
      </c>
      <c r="H3449">
        <v>1</v>
      </c>
      <c r="I3449">
        <v>0</v>
      </c>
      <c r="J3449">
        <v>1</v>
      </c>
    </row>
    <row r="3450" spans="1:10" x14ac:dyDescent="0.3">
      <c r="A3450" t="s">
        <v>269</v>
      </c>
      <c r="B3450">
        <v>41</v>
      </c>
      <c r="C3450">
        <v>1</v>
      </c>
      <c r="D3450">
        <v>1</v>
      </c>
      <c r="E3450">
        <v>1</v>
      </c>
      <c r="F3450">
        <v>1</v>
      </c>
      <c r="G3450">
        <v>1</v>
      </c>
      <c r="H3450">
        <v>1</v>
      </c>
      <c r="I3450">
        <v>1</v>
      </c>
      <c r="J3450">
        <v>1</v>
      </c>
    </row>
    <row r="3451" spans="1:10" x14ac:dyDescent="0.3">
      <c r="A3451" t="s">
        <v>270</v>
      </c>
      <c r="B3451">
        <v>41</v>
      </c>
      <c r="C3451">
        <v>58.4</v>
      </c>
      <c r="D3451">
        <v>68</v>
      </c>
      <c r="E3451">
        <v>3.3</v>
      </c>
      <c r="F3451">
        <v>21.3</v>
      </c>
      <c r="G3451">
        <v>58.4</v>
      </c>
      <c r="H3451">
        <v>67.900000000000006</v>
      </c>
      <c r="I3451">
        <v>3.3</v>
      </c>
      <c r="J3451">
        <v>17.3</v>
      </c>
    </row>
    <row r="3452" spans="1:10" x14ac:dyDescent="0.3">
      <c r="A3452" t="s">
        <v>271</v>
      </c>
      <c r="B3452">
        <v>41</v>
      </c>
      <c r="C3452">
        <v>68</v>
      </c>
      <c r="D3452">
        <v>3.3</v>
      </c>
      <c r="E3452">
        <v>21.3</v>
      </c>
      <c r="F3452">
        <v>58.4</v>
      </c>
      <c r="G3452">
        <v>67.900000000000006</v>
      </c>
      <c r="H3452">
        <v>3.3</v>
      </c>
      <c r="I3452">
        <v>17.3</v>
      </c>
      <c r="J3452">
        <v>58.4</v>
      </c>
    </row>
    <row r="3453" spans="1:10" x14ac:dyDescent="0.3">
      <c r="A3453" t="s">
        <v>272</v>
      </c>
      <c r="B3453">
        <v>41</v>
      </c>
      <c r="C3453">
        <v>64</v>
      </c>
      <c r="D3453">
        <v>117.5</v>
      </c>
      <c r="E3453">
        <v>17.3</v>
      </c>
      <c r="F3453">
        <v>52.3</v>
      </c>
      <c r="G3453">
        <v>63.9</v>
      </c>
      <c r="H3453">
        <v>117.5</v>
      </c>
      <c r="I3453">
        <v>13.3</v>
      </c>
      <c r="J3453">
        <v>52.3</v>
      </c>
    </row>
    <row r="3454" spans="1:10" x14ac:dyDescent="0.3">
      <c r="A3454" t="s">
        <v>273</v>
      </c>
      <c r="B3454">
        <v>41</v>
      </c>
      <c r="C3454">
        <v>64</v>
      </c>
      <c r="D3454">
        <v>96.5</v>
      </c>
      <c r="E3454">
        <v>17.3</v>
      </c>
      <c r="F3454">
        <v>29.3</v>
      </c>
      <c r="G3454">
        <v>63.9</v>
      </c>
      <c r="H3454">
        <v>96.5</v>
      </c>
      <c r="I3454">
        <v>13.3</v>
      </c>
      <c r="J3454">
        <v>29.3</v>
      </c>
    </row>
    <row r="3455" spans="1:10" x14ac:dyDescent="0.3">
      <c r="A3455" t="s">
        <v>274</v>
      </c>
      <c r="B3455">
        <v>41</v>
      </c>
      <c r="C3455">
        <v>110.4</v>
      </c>
      <c r="D3455">
        <v>0</v>
      </c>
      <c r="E3455">
        <v>55.3</v>
      </c>
      <c r="F3455">
        <v>73.3</v>
      </c>
      <c r="G3455">
        <v>110.4</v>
      </c>
      <c r="H3455">
        <v>119.9</v>
      </c>
      <c r="I3455">
        <v>55.3</v>
      </c>
      <c r="J3455">
        <v>69.3</v>
      </c>
    </row>
    <row r="3456" spans="1:10" x14ac:dyDescent="0.3">
      <c r="A3456" t="s">
        <v>275</v>
      </c>
      <c r="B3456">
        <v>41</v>
      </c>
      <c r="C3456">
        <v>116</v>
      </c>
      <c r="D3456">
        <v>49.5</v>
      </c>
      <c r="E3456">
        <v>69.3</v>
      </c>
      <c r="F3456">
        <v>104.3</v>
      </c>
      <c r="G3456">
        <v>115.9</v>
      </c>
      <c r="H3456">
        <v>49.5</v>
      </c>
      <c r="I3456">
        <v>65.3</v>
      </c>
      <c r="J3456">
        <v>104.3</v>
      </c>
    </row>
    <row r="3457" spans="1:18" x14ac:dyDescent="0.3">
      <c r="A3457" t="s">
        <v>276</v>
      </c>
      <c r="B3457">
        <v>41</v>
      </c>
      <c r="C3457">
        <v>116</v>
      </c>
      <c r="D3457">
        <v>28.5</v>
      </c>
      <c r="E3457">
        <v>69.3</v>
      </c>
      <c r="F3457">
        <v>81.3</v>
      </c>
      <c r="G3457">
        <v>115.9</v>
      </c>
      <c r="H3457">
        <v>28.5</v>
      </c>
      <c r="I3457">
        <v>65.3</v>
      </c>
      <c r="J3457">
        <v>81.3</v>
      </c>
    </row>
    <row r="3458" spans="1:18" x14ac:dyDescent="0.3">
      <c r="A3458" t="s">
        <v>567</v>
      </c>
      <c r="B3458">
        <v>41</v>
      </c>
      <c r="C3458">
        <v>5.6</v>
      </c>
      <c r="D3458">
        <v>49.5</v>
      </c>
      <c r="E3458">
        <v>14</v>
      </c>
      <c r="F3458">
        <v>31</v>
      </c>
      <c r="G3458">
        <v>5.5</v>
      </c>
      <c r="H3458">
        <v>49.6</v>
      </c>
      <c r="I3458">
        <v>10</v>
      </c>
      <c r="J3458">
        <v>35</v>
      </c>
    </row>
    <row r="3459" spans="1:18" x14ac:dyDescent="0.3">
      <c r="A3459" t="s">
        <v>254</v>
      </c>
      <c r="B3459">
        <v>44</v>
      </c>
      <c r="C3459">
        <v>111</v>
      </c>
      <c r="D3459">
        <v>211</v>
      </c>
      <c r="K3459">
        <v>311</v>
      </c>
      <c r="L3459">
        <v>312</v>
      </c>
      <c r="M3459">
        <v>411</v>
      </c>
      <c r="N3459">
        <v>412</v>
      </c>
      <c r="O3459">
        <v>321</v>
      </c>
      <c r="P3459">
        <v>322</v>
      </c>
      <c r="Q3459">
        <v>421</v>
      </c>
      <c r="R3459">
        <v>422</v>
      </c>
    </row>
    <row r="3460" spans="1:18" x14ac:dyDescent="0.3">
      <c r="A3460" t="s">
        <v>255</v>
      </c>
      <c r="B3460">
        <v>44</v>
      </c>
      <c r="C3460">
        <v>15</v>
      </c>
      <c r="D3460">
        <v>5</v>
      </c>
    </row>
    <row r="3461" spans="1:18" x14ac:dyDescent="0.3">
      <c r="A3461" t="s">
        <v>256</v>
      </c>
      <c r="B3461">
        <v>44</v>
      </c>
      <c r="C3461">
        <v>82</v>
      </c>
      <c r="D3461">
        <v>27.4</v>
      </c>
    </row>
    <row r="3462" spans="1:18" x14ac:dyDescent="0.3">
      <c r="A3462" t="s">
        <v>257</v>
      </c>
      <c r="B3462">
        <v>44</v>
      </c>
      <c r="C3462">
        <v>0.2</v>
      </c>
      <c r="D3462">
        <v>2</v>
      </c>
    </row>
    <row r="3463" spans="1:18" x14ac:dyDescent="0.3">
      <c r="A3463" t="s">
        <v>258</v>
      </c>
      <c r="B3463">
        <v>44</v>
      </c>
      <c r="C3463">
        <v>0</v>
      </c>
      <c r="D3463">
        <v>0</v>
      </c>
    </row>
    <row r="3464" spans="1:18" x14ac:dyDescent="0.3">
      <c r="A3464" t="s">
        <v>259</v>
      </c>
      <c r="B3464">
        <v>44</v>
      </c>
      <c r="C3464">
        <v>0</v>
      </c>
      <c r="D3464">
        <v>0</v>
      </c>
    </row>
    <row r="3465" spans="1:18" x14ac:dyDescent="0.3">
      <c r="A3465" t="s">
        <v>260</v>
      </c>
      <c r="B3465">
        <v>44</v>
      </c>
      <c r="C3465">
        <v>0</v>
      </c>
      <c r="D3465">
        <v>0</v>
      </c>
    </row>
    <row r="3466" spans="1:18" x14ac:dyDescent="0.3">
      <c r="A3466" t="s">
        <v>261</v>
      </c>
      <c r="B3466">
        <v>44</v>
      </c>
      <c r="C3466">
        <v>4</v>
      </c>
      <c r="D3466">
        <v>3</v>
      </c>
    </row>
    <row r="3467" spans="1:18" x14ac:dyDescent="0.3">
      <c r="A3467" t="s">
        <v>262</v>
      </c>
      <c r="B3467">
        <v>44</v>
      </c>
      <c r="C3467">
        <v>1</v>
      </c>
      <c r="D3467">
        <v>2.6</v>
      </c>
    </row>
    <row r="3468" spans="1:18" x14ac:dyDescent="0.3">
      <c r="A3468" t="s">
        <v>263</v>
      </c>
      <c r="B3468">
        <v>44</v>
      </c>
      <c r="C3468">
        <v>3</v>
      </c>
      <c r="D3468">
        <v>3</v>
      </c>
    </row>
    <row r="3469" spans="1:18" x14ac:dyDescent="0.3">
      <c r="A3469" t="s">
        <v>264</v>
      </c>
      <c r="B3469">
        <v>44</v>
      </c>
      <c r="C3469">
        <v>8</v>
      </c>
      <c r="D3469">
        <v>8</v>
      </c>
    </row>
    <row r="3470" spans="1:18" x14ac:dyDescent="0.3">
      <c r="A3470" t="s">
        <v>265</v>
      </c>
      <c r="B3470">
        <v>44</v>
      </c>
      <c r="C3470">
        <v>10</v>
      </c>
      <c r="D3470">
        <v>18</v>
      </c>
    </row>
    <row r="3471" spans="1:18" x14ac:dyDescent="0.3">
      <c r="A3471" t="s">
        <v>266</v>
      </c>
      <c r="B3471">
        <v>44</v>
      </c>
      <c r="C3471">
        <v>0</v>
      </c>
      <c r="D3471">
        <v>0</v>
      </c>
    </row>
    <row r="3472" spans="1:18" x14ac:dyDescent="0.3">
      <c r="A3472" t="s">
        <v>267</v>
      </c>
      <c r="B3472">
        <v>44</v>
      </c>
      <c r="C3472">
        <v>23.5</v>
      </c>
      <c r="D3472">
        <v>31.6</v>
      </c>
    </row>
    <row r="3473" spans="1:18" x14ac:dyDescent="0.3">
      <c r="A3473" t="s">
        <v>268</v>
      </c>
      <c r="B3473">
        <v>44</v>
      </c>
      <c r="C3473">
        <v>0</v>
      </c>
      <c r="D3473">
        <v>0</v>
      </c>
    </row>
    <row r="3474" spans="1:18" x14ac:dyDescent="0.3">
      <c r="A3474" t="s">
        <v>269</v>
      </c>
      <c r="B3474">
        <v>44</v>
      </c>
      <c r="C3474">
        <v>1</v>
      </c>
      <c r="D3474">
        <v>1</v>
      </c>
    </row>
    <row r="3475" spans="1:18" x14ac:dyDescent="0.3">
      <c r="A3475" t="s">
        <v>270</v>
      </c>
      <c r="B3475">
        <v>44</v>
      </c>
      <c r="C3475">
        <v>106</v>
      </c>
      <c r="D3475">
        <v>73</v>
      </c>
    </row>
    <row r="3476" spans="1:18" x14ac:dyDescent="0.3">
      <c r="A3476" t="s">
        <v>271</v>
      </c>
      <c r="B3476">
        <v>44</v>
      </c>
      <c r="C3476">
        <v>73</v>
      </c>
      <c r="D3476">
        <v>106</v>
      </c>
    </row>
    <row r="3477" spans="1:18" x14ac:dyDescent="0.3">
      <c r="A3477" t="s">
        <v>272</v>
      </c>
      <c r="B3477">
        <v>44</v>
      </c>
      <c r="C3477">
        <v>68</v>
      </c>
      <c r="D3477">
        <v>100.4</v>
      </c>
    </row>
    <row r="3478" spans="1:18" x14ac:dyDescent="0.3">
      <c r="A3478" t="s">
        <v>273</v>
      </c>
      <c r="B3478">
        <v>44</v>
      </c>
      <c r="C3478">
        <v>58</v>
      </c>
      <c r="D3478">
        <v>82.4</v>
      </c>
    </row>
    <row r="3479" spans="1:18" x14ac:dyDescent="0.3">
      <c r="A3479" t="s">
        <v>274</v>
      </c>
      <c r="B3479">
        <v>44</v>
      </c>
      <c r="C3479">
        <v>0</v>
      </c>
      <c r="D3479">
        <v>87</v>
      </c>
    </row>
    <row r="3480" spans="1:18" x14ac:dyDescent="0.3">
      <c r="A3480" t="s">
        <v>275</v>
      </c>
      <c r="B3480">
        <v>44</v>
      </c>
      <c r="C3480">
        <v>82</v>
      </c>
      <c r="D3480">
        <v>114.4</v>
      </c>
    </row>
    <row r="3481" spans="1:18" x14ac:dyDescent="0.3">
      <c r="A3481" t="s">
        <v>276</v>
      </c>
      <c r="B3481">
        <v>44</v>
      </c>
      <c r="C3481">
        <v>72</v>
      </c>
      <c r="D3481">
        <v>96.4</v>
      </c>
    </row>
    <row r="3482" spans="1:18" x14ac:dyDescent="0.3">
      <c r="A3482" t="s">
        <v>567</v>
      </c>
      <c r="B3482">
        <v>44</v>
      </c>
      <c r="C3482">
        <v>82</v>
      </c>
      <c r="D3482">
        <v>27.4</v>
      </c>
    </row>
    <row r="3483" spans="1:18" x14ac:dyDescent="0.3">
      <c r="A3483" t="s">
        <v>254</v>
      </c>
      <c r="B3483">
        <v>48</v>
      </c>
      <c r="D3483">
        <v>111</v>
      </c>
      <c r="F3483">
        <v>211</v>
      </c>
      <c r="G3483">
        <v>121</v>
      </c>
      <c r="H3483">
        <v>122</v>
      </c>
      <c r="K3483">
        <v>311</v>
      </c>
      <c r="L3483">
        <v>312</v>
      </c>
      <c r="M3483">
        <v>411</v>
      </c>
      <c r="N3483">
        <v>412</v>
      </c>
      <c r="O3483">
        <v>321</v>
      </c>
      <c r="P3483">
        <v>322</v>
      </c>
      <c r="Q3483">
        <v>421</v>
      </c>
      <c r="R3483">
        <v>422</v>
      </c>
    </row>
    <row r="3484" spans="1:18" x14ac:dyDescent="0.3">
      <c r="A3484" t="s">
        <v>255</v>
      </c>
      <c r="B3484">
        <v>48</v>
      </c>
      <c r="D3484">
        <v>15</v>
      </c>
      <c r="F3484">
        <v>5</v>
      </c>
      <c r="G3484">
        <v>5</v>
      </c>
      <c r="H3484">
        <v>15</v>
      </c>
    </row>
    <row r="3485" spans="1:18" x14ac:dyDescent="0.3">
      <c r="A3485" t="s">
        <v>256</v>
      </c>
      <c r="B3485">
        <v>48</v>
      </c>
      <c r="D3485">
        <v>83.4</v>
      </c>
      <c r="F3485">
        <v>26</v>
      </c>
      <c r="G3485">
        <v>8.3000000000000007</v>
      </c>
      <c r="H3485">
        <v>71.099999999999994</v>
      </c>
    </row>
    <row r="3486" spans="1:18" x14ac:dyDescent="0.3">
      <c r="A3486" t="s">
        <v>257</v>
      </c>
      <c r="B3486">
        <v>48</v>
      </c>
      <c r="D3486">
        <v>3</v>
      </c>
      <c r="F3486">
        <v>3</v>
      </c>
      <c r="G3486">
        <v>3</v>
      </c>
      <c r="H3486">
        <v>3</v>
      </c>
    </row>
    <row r="3487" spans="1:18" x14ac:dyDescent="0.3">
      <c r="A3487" t="s">
        <v>258</v>
      </c>
      <c r="B3487">
        <v>48</v>
      </c>
      <c r="D3487">
        <v>0</v>
      </c>
      <c r="F3487">
        <v>0</v>
      </c>
      <c r="G3487">
        <v>0</v>
      </c>
      <c r="H3487">
        <v>0</v>
      </c>
    </row>
    <row r="3488" spans="1:18" x14ac:dyDescent="0.3">
      <c r="A3488" t="s">
        <v>259</v>
      </c>
      <c r="B3488">
        <v>48</v>
      </c>
      <c r="D3488">
        <v>0</v>
      </c>
      <c r="F3488">
        <v>0</v>
      </c>
      <c r="G3488">
        <v>0</v>
      </c>
      <c r="H3488">
        <v>0</v>
      </c>
    </row>
    <row r="3489" spans="1:8" x14ac:dyDescent="0.3">
      <c r="A3489" t="s">
        <v>260</v>
      </c>
      <c r="B3489">
        <v>48</v>
      </c>
      <c r="D3489">
        <v>0</v>
      </c>
      <c r="F3489">
        <v>0</v>
      </c>
      <c r="G3489">
        <v>0</v>
      </c>
      <c r="H3489">
        <v>0</v>
      </c>
    </row>
    <row r="3490" spans="1:8" x14ac:dyDescent="0.3">
      <c r="A3490" t="s">
        <v>261</v>
      </c>
      <c r="B3490">
        <v>48</v>
      </c>
      <c r="D3490">
        <v>4</v>
      </c>
      <c r="F3490">
        <v>3</v>
      </c>
      <c r="G3490">
        <v>3</v>
      </c>
      <c r="H3490">
        <v>4</v>
      </c>
    </row>
    <row r="3491" spans="1:8" x14ac:dyDescent="0.3">
      <c r="A3491" t="s">
        <v>262</v>
      </c>
      <c r="B3491">
        <v>48</v>
      </c>
      <c r="D3491">
        <v>1</v>
      </c>
      <c r="F3491">
        <v>2.6</v>
      </c>
      <c r="G3491">
        <v>1</v>
      </c>
      <c r="H3491">
        <v>1</v>
      </c>
    </row>
    <row r="3492" spans="1:8" x14ac:dyDescent="0.3">
      <c r="A3492" t="s">
        <v>263</v>
      </c>
      <c r="B3492">
        <v>48</v>
      </c>
      <c r="D3492">
        <v>3</v>
      </c>
      <c r="F3492">
        <v>3</v>
      </c>
      <c r="G3492">
        <v>3</v>
      </c>
      <c r="H3492">
        <v>3</v>
      </c>
    </row>
    <row r="3493" spans="1:8" x14ac:dyDescent="0.3">
      <c r="A3493" t="s">
        <v>264</v>
      </c>
      <c r="B3493">
        <v>48</v>
      </c>
      <c r="D3493">
        <v>8</v>
      </c>
      <c r="F3493">
        <v>8</v>
      </c>
      <c r="H3493">
        <v>8</v>
      </c>
    </row>
    <row r="3494" spans="1:8" x14ac:dyDescent="0.3">
      <c r="A3494" t="s">
        <v>265</v>
      </c>
      <c r="B3494">
        <v>48</v>
      </c>
      <c r="D3494">
        <v>7</v>
      </c>
      <c r="F3494">
        <v>18</v>
      </c>
      <c r="H3494">
        <v>7</v>
      </c>
    </row>
    <row r="3495" spans="1:8" x14ac:dyDescent="0.3">
      <c r="A3495" t="s">
        <v>266</v>
      </c>
      <c r="B3495">
        <v>48</v>
      </c>
      <c r="D3495">
        <v>0</v>
      </c>
      <c r="F3495">
        <v>0</v>
      </c>
      <c r="H3495">
        <v>0</v>
      </c>
    </row>
    <row r="3496" spans="1:8" x14ac:dyDescent="0.3">
      <c r="A3496" t="s">
        <v>267</v>
      </c>
      <c r="B3496">
        <v>48</v>
      </c>
      <c r="D3496">
        <v>23.5</v>
      </c>
      <c r="F3496">
        <v>31.6</v>
      </c>
      <c r="G3496">
        <v>9.5</v>
      </c>
      <c r="H3496">
        <v>23.5</v>
      </c>
    </row>
    <row r="3497" spans="1:8" x14ac:dyDescent="0.3">
      <c r="A3497" t="s">
        <v>268</v>
      </c>
      <c r="B3497">
        <v>48</v>
      </c>
      <c r="D3497">
        <v>1</v>
      </c>
      <c r="F3497">
        <v>1</v>
      </c>
      <c r="G3497">
        <v>0</v>
      </c>
      <c r="H3497">
        <v>1</v>
      </c>
    </row>
    <row r="3498" spans="1:8" x14ac:dyDescent="0.3">
      <c r="A3498" t="s">
        <v>269</v>
      </c>
      <c r="B3498">
        <v>48</v>
      </c>
      <c r="D3498">
        <v>1</v>
      </c>
      <c r="F3498">
        <v>1</v>
      </c>
      <c r="G3498">
        <v>1</v>
      </c>
      <c r="H3498">
        <v>1</v>
      </c>
    </row>
    <row r="3499" spans="1:8" x14ac:dyDescent="0.3">
      <c r="A3499" t="s">
        <v>270</v>
      </c>
      <c r="B3499">
        <v>48</v>
      </c>
      <c r="D3499">
        <v>101.7</v>
      </c>
      <c r="F3499">
        <v>70.099999999999994</v>
      </c>
      <c r="G3499">
        <v>101.7</v>
      </c>
      <c r="H3499">
        <v>114</v>
      </c>
    </row>
    <row r="3500" spans="1:8" x14ac:dyDescent="0.3">
      <c r="A3500" t="s">
        <v>271</v>
      </c>
      <c r="B3500">
        <v>48</v>
      </c>
      <c r="D3500">
        <v>70.099999999999994</v>
      </c>
      <c r="F3500">
        <v>101.7</v>
      </c>
      <c r="G3500">
        <v>114</v>
      </c>
      <c r="H3500">
        <v>70.099999999999994</v>
      </c>
    </row>
    <row r="3501" spans="1:8" x14ac:dyDescent="0.3">
      <c r="A3501" t="s">
        <v>272</v>
      </c>
      <c r="B3501">
        <v>48</v>
      </c>
      <c r="D3501">
        <v>65.099999999999994</v>
      </c>
      <c r="F3501">
        <v>96.1</v>
      </c>
      <c r="G3501">
        <v>110</v>
      </c>
      <c r="H3501">
        <v>65.099999999999994</v>
      </c>
    </row>
    <row r="3502" spans="1:8" x14ac:dyDescent="0.3">
      <c r="A3502" t="s">
        <v>273</v>
      </c>
      <c r="B3502">
        <v>48</v>
      </c>
      <c r="D3502">
        <v>58.1</v>
      </c>
      <c r="F3502">
        <v>78.099999999999994</v>
      </c>
      <c r="G3502">
        <v>110</v>
      </c>
      <c r="H3502">
        <v>58.1</v>
      </c>
    </row>
    <row r="3503" spans="1:8" x14ac:dyDescent="0.3">
      <c r="A3503" t="s">
        <v>274</v>
      </c>
      <c r="B3503">
        <v>48</v>
      </c>
      <c r="D3503">
        <v>107.7</v>
      </c>
      <c r="F3503">
        <v>76.099999999999994</v>
      </c>
      <c r="G3503">
        <v>107.7</v>
      </c>
      <c r="H3503">
        <v>0</v>
      </c>
    </row>
    <row r="3504" spans="1:8" x14ac:dyDescent="0.3">
      <c r="A3504" t="s">
        <v>275</v>
      </c>
      <c r="B3504">
        <v>48</v>
      </c>
      <c r="D3504">
        <v>71.099999999999994</v>
      </c>
      <c r="F3504">
        <v>102.1</v>
      </c>
      <c r="G3504">
        <v>116</v>
      </c>
      <c r="H3504">
        <v>71.099999999999994</v>
      </c>
    </row>
    <row r="3505" spans="1:18" x14ac:dyDescent="0.3">
      <c r="A3505" t="s">
        <v>276</v>
      </c>
      <c r="B3505">
        <v>48</v>
      </c>
      <c r="D3505">
        <v>64.099999999999994</v>
      </c>
      <c r="F3505">
        <v>84.1</v>
      </c>
      <c r="G3505">
        <v>116</v>
      </c>
      <c r="H3505">
        <v>64.099999999999994</v>
      </c>
    </row>
    <row r="3506" spans="1:18" x14ac:dyDescent="0.3">
      <c r="A3506" t="s">
        <v>567</v>
      </c>
      <c r="B3506">
        <v>48</v>
      </c>
      <c r="D3506">
        <v>83.4</v>
      </c>
      <c r="F3506">
        <v>26</v>
      </c>
      <c r="G3506">
        <v>8.3000000000000007</v>
      </c>
      <c r="H3506">
        <v>71.099999999999994</v>
      </c>
    </row>
    <row r="3507" spans="1:18" x14ac:dyDescent="0.3">
      <c r="A3507" t="s">
        <v>254</v>
      </c>
      <c r="B3507">
        <v>49</v>
      </c>
      <c r="C3507">
        <v>111</v>
      </c>
      <c r="D3507">
        <v>112</v>
      </c>
      <c r="E3507">
        <v>211</v>
      </c>
      <c r="F3507">
        <v>212</v>
      </c>
      <c r="G3507">
        <v>122</v>
      </c>
      <c r="H3507">
        <v>121</v>
      </c>
      <c r="I3507">
        <v>221</v>
      </c>
      <c r="J3507">
        <v>222</v>
      </c>
      <c r="K3507">
        <v>311</v>
      </c>
      <c r="L3507">
        <v>312</v>
      </c>
      <c r="M3507">
        <v>411</v>
      </c>
      <c r="N3507">
        <v>412</v>
      </c>
      <c r="O3507">
        <v>321</v>
      </c>
      <c r="P3507">
        <v>322</v>
      </c>
      <c r="Q3507">
        <v>421</v>
      </c>
      <c r="R3507">
        <v>422</v>
      </c>
    </row>
    <row r="3508" spans="1:18" x14ac:dyDescent="0.3">
      <c r="A3508" t="s">
        <v>255</v>
      </c>
      <c r="B3508">
        <v>49</v>
      </c>
      <c r="C3508">
        <v>5</v>
      </c>
      <c r="D3508">
        <v>15</v>
      </c>
      <c r="E3508">
        <v>5</v>
      </c>
      <c r="F3508">
        <v>15</v>
      </c>
      <c r="G3508">
        <v>5</v>
      </c>
      <c r="H3508">
        <v>15</v>
      </c>
      <c r="I3508">
        <v>5</v>
      </c>
      <c r="J3508">
        <v>15</v>
      </c>
    </row>
    <row r="3509" spans="1:18" x14ac:dyDescent="0.3">
      <c r="A3509" t="s">
        <v>256</v>
      </c>
      <c r="B3509">
        <v>49</v>
      </c>
      <c r="C3509">
        <v>15</v>
      </c>
      <c r="D3509">
        <v>40.6</v>
      </c>
      <c r="E3509">
        <v>15.6</v>
      </c>
      <c r="F3509">
        <v>29.1</v>
      </c>
      <c r="G3509">
        <v>12.4</v>
      </c>
      <c r="H3509">
        <v>43.2</v>
      </c>
      <c r="I3509">
        <v>13.2</v>
      </c>
      <c r="J3509">
        <v>31.5</v>
      </c>
    </row>
    <row r="3510" spans="1:18" x14ac:dyDescent="0.3">
      <c r="A3510" t="s">
        <v>257</v>
      </c>
      <c r="B3510">
        <v>49</v>
      </c>
      <c r="C3510">
        <v>2</v>
      </c>
      <c r="D3510">
        <v>1</v>
      </c>
      <c r="E3510">
        <v>2</v>
      </c>
      <c r="F3510">
        <v>1</v>
      </c>
      <c r="G3510">
        <v>2</v>
      </c>
      <c r="H3510">
        <v>1</v>
      </c>
      <c r="I3510">
        <v>2</v>
      </c>
      <c r="J3510">
        <v>1</v>
      </c>
    </row>
    <row r="3511" spans="1:18" x14ac:dyDescent="0.3">
      <c r="A3511" t="s">
        <v>258</v>
      </c>
      <c r="B3511">
        <v>49</v>
      </c>
      <c r="C3511">
        <v>0</v>
      </c>
      <c r="D3511">
        <v>0</v>
      </c>
      <c r="E3511">
        <v>0</v>
      </c>
      <c r="F3511">
        <v>0</v>
      </c>
      <c r="G3511">
        <v>0</v>
      </c>
      <c r="H3511">
        <v>0</v>
      </c>
      <c r="I3511">
        <v>0</v>
      </c>
      <c r="J3511">
        <v>0</v>
      </c>
    </row>
    <row r="3512" spans="1:18" x14ac:dyDescent="0.3">
      <c r="A3512" t="s">
        <v>259</v>
      </c>
      <c r="B3512">
        <v>49</v>
      </c>
      <c r="C3512">
        <v>0</v>
      </c>
      <c r="D3512">
        <v>0</v>
      </c>
      <c r="E3512">
        <v>0</v>
      </c>
      <c r="F3512">
        <v>0</v>
      </c>
      <c r="G3512">
        <v>0</v>
      </c>
      <c r="H3512">
        <v>0</v>
      </c>
      <c r="I3512">
        <v>0</v>
      </c>
      <c r="J3512">
        <v>0</v>
      </c>
    </row>
    <row r="3513" spans="1:18" x14ac:dyDescent="0.3">
      <c r="A3513" t="s">
        <v>260</v>
      </c>
      <c r="B3513">
        <v>49</v>
      </c>
      <c r="C3513">
        <v>0</v>
      </c>
      <c r="D3513">
        <v>0</v>
      </c>
      <c r="E3513">
        <v>0</v>
      </c>
      <c r="F3513">
        <v>0</v>
      </c>
      <c r="G3513">
        <v>0</v>
      </c>
      <c r="H3513">
        <v>0</v>
      </c>
      <c r="I3513">
        <v>0</v>
      </c>
      <c r="J3513">
        <v>0</v>
      </c>
    </row>
    <row r="3514" spans="1:18" x14ac:dyDescent="0.3">
      <c r="A3514" t="s">
        <v>261</v>
      </c>
      <c r="B3514">
        <v>49</v>
      </c>
      <c r="C3514">
        <v>3</v>
      </c>
      <c r="D3514">
        <v>4</v>
      </c>
      <c r="E3514">
        <v>3</v>
      </c>
      <c r="F3514">
        <v>4.3</v>
      </c>
      <c r="G3514">
        <v>3</v>
      </c>
      <c r="H3514">
        <v>4</v>
      </c>
      <c r="I3514">
        <v>3</v>
      </c>
      <c r="J3514">
        <v>4.3</v>
      </c>
    </row>
    <row r="3515" spans="1:18" x14ac:dyDescent="0.3">
      <c r="A3515" t="s">
        <v>262</v>
      </c>
      <c r="B3515">
        <v>49</v>
      </c>
      <c r="C3515">
        <v>1</v>
      </c>
      <c r="D3515">
        <v>1.8</v>
      </c>
      <c r="E3515">
        <v>1</v>
      </c>
      <c r="F3515">
        <v>1.6</v>
      </c>
      <c r="G3515">
        <v>1</v>
      </c>
      <c r="H3515">
        <v>1.8</v>
      </c>
      <c r="I3515">
        <v>1</v>
      </c>
      <c r="J3515">
        <v>1.6</v>
      </c>
    </row>
    <row r="3516" spans="1:18" x14ac:dyDescent="0.3">
      <c r="A3516" t="s">
        <v>263</v>
      </c>
      <c r="B3516">
        <v>49</v>
      </c>
      <c r="C3516">
        <v>3</v>
      </c>
      <c r="D3516">
        <v>3</v>
      </c>
      <c r="E3516">
        <v>3</v>
      </c>
      <c r="F3516">
        <v>3</v>
      </c>
      <c r="G3516">
        <v>3</v>
      </c>
      <c r="H3516">
        <v>3</v>
      </c>
      <c r="I3516">
        <v>3</v>
      </c>
      <c r="J3516">
        <v>3</v>
      </c>
    </row>
    <row r="3517" spans="1:18" x14ac:dyDescent="0.3">
      <c r="A3517" t="s">
        <v>264</v>
      </c>
      <c r="B3517">
        <v>49</v>
      </c>
      <c r="D3517">
        <v>8</v>
      </c>
      <c r="F3517">
        <v>8</v>
      </c>
      <c r="H3517">
        <v>8</v>
      </c>
      <c r="J3517">
        <v>8</v>
      </c>
    </row>
    <row r="3518" spans="1:18" x14ac:dyDescent="0.3">
      <c r="A3518" t="s">
        <v>265</v>
      </c>
      <c r="B3518">
        <v>49</v>
      </c>
      <c r="D3518">
        <v>21</v>
      </c>
      <c r="F3518">
        <v>21</v>
      </c>
      <c r="H3518">
        <v>21</v>
      </c>
      <c r="J3518">
        <v>21</v>
      </c>
    </row>
    <row r="3519" spans="1:18" x14ac:dyDescent="0.3">
      <c r="A3519" t="s">
        <v>266</v>
      </c>
      <c r="B3519">
        <v>49</v>
      </c>
      <c r="D3519">
        <v>0</v>
      </c>
      <c r="F3519">
        <v>0</v>
      </c>
      <c r="H3519">
        <v>0</v>
      </c>
      <c r="J3519">
        <v>0</v>
      </c>
    </row>
    <row r="3520" spans="1:18" x14ac:dyDescent="0.3">
      <c r="A3520" t="s">
        <v>267</v>
      </c>
      <c r="B3520">
        <v>49</v>
      </c>
      <c r="C3520">
        <v>9.5</v>
      </c>
      <c r="D3520">
        <v>34.799999999999997</v>
      </c>
      <c r="E3520">
        <v>9.5</v>
      </c>
      <c r="F3520">
        <v>34.9</v>
      </c>
      <c r="G3520">
        <v>9.5</v>
      </c>
      <c r="H3520">
        <v>34.799999999999997</v>
      </c>
      <c r="I3520">
        <v>9.5</v>
      </c>
      <c r="J3520">
        <v>34.9</v>
      </c>
    </row>
    <row r="3521" spans="1:18" x14ac:dyDescent="0.3">
      <c r="A3521" t="s">
        <v>268</v>
      </c>
      <c r="B3521">
        <v>49</v>
      </c>
      <c r="C3521">
        <v>0</v>
      </c>
      <c r="D3521">
        <v>1</v>
      </c>
      <c r="E3521">
        <v>0</v>
      </c>
      <c r="F3521">
        <v>1</v>
      </c>
      <c r="G3521">
        <v>0</v>
      </c>
      <c r="H3521">
        <v>1</v>
      </c>
      <c r="I3521">
        <v>0</v>
      </c>
      <c r="J3521">
        <v>1</v>
      </c>
    </row>
    <row r="3522" spans="1:18" x14ac:dyDescent="0.3">
      <c r="A3522" t="s">
        <v>269</v>
      </c>
      <c r="B3522">
        <v>49</v>
      </c>
      <c r="C3522">
        <v>1</v>
      </c>
      <c r="D3522">
        <v>1</v>
      </c>
      <c r="E3522">
        <v>1</v>
      </c>
      <c r="F3522">
        <v>1</v>
      </c>
      <c r="G3522">
        <v>1</v>
      </c>
      <c r="H3522">
        <v>1</v>
      </c>
      <c r="I3522">
        <v>1</v>
      </c>
      <c r="J3522">
        <v>1</v>
      </c>
    </row>
    <row r="3523" spans="1:18" x14ac:dyDescent="0.3">
      <c r="A3523" t="s">
        <v>270</v>
      </c>
      <c r="B3523">
        <v>49</v>
      </c>
      <c r="C3523">
        <v>101</v>
      </c>
      <c r="D3523">
        <v>0</v>
      </c>
      <c r="E3523">
        <v>46.4</v>
      </c>
      <c r="F3523">
        <v>66</v>
      </c>
      <c r="G3523">
        <v>30</v>
      </c>
      <c r="H3523">
        <v>101</v>
      </c>
      <c r="I3523">
        <v>46.4</v>
      </c>
      <c r="J3523">
        <v>63.6</v>
      </c>
    </row>
    <row r="3524" spans="1:18" x14ac:dyDescent="0.3">
      <c r="A3524" t="s">
        <v>271</v>
      </c>
      <c r="B3524">
        <v>49</v>
      </c>
      <c r="C3524">
        <v>0</v>
      </c>
      <c r="D3524">
        <v>46.4</v>
      </c>
      <c r="E3524">
        <v>66</v>
      </c>
      <c r="F3524">
        <v>101</v>
      </c>
      <c r="G3524">
        <v>46.4</v>
      </c>
      <c r="H3524">
        <v>30</v>
      </c>
      <c r="I3524">
        <v>63.6</v>
      </c>
      <c r="J3524">
        <v>101</v>
      </c>
    </row>
    <row r="3525" spans="1:18" x14ac:dyDescent="0.3">
      <c r="A3525" t="s">
        <v>272</v>
      </c>
      <c r="B3525">
        <v>49</v>
      </c>
      <c r="C3525">
        <v>116</v>
      </c>
      <c r="D3525">
        <v>40.6</v>
      </c>
      <c r="E3525">
        <v>62</v>
      </c>
      <c r="F3525">
        <v>95.1</v>
      </c>
      <c r="G3525">
        <v>42.4</v>
      </c>
      <c r="H3525">
        <v>24.2</v>
      </c>
      <c r="I3525">
        <v>59.6</v>
      </c>
      <c r="J3525">
        <v>95.1</v>
      </c>
    </row>
    <row r="3526" spans="1:18" x14ac:dyDescent="0.3">
      <c r="A3526" t="s">
        <v>273</v>
      </c>
      <c r="B3526">
        <v>49</v>
      </c>
      <c r="C3526">
        <v>116</v>
      </c>
      <c r="D3526">
        <v>19.600000000000001</v>
      </c>
      <c r="E3526">
        <v>62</v>
      </c>
      <c r="F3526">
        <v>74.099999999999994</v>
      </c>
      <c r="G3526">
        <v>42.4</v>
      </c>
      <c r="H3526">
        <v>3.2</v>
      </c>
      <c r="I3526">
        <v>59.6</v>
      </c>
      <c r="J3526">
        <v>74.099999999999994</v>
      </c>
    </row>
    <row r="3527" spans="1:18" x14ac:dyDescent="0.3">
      <c r="A3527" t="s">
        <v>274</v>
      </c>
      <c r="B3527">
        <v>49</v>
      </c>
      <c r="C3527">
        <v>101</v>
      </c>
      <c r="D3527">
        <v>0</v>
      </c>
      <c r="E3527">
        <v>46.4</v>
      </c>
      <c r="F3527">
        <v>66</v>
      </c>
      <c r="G3527">
        <v>30</v>
      </c>
      <c r="H3527">
        <v>101</v>
      </c>
      <c r="I3527">
        <v>46.4</v>
      </c>
      <c r="J3527">
        <v>63.6</v>
      </c>
    </row>
    <row r="3528" spans="1:18" x14ac:dyDescent="0.3">
      <c r="A3528" t="s">
        <v>275</v>
      </c>
      <c r="B3528">
        <v>49</v>
      </c>
      <c r="C3528">
        <v>116</v>
      </c>
      <c r="D3528">
        <v>40.6</v>
      </c>
      <c r="E3528">
        <v>62</v>
      </c>
      <c r="F3528">
        <v>95.1</v>
      </c>
      <c r="G3528">
        <v>42.4</v>
      </c>
      <c r="H3528">
        <v>24.2</v>
      </c>
      <c r="I3528">
        <v>59.6</v>
      </c>
      <c r="J3528">
        <v>95.1</v>
      </c>
    </row>
    <row r="3529" spans="1:18" x14ac:dyDescent="0.3">
      <c r="A3529" t="s">
        <v>276</v>
      </c>
      <c r="B3529">
        <v>49</v>
      </c>
      <c r="C3529">
        <v>116</v>
      </c>
      <c r="D3529">
        <v>19.600000000000001</v>
      </c>
      <c r="E3529">
        <v>62</v>
      </c>
      <c r="F3529">
        <v>74.099999999999994</v>
      </c>
      <c r="G3529">
        <v>42.4</v>
      </c>
      <c r="H3529">
        <v>3.2</v>
      </c>
      <c r="I3529">
        <v>59.6</v>
      </c>
      <c r="J3529">
        <v>74.099999999999994</v>
      </c>
    </row>
    <row r="3530" spans="1:18" x14ac:dyDescent="0.3">
      <c r="A3530" t="s">
        <v>567</v>
      </c>
      <c r="B3530">
        <v>49</v>
      </c>
      <c r="C3530">
        <v>15</v>
      </c>
      <c r="D3530">
        <v>40.6</v>
      </c>
      <c r="E3530">
        <v>15.6</v>
      </c>
      <c r="F3530">
        <v>29.1</v>
      </c>
      <c r="G3530">
        <v>12.4</v>
      </c>
      <c r="H3530">
        <v>43.2</v>
      </c>
      <c r="I3530">
        <v>13.2</v>
      </c>
      <c r="J3530">
        <v>31.5</v>
      </c>
    </row>
    <row r="3531" spans="1:18" x14ac:dyDescent="0.3">
      <c r="A3531" t="s">
        <v>254</v>
      </c>
      <c r="B3531">
        <v>53</v>
      </c>
      <c r="C3531">
        <v>111</v>
      </c>
      <c r="D3531">
        <v>112</v>
      </c>
      <c r="F3531">
        <v>211</v>
      </c>
      <c r="H3531">
        <v>121</v>
      </c>
      <c r="J3531">
        <v>221</v>
      </c>
      <c r="K3531">
        <v>311</v>
      </c>
      <c r="L3531">
        <v>312</v>
      </c>
      <c r="M3531">
        <v>411</v>
      </c>
      <c r="N3531">
        <v>412</v>
      </c>
      <c r="O3531">
        <v>321</v>
      </c>
      <c r="P3531">
        <v>322</v>
      </c>
      <c r="Q3531">
        <v>421</v>
      </c>
      <c r="R3531">
        <v>422</v>
      </c>
    </row>
    <row r="3532" spans="1:18" x14ac:dyDescent="0.3">
      <c r="A3532" t="s">
        <v>255</v>
      </c>
      <c r="B3532">
        <v>53</v>
      </c>
      <c r="C3532">
        <v>5</v>
      </c>
      <c r="D3532">
        <v>15</v>
      </c>
      <c r="F3532">
        <v>5</v>
      </c>
      <c r="H3532">
        <v>15</v>
      </c>
      <c r="J3532">
        <v>5</v>
      </c>
    </row>
    <row r="3533" spans="1:18" x14ac:dyDescent="0.3">
      <c r="A3533" t="s">
        <v>256</v>
      </c>
      <c r="B3533">
        <v>53</v>
      </c>
      <c r="C3533">
        <v>5.5</v>
      </c>
      <c r="D3533">
        <v>70.5</v>
      </c>
      <c r="F3533">
        <v>29.4</v>
      </c>
      <c r="H3533">
        <v>80</v>
      </c>
      <c r="J3533">
        <v>29.4</v>
      </c>
    </row>
    <row r="3534" spans="1:18" x14ac:dyDescent="0.3">
      <c r="A3534" t="s">
        <v>257</v>
      </c>
      <c r="B3534">
        <v>53</v>
      </c>
      <c r="C3534">
        <v>2</v>
      </c>
      <c r="D3534">
        <v>1</v>
      </c>
      <c r="F3534">
        <v>2</v>
      </c>
      <c r="H3534">
        <v>0.2</v>
      </c>
      <c r="J3534">
        <v>2</v>
      </c>
    </row>
    <row r="3535" spans="1:18" x14ac:dyDescent="0.3">
      <c r="A3535" t="s">
        <v>258</v>
      </c>
      <c r="B3535">
        <v>53</v>
      </c>
      <c r="C3535">
        <v>0</v>
      </c>
      <c r="D3535">
        <v>0</v>
      </c>
      <c r="F3535">
        <v>0</v>
      </c>
      <c r="H3535">
        <v>0</v>
      </c>
      <c r="J3535">
        <v>0</v>
      </c>
    </row>
    <row r="3536" spans="1:18" x14ac:dyDescent="0.3">
      <c r="A3536" t="s">
        <v>259</v>
      </c>
      <c r="B3536">
        <v>53</v>
      </c>
      <c r="C3536">
        <v>0</v>
      </c>
      <c r="D3536">
        <v>0</v>
      </c>
      <c r="F3536">
        <v>0</v>
      </c>
      <c r="H3536">
        <v>0</v>
      </c>
      <c r="J3536">
        <v>0</v>
      </c>
    </row>
    <row r="3537" spans="1:10" x14ac:dyDescent="0.3">
      <c r="A3537" t="s">
        <v>260</v>
      </c>
      <c r="B3537">
        <v>53</v>
      </c>
      <c r="C3537">
        <v>0</v>
      </c>
      <c r="D3537">
        <v>0</v>
      </c>
      <c r="F3537">
        <v>0</v>
      </c>
      <c r="H3537">
        <v>0</v>
      </c>
      <c r="J3537">
        <v>0</v>
      </c>
    </row>
    <row r="3538" spans="1:10" x14ac:dyDescent="0.3">
      <c r="A3538" t="s">
        <v>261</v>
      </c>
      <c r="B3538">
        <v>53</v>
      </c>
      <c r="C3538">
        <v>3</v>
      </c>
      <c r="D3538">
        <v>4</v>
      </c>
      <c r="F3538">
        <v>3</v>
      </c>
      <c r="H3538">
        <v>4</v>
      </c>
      <c r="J3538">
        <v>3</v>
      </c>
    </row>
    <row r="3539" spans="1:10" x14ac:dyDescent="0.3">
      <c r="A3539" t="s">
        <v>262</v>
      </c>
      <c r="B3539">
        <v>53</v>
      </c>
      <c r="C3539">
        <v>1</v>
      </c>
      <c r="D3539">
        <v>1</v>
      </c>
      <c r="F3539">
        <v>2.6</v>
      </c>
      <c r="H3539">
        <v>1</v>
      </c>
      <c r="J3539">
        <v>2.6</v>
      </c>
    </row>
    <row r="3540" spans="1:10" x14ac:dyDescent="0.3">
      <c r="A3540" t="s">
        <v>263</v>
      </c>
      <c r="B3540">
        <v>53</v>
      </c>
      <c r="C3540">
        <v>3</v>
      </c>
      <c r="D3540">
        <v>3</v>
      </c>
      <c r="F3540">
        <v>3</v>
      </c>
      <c r="H3540">
        <v>3</v>
      </c>
      <c r="J3540">
        <v>3</v>
      </c>
    </row>
    <row r="3541" spans="1:10" x14ac:dyDescent="0.3">
      <c r="A3541" t="s">
        <v>264</v>
      </c>
      <c r="B3541">
        <v>53</v>
      </c>
      <c r="D3541">
        <v>8</v>
      </c>
      <c r="F3541">
        <v>8</v>
      </c>
      <c r="H3541">
        <v>8</v>
      </c>
      <c r="J3541">
        <v>8</v>
      </c>
    </row>
    <row r="3542" spans="1:10" x14ac:dyDescent="0.3">
      <c r="A3542" t="s">
        <v>265</v>
      </c>
      <c r="B3542">
        <v>53</v>
      </c>
      <c r="D3542">
        <v>10</v>
      </c>
      <c r="F3542">
        <v>21</v>
      </c>
      <c r="H3542">
        <v>10</v>
      </c>
      <c r="J3542">
        <v>21</v>
      </c>
    </row>
    <row r="3543" spans="1:10" x14ac:dyDescent="0.3">
      <c r="A3543" t="s">
        <v>266</v>
      </c>
      <c r="B3543">
        <v>53</v>
      </c>
      <c r="D3543">
        <v>0</v>
      </c>
      <c r="F3543">
        <v>0</v>
      </c>
      <c r="H3543">
        <v>0</v>
      </c>
      <c r="J3543">
        <v>0</v>
      </c>
    </row>
    <row r="3544" spans="1:10" x14ac:dyDescent="0.3">
      <c r="A3544" t="s">
        <v>267</v>
      </c>
      <c r="B3544">
        <v>53</v>
      </c>
      <c r="C3544">
        <v>9.5</v>
      </c>
      <c r="D3544">
        <v>24</v>
      </c>
      <c r="F3544">
        <v>34.6</v>
      </c>
      <c r="H3544">
        <v>24</v>
      </c>
      <c r="J3544">
        <v>34.6</v>
      </c>
    </row>
    <row r="3545" spans="1:10" x14ac:dyDescent="0.3">
      <c r="A3545" t="s">
        <v>268</v>
      </c>
      <c r="B3545">
        <v>53</v>
      </c>
      <c r="C3545">
        <v>0</v>
      </c>
      <c r="D3545">
        <v>1</v>
      </c>
      <c r="F3545">
        <v>1</v>
      </c>
      <c r="H3545">
        <v>1</v>
      </c>
      <c r="J3545">
        <v>1</v>
      </c>
    </row>
    <row r="3546" spans="1:10" x14ac:dyDescent="0.3">
      <c r="A3546" t="s">
        <v>269</v>
      </c>
      <c r="B3546">
        <v>53</v>
      </c>
      <c r="C3546">
        <v>1</v>
      </c>
      <c r="D3546">
        <v>1</v>
      </c>
      <c r="F3546">
        <v>1</v>
      </c>
      <c r="H3546">
        <v>1</v>
      </c>
      <c r="J3546">
        <v>1</v>
      </c>
    </row>
    <row r="3547" spans="1:10" x14ac:dyDescent="0.3">
      <c r="A3547" t="s">
        <v>270</v>
      </c>
      <c r="B3547">
        <v>53</v>
      </c>
      <c r="C3547">
        <v>42.5</v>
      </c>
      <c r="D3547">
        <v>52</v>
      </c>
      <c r="F3547">
        <v>7.5</v>
      </c>
      <c r="H3547">
        <v>42.5</v>
      </c>
      <c r="J3547">
        <v>7.5</v>
      </c>
    </row>
    <row r="3548" spans="1:10" x14ac:dyDescent="0.3">
      <c r="A3548" t="s">
        <v>271</v>
      </c>
      <c r="B3548">
        <v>53</v>
      </c>
      <c r="C3548">
        <v>52</v>
      </c>
      <c r="D3548">
        <v>7.5</v>
      </c>
      <c r="F3548">
        <v>42.5</v>
      </c>
      <c r="H3548">
        <v>7.5</v>
      </c>
      <c r="J3548">
        <v>42.5</v>
      </c>
    </row>
    <row r="3549" spans="1:10" x14ac:dyDescent="0.3">
      <c r="A3549" t="s">
        <v>272</v>
      </c>
      <c r="B3549">
        <v>53</v>
      </c>
      <c r="C3549">
        <v>48</v>
      </c>
      <c r="D3549">
        <v>2.5</v>
      </c>
      <c r="F3549">
        <v>36.9</v>
      </c>
      <c r="H3549">
        <v>2.5</v>
      </c>
      <c r="J3549">
        <v>36.9</v>
      </c>
    </row>
    <row r="3550" spans="1:10" x14ac:dyDescent="0.3">
      <c r="A3550" t="s">
        <v>273</v>
      </c>
      <c r="B3550">
        <v>53</v>
      </c>
      <c r="C3550">
        <v>48</v>
      </c>
      <c r="D3550">
        <v>112.5</v>
      </c>
      <c r="F3550">
        <v>15.9</v>
      </c>
      <c r="H3550">
        <v>112.5</v>
      </c>
      <c r="J3550">
        <v>15.9</v>
      </c>
    </row>
    <row r="3551" spans="1:10" x14ac:dyDescent="0.3">
      <c r="A3551" t="s">
        <v>274</v>
      </c>
      <c r="B3551">
        <v>53</v>
      </c>
      <c r="C3551">
        <v>110.5</v>
      </c>
      <c r="D3551">
        <v>0</v>
      </c>
      <c r="F3551">
        <v>75.5</v>
      </c>
      <c r="H3551">
        <v>110.5</v>
      </c>
      <c r="J3551">
        <v>75.5</v>
      </c>
    </row>
    <row r="3552" spans="1:10" x14ac:dyDescent="0.3">
      <c r="A3552" t="s">
        <v>275</v>
      </c>
      <c r="B3552">
        <v>53</v>
      </c>
      <c r="C3552">
        <v>116</v>
      </c>
      <c r="D3552">
        <v>70.5</v>
      </c>
      <c r="F3552">
        <v>104.9</v>
      </c>
      <c r="H3552">
        <v>70.5</v>
      </c>
      <c r="J3552">
        <v>104.9</v>
      </c>
    </row>
    <row r="3553" spans="1:18" x14ac:dyDescent="0.3">
      <c r="A3553" t="s">
        <v>276</v>
      </c>
      <c r="B3553">
        <v>53</v>
      </c>
      <c r="C3553">
        <v>116</v>
      </c>
      <c r="D3553">
        <v>60.5</v>
      </c>
      <c r="F3553">
        <v>83.9</v>
      </c>
      <c r="H3553">
        <v>60.5</v>
      </c>
      <c r="J3553">
        <v>83.9</v>
      </c>
    </row>
    <row r="3554" spans="1:18" x14ac:dyDescent="0.3">
      <c r="A3554" t="s">
        <v>567</v>
      </c>
      <c r="B3554">
        <v>53</v>
      </c>
      <c r="C3554">
        <v>5.5</v>
      </c>
      <c r="D3554">
        <v>70.5</v>
      </c>
      <c r="F3554">
        <v>29.4</v>
      </c>
      <c r="H3554">
        <v>80</v>
      </c>
      <c r="J3554">
        <v>29.4</v>
      </c>
    </row>
    <row r="3555" spans="1:18" x14ac:dyDescent="0.3">
      <c r="A3555" t="s">
        <v>254</v>
      </c>
      <c r="B3555">
        <v>56</v>
      </c>
      <c r="C3555">
        <v>111</v>
      </c>
      <c r="D3555">
        <v>112</v>
      </c>
      <c r="E3555">
        <v>211</v>
      </c>
      <c r="G3555">
        <v>121</v>
      </c>
      <c r="H3555">
        <v>122</v>
      </c>
      <c r="I3555">
        <v>222</v>
      </c>
      <c r="J3555">
        <v>221</v>
      </c>
      <c r="K3555">
        <v>311</v>
      </c>
      <c r="L3555">
        <v>312</v>
      </c>
      <c r="M3555">
        <v>411</v>
      </c>
      <c r="N3555">
        <v>412</v>
      </c>
      <c r="O3555">
        <v>321</v>
      </c>
      <c r="P3555">
        <v>322</v>
      </c>
      <c r="Q3555">
        <v>421</v>
      </c>
      <c r="R3555">
        <v>422</v>
      </c>
    </row>
    <row r="3556" spans="1:18" x14ac:dyDescent="0.3">
      <c r="A3556" t="s">
        <v>255</v>
      </c>
      <c r="B3556">
        <v>56</v>
      </c>
      <c r="C3556">
        <v>5</v>
      </c>
      <c r="D3556">
        <v>15</v>
      </c>
      <c r="E3556">
        <v>5</v>
      </c>
      <c r="G3556">
        <v>5</v>
      </c>
      <c r="H3556">
        <v>15</v>
      </c>
      <c r="I3556">
        <v>5</v>
      </c>
    </row>
    <row r="3557" spans="1:18" x14ac:dyDescent="0.3">
      <c r="A3557" t="s">
        <v>256</v>
      </c>
      <c r="B3557">
        <v>56</v>
      </c>
      <c r="C3557">
        <v>26</v>
      </c>
      <c r="D3557">
        <v>47.4</v>
      </c>
      <c r="E3557">
        <v>20.5</v>
      </c>
      <c r="G3557">
        <v>22</v>
      </c>
      <c r="H3557">
        <v>51.4</v>
      </c>
      <c r="I3557">
        <v>20.5</v>
      </c>
    </row>
    <row r="3558" spans="1:18" x14ac:dyDescent="0.3">
      <c r="A3558" t="s">
        <v>257</v>
      </c>
      <c r="B3558">
        <v>56</v>
      </c>
      <c r="C3558">
        <v>2</v>
      </c>
      <c r="D3558">
        <v>1</v>
      </c>
      <c r="E3558">
        <v>2</v>
      </c>
      <c r="G3558">
        <v>3</v>
      </c>
      <c r="H3558">
        <v>1</v>
      </c>
      <c r="I3558">
        <v>2</v>
      </c>
    </row>
    <row r="3559" spans="1:18" x14ac:dyDescent="0.3">
      <c r="A3559" t="s">
        <v>258</v>
      </c>
      <c r="B3559">
        <v>56</v>
      </c>
      <c r="C3559">
        <v>0</v>
      </c>
      <c r="D3559">
        <v>0</v>
      </c>
      <c r="E3559">
        <v>0</v>
      </c>
      <c r="G3559">
        <v>0</v>
      </c>
      <c r="H3559">
        <v>0</v>
      </c>
      <c r="I3559">
        <v>0</v>
      </c>
    </row>
    <row r="3560" spans="1:18" x14ac:dyDescent="0.3">
      <c r="A3560" t="s">
        <v>259</v>
      </c>
      <c r="B3560">
        <v>56</v>
      </c>
      <c r="C3560">
        <v>0</v>
      </c>
      <c r="D3560">
        <v>0</v>
      </c>
      <c r="E3560">
        <v>0</v>
      </c>
      <c r="G3560">
        <v>0</v>
      </c>
      <c r="H3560">
        <v>0</v>
      </c>
      <c r="I3560">
        <v>0</v>
      </c>
    </row>
    <row r="3561" spans="1:18" x14ac:dyDescent="0.3">
      <c r="A3561" t="s">
        <v>260</v>
      </c>
      <c r="B3561">
        <v>56</v>
      </c>
      <c r="C3561">
        <v>0</v>
      </c>
      <c r="D3561">
        <v>0</v>
      </c>
      <c r="E3561">
        <v>0</v>
      </c>
      <c r="G3561">
        <v>0</v>
      </c>
      <c r="H3561">
        <v>0</v>
      </c>
      <c r="I3561">
        <v>0</v>
      </c>
    </row>
    <row r="3562" spans="1:18" x14ac:dyDescent="0.3">
      <c r="A3562" t="s">
        <v>261</v>
      </c>
      <c r="B3562">
        <v>56</v>
      </c>
      <c r="C3562">
        <v>4</v>
      </c>
      <c r="D3562">
        <v>4.3</v>
      </c>
      <c r="E3562">
        <v>3.6</v>
      </c>
      <c r="G3562">
        <v>4</v>
      </c>
      <c r="H3562">
        <v>4.3</v>
      </c>
      <c r="I3562">
        <v>3.6</v>
      </c>
    </row>
    <row r="3563" spans="1:18" x14ac:dyDescent="0.3">
      <c r="A3563" t="s">
        <v>262</v>
      </c>
      <c r="B3563">
        <v>56</v>
      </c>
      <c r="C3563">
        <v>5</v>
      </c>
      <c r="D3563">
        <v>4.3</v>
      </c>
      <c r="E3563">
        <v>4.9000000000000004</v>
      </c>
      <c r="G3563">
        <v>5</v>
      </c>
      <c r="H3563">
        <v>4.3</v>
      </c>
      <c r="I3563">
        <v>4.9000000000000004</v>
      </c>
    </row>
    <row r="3564" spans="1:18" x14ac:dyDescent="0.3">
      <c r="A3564" t="s">
        <v>263</v>
      </c>
      <c r="B3564">
        <v>56</v>
      </c>
      <c r="C3564">
        <v>3</v>
      </c>
      <c r="D3564">
        <v>3</v>
      </c>
      <c r="E3564">
        <v>3</v>
      </c>
      <c r="G3564">
        <v>3</v>
      </c>
      <c r="H3564">
        <v>3</v>
      </c>
      <c r="I3564">
        <v>3</v>
      </c>
    </row>
    <row r="3565" spans="1:18" x14ac:dyDescent="0.3">
      <c r="A3565" t="s">
        <v>264</v>
      </c>
      <c r="B3565">
        <v>56</v>
      </c>
      <c r="D3565">
        <v>8</v>
      </c>
      <c r="H3565">
        <v>8</v>
      </c>
    </row>
    <row r="3566" spans="1:18" x14ac:dyDescent="0.3">
      <c r="A3566" t="s">
        <v>265</v>
      </c>
      <c r="B3566">
        <v>56</v>
      </c>
      <c r="D3566">
        <v>6</v>
      </c>
      <c r="H3566">
        <v>6</v>
      </c>
    </row>
    <row r="3567" spans="1:18" x14ac:dyDescent="0.3">
      <c r="A3567" t="s">
        <v>266</v>
      </c>
      <c r="B3567">
        <v>56</v>
      </c>
      <c r="D3567">
        <v>0</v>
      </c>
      <c r="H3567">
        <v>0</v>
      </c>
    </row>
    <row r="3568" spans="1:18" x14ac:dyDescent="0.3">
      <c r="A3568" t="s">
        <v>267</v>
      </c>
      <c r="B3568">
        <v>56</v>
      </c>
      <c r="C3568">
        <v>14</v>
      </c>
      <c r="D3568">
        <v>23.6</v>
      </c>
      <c r="E3568">
        <v>14.5</v>
      </c>
      <c r="G3568">
        <v>14</v>
      </c>
      <c r="H3568">
        <v>23.6</v>
      </c>
      <c r="I3568">
        <v>22.5</v>
      </c>
    </row>
    <row r="3569" spans="1:18" x14ac:dyDescent="0.3">
      <c r="A3569" t="s">
        <v>268</v>
      </c>
      <c r="B3569">
        <v>56</v>
      </c>
      <c r="C3569">
        <v>0</v>
      </c>
      <c r="D3569">
        <v>1</v>
      </c>
      <c r="E3569">
        <v>0</v>
      </c>
      <c r="G3569">
        <v>0</v>
      </c>
      <c r="H3569">
        <v>1</v>
      </c>
      <c r="I3569">
        <v>0</v>
      </c>
    </row>
    <row r="3570" spans="1:18" x14ac:dyDescent="0.3">
      <c r="A3570" t="s">
        <v>269</v>
      </c>
      <c r="B3570">
        <v>56</v>
      </c>
      <c r="C3570">
        <v>1</v>
      </c>
      <c r="D3570">
        <v>1</v>
      </c>
      <c r="E3570">
        <v>1</v>
      </c>
      <c r="G3570">
        <v>1</v>
      </c>
      <c r="H3570">
        <v>1</v>
      </c>
      <c r="I3570">
        <v>1</v>
      </c>
    </row>
    <row r="3571" spans="1:18" x14ac:dyDescent="0.3">
      <c r="A3571" t="s">
        <v>270</v>
      </c>
      <c r="B3571">
        <v>56</v>
      </c>
      <c r="C3571">
        <v>55</v>
      </c>
      <c r="D3571">
        <v>90</v>
      </c>
      <c r="E3571">
        <v>26</v>
      </c>
      <c r="G3571">
        <v>55</v>
      </c>
      <c r="H3571">
        <v>86</v>
      </c>
      <c r="I3571">
        <v>26</v>
      </c>
    </row>
    <row r="3572" spans="1:18" x14ac:dyDescent="0.3">
      <c r="A3572" t="s">
        <v>271</v>
      </c>
      <c r="B3572">
        <v>56</v>
      </c>
      <c r="C3572">
        <v>90</v>
      </c>
      <c r="D3572">
        <v>26</v>
      </c>
      <c r="E3572">
        <v>55</v>
      </c>
      <c r="G3572">
        <v>86</v>
      </c>
      <c r="H3572">
        <v>26</v>
      </c>
      <c r="I3572">
        <v>55</v>
      </c>
    </row>
    <row r="3573" spans="1:18" x14ac:dyDescent="0.3">
      <c r="A3573" t="s">
        <v>272</v>
      </c>
      <c r="B3573">
        <v>56</v>
      </c>
      <c r="C3573">
        <v>81</v>
      </c>
      <c r="D3573">
        <v>17.399999999999999</v>
      </c>
      <c r="E3573">
        <v>46.5</v>
      </c>
      <c r="G3573">
        <v>77</v>
      </c>
      <c r="H3573">
        <v>17.399999999999999</v>
      </c>
      <c r="I3573">
        <v>46.5</v>
      </c>
    </row>
    <row r="3574" spans="1:18" x14ac:dyDescent="0.3">
      <c r="A3574" t="s">
        <v>273</v>
      </c>
      <c r="B3574">
        <v>56</v>
      </c>
      <c r="C3574">
        <v>81</v>
      </c>
      <c r="D3574">
        <v>11.4</v>
      </c>
      <c r="E3574">
        <v>46.5</v>
      </c>
      <c r="G3574">
        <v>77</v>
      </c>
      <c r="H3574">
        <v>11.4</v>
      </c>
      <c r="I3574">
        <v>46.5</v>
      </c>
    </row>
    <row r="3575" spans="1:18" x14ac:dyDescent="0.3">
      <c r="A3575" t="s">
        <v>274</v>
      </c>
      <c r="B3575">
        <v>56</v>
      </c>
      <c r="C3575">
        <v>85</v>
      </c>
      <c r="D3575">
        <v>0</v>
      </c>
      <c r="E3575">
        <v>56</v>
      </c>
      <c r="G3575">
        <v>85</v>
      </c>
      <c r="H3575">
        <v>116</v>
      </c>
      <c r="I3575">
        <v>56</v>
      </c>
    </row>
    <row r="3576" spans="1:18" x14ac:dyDescent="0.3">
      <c r="A3576" t="s">
        <v>275</v>
      </c>
      <c r="B3576">
        <v>56</v>
      </c>
      <c r="C3576">
        <v>111</v>
      </c>
      <c r="D3576">
        <v>47.4</v>
      </c>
      <c r="E3576">
        <v>76.5</v>
      </c>
      <c r="G3576">
        <v>107</v>
      </c>
      <c r="H3576">
        <v>47.4</v>
      </c>
      <c r="I3576">
        <v>76.5</v>
      </c>
    </row>
    <row r="3577" spans="1:18" x14ac:dyDescent="0.3">
      <c r="A3577" t="s">
        <v>276</v>
      </c>
      <c r="B3577">
        <v>56</v>
      </c>
      <c r="C3577">
        <v>111</v>
      </c>
      <c r="D3577">
        <v>41.4</v>
      </c>
      <c r="E3577">
        <v>76.5</v>
      </c>
      <c r="G3577">
        <v>107</v>
      </c>
      <c r="H3577">
        <v>41.4</v>
      </c>
      <c r="I3577">
        <v>76.5</v>
      </c>
    </row>
    <row r="3578" spans="1:18" x14ac:dyDescent="0.3">
      <c r="A3578" t="s">
        <v>567</v>
      </c>
      <c r="B3578">
        <v>56</v>
      </c>
      <c r="C3578">
        <v>26</v>
      </c>
      <c r="D3578">
        <v>47.4</v>
      </c>
      <c r="E3578">
        <v>20.5</v>
      </c>
      <c r="G3578">
        <v>22</v>
      </c>
      <c r="H3578">
        <v>51.4</v>
      </c>
      <c r="I3578">
        <v>20.5</v>
      </c>
    </row>
    <row r="3579" spans="1:18" x14ac:dyDescent="0.3">
      <c r="A3579" t="s">
        <v>254</v>
      </c>
      <c r="B3579">
        <v>64</v>
      </c>
      <c r="C3579">
        <v>111</v>
      </c>
      <c r="D3579">
        <v>112</v>
      </c>
      <c r="F3579">
        <v>211</v>
      </c>
      <c r="H3579">
        <v>121</v>
      </c>
      <c r="J3579">
        <v>221</v>
      </c>
      <c r="K3579">
        <v>311</v>
      </c>
      <c r="L3579">
        <v>312</v>
      </c>
      <c r="M3579">
        <v>411</v>
      </c>
      <c r="N3579">
        <v>412</v>
      </c>
      <c r="O3579">
        <v>321</v>
      </c>
      <c r="P3579">
        <v>322</v>
      </c>
      <c r="Q3579">
        <v>421</v>
      </c>
      <c r="R3579">
        <v>422</v>
      </c>
    </row>
    <row r="3580" spans="1:18" x14ac:dyDescent="0.3">
      <c r="A3580" t="s">
        <v>255</v>
      </c>
      <c r="B3580">
        <v>64</v>
      </c>
      <c r="C3580">
        <v>5</v>
      </c>
      <c r="D3580">
        <v>15</v>
      </c>
      <c r="F3580">
        <v>5</v>
      </c>
      <c r="H3580">
        <v>15</v>
      </c>
      <c r="J3580">
        <v>5</v>
      </c>
    </row>
    <row r="3581" spans="1:18" x14ac:dyDescent="0.3">
      <c r="A3581" t="s">
        <v>256</v>
      </c>
      <c r="B3581">
        <v>64</v>
      </c>
      <c r="C3581">
        <v>12</v>
      </c>
      <c r="D3581">
        <v>60</v>
      </c>
      <c r="F3581">
        <v>33</v>
      </c>
      <c r="H3581">
        <v>76</v>
      </c>
      <c r="J3581">
        <v>33</v>
      </c>
    </row>
    <row r="3582" spans="1:18" x14ac:dyDescent="0.3">
      <c r="A3582" t="s">
        <v>257</v>
      </c>
      <c r="B3582">
        <v>64</v>
      </c>
      <c r="C3582">
        <v>2</v>
      </c>
      <c r="D3582">
        <v>1</v>
      </c>
      <c r="F3582">
        <v>2</v>
      </c>
      <c r="H3582">
        <v>1</v>
      </c>
      <c r="J3582">
        <v>4</v>
      </c>
    </row>
    <row r="3583" spans="1:18" x14ac:dyDescent="0.3">
      <c r="A3583" t="s">
        <v>258</v>
      </c>
      <c r="B3583">
        <v>64</v>
      </c>
      <c r="C3583">
        <v>0</v>
      </c>
      <c r="D3583">
        <v>0</v>
      </c>
      <c r="F3583">
        <v>0</v>
      </c>
      <c r="H3583">
        <v>0</v>
      </c>
      <c r="J3583">
        <v>0</v>
      </c>
    </row>
    <row r="3584" spans="1:18" x14ac:dyDescent="0.3">
      <c r="A3584" t="s">
        <v>259</v>
      </c>
      <c r="B3584">
        <v>64</v>
      </c>
      <c r="C3584">
        <v>0</v>
      </c>
      <c r="D3584">
        <v>0</v>
      </c>
      <c r="F3584">
        <v>0</v>
      </c>
      <c r="H3584">
        <v>0</v>
      </c>
      <c r="J3584">
        <v>0</v>
      </c>
    </row>
    <row r="3585" spans="1:10" x14ac:dyDescent="0.3">
      <c r="A3585" t="s">
        <v>260</v>
      </c>
      <c r="B3585">
        <v>64</v>
      </c>
      <c r="C3585">
        <v>0</v>
      </c>
      <c r="D3585">
        <v>0</v>
      </c>
      <c r="F3585">
        <v>0</v>
      </c>
      <c r="H3585">
        <v>0</v>
      </c>
      <c r="J3585">
        <v>0</v>
      </c>
    </row>
    <row r="3586" spans="1:10" x14ac:dyDescent="0.3">
      <c r="A3586" t="s">
        <v>261</v>
      </c>
      <c r="B3586">
        <v>64</v>
      </c>
      <c r="C3586">
        <v>3</v>
      </c>
      <c r="D3586">
        <v>4</v>
      </c>
      <c r="F3586">
        <v>3</v>
      </c>
      <c r="H3586">
        <v>4</v>
      </c>
      <c r="J3586">
        <v>3</v>
      </c>
    </row>
    <row r="3587" spans="1:10" x14ac:dyDescent="0.3">
      <c r="A3587" t="s">
        <v>262</v>
      </c>
      <c r="B3587">
        <v>64</v>
      </c>
      <c r="C3587">
        <v>1</v>
      </c>
      <c r="D3587">
        <v>1</v>
      </c>
      <c r="F3587">
        <v>3</v>
      </c>
      <c r="H3587">
        <v>1</v>
      </c>
      <c r="J3587">
        <v>3</v>
      </c>
    </row>
    <row r="3588" spans="1:10" x14ac:dyDescent="0.3">
      <c r="A3588" t="s">
        <v>263</v>
      </c>
      <c r="B3588">
        <v>64</v>
      </c>
      <c r="C3588">
        <v>3</v>
      </c>
      <c r="D3588">
        <v>3</v>
      </c>
      <c r="F3588">
        <v>3</v>
      </c>
      <c r="H3588">
        <v>3</v>
      </c>
      <c r="J3588">
        <v>3</v>
      </c>
    </row>
    <row r="3589" spans="1:10" x14ac:dyDescent="0.3">
      <c r="A3589" t="s">
        <v>264</v>
      </c>
      <c r="B3589">
        <v>64</v>
      </c>
      <c r="D3589">
        <v>8</v>
      </c>
      <c r="F3589">
        <v>9</v>
      </c>
      <c r="H3589">
        <v>8</v>
      </c>
      <c r="J3589">
        <v>9</v>
      </c>
    </row>
    <row r="3590" spans="1:10" x14ac:dyDescent="0.3">
      <c r="A3590" t="s">
        <v>265</v>
      </c>
      <c r="B3590">
        <v>64</v>
      </c>
      <c r="D3590">
        <v>9</v>
      </c>
      <c r="F3590">
        <v>22</v>
      </c>
      <c r="H3590">
        <v>9</v>
      </c>
      <c r="J3590">
        <v>22</v>
      </c>
    </row>
    <row r="3591" spans="1:10" x14ac:dyDescent="0.3">
      <c r="A3591" t="s">
        <v>266</v>
      </c>
      <c r="B3591">
        <v>64</v>
      </c>
      <c r="D3591">
        <v>0</v>
      </c>
      <c r="F3591">
        <v>0</v>
      </c>
      <c r="H3591">
        <v>0</v>
      </c>
      <c r="J3591">
        <v>0</v>
      </c>
    </row>
    <row r="3592" spans="1:10" x14ac:dyDescent="0.3">
      <c r="A3592" t="s">
        <v>267</v>
      </c>
      <c r="B3592">
        <v>64</v>
      </c>
      <c r="C3592">
        <v>9.5</v>
      </c>
      <c r="D3592">
        <v>23.5</v>
      </c>
      <c r="F3592">
        <v>37</v>
      </c>
      <c r="H3592">
        <v>23.5</v>
      </c>
      <c r="J3592">
        <v>37</v>
      </c>
    </row>
    <row r="3593" spans="1:10" x14ac:dyDescent="0.3">
      <c r="A3593" t="s">
        <v>268</v>
      </c>
      <c r="B3593">
        <v>64</v>
      </c>
      <c r="C3593">
        <v>0</v>
      </c>
      <c r="D3593">
        <v>1</v>
      </c>
      <c r="F3593">
        <v>1</v>
      </c>
      <c r="H3593">
        <v>1</v>
      </c>
      <c r="J3593">
        <v>1</v>
      </c>
    </row>
    <row r="3594" spans="1:10" x14ac:dyDescent="0.3">
      <c r="A3594" t="s">
        <v>269</v>
      </c>
      <c r="B3594">
        <v>64</v>
      </c>
      <c r="C3594">
        <v>1</v>
      </c>
      <c r="D3594">
        <v>1</v>
      </c>
      <c r="F3594">
        <v>1</v>
      </c>
      <c r="H3594">
        <v>1</v>
      </c>
      <c r="J3594">
        <v>1</v>
      </c>
    </row>
    <row r="3595" spans="1:10" x14ac:dyDescent="0.3">
      <c r="A3595" t="s">
        <v>270</v>
      </c>
      <c r="B3595">
        <v>64</v>
      </c>
      <c r="C3595">
        <v>82</v>
      </c>
      <c r="D3595">
        <v>98</v>
      </c>
      <c r="F3595">
        <v>43</v>
      </c>
      <c r="H3595">
        <v>82</v>
      </c>
      <c r="J3595">
        <v>43</v>
      </c>
    </row>
    <row r="3596" spans="1:10" x14ac:dyDescent="0.3">
      <c r="A3596" t="s">
        <v>271</v>
      </c>
      <c r="B3596">
        <v>64</v>
      </c>
      <c r="C3596">
        <v>98</v>
      </c>
      <c r="D3596">
        <v>43</v>
      </c>
      <c r="F3596">
        <v>82</v>
      </c>
      <c r="H3596">
        <v>43</v>
      </c>
      <c r="J3596">
        <v>82</v>
      </c>
    </row>
    <row r="3597" spans="1:10" x14ac:dyDescent="0.3">
      <c r="A3597" t="s">
        <v>272</v>
      </c>
      <c r="B3597">
        <v>64</v>
      </c>
      <c r="C3597">
        <v>94</v>
      </c>
      <c r="D3597">
        <v>38</v>
      </c>
      <c r="F3597">
        <v>76</v>
      </c>
      <c r="H3597">
        <v>38</v>
      </c>
      <c r="J3597">
        <v>76</v>
      </c>
    </row>
    <row r="3598" spans="1:10" x14ac:dyDescent="0.3">
      <c r="A3598" t="s">
        <v>273</v>
      </c>
      <c r="B3598">
        <v>64</v>
      </c>
      <c r="C3598">
        <v>94</v>
      </c>
      <c r="D3598">
        <v>29</v>
      </c>
      <c r="F3598">
        <v>54</v>
      </c>
      <c r="H3598">
        <v>29</v>
      </c>
      <c r="J3598">
        <v>54</v>
      </c>
    </row>
    <row r="3599" spans="1:10" x14ac:dyDescent="0.3">
      <c r="A3599" t="s">
        <v>274</v>
      </c>
      <c r="B3599">
        <v>64</v>
      </c>
      <c r="C3599">
        <v>104</v>
      </c>
      <c r="D3599">
        <v>0</v>
      </c>
      <c r="F3599">
        <v>65</v>
      </c>
      <c r="H3599">
        <v>104</v>
      </c>
      <c r="J3599">
        <v>65</v>
      </c>
    </row>
    <row r="3600" spans="1:10" x14ac:dyDescent="0.3">
      <c r="A3600" t="s">
        <v>275</v>
      </c>
      <c r="B3600">
        <v>64</v>
      </c>
      <c r="C3600">
        <v>116</v>
      </c>
      <c r="D3600">
        <v>60</v>
      </c>
      <c r="F3600">
        <v>98</v>
      </c>
      <c r="H3600">
        <v>60</v>
      </c>
      <c r="J3600">
        <v>98</v>
      </c>
    </row>
    <row r="3601" spans="1:18" x14ac:dyDescent="0.3">
      <c r="A3601" t="s">
        <v>276</v>
      </c>
      <c r="B3601">
        <v>64</v>
      </c>
      <c r="C3601">
        <v>116</v>
      </c>
      <c r="D3601">
        <v>51</v>
      </c>
      <c r="F3601">
        <v>76</v>
      </c>
      <c r="H3601">
        <v>51</v>
      </c>
      <c r="J3601">
        <v>76</v>
      </c>
    </row>
    <row r="3602" spans="1:18" x14ac:dyDescent="0.3">
      <c r="A3602" t="s">
        <v>567</v>
      </c>
      <c r="B3602">
        <v>64</v>
      </c>
      <c r="C3602">
        <v>12</v>
      </c>
      <c r="D3602">
        <v>60</v>
      </c>
      <c r="F3602">
        <v>33</v>
      </c>
      <c r="H3602">
        <v>76</v>
      </c>
      <c r="J3602">
        <v>33</v>
      </c>
    </row>
    <row r="3603" spans="1:18" x14ac:dyDescent="0.3">
      <c r="A3603" t="s">
        <v>254</v>
      </c>
      <c r="B3603">
        <v>67</v>
      </c>
      <c r="C3603">
        <v>111</v>
      </c>
      <c r="D3603">
        <v>112</v>
      </c>
      <c r="E3603">
        <v>211</v>
      </c>
      <c r="F3603">
        <v>212</v>
      </c>
      <c r="G3603">
        <v>121</v>
      </c>
      <c r="H3603">
        <v>122</v>
      </c>
      <c r="I3603">
        <v>221</v>
      </c>
      <c r="J3603">
        <v>222</v>
      </c>
      <c r="K3603">
        <v>311</v>
      </c>
      <c r="L3603">
        <v>312</v>
      </c>
      <c r="M3603">
        <v>411</v>
      </c>
      <c r="N3603">
        <v>412</v>
      </c>
      <c r="O3603">
        <v>321</v>
      </c>
      <c r="P3603">
        <v>322</v>
      </c>
      <c r="Q3603">
        <v>421</v>
      </c>
      <c r="R3603">
        <v>422</v>
      </c>
    </row>
    <row r="3604" spans="1:18" x14ac:dyDescent="0.3">
      <c r="A3604" t="s">
        <v>255</v>
      </c>
      <c r="B3604">
        <v>67</v>
      </c>
      <c r="C3604">
        <v>5</v>
      </c>
      <c r="D3604">
        <v>15</v>
      </c>
      <c r="E3604">
        <v>5</v>
      </c>
      <c r="F3604">
        <v>8</v>
      </c>
      <c r="G3604">
        <v>5</v>
      </c>
      <c r="H3604">
        <v>15</v>
      </c>
      <c r="I3604">
        <v>5</v>
      </c>
      <c r="J3604">
        <v>8</v>
      </c>
    </row>
    <row r="3605" spans="1:18" x14ac:dyDescent="0.3">
      <c r="A3605" t="s">
        <v>256</v>
      </c>
      <c r="B3605">
        <v>67</v>
      </c>
      <c r="C3605">
        <v>7</v>
      </c>
      <c r="D3605">
        <v>51.4</v>
      </c>
      <c r="E3605">
        <v>6</v>
      </c>
      <c r="F3605">
        <v>36.299999999999997</v>
      </c>
      <c r="G3605">
        <v>6</v>
      </c>
      <c r="H3605">
        <v>52.4</v>
      </c>
      <c r="I3605">
        <v>13</v>
      </c>
      <c r="J3605">
        <v>29.3</v>
      </c>
    </row>
    <row r="3606" spans="1:18" x14ac:dyDescent="0.3">
      <c r="A3606" t="s">
        <v>257</v>
      </c>
      <c r="B3606">
        <v>67</v>
      </c>
      <c r="C3606">
        <v>2</v>
      </c>
      <c r="D3606">
        <v>1</v>
      </c>
      <c r="E3606">
        <v>2</v>
      </c>
      <c r="F3606">
        <v>2</v>
      </c>
      <c r="G3606">
        <v>2</v>
      </c>
      <c r="H3606">
        <v>1</v>
      </c>
      <c r="I3606">
        <v>2</v>
      </c>
      <c r="J3606">
        <v>2</v>
      </c>
    </row>
    <row r="3607" spans="1:18" x14ac:dyDescent="0.3">
      <c r="A3607" t="s">
        <v>258</v>
      </c>
      <c r="B3607">
        <v>67</v>
      </c>
      <c r="C3607">
        <v>0</v>
      </c>
      <c r="D3607">
        <v>0</v>
      </c>
      <c r="E3607">
        <v>0</v>
      </c>
      <c r="F3607">
        <v>0</v>
      </c>
      <c r="G3607">
        <v>0</v>
      </c>
      <c r="H3607">
        <v>0</v>
      </c>
      <c r="I3607">
        <v>0</v>
      </c>
      <c r="J3607">
        <v>0</v>
      </c>
    </row>
    <row r="3608" spans="1:18" x14ac:dyDescent="0.3">
      <c r="A3608" t="s">
        <v>259</v>
      </c>
      <c r="B3608">
        <v>67</v>
      </c>
      <c r="C3608">
        <v>0</v>
      </c>
      <c r="D3608">
        <v>0</v>
      </c>
      <c r="E3608">
        <v>0</v>
      </c>
      <c r="F3608">
        <v>0</v>
      </c>
      <c r="G3608">
        <v>0</v>
      </c>
      <c r="H3608">
        <v>0</v>
      </c>
      <c r="I3608">
        <v>0</v>
      </c>
      <c r="J3608">
        <v>0</v>
      </c>
    </row>
    <row r="3609" spans="1:18" x14ac:dyDescent="0.3">
      <c r="A3609" t="s">
        <v>260</v>
      </c>
      <c r="B3609">
        <v>67</v>
      </c>
      <c r="C3609">
        <v>0</v>
      </c>
      <c r="D3609">
        <v>0</v>
      </c>
      <c r="E3609">
        <v>0</v>
      </c>
      <c r="F3609">
        <v>0</v>
      </c>
      <c r="G3609">
        <v>0</v>
      </c>
      <c r="H3609">
        <v>0</v>
      </c>
      <c r="I3609">
        <v>0</v>
      </c>
      <c r="J3609">
        <v>0</v>
      </c>
    </row>
    <row r="3610" spans="1:18" x14ac:dyDescent="0.3">
      <c r="A3610" t="s">
        <v>261</v>
      </c>
      <c r="B3610">
        <v>67</v>
      </c>
      <c r="C3610">
        <v>3</v>
      </c>
      <c r="D3610">
        <v>4</v>
      </c>
      <c r="E3610">
        <v>3</v>
      </c>
      <c r="F3610">
        <v>4</v>
      </c>
      <c r="G3610">
        <v>3</v>
      </c>
      <c r="H3610">
        <v>4</v>
      </c>
      <c r="I3610">
        <v>3</v>
      </c>
      <c r="J3610">
        <v>4</v>
      </c>
    </row>
    <row r="3611" spans="1:18" x14ac:dyDescent="0.3">
      <c r="A3611" t="s">
        <v>262</v>
      </c>
      <c r="B3611">
        <v>67</v>
      </c>
      <c r="C3611">
        <v>1</v>
      </c>
      <c r="D3611">
        <v>1.4</v>
      </c>
      <c r="E3611">
        <v>1</v>
      </c>
      <c r="F3611">
        <v>1.9</v>
      </c>
      <c r="G3611">
        <v>1</v>
      </c>
      <c r="H3611">
        <v>1.4</v>
      </c>
      <c r="I3611">
        <v>1</v>
      </c>
      <c r="J3611">
        <v>1.9</v>
      </c>
    </row>
    <row r="3612" spans="1:18" x14ac:dyDescent="0.3">
      <c r="A3612" t="s">
        <v>263</v>
      </c>
      <c r="B3612">
        <v>67</v>
      </c>
      <c r="C3612">
        <v>3</v>
      </c>
      <c r="D3612">
        <v>3</v>
      </c>
      <c r="E3612">
        <v>3</v>
      </c>
      <c r="F3612">
        <v>3</v>
      </c>
      <c r="G3612">
        <v>3</v>
      </c>
      <c r="H3612">
        <v>3</v>
      </c>
      <c r="I3612">
        <v>3</v>
      </c>
      <c r="J3612">
        <v>3</v>
      </c>
    </row>
    <row r="3613" spans="1:18" x14ac:dyDescent="0.3">
      <c r="A3613" t="s">
        <v>264</v>
      </c>
      <c r="B3613">
        <v>67</v>
      </c>
      <c r="D3613">
        <v>7</v>
      </c>
      <c r="F3613">
        <v>7</v>
      </c>
      <c r="H3613">
        <v>7</v>
      </c>
      <c r="J3613">
        <v>7</v>
      </c>
    </row>
    <row r="3614" spans="1:18" x14ac:dyDescent="0.3">
      <c r="A3614" t="s">
        <v>265</v>
      </c>
      <c r="B3614">
        <v>67</v>
      </c>
      <c r="D3614">
        <v>16</v>
      </c>
      <c r="F3614">
        <v>22</v>
      </c>
      <c r="H3614">
        <v>16</v>
      </c>
      <c r="J3614">
        <v>22</v>
      </c>
    </row>
    <row r="3615" spans="1:18" x14ac:dyDescent="0.3">
      <c r="A3615" t="s">
        <v>266</v>
      </c>
      <c r="B3615">
        <v>67</v>
      </c>
      <c r="D3615">
        <v>0</v>
      </c>
      <c r="F3615">
        <v>0</v>
      </c>
      <c r="H3615">
        <v>0</v>
      </c>
      <c r="J3615">
        <v>0</v>
      </c>
    </row>
    <row r="3616" spans="1:18" x14ac:dyDescent="0.3">
      <c r="A3616" t="s">
        <v>267</v>
      </c>
      <c r="B3616">
        <v>67</v>
      </c>
      <c r="C3616">
        <v>9.5</v>
      </c>
      <c r="D3616">
        <v>28.4</v>
      </c>
      <c r="E3616">
        <v>9.5</v>
      </c>
      <c r="F3616">
        <v>34.9</v>
      </c>
      <c r="G3616">
        <v>9.5</v>
      </c>
      <c r="H3616">
        <v>28.4</v>
      </c>
      <c r="I3616">
        <v>9.5</v>
      </c>
      <c r="J3616">
        <v>34.9</v>
      </c>
    </row>
    <row r="3617" spans="1:18" x14ac:dyDescent="0.3">
      <c r="A3617" t="s">
        <v>268</v>
      </c>
      <c r="B3617">
        <v>67</v>
      </c>
      <c r="C3617">
        <v>0</v>
      </c>
      <c r="D3617">
        <v>1</v>
      </c>
      <c r="E3617">
        <v>0</v>
      </c>
      <c r="F3617">
        <v>1</v>
      </c>
      <c r="G3617">
        <v>0</v>
      </c>
      <c r="H3617">
        <v>1</v>
      </c>
      <c r="I3617">
        <v>0</v>
      </c>
      <c r="J3617">
        <v>1</v>
      </c>
    </row>
    <row r="3618" spans="1:18" x14ac:dyDescent="0.3">
      <c r="A3618" t="s">
        <v>269</v>
      </c>
      <c r="B3618">
        <v>67</v>
      </c>
      <c r="C3618">
        <v>1</v>
      </c>
      <c r="D3618">
        <v>1</v>
      </c>
      <c r="E3618">
        <v>1</v>
      </c>
      <c r="F3618">
        <v>1</v>
      </c>
      <c r="G3618">
        <v>1</v>
      </c>
      <c r="H3618">
        <v>1</v>
      </c>
      <c r="I3618">
        <v>1</v>
      </c>
      <c r="J3618">
        <v>1</v>
      </c>
    </row>
    <row r="3619" spans="1:18" x14ac:dyDescent="0.3">
      <c r="A3619" t="s">
        <v>270</v>
      </c>
      <c r="B3619">
        <v>67</v>
      </c>
      <c r="C3619">
        <v>109</v>
      </c>
      <c r="D3619">
        <v>0</v>
      </c>
      <c r="E3619">
        <v>56.8</v>
      </c>
      <c r="F3619">
        <v>66.8</v>
      </c>
      <c r="G3619">
        <v>109</v>
      </c>
      <c r="H3619">
        <v>119</v>
      </c>
      <c r="I3619">
        <v>56.8</v>
      </c>
      <c r="J3619">
        <v>73.8</v>
      </c>
    </row>
    <row r="3620" spans="1:18" x14ac:dyDescent="0.3">
      <c r="A3620" t="s">
        <v>271</v>
      </c>
      <c r="B3620">
        <v>67</v>
      </c>
      <c r="C3620">
        <v>0</v>
      </c>
      <c r="D3620">
        <v>56.8</v>
      </c>
      <c r="E3620">
        <v>66.8</v>
      </c>
      <c r="F3620">
        <v>109</v>
      </c>
      <c r="G3620">
        <v>119</v>
      </c>
      <c r="H3620">
        <v>56.8</v>
      </c>
      <c r="I3620">
        <v>73.8</v>
      </c>
      <c r="J3620">
        <v>109</v>
      </c>
    </row>
    <row r="3621" spans="1:18" x14ac:dyDescent="0.3">
      <c r="A3621" t="s">
        <v>272</v>
      </c>
      <c r="B3621">
        <v>67</v>
      </c>
      <c r="C3621">
        <v>116</v>
      </c>
      <c r="D3621">
        <v>51.4</v>
      </c>
      <c r="E3621">
        <v>62.8</v>
      </c>
      <c r="F3621">
        <v>103.1</v>
      </c>
      <c r="G3621">
        <v>115</v>
      </c>
      <c r="H3621">
        <v>51.4</v>
      </c>
      <c r="I3621">
        <v>69.8</v>
      </c>
      <c r="J3621">
        <v>103.1</v>
      </c>
    </row>
    <row r="3622" spans="1:18" x14ac:dyDescent="0.3">
      <c r="A3622" t="s">
        <v>273</v>
      </c>
      <c r="B3622">
        <v>67</v>
      </c>
      <c r="C3622">
        <v>116</v>
      </c>
      <c r="D3622">
        <v>35.4</v>
      </c>
      <c r="E3622">
        <v>62.8</v>
      </c>
      <c r="F3622">
        <v>81.099999999999994</v>
      </c>
      <c r="G3622">
        <v>115</v>
      </c>
      <c r="H3622">
        <v>35.4</v>
      </c>
      <c r="I3622">
        <v>69.8</v>
      </c>
      <c r="J3622">
        <v>81.099999999999994</v>
      </c>
    </row>
    <row r="3623" spans="1:18" x14ac:dyDescent="0.3">
      <c r="A3623" t="s">
        <v>274</v>
      </c>
      <c r="B3623">
        <v>67</v>
      </c>
      <c r="C3623">
        <v>109</v>
      </c>
      <c r="D3623">
        <v>0</v>
      </c>
      <c r="E3623">
        <v>56.8</v>
      </c>
      <c r="F3623">
        <v>66.8</v>
      </c>
      <c r="G3623">
        <v>109</v>
      </c>
      <c r="H3623">
        <v>119</v>
      </c>
      <c r="I3623">
        <v>56.8</v>
      </c>
      <c r="J3623">
        <v>73.8</v>
      </c>
    </row>
    <row r="3624" spans="1:18" x14ac:dyDescent="0.3">
      <c r="A3624" t="s">
        <v>275</v>
      </c>
      <c r="B3624">
        <v>67</v>
      </c>
      <c r="C3624">
        <v>116</v>
      </c>
      <c r="D3624">
        <v>51.4</v>
      </c>
      <c r="E3624">
        <v>62.8</v>
      </c>
      <c r="F3624">
        <v>103.1</v>
      </c>
      <c r="G3624">
        <v>115</v>
      </c>
      <c r="H3624">
        <v>51.4</v>
      </c>
      <c r="I3624">
        <v>69.8</v>
      </c>
      <c r="J3624">
        <v>103.1</v>
      </c>
    </row>
    <row r="3625" spans="1:18" x14ac:dyDescent="0.3">
      <c r="A3625" t="s">
        <v>276</v>
      </c>
      <c r="B3625">
        <v>67</v>
      </c>
      <c r="C3625">
        <v>116</v>
      </c>
      <c r="D3625">
        <v>35.4</v>
      </c>
      <c r="E3625">
        <v>62.8</v>
      </c>
      <c r="F3625">
        <v>81.099999999999994</v>
      </c>
      <c r="G3625">
        <v>115</v>
      </c>
      <c r="H3625">
        <v>35.4</v>
      </c>
      <c r="I3625">
        <v>69.8</v>
      </c>
      <c r="J3625">
        <v>81.099999999999994</v>
      </c>
    </row>
    <row r="3626" spans="1:18" x14ac:dyDescent="0.3">
      <c r="A3626" t="s">
        <v>567</v>
      </c>
      <c r="B3626">
        <v>67</v>
      </c>
      <c r="C3626">
        <v>7</v>
      </c>
      <c r="D3626">
        <v>51.4</v>
      </c>
      <c r="E3626">
        <v>6</v>
      </c>
      <c r="F3626">
        <v>36.299999999999997</v>
      </c>
      <c r="G3626">
        <v>6</v>
      </c>
      <c r="H3626">
        <v>52.4</v>
      </c>
      <c r="I3626">
        <v>13</v>
      </c>
      <c r="J3626">
        <v>29.3</v>
      </c>
    </row>
    <row r="3627" spans="1:18" x14ac:dyDescent="0.3">
      <c r="A3627" t="s">
        <v>254</v>
      </c>
      <c r="B3627">
        <v>70</v>
      </c>
      <c r="C3627">
        <v>111</v>
      </c>
      <c r="D3627">
        <v>112</v>
      </c>
      <c r="F3627">
        <v>211</v>
      </c>
      <c r="G3627">
        <v>121</v>
      </c>
      <c r="H3627">
        <v>122</v>
      </c>
      <c r="J3627">
        <v>221</v>
      </c>
      <c r="K3627">
        <v>311</v>
      </c>
      <c r="L3627">
        <v>312</v>
      </c>
      <c r="M3627">
        <v>411</v>
      </c>
      <c r="N3627">
        <v>412</v>
      </c>
      <c r="O3627">
        <v>321</v>
      </c>
      <c r="P3627">
        <v>322</v>
      </c>
      <c r="Q3627">
        <v>421</v>
      </c>
      <c r="R3627">
        <v>422</v>
      </c>
    </row>
    <row r="3628" spans="1:18" x14ac:dyDescent="0.3">
      <c r="A3628" t="s">
        <v>255</v>
      </c>
      <c r="B3628">
        <v>70</v>
      </c>
      <c r="C3628">
        <v>5</v>
      </c>
      <c r="D3628">
        <v>15</v>
      </c>
      <c r="F3628">
        <v>5</v>
      </c>
      <c r="G3628">
        <v>5</v>
      </c>
      <c r="H3628">
        <v>15</v>
      </c>
      <c r="J3628">
        <v>5</v>
      </c>
    </row>
    <row r="3629" spans="1:18" x14ac:dyDescent="0.3">
      <c r="A3629" t="s">
        <v>256</v>
      </c>
      <c r="B3629">
        <v>70</v>
      </c>
      <c r="C3629">
        <v>6</v>
      </c>
      <c r="D3629">
        <v>63.5</v>
      </c>
      <c r="F3629">
        <v>35.6</v>
      </c>
      <c r="G3629">
        <v>6</v>
      </c>
      <c r="H3629">
        <v>63.5</v>
      </c>
      <c r="J3629">
        <v>35.6</v>
      </c>
    </row>
    <row r="3630" spans="1:18" x14ac:dyDescent="0.3">
      <c r="A3630" t="s">
        <v>257</v>
      </c>
      <c r="B3630">
        <v>70</v>
      </c>
      <c r="C3630">
        <v>2</v>
      </c>
      <c r="D3630">
        <v>1</v>
      </c>
      <c r="F3630">
        <v>2</v>
      </c>
      <c r="G3630">
        <v>2</v>
      </c>
      <c r="H3630">
        <v>1</v>
      </c>
      <c r="J3630">
        <v>2</v>
      </c>
    </row>
    <row r="3631" spans="1:18" x14ac:dyDescent="0.3">
      <c r="A3631" t="s">
        <v>258</v>
      </c>
      <c r="B3631">
        <v>70</v>
      </c>
      <c r="C3631">
        <v>0</v>
      </c>
      <c r="D3631">
        <v>0</v>
      </c>
      <c r="F3631">
        <v>0</v>
      </c>
      <c r="G3631">
        <v>0</v>
      </c>
      <c r="H3631">
        <v>0</v>
      </c>
      <c r="J3631">
        <v>0</v>
      </c>
    </row>
    <row r="3632" spans="1:18" x14ac:dyDescent="0.3">
      <c r="A3632" t="s">
        <v>259</v>
      </c>
      <c r="B3632">
        <v>70</v>
      </c>
      <c r="C3632">
        <v>0</v>
      </c>
      <c r="D3632">
        <v>0</v>
      </c>
      <c r="F3632">
        <v>0</v>
      </c>
      <c r="G3632">
        <v>0</v>
      </c>
      <c r="H3632">
        <v>0</v>
      </c>
      <c r="J3632">
        <v>0</v>
      </c>
    </row>
    <row r="3633" spans="1:10" x14ac:dyDescent="0.3">
      <c r="A3633" t="s">
        <v>260</v>
      </c>
      <c r="B3633">
        <v>70</v>
      </c>
      <c r="C3633">
        <v>0</v>
      </c>
      <c r="D3633">
        <v>0</v>
      </c>
      <c r="F3633">
        <v>0</v>
      </c>
      <c r="G3633">
        <v>0</v>
      </c>
      <c r="H3633">
        <v>0</v>
      </c>
      <c r="J3633">
        <v>0</v>
      </c>
    </row>
    <row r="3634" spans="1:10" x14ac:dyDescent="0.3">
      <c r="A3634" t="s">
        <v>261</v>
      </c>
      <c r="B3634">
        <v>70</v>
      </c>
      <c r="C3634">
        <v>3</v>
      </c>
      <c r="D3634">
        <v>4.3</v>
      </c>
      <c r="F3634">
        <v>3</v>
      </c>
      <c r="G3634">
        <v>3</v>
      </c>
      <c r="H3634">
        <v>4.3</v>
      </c>
      <c r="J3634">
        <v>3</v>
      </c>
    </row>
    <row r="3635" spans="1:10" x14ac:dyDescent="0.3">
      <c r="A3635" t="s">
        <v>262</v>
      </c>
      <c r="B3635">
        <v>70</v>
      </c>
      <c r="C3635">
        <v>1</v>
      </c>
      <c r="D3635">
        <v>1</v>
      </c>
      <c r="F3635">
        <v>2.6</v>
      </c>
      <c r="G3635">
        <v>1</v>
      </c>
      <c r="H3635">
        <v>1</v>
      </c>
      <c r="J3635">
        <v>2.6</v>
      </c>
    </row>
    <row r="3636" spans="1:10" x14ac:dyDescent="0.3">
      <c r="A3636" t="s">
        <v>263</v>
      </c>
      <c r="B3636">
        <v>70</v>
      </c>
      <c r="C3636">
        <v>3</v>
      </c>
      <c r="D3636">
        <v>3</v>
      </c>
      <c r="F3636">
        <v>3</v>
      </c>
      <c r="G3636">
        <v>3</v>
      </c>
      <c r="H3636">
        <v>3</v>
      </c>
      <c r="J3636">
        <v>3</v>
      </c>
    </row>
    <row r="3637" spans="1:10" x14ac:dyDescent="0.3">
      <c r="A3637" t="s">
        <v>264</v>
      </c>
      <c r="B3637">
        <v>70</v>
      </c>
      <c r="D3637">
        <v>8</v>
      </c>
      <c r="F3637">
        <v>9</v>
      </c>
      <c r="H3637">
        <v>8</v>
      </c>
      <c r="J3637">
        <v>9</v>
      </c>
    </row>
    <row r="3638" spans="1:10" x14ac:dyDescent="0.3">
      <c r="A3638" t="s">
        <v>265</v>
      </c>
      <c r="B3638">
        <v>70</v>
      </c>
      <c r="D3638">
        <v>8</v>
      </c>
      <c r="F3638">
        <v>18</v>
      </c>
      <c r="H3638">
        <v>8</v>
      </c>
      <c r="J3638">
        <v>18</v>
      </c>
    </row>
    <row r="3639" spans="1:10" x14ac:dyDescent="0.3">
      <c r="A3639" t="s">
        <v>266</v>
      </c>
      <c r="B3639">
        <v>70</v>
      </c>
      <c r="D3639">
        <v>0</v>
      </c>
      <c r="F3639">
        <v>0</v>
      </c>
      <c r="H3639">
        <v>0</v>
      </c>
      <c r="J3639">
        <v>0</v>
      </c>
    </row>
    <row r="3640" spans="1:10" x14ac:dyDescent="0.3">
      <c r="A3640" t="s">
        <v>267</v>
      </c>
      <c r="B3640">
        <v>70</v>
      </c>
      <c r="C3640">
        <v>9.5</v>
      </c>
      <c r="D3640">
        <v>23.5</v>
      </c>
      <c r="F3640">
        <v>40.5</v>
      </c>
      <c r="G3640">
        <v>9.5</v>
      </c>
      <c r="H3640">
        <v>23.5</v>
      </c>
      <c r="J3640">
        <v>33.5</v>
      </c>
    </row>
    <row r="3641" spans="1:10" x14ac:dyDescent="0.3">
      <c r="A3641" t="s">
        <v>268</v>
      </c>
      <c r="B3641">
        <v>70</v>
      </c>
      <c r="C3641">
        <v>0</v>
      </c>
      <c r="D3641">
        <v>1</v>
      </c>
      <c r="F3641">
        <v>1</v>
      </c>
      <c r="G3641">
        <v>0</v>
      </c>
      <c r="H3641">
        <v>1</v>
      </c>
      <c r="J3641">
        <v>1</v>
      </c>
    </row>
    <row r="3642" spans="1:10" x14ac:dyDescent="0.3">
      <c r="A3642" t="s">
        <v>269</v>
      </c>
      <c r="B3642">
        <v>70</v>
      </c>
      <c r="C3642">
        <v>1</v>
      </c>
      <c r="D3642">
        <v>1</v>
      </c>
      <c r="F3642">
        <v>1</v>
      </c>
      <c r="G3642">
        <v>1</v>
      </c>
      <c r="H3642">
        <v>1</v>
      </c>
      <c r="J3642">
        <v>1</v>
      </c>
    </row>
    <row r="3643" spans="1:10" x14ac:dyDescent="0.3">
      <c r="A3643" t="s">
        <v>270</v>
      </c>
      <c r="B3643">
        <v>70</v>
      </c>
      <c r="C3643">
        <v>22</v>
      </c>
      <c r="D3643">
        <v>32</v>
      </c>
      <c r="F3643">
        <v>100.8</v>
      </c>
      <c r="G3643">
        <v>22</v>
      </c>
      <c r="H3643">
        <v>32</v>
      </c>
      <c r="J3643">
        <v>100.8</v>
      </c>
    </row>
    <row r="3644" spans="1:10" x14ac:dyDescent="0.3">
      <c r="A3644" t="s">
        <v>271</v>
      </c>
      <c r="B3644">
        <v>70</v>
      </c>
      <c r="C3644">
        <v>32</v>
      </c>
      <c r="D3644">
        <v>100.8</v>
      </c>
      <c r="F3644">
        <v>22</v>
      </c>
      <c r="G3644">
        <v>32</v>
      </c>
      <c r="H3644">
        <v>100.8</v>
      </c>
      <c r="J3644">
        <v>22</v>
      </c>
    </row>
    <row r="3645" spans="1:10" x14ac:dyDescent="0.3">
      <c r="A3645" t="s">
        <v>272</v>
      </c>
      <c r="B3645">
        <v>70</v>
      </c>
      <c r="C3645">
        <v>28</v>
      </c>
      <c r="D3645">
        <v>95.5</v>
      </c>
      <c r="F3645">
        <v>16.399999999999999</v>
      </c>
      <c r="G3645">
        <v>28</v>
      </c>
      <c r="H3645">
        <v>95.5</v>
      </c>
      <c r="J3645">
        <v>16.399999999999999</v>
      </c>
    </row>
    <row r="3646" spans="1:10" x14ac:dyDescent="0.3">
      <c r="A3646" t="s">
        <v>273</v>
      </c>
      <c r="B3646">
        <v>70</v>
      </c>
      <c r="C3646">
        <v>28</v>
      </c>
      <c r="D3646">
        <v>87.5</v>
      </c>
      <c r="F3646">
        <v>118.4</v>
      </c>
      <c r="G3646">
        <v>28</v>
      </c>
      <c r="H3646">
        <v>87.5</v>
      </c>
      <c r="J3646">
        <v>118.4</v>
      </c>
    </row>
    <row r="3647" spans="1:10" x14ac:dyDescent="0.3">
      <c r="A3647" t="s">
        <v>274</v>
      </c>
      <c r="B3647">
        <v>70</v>
      </c>
      <c r="C3647">
        <v>110</v>
      </c>
      <c r="D3647">
        <v>0</v>
      </c>
      <c r="F3647">
        <v>68.8</v>
      </c>
      <c r="G3647">
        <v>110</v>
      </c>
      <c r="H3647">
        <v>0</v>
      </c>
      <c r="J3647">
        <v>68.8</v>
      </c>
    </row>
    <row r="3648" spans="1:10" x14ac:dyDescent="0.3">
      <c r="A3648" t="s">
        <v>275</v>
      </c>
      <c r="B3648">
        <v>70</v>
      </c>
      <c r="C3648">
        <v>116</v>
      </c>
      <c r="D3648">
        <v>63.5</v>
      </c>
      <c r="F3648">
        <v>104.4</v>
      </c>
      <c r="G3648">
        <v>116</v>
      </c>
      <c r="H3648">
        <v>63.5</v>
      </c>
      <c r="J3648">
        <v>104.4</v>
      </c>
    </row>
    <row r="3649" spans="1:18" x14ac:dyDescent="0.3">
      <c r="A3649" t="s">
        <v>276</v>
      </c>
      <c r="B3649">
        <v>70</v>
      </c>
      <c r="C3649">
        <v>116</v>
      </c>
      <c r="D3649">
        <v>55.5</v>
      </c>
      <c r="F3649">
        <v>86.4</v>
      </c>
      <c r="G3649">
        <v>116</v>
      </c>
      <c r="H3649">
        <v>55.5</v>
      </c>
      <c r="J3649">
        <v>86.4</v>
      </c>
    </row>
    <row r="3650" spans="1:18" x14ac:dyDescent="0.3">
      <c r="A3650" t="s">
        <v>567</v>
      </c>
      <c r="B3650">
        <v>70</v>
      </c>
      <c r="C3650">
        <v>6</v>
      </c>
      <c r="D3650">
        <v>63.5</v>
      </c>
      <c r="F3650">
        <v>35.6</v>
      </c>
      <c r="G3650">
        <v>6</v>
      </c>
      <c r="H3650">
        <v>63.5</v>
      </c>
      <c r="J3650">
        <v>35.6</v>
      </c>
    </row>
    <row r="3651" spans="1:18" x14ac:dyDescent="0.3">
      <c r="A3651" t="s">
        <v>254</v>
      </c>
      <c r="B3651">
        <v>73</v>
      </c>
      <c r="C3651">
        <v>111</v>
      </c>
      <c r="D3651">
        <v>112</v>
      </c>
      <c r="E3651">
        <v>211</v>
      </c>
      <c r="F3651">
        <v>212</v>
      </c>
      <c r="G3651">
        <v>121</v>
      </c>
      <c r="H3651">
        <v>122</v>
      </c>
      <c r="I3651">
        <v>221</v>
      </c>
      <c r="J3651">
        <v>222</v>
      </c>
      <c r="K3651">
        <v>311</v>
      </c>
      <c r="L3651">
        <v>312</v>
      </c>
      <c r="M3651">
        <v>411</v>
      </c>
      <c r="N3651">
        <v>412</v>
      </c>
      <c r="O3651">
        <v>321</v>
      </c>
      <c r="P3651">
        <v>322</v>
      </c>
      <c r="Q3651">
        <v>421</v>
      </c>
      <c r="R3651">
        <v>422</v>
      </c>
    </row>
    <row r="3652" spans="1:18" x14ac:dyDescent="0.3">
      <c r="A3652" t="s">
        <v>255</v>
      </c>
      <c r="B3652">
        <v>73</v>
      </c>
      <c r="D3652">
        <v>15</v>
      </c>
      <c r="F3652">
        <v>5</v>
      </c>
      <c r="G3652">
        <v>5</v>
      </c>
      <c r="H3652">
        <v>15</v>
      </c>
    </row>
    <row r="3653" spans="1:18" x14ac:dyDescent="0.3">
      <c r="A3653" t="s">
        <v>256</v>
      </c>
      <c r="B3653">
        <v>73</v>
      </c>
      <c r="D3653">
        <v>80.099999999999994</v>
      </c>
      <c r="F3653">
        <v>29</v>
      </c>
      <c r="G3653">
        <v>7</v>
      </c>
      <c r="H3653">
        <v>69.099999999999994</v>
      </c>
    </row>
    <row r="3654" spans="1:18" x14ac:dyDescent="0.3">
      <c r="A3654" t="s">
        <v>257</v>
      </c>
      <c r="B3654">
        <v>73</v>
      </c>
      <c r="D3654">
        <v>3</v>
      </c>
      <c r="F3654">
        <v>3</v>
      </c>
      <c r="G3654">
        <v>3</v>
      </c>
      <c r="H3654">
        <v>3</v>
      </c>
    </row>
    <row r="3655" spans="1:18" x14ac:dyDescent="0.3">
      <c r="A3655" t="s">
        <v>258</v>
      </c>
      <c r="B3655">
        <v>73</v>
      </c>
      <c r="D3655">
        <v>0</v>
      </c>
      <c r="F3655">
        <v>0</v>
      </c>
      <c r="G3655">
        <v>0</v>
      </c>
      <c r="H3655">
        <v>0</v>
      </c>
    </row>
    <row r="3656" spans="1:18" x14ac:dyDescent="0.3">
      <c r="A3656" t="s">
        <v>259</v>
      </c>
      <c r="B3656">
        <v>73</v>
      </c>
      <c r="D3656">
        <v>0</v>
      </c>
      <c r="F3656">
        <v>0</v>
      </c>
      <c r="G3656">
        <v>0</v>
      </c>
      <c r="H3656">
        <v>0</v>
      </c>
    </row>
    <row r="3657" spans="1:18" x14ac:dyDescent="0.3">
      <c r="A3657" t="s">
        <v>260</v>
      </c>
      <c r="B3657">
        <v>73</v>
      </c>
      <c r="D3657">
        <v>0</v>
      </c>
      <c r="F3657">
        <v>0</v>
      </c>
      <c r="G3657">
        <v>0</v>
      </c>
      <c r="H3657">
        <v>0</v>
      </c>
    </row>
    <row r="3658" spans="1:18" x14ac:dyDescent="0.3">
      <c r="A3658" t="s">
        <v>261</v>
      </c>
      <c r="B3658">
        <v>73</v>
      </c>
      <c r="D3658">
        <v>4.3</v>
      </c>
      <c r="F3658">
        <v>3</v>
      </c>
      <c r="G3658">
        <v>3</v>
      </c>
      <c r="H3658">
        <v>4.3</v>
      </c>
    </row>
    <row r="3659" spans="1:18" x14ac:dyDescent="0.3">
      <c r="A3659" t="s">
        <v>262</v>
      </c>
      <c r="B3659">
        <v>73</v>
      </c>
      <c r="D3659">
        <v>1</v>
      </c>
      <c r="F3659">
        <v>2.6</v>
      </c>
      <c r="G3659">
        <v>1</v>
      </c>
      <c r="H3659">
        <v>1</v>
      </c>
    </row>
    <row r="3660" spans="1:18" x14ac:dyDescent="0.3">
      <c r="A3660" t="s">
        <v>263</v>
      </c>
      <c r="B3660">
        <v>73</v>
      </c>
      <c r="D3660">
        <v>3</v>
      </c>
      <c r="F3660">
        <v>3</v>
      </c>
      <c r="G3660">
        <v>3</v>
      </c>
      <c r="H3660">
        <v>3</v>
      </c>
    </row>
    <row r="3661" spans="1:18" x14ac:dyDescent="0.3">
      <c r="A3661" t="s">
        <v>264</v>
      </c>
      <c r="B3661">
        <v>73</v>
      </c>
      <c r="D3661">
        <v>8</v>
      </c>
      <c r="F3661">
        <v>10</v>
      </c>
      <c r="H3661">
        <v>8</v>
      </c>
    </row>
    <row r="3662" spans="1:18" x14ac:dyDescent="0.3">
      <c r="A3662" t="s">
        <v>265</v>
      </c>
      <c r="B3662">
        <v>73</v>
      </c>
      <c r="D3662">
        <v>22</v>
      </c>
      <c r="F3662">
        <v>19</v>
      </c>
      <c r="H3662">
        <v>22</v>
      </c>
    </row>
    <row r="3663" spans="1:18" x14ac:dyDescent="0.3">
      <c r="A3663" t="s">
        <v>266</v>
      </c>
      <c r="B3663">
        <v>73</v>
      </c>
      <c r="D3663">
        <v>0</v>
      </c>
      <c r="F3663">
        <v>0</v>
      </c>
      <c r="H3663">
        <v>0</v>
      </c>
    </row>
    <row r="3664" spans="1:18" x14ac:dyDescent="0.3">
      <c r="A3664" t="s">
        <v>267</v>
      </c>
      <c r="B3664">
        <v>73</v>
      </c>
      <c r="D3664">
        <v>35.299999999999997</v>
      </c>
      <c r="F3664">
        <v>34.6</v>
      </c>
      <c r="G3664">
        <v>9.5</v>
      </c>
      <c r="H3664">
        <v>35.299999999999997</v>
      </c>
    </row>
    <row r="3665" spans="1:8" x14ac:dyDescent="0.3">
      <c r="A3665" t="s">
        <v>268</v>
      </c>
      <c r="B3665">
        <v>73</v>
      </c>
      <c r="D3665">
        <v>1</v>
      </c>
      <c r="F3665">
        <v>1</v>
      </c>
      <c r="G3665">
        <v>0</v>
      </c>
      <c r="H3665">
        <v>1</v>
      </c>
    </row>
    <row r="3666" spans="1:8" x14ac:dyDescent="0.3">
      <c r="A3666" t="s">
        <v>269</v>
      </c>
      <c r="B3666">
        <v>73</v>
      </c>
      <c r="D3666">
        <v>1</v>
      </c>
      <c r="F3666">
        <v>1</v>
      </c>
      <c r="G3666">
        <v>1</v>
      </c>
      <c r="H3666">
        <v>1</v>
      </c>
    </row>
    <row r="3667" spans="1:8" x14ac:dyDescent="0.3">
      <c r="A3667" t="s">
        <v>270</v>
      </c>
      <c r="B3667">
        <v>73</v>
      </c>
      <c r="D3667">
        <v>0</v>
      </c>
      <c r="F3667">
        <v>85.4</v>
      </c>
      <c r="G3667">
        <v>0</v>
      </c>
      <c r="H3667">
        <v>11</v>
      </c>
    </row>
    <row r="3668" spans="1:8" x14ac:dyDescent="0.3">
      <c r="A3668" t="s">
        <v>271</v>
      </c>
      <c r="B3668">
        <v>73</v>
      </c>
      <c r="D3668">
        <v>85.4</v>
      </c>
      <c r="F3668">
        <v>0</v>
      </c>
      <c r="G3668">
        <v>11</v>
      </c>
      <c r="H3668">
        <v>85.4</v>
      </c>
    </row>
    <row r="3669" spans="1:8" x14ac:dyDescent="0.3">
      <c r="A3669" t="s">
        <v>272</v>
      </c>
      <c r="B3669">
        <v>73</v>
      </c>
      <c r="D3669">
        <v>80.099999999999994</v>
      </c>
      <c r="F3669">
        <v>114.4</v>
      </c>
      <c r="G3669">
        <v>7</v>
      </c>
      <c r="H3669">
        <v>80.099999999999994</v>
      </c>
    </row>
    <row r="3670" spans="1:8" x14ac:dyDescent="0.3">
      <c r="A3670" t="s">
        <v>273</v>
      </c>
      <c r="B3670">
        <v>73</v>
      </c>
      <c r="D3670">
        <v>58.1</v>
      </c>
      <c r="F3670">
        <v>95.4</v>
      </c>
      <c r="G3670">
        <v>7</v>
      </c>
      <c r="H3670">
        <v>58.1</v>
      </c>
    </row>
    <row r="3671" spans="1:8" x14ac:dyDescent="0.3">
      <c r="A3671" t="s">
        <v>274</v>
      </c>
      <c r="B3671">
        <v>73</v>
      </c>
      <c r="D3671">
        <v>0</v>
      </c>
      <c r="F3671">
        <v>85.4</v>
      </c>
      <c r="G3671">
        <v>0</v>
      </c>
      <c r="H3671">
        <v>11</v>
      </c>
    </row>
    <row r="3672" spans="1:8" x14ac:dyDescent="0.3">
      <c r="A3672" t="s">
        <v>275</v>
      </c>
      <c r="B3672">
        <v>73</v>
      </c>
      <c r="D3672">
        <v>80.099999999999994</v>
      </c>
      <c r="F3672">
        <v>114.4</v>
      </c>
      <c r="G3672">
        <v>7</v>
      </c>
      <c r="H3672">
        <v>80.099999999999994</v>
      </c>
    </row>
    <row r="3673" spans="1:8" x14ac:dyDescent="0.3">
      <c r="A3673" t="s">
        <v>276</v>
      </c>
      <c r="B3673">
        <v>73</v>
      </c>
      <c r="D3673">
        <v>58.1</v>
      </c>
      <c r="F3673">
        <v>95.4</v>
      </c>
      <c r="G3673">
        <v>7</v>
      </c>
      <c r="H3673">
        <v>58.1</v>
      </c>
    </row>
    <row r="3674" spans="1:8" x14ac:dyDescent="0.3">
      <c r="A3674" t="s">
        <v>567</v>
      </c>
      <c r="B3674">
        <v>73</v>
      </c>
      <c r="D3674">
        <v>80.099999999999994</v>
      </c>
      <c r="F3674">
        <v>29</v>
      </c>
      <c r="G3674">
        <v>7</v>
      </c>
      <c r="H3674">
        <v>69.099999999999994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3"/>
  <sheetViews>
    <sheetView tabSelected="1" workbookViewId="0">
      <selection activeCell="L4" sqref="L4"/>
    </sheetView>
  </sheetViews>
  <sheetFormatPr defaultRowHeight="14.4" x14ac:dyDescent="0.3"/>
  <cols>
    <col min="1" max="1" width="11.5546875" bestFit="1" customWidth="1"/>
  </cols>
  <sheetData>
    <row r="1" spans="1:12" x14ac:dyDescent="0.3">
      <c r="A1" t="s">
        <v>562</v>
      </c>
      <c r="B1">
        <f>IFERROR(MATCH(A1,UTDF8!A:A,0),0)</f>
        <v>108</v>
      </c>
      <c r="E1" t="s">
        <v>609</v>
      </c>
      <c r="F1" t="s">
        <v>610</v>
      </c>
      <c r="G1" t="s">
        <v>611</v>
      </c>
      <c r="H1" t="s">
        <v>338</v>
      </c>
      <c r="I1" t="s">
        <v>612</v>
      </c>
      <c r="J1" t="s">
        <v>613</v>
      </c>
      <c r="K1" t="s">
        <v>614</v>
      </c>
      <c r="L1" t="s">
        <v>615</v>
      </c>
    </row>
    <row r="2" spans="1:12" x14ac:dyDescent="0.3">
      <c r="A2" t="s">
        <v>564</v>
      </c>
      <c r="B2">
        <f>IFERROR(MATCH(A2,UTDF8!A:A,0),0)</f>
        <v>1692</v>
      </c>
      <c r="E2" t="s">
        <v>571</v>
      </c>
      <c r="F2" t="s">
        <v>572</v>
      </c>
      <c r="G2" t="s">
        <v>571</v>
      </c>
      <c r="H2" t="s">
        <v>572</v>
      </c>
      <c r="I2" t="s">
        <v>571</v>
      </c>
      <c r="J2" t="s">
        <v>572</v>
      </c>
      <c r="K2" t="s">
        <v>571</v>
      </c>
      <c r="L2" t="s">
        <v>572</v>
      </c>
    </row>
    <row r="3" spans="1:12" x14ac:dyDescent="0.3">
      <c r="A3" t="s">
        <v>565</v>
      </c>
      <c r="B3">
        <f>IFERROR(MATCH(A3,UTDF8!A:A,0),0)</f>
        <v>2988</v>
      </c>
      <c r="D3" t="s">
        <v>1</v>
      </c>
      <c r="E3" s="97" t="s">
        <v>570</v>
      </c>
      <c r="F3" s="97"/>
      <c r="G3" s="97" t="s">
        <v>36</v>
      </c>
      <c r="H3" s="97"/>
      <c r="I3" s="97" t="s">
        <v>573</v>
      </c>
      <c r="J3" s="97"/>
      <c r="K3" s="97" t="s">
        <v>574</v>
      </c>
      <c r="L3" s="97"/>
    </row>
    <row r="4" spans="1:12" x14ac:dyDescent="0.3">
      <c r="A4" t="s">
        <v>566</v>
      </c>
      <c r="B4">
        <f>IFERROR(MATCH(A4,UTDF8!A:A,0),0)</f>
        <v>3192</v>
      </c>
      <c r="D4">
        <v>3</v>
      </c>
      <c r="E4">
        <f>MATCH(D4,Links!B:B,0)</f>
        <v>44</v>
      </c>
      <c r="F4">
        <f>UTDF_control!E4+19</f>
        <v>63</v>
      </c>
      <c r="G4">
        <f>MATCH(D4,Lanes!B:B,0)</f>
        <v>4</v>
      </c>
      <c r="H4">
        <f>UTDF_control!G4+56</f>
        <v>60</v>
      </c>
      <c r="I4">
        <f>MATCH(D4,Timeplans!B:B,0)</f>
        <v>4</v>
      </c>
      <c r="J4">
        <f>UTDF_control!I4+9</f>
        <v>13</v>
      </c>
      <c r="K4">
        <f>MATCH(D4,Phases!B:B,0)</f>
        <v>4</v>
      </c>
      <c r="L4">
        <f>K4+23</f>
        <v>27</v>
      </c>
    </row>
    <row r="5" spans="1:12" x14ac:dyDescent="0.3">
      <c r="D5">
        <v>6</v>
      </c>
      <c r="E5">
        <f>MATCH(D5,Links!B:B,0)</f>
        <v>104</v>
      </c>
      <c r="F5">
        <f>UTDF_control!E5+19</f>
        <v>123</v>
      </c>
      <c r="G5">
        <f>MATCH(D5,Lanes!B:B,0)</f>
        <v>59</v>
      </c>
      <c r="H5">
        <f>UTDF_control!G5+56</f>
        <v>115</v>
      </c>
      <c r="I5">
        <f>MATCH(D5,Timeplans!B:B,0)</f>
        <v>14</v>
      </c>
      <c r="J5">
        <f>UTDF_control!I5+9</f>
        <v>23</v>
      </c>
      <c r="K5">
        <f>MATCH(D5,Phases!B:B,0)</f>
        <v>28</v>
      </c>
      <c r="L5">
        <f t="shared" ref="L5:L23" si="0">K5+23</f>
        <v>51</v>
      </c>
    </row>
    <row r="6" spans="1:12" x14ac:dyDescent="0.3">
      <c r="A6" t="s">
        <v>568</v>
      </c>
      <c r="B6">
        <f>COUNTA(UTDF8!A:A)+3</f>
        <v>3672</v>
      </c>
      <c r="D6">
        <v>10</v>
      </c>
      <c r="E6">
        <f>MATCH(D6,Links!B:B,0)</f>
        <v>184</v>
      </c>
      <c r="F6">
        <f>UTDF_control!E6+19</f>
        <v>203</v>
      </c>
      <c r="G6">
        <f>MATCH(D6,Lanes!B:B,0)</f>
        <v>114</v>
      </c>
      <c r="H6">
        <f>UTDF_control!G6+56</f>
        <v>170</v>
      </c>
      <c r="I6">
        <f>MATCH(D6,Timeplans!B:B,0)</f>
        <v>24</v>
      </c>
      <c r="J6">
        <f>UTDF_control!I6+9</f>
        <v>33</v>
      </c>
      <c r="K6">
        <f>MATCH(D6,Phases!B:B,0)</f>
        <v>52</v>
      </c>
      <c r="L6">
        <f t="shared" si="0"/>
        <v>75</v>
      </c>
    </row>
    <row r="7" spans="1:12" x14ac:dyDescent="0.3">
      <c r="D7">
        <v>13</v>
      </c>
      <c r="E7">
        <f>MATCH(D7,Links!B:B,0)</f>
        <v>244</v>
      </c>
      <c r="F7">
        <f>UTDF_control!E7+19</f>
        <v>263</v>
      </c>
      <c r="G7">
        <f>MATCH(D7,Lanes!B:B,0)</f>
        <v>169</v>
      </c>
      <c r="H7">
        <f>UTDF_control!G7+56</f>
        <v>225</v>
      </c>
      <c r="I7">
        <f>MATCH(D7,Timeplans!B:B,0)</f>
        <v>34</v>
      </c>
      <c r="J7">
        <f>UTDF_control!I7+9</f>
        <v>43</v>
      </c>
      <c r="K7">
        <f>MATCH(D7,Phases!B:B,0)</f>
        <v>76</v>
      </c>
      <c r="L7">
        <f t="shared" si="0"/>
        <v>99</v>
      </c>
    </row>
    <row r="8" spans="1:12" x14ac:dyDescent="0.3">
      <c r="A8" t="s">
        <v>569</v>
      </c>
      <c r="B8">
        <f>COUNT(D:D)</f>
        <v>20</v>
      </c>
      <c r="D8">
        <v>16</v>
      </c>
      <c r="E8">
        <f>MATCH(D8,Links!B:B,0)</f>
        <v>304</v>
      </c>
      <c r="F8">
        <f>UTDF_control!E8+19</f>
        <v>323</v>
      </c>
      <c r="G8">
        <f>MATCH(D8,Lanes!B:B,0)</f>
        <v>224</v>
      </c>
      <c r="H8">
        <f>UTDF_control!G8+56</f>
        <v>280</v>
      </c>
      <c r="I8">
        <f>MATCH(D8,Timeplans!B:B,0)</f>
        <v>44</v>
      </c>
      <c r="J8">
        <f>UTDF_control!I8+9</f>
        <v>53</v>
      </c>
      <c r="K8">
        <f>MATCH(D8,Phases!B:B,0)</f>
        <v>100</v>
      </c>
      <c r="L8">
        <f t="shared" si="0"/>
        <v>123</v>
      </c>
    </row>
    <row r="9" spans="1:12" x14ac:dyDescent="0.3">
      <c r="D9">
        <v>21</v>
      </c>
      <c r="E9">
        <f>MATCH(D9,Links!B:B,0)</f>
        <v>404</v>
      </c>
      <c r="F9">
        <f>UTDF_control!E9+19</f>
        <v>423</v>
      </c>
      <c r="G9">
        <f>MATCH(D9,Lanes!B:B,0)</f>
        <v>279</v>
      </c>
      <c r="H9">
        <f>UTDF_control!G9+56</f>
        <v>335</v>
      </c>
      <c r="I9">
        <f>MATCH(D9,Timeplans!B:B,0)</f>
        <v>54</v>
      </c>
      <c r="J9">
        <f>UTDF_control!I9+9</f>
        <v>63</v>
      </c>
      <c r="K9">
        <f>MATCH(D9,Phases!B:B,0)</f>
        <v>124</v>
      </c>
      <c r="L9">
        <f t="shared" si="0"/>
        <v>147</v>
      </c>
    </row>
    <row r="10" spans="1:12" x14ac:dyDescent="0.3">
      <c r="D10">
        <v>24</v>
      </c>
      <c r="E10">
        <f>MATCH(D10,Links!B:B,0)</f>
        <v>464</v>
      </c>
      <c r="F10">
        <f>UTDF_control!E10+19</f>
        <v>483</v>
      </c>
      <c r="G10">
        <f>MATCH(D10,Lanes!B:B,0)</f>
        <v>334</v>
      </c>
      <c r="H10">
        <f>UTDF_control!G10+56</f>
        <v>390</v>
      </c>
      <c r="I10">
        <f>MATCH(D10,Timeplans!B:B,0)</f>
        <v>64</v>
      </c>
      <c r="J10">
        <f>UTDF_control!I10+9</f>
        <v>73</v>
      </c>
      <c r="K10">
        <f>MATCH(D10,Phases!B:B,0)</f>
        <v>148</v>
      </c>
      <c r="L10">
        <f t="shared" si="0"/>
        <v>171</v>
      </c>
    </row>
    <row r="11" spans="1:12" x14ac:dyDescent="0.3">
      <c r="D11">
        <v>27</v>
      </c>
      <c r="E11">
        <f>MATCH(D11,Links!B:B,0)</f>
        <v>524</v>
      </c>
      <c r="F11">
        <f>UTDF_control!E11+19</f>
        <v>543</v>
      </c>
      <c r="G11">
        <f>MATCH(D11,Lanes!B:B,0)</f>
        <v>389</v>
      </c>
      <c r="H11">
        <f>UTDF_control!G11+56</f>
        <v>445</v>
      </c>
      <c r="I11">
        <f>MATCH(D11,Timeplans!B:B,0)</f>
        <v>74</v>
      </c>
      <c r="J11">
        <f>UTDF_control!I11+9</f>
        <v>83</v>
      </c>
      <c r="K11">
        <f>MATCH(D11,Phases!B:B,0)</f>
        <v>172</v>
      </c>
      <c r="L11">
        <f t="shared" si="0"/>
        <v>195</v>
      </c>
    </row>
    <row r="12" spans="1:12" x14ac:dyDescent="0.3">
      <c r="D12">
        <v>32</v>
      </c>
      <c r="E12">
        <f>MATCH(D12,Links!B:B,0)</f>
        <v>624</v>
      </c>
      <c r="F12">
        <f>UTDF_control!E12+19</f>
        <v>643</v>
      </c>
      <c r="G12">
        <f>MATCH(D12,Lanes!B:B,0)</f>
        <v>444</v>
      </c>
      <c r="H12">
        <f>UTDF_control!G12+56</f>
        <v>500</v>
      </c>
      <c r="I12">
        <f>MATCH(D12,Timeplans!B:B,0)</f>
        <v>84</v>
      </c>
      <c r="J12">
        <f>UTDF_control!I12+9</f>
        <v>93</v>
      </c>
      <c r="K12">
        <f>MATCH(D12,Phases!B:B,0)</f>
        <v>196</v>
      </c>
      <c r="L12">
        <f t="shared" si="0"/>
        <v>219</v>
      </c>
    </row>
    <row r="13" spans="1:12" x14ac:dyDescent="0.3">
      <c r="D13">
        <v>35</v>
      </c>
      <c r="E13">
        <f>MATCH(D13,Links!B:B,0)</f>
        <v>684</v>
      </c>
      <c r="F13">
        <f>UTDF_control!E13+19</f>
        <v>703</v>
      </c>
      <c r="G13">
        <f>MATCH(D13,Lanes!B:B,0)</f>
        <v>499</v>
      </c>
      <c r="H13">
        <f>UTDF_control!G13+56</f>
        <v>555</v>
      </c>
      <c r="I13">
        <f>MATCH(D13,Timeplans!B:B,0)</f>
        <v>94</v>
      </c>
      <c r="J13">
        <f>UTDF_control!I13+9</f>
        <v>103</v>
      </c>
      <c r="K13">
        <f>MATCH(D13,Phases!B:B,0)</f>
        <v>220</v>
      </c>
      <c r="L13">
        <f t="shared" si="0"/>
        <v>243</v>
      </c>
    </row>
    <row r="14" spans="1:12" x14ac:dyDescent="0.3">
      <c r="D14">
        <v>41</v>
      </c>
      <c r="E14">
        <f>MATCH(D14,Links!B:B,0)</f>
        <v>804</v>
      </c>
      <c r="F14">
        <f>UTDF_control!E14+19</f>
        <v>823</v>
      </c>
      <c r="G14">
        <f>MATCH(D14,Lanes!B:B,0)</f>
        <v>554</v>
      </c>
      <c r="H14">
        <f>UTDF_control!G14+56</f>
        <v>610</v>
      </c>
      <c r="I14">
        <f>MATCH(D14,Timeplans!B:B,0)</f>
        <v>104</v>
      </c>
      <c r="J14">
        <f>UTDF_control!I14+9</f>
        <v>113</v>
      </c>
      <c r="K14">
        <f>MATCH(D14,Phases!B:B,0)</f>
        <v>244</v>
      </c>
      <c r="L14">
        <f t="shared" si="0"/>
        <v>267</v>
      </c>
    </row>
    <row r="15" spans="1:12" x14ac:dyDescent="0.3">
      <c r="D15">
        <v>44</v>
      </c>
      <c r="E15">
        <f>MATCH(D15,Links!B:B,0)</f>
        <v>864</v>
      </c>
      <c r="F15">
        <f>UTDF_control!E15+19</f>
        <v>883</v>
      </c>
      <c r="G15">
        <f>MATCH(D15,Lanes!B:B,0)</f>
        <v>609</v>
      </c>
      <c r="H15">
        <f>UTDF_control!G15+56</f>
        <v>665</v>
      </c>
      <c r="I15">
        <f>MATCH(D15,Timeplans!B:B,0)</f>
        <v>114</v>
      </c>
      <c r="J15">
        <f>UTDF_control!I15+9</f>
        <v>123</v>
      </c>
      <c r="K15">
        <f>MATCH(D15,Phases!B:B,0)</f>
        <v>268</v>
      </c>
      <c r="L15">
        <f t="shared" si="0"/>
        <v>291</v>
      </c>
    </row>
    <row r="16" spans="1:12" x14ac:dyDescent="0.3">
      <c r="D16">
        <v>48</v>
      </c>
      <c r="E16">
        <f>MATCH(D16,Links!B:B,0)</f>
        <v>944</v>
      </c>
      <c r="F16">
        <f>UTDF_control!E16+19</f>
        <v>963</v>
      </c>
      <c r="G16">
        <f>MATCH(D16,Lanes!B:B,0)</f>
        <v>664</v>
      </c>
      <c r="H16">
        <f>UTDF_control!G16+56</f>
        <v>720</v>
      </c>
      <c r="I16">
        <f>MATCH(D16,Timeplans!B:B,0)</f>
        <v>124</v>
      </c>
      <c r="J16">
        <f>UTDF_control!I16+9</f>
        <v>133</v>
      </c>
      <c r="K16">
        <f>MATCH(D16,Phases!B:B,0)</f>
        <v>292</v>
      </c>
      <c r="L16">
        <f t="shared" si="0"/>
        <v>315</v>
      </c>
    </row>
    <row r="17" spans="4:12" x14ac:dyDescent="0.3">
      <c r="D17">
        <v>49</v>
      </c>
      <c r="E17">
        <f>MATCH(D17,Links!B:B,0)</f>
        <v>964</v>
      </c>
      <c r="F17">
        <f>UTDF_control!E17+19</f>
        <v>983</v>
      </c>
      <c r="G17">
        <f>MATCH(D17,Lanes!B:B,0)</f>
        <v>719</v>
      </c>
      <c r="H17">
        <f>UTDF_control!G17+56</f>
        <v>775</v>
      </c>
      <c r="I17">
        <f>MATCH(D17,Timeplans!B:B,0)</f>
        <v>134</v>
      </c>
      <c r="J17">
        <f>UTDF_control!I17+9</f>
        <v>143</v>
      </c>
      <c r="K17">
        <f>MATCH(D17,Phases!B:B,0)</f>
        <v>316</v>
      </c>
      <c r="L17">
        <f t="shared" si="0"/>
        <v>339</v>
      </c>
    </row>
    <row r="18" spans="4:12" x14ac:dyDescent="0.3">
      <c r="D18">
        <v>53</v>
      </c>
      <c r="E18">
        <f>MATCH(D18,Links!B:B,0)</f>
        <v>1044</v>
      </c>
      <c r="F18">
        <f>UTDF_control!E18+19</f>
        <v>1063</v>
      </c>
      <c r="G18">
        <f>MATCH(D18,Lanes!B:B,0)</f>
        <v>774</v>
      </c>
      <c r="H18">
        <f>UTDF_control!G18+56</f>
        <v>830</v>
      </c>
      <c r="I18">
        <f>MATCH(D18,Timeplans!B:B,0)</f>
        <v>144</v>
      </c>
      <c r="J18">
        <f>UTDF_control!I18+9</f>
        <v>153</v>
      </c>
      <c r="K18">
        <f>MATCH(D18,Phases!B:B,0)</f>
        <v>340</v>
      </c>
      <c r="L18">
        <f t="shared" si="0"/>
        <v>363</v>
      </c>
    </row>
    <row r="19" spans="4:12" x14ac:dyDescent="0.3">
      <c r="D19">
        <v>56</v>
      </c>
      <c r="E19">
        <f>MATCH(D19,Links!B:B,0)</f>
        <v>1104</v>
      </c>
      <c r="F19">
        <f>UTDF_control!E19+19</f>
        <v>1123</v>
      </c>
      <c r="G19">
        <f>MATCH(D19,Lanes!B:B,0)</f>
        <v>829</v>
      </c>
      <c r="H19">
        <f>UTDF_control!G19+56</f>
        <v>885</v>
      </c>
      <c r="I19">
        <f>MATCH(D19,Timeplans!B:B,0)</f>
        <v>154</v>
      </c>
      <c r="J19">
        <f>UTDF_control!I19+9</f>
        <v>163</v>
      </c>
      <c r="K19">
        <f>MATCH(D19,Phases!B:B,0)</f>
        <v>364</v>
      </c>
      <c r="L19">
        <f t="shared" si="0"/>
        <v>387</v>
      </c>
    </row>
    <row r="20" spans="4:12" x14ac:dyDescent="0.3">
      <c r="D20">
        <v>64</v>
      </c>
      <c r="E20">
        <f>MATCH(D20,Links!B:B,0)</f>
        <v>1264</v>
      </c>
      <c r="F20">
        <f>UTDF_control!E20+19</f>
        <v>1283</v>
      </c>
      <c r="G20">
        <f>MATCH(D20,Lanes!B:B,0)</f>
        <v>1000</v>
      </c>
      <c r="H20">
        <f>UTDF_control!G20+56</f>
        <v>1056</v>
      </c>
      <c r="I20">
        <f>MATCH(D20,Timeplans!B:B,0)</f>
        <v>164</v>
      </c>
      <c r="J20">
        <f>UTDF_control!I20+9</f>
        <v>173</v>
      </c>
      <c r="K20">
        <f>MATCH(D20,Phases!B:B,0)</f>
        <v>388</v>
      </c>
      <c r="L20">
        <f t="shared" si="0"/>
        <v>411</v>
      </c>
    </row>
    <row r="21" spans="4:12" x14ac:dyDescent="0.3">
      <c r="D21">
        <v>67</v>
      </c>
      <c r="E21">
        <f>MATCH(D21,Links!B:B,0)</f>
        <v>1324</v>
      </c>
      <c r="F21">
        <f>UTDF_control!E21+19</f>
        <v>1343</v>
      </c>
      <c r="G21">
        <f>MATCH(D21,Lanes!B:B,0)</f>
        <v>1055</v>
      </c>
      <c r="H21">
        <f>UTDF_control!G21+56</f>
        <v>1111</v>
      </c>
      <c r="I21">
        <f>MATCH(D21,Timeplans!B:B,0)</f>
        <v>174</v>
      </c>
      <c r="J21">
        <f>UTDF_control!I21+9</f>
        <v>183</v>
      </c>
      <c r="K21">
        <f>MATCH(D21,Phases!B:B,0)</f>
        <v>412</v>
      </c>
      <c r="L21">
        <f t="shared" si="0"/>
        <v>435</v>
      </c>
    </row>
    <row r="22" spans="4:12" x14ac:dyDescent="0.3">
      <c r="D22">
        <v>70</v>
      </c>
      <c r="E22">
        <f>MATCH(D22,Links!B:B,0)</f>
        <v>1384</v>
      </c>
      <c r="F22">
        <f>UTDF_control!E22+19</f>
        <v>1403</v>
      </c>
      <c r="G22">
        <f>MATCH(D22,Lanes!B:B,0)</f>
        <v>1110</v>
      </c>
      <c r="H22">
        <f>UTDF_control!G22+56</f>
        <v>1166</v>
      </c>
      <c r="I22">
        <f>MATCH(D22,Timeplans!B:B,0)</f>
        <v>184</v>
      </c>
      <c r="J22">
        <f>UTDF_control!I22+9</f>
        <v>193</v>
      </c>
      <c r="K22">
        <f>MATCH(D22,Phases!B:B,0)</f>
        <v>436</v>
      </c>
      <c r="L22">
        <f t="shared" si="0"/>
        <v>459</v>
      </c>
    </row>
    <row r="23" spans="4:12" x14ac:dyDescent="0.3">
      <c r="D23">
        <v>73</v>
      </c>
      <c r="E23">
        <f>MATCH(D23,Links!B:B,0)</f>
        <v>1444</v>
      </c>
      <c r="F23">
        <f>UTDF_control!E23+19</f>
        <v>1463</v>
      </c>
      <c r="G23">
        <f>MATCH(D23,Lanes!B:B,0)</f>
        <v>1165</v>
      </c>
      <c r="H23">
        <f>UTDF_control!G23+56</f>
        <v>1221</v>
      </c>
      <c r="I23">
        <f>MATCH(D23,Timeplans!B:B,0)</f>
        <v>194</v>
      </c>
      <c r="J23">
        <f>UTDF_control!I23+9</f>
        <v>203</v>
      </c>
      <c r="K23">
        <f>MATCH(D23,Phases!B:B,0)</f>
        <v>460</v>
      </c>
      <c r="L23">
        <f t="shared" si="0"/>
        <v>483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583"/>
  <sheetViews>
    <sheetView workbookViewId="0"/>
  </sheetViews>
  <sheetFormatPr defaultRowHeight="14.4" x14ac:dyDescent="0.3"/>
  <sheetData>
    <row r="1" spans="1:10" x14ac:dyDescent="0.3">
      <c r="A1" t="s">
        <v>562</v>
      </c>
    </row>
    <row r="2" spans="1:10" x14ac:dyDescent="0.3">
      <c r="A2" t="s">
        <v>673</v>
      </c>
    </row>
    <row r="3" spans="1:10" x14ac:dyDescent="0.3">
      <c r="A3" t="s">
        <v>0</v>
      </c>
      <c r="B3" t="s">
        <v>1</v>
      </c>
      <c r="C3" t="s">
        <v>399</v>
      </c>
      <c r="D3" t="s">
        <v>400</v>
      </c>
      <c r="E3" t="s">
        <v>397</v>
      </c>
      <c r="F3" t="s">
        <v>398</v>
      </c>
      <c r="G3" t="s">
        <v>674</v>
      </c>
      <c r="H3" t="s">
        <v>675</v>
      </c>
      <c r="I3" t="s">
        <v>676</v>
      </c>
      <c r="J3" t="s">
        <v>677</v>
      </c>
    </row>
    <row r="4" spans="1:10" x14ac:dyDescent="0.3">
      <c r="A4" t="s">
        <v>678</v>
      </c>
      <c r="B4">
        <v>1</v>
      </c>
      <c r="C4">
        <v>3</v>
      </c>
    </row>
    <row r="5" spans="1:10" x14ac:dyDescent="0.3">
      <c r="A5" t="s">
        <v>36</v>
      </c>
      <c r="B5">
        <v>1</v>
      </c>
      <c r="C5">
        <v>1</v>
      </c>
    </row>
    <row r="6" spans="1:10" x14ac:dyDescent="0.3">
      <c r="A6" t="s">
        <v>503</v>
      </c>
      <c r="B6">
        <v>1</v>
      </c>
    </row>
    <row r="7" spans="1:10" x14ac:dyDescent="0.3">
      <c r="A7" t="s">
        <v>679</v>
      </c>
      <c r="B7">
        <v>1</v>
      </c>
      <c r="C7">
        <v>738</v>
      </c>
    </row>
    <row r="8" spans="1:10" x14ac:dyDescent="0.3">
      <c r="A8" t="s">
        <v>42</v>
      </c>
      <c r="B8">
        <v>1</v>
      </c>
      <c r="C8">
        <v>30</v>
      </c>
    </row>
    <row r="9" spans="1:10" x14ac:dyDescent="0.3">
      <c r="A9" t="s">
        <v>680</v>
      </c>
      <c r="B9">
        <v>1</v>
      </c>
      <c r="C9">
        <v>16.8</v>
      </c>
    </row>
    <row r="10" spans="1:10" x14ac:dyDescent="0.3">
      <c r="A10" t="s">
        <v>41</v>
      </c>
      <c r="B10">
        <v>1</v>
      </c>
      <c r="C10">
        <v>0</v>
      </c>
    </row>
    <row r="11" spans="1:10" x14ac:dyDescent="0.3">
      <c r="A11" t="s">
        <v>681</v>
      </c>
      <c r="B11">
        <v>1</v>
      </c>
      <c r="C11">
        <v>0</v>
      </c>
    </row>
    <row r="12" spans="1:10" x14ac:dyDescent="0.3">
      <c r="A12" t="s">
        <v>563</v>
      </c>
      <c r="B12">
        <v>1</v>
      </c>
      <c r="C12">
        <v>0</v>
      </c>
    </row>
    <row r="13" spans="1:10" x14ac:dyDescent="0.3">
      <c r="A13" t="s">
        <v>682</v>
      </c>
      <c r="B13">
        <v>1</v>
      </c>
      <c r="C13">
        <v>0</v>
      </c>
    </row>
    <row r="14" spans="1:10" x14ac:dyDescent="0.3">
      <c r="A14" t="s">
        <v>683</v>
      </c>
      <c r="B14">
        <v>1</v>
      </c>
      <c r="C14">
        <v>16</v>
      </c>
    </row>
    <row r="15" spans="1:10" x14ac:dyDescent="0.3">
      <c r="A15" t="s">
        <v>684</v>
      </c>
      <c r="B15">
        <v>1</v>
      </c>
      <c r="C15">
        <v>200</v>
      </c>
    </row>
    <row r="16" spans="1:10" x14ac:dyDescent="0.3">
      <c r="A16" t="s">
        <v>685</v>
      </c>
      <c r="B16">
        <v>1</v>
      </c>
      <c r="C16">
        <v>1320</v>
      </c>
    </row>
    <row r="17" spans="1:4" x14ac:dyDescent="0.3">
      <c r="A17" t="s">
        <v>686</v>
      </c>
      <c r="B17">
        <v>1</v>
      </c>
      <c r="C17">
        <v>880</v>
      </c>
    </row>
    <row r="18" spans="1:4" x14ac:dyDescent="0.3">
      <c r="A18" t="s">
        <v>687</v>
      </c>
      <c r="B18">
        <v>1</v>
      </c>
      <c r="C18">
        <v>1760</v>
      </c>
    </row>
    <row r="19" spans="1:4" x14ac:dyDescent="0.3">
      <c r="A19" t="s">
        <v>688</v>
      </c>
      <c r="B19">
        <v>1</v>
      </c>
    </row>
    <row r="20" spans="1:4" x14ac:dyDescent="0.3">
      <c r="A20" t="s">
        <v>689</v>
      </c>
      <c r="B20">
        <v>1</v>
      </c>
    </row>
    <row r="21" spans="1:4" x14ac:dyDescent="0.3">
      <c r="A21" t="s">
        <v>690</v>
      </c>
      <c r="B21">
        <v>1</v>
      </c>
    </row>
    <row r="22" spans="1:4" x14ac:dyDescent="0.3">
      <c r="A22" t="s">
        <v>691</v>
      </c>
      <c r="B22">
        <v>1</v>
      </c>
      <c r="C22" t="b">
        <v>0</v>
      </c>
    </row>
    <row r="23" spans="1:4" x14ac:dyDescent="0.3">
      <c r="A23" t="s">
        <v>692</v>
      </c>
      <c r="B23">
        <v>1</v>
      </c>
      <c r="C23" t="b">
        <v>0</v>
      </c>
    </row>
    <row r="24" spans="1:4" x14ac:dyDescent="0.3">
      <c r="A24" t="s">
        <v>678</v>
      </c>
      <c r="B24">
        <v>2</v>
      </c>
      <c r="D24">
        <v>3</v>
      </c>
    </row>
    <row r="25" spans="1:4" x14ac:dyDescent="0.3">
      <c r="A25" t="s">
        <v>36</v>
      </c>
      <c r="B25">
        <v>2</v>
      </c>
      <c r="D25">
        <v>1</v>
      </c>
    </row>
    <row r="26" spans="1:4" x14ac:dyDescent="0.3">
      <c r="A26" t="s">
        <v>503</v>
      </c>
      <c r="B26">
        <v>2</v>
      </c>
      <c r="D26" t="s">
        <v>693</v>
      </c>
    </row>
    <row r="27" spans="1:4" x14ac:dyDescent="0.3">
      <c r="A27" t="s">
        <v>679</v>
      </c>
      <c r="B27">
        <v>2</v>
      </c>
      <c r="D27">
        <v>368</v>
      </c>
    </row>
    <row r="28" spans="1:4" x14ac:dyDescent="0.3">
      <c r="A28" t="s">
        <v>42</v>
      </c>
      <c r="B28">
        <v>2</v>
      </c>
      <c r="D28">
        <v>30</v>
      </c>
    </row>
    <row r="29" spans="1:4" x14ac:dyDescent="0.3">
      <c r="A29" t="s">
        <v>680</v>
      </c>
      <c r="B29">
        <v>2</v>
      </c>
      <c r="D29">
        <v>8.4</v>
      </c>
    </row>
    <row r="30" spans="1:4" x14ac:dyDescent="0.3">
      <c r="A30" t="s">
        <v>41</v>
      </c>
      <c r="B30">
        <v>2</v>
      </c>
      <c r="D30">
        <v>0</v>
      </c>
    </row>
    <row r="31" spans="1:4" x14ac:dyDescent="0.3">
      <c r="A31" t="s">
        <v>681</v>
      </c>
      <c r="B31">
        <v>2</v>
      </c>
      <c r="D31">
        <v>0</v>
      </c>
    </row>
    <row r="32" spans="1:4" x14ac:dyDescent="0.3">
      <c r="A32" t="s">
        <v>563</v>
      </c>
      <c r="B32">
        <v>2</v>
      </c>
      <c r="D32">
        <v>0</v>
      </c>
    </row>
    <row r="33" spans="1:6" x14ac:dyDescent="0.3">
      <c r="A33" t="s">
        <v>682</v>
      </c>
      <c r="B33">
        <v>2</v>
      </c>
      <c r="D33">
        <v>0</v>
      </c>
    </row>
    <row r="34" spans="1:6" x14ac:dyDescent="0.3">
      <c r="A34" t="s">
        <v>683</v>
      </c>
      <c r="B34">
        <v>2</v>
      </c>
      <c r="D34">
        <v>16</v>
      </c>
    </row>
    <row r="35" spans="1:6" x14ac:dyDescent="0.3">
      <c r="A35" t="s">
        <v>684</v>
      </c>
      <c r="B35">
        <v>2</v>
      </c>
      <c r="D35">
        <v>200</v>
      </c>
    </row>
    <row r="36" spans="1:6" x14ac:dyDescent="0.3">
      <c r="A36" t="s">
        <v>685</v>
      </c>
      <c r="B36">
        <v>2</v>
      </c>
      <c r="D36">
        <v>1320</v>
      </c>
    </row>
    <row r="37" spans="1:6" x14ac:dyDescent="0.3">
      <c r="A37" t="s">
        <v>686</v>
      </c>
      <c r="B37">
        <v>2</v>
      </c>
      <c r="D37">
        <v>880</v>
      </c>
    </row>
    <row r="38" spans="1:6" x14ac:dyDescent="0.3">
      <c r="A38" t="s">
        <v>687</v>
      </c>
      <c r="B38">
        <v>2</v>
      </c>
      <c r="D38">
        <v>1760</v>
      </c>
    </row>
    <row r="39" spans="1:6" x14ac:dyDescent="0.3">
      <c r="A39" t="s">
        <v>688</v>
      </c>
      <c r="B39">
        <v>2</v>
      </c>
    </row>
    <row r="40" spans="1:6" x14ac:dyDescent="0.3">
      <c r="A40" t="s">
        <v>689</v>
      </c>
      <c r="B40">
        <v>2</v>
      </c>
    </row>
    <row r="41" spans="1:6" x14ac:dyDescent="0.3">
      <c r="A41" t="s">
        <v>690</v>
      </c>
      <c r="B41">
        <v>2</v>
      </c>
    </row>
    <row r="42" spans="1:6" x14ac:dyDescent="0.3">
      <c r="A42" t="s">
        <v>691</v>
      </c>
      <c r="B42">
        <v>2</v>
      </c>
      <c r="D42" t="b">
        <v>0</v>
      </c>
    </row>
    <row r="43" spans="1:6" x14ac:dyDescent="0.3">
      <c r="A43" t="s">
        <v>692</v>
      </c>
      <c r="B43">
        <v>2</v>
      </c>
      <c r="D43" t="b">
        <v>0</v>
      </c>
    </row>
    <row r="44" spans="1:6" x14ac:dyDescent="0.3">
      <c r="A44" t="s">
        <v>678</v>
      </c>
      <c r="B44">
        <v>3</v>
      </c>
      <c r="C44">
        <v>2</v>
      </c>
      <c r="D44">
        <v>1</v>
      </c>
      <c r="E44">
        <v>4</v>
      </c>
      <c r="F44">
        <v>6</v>
      </c>
    </row>
    <row r="45" spans="1:6" x14ac:dyDescent="0.3">
      <c r="A45" t="s">
        <v>36</v>
      </c>
      <c r="B45">
        <v>3</v>
      </c>
      <c r="C45">
        <v>1</v>
      </c>
      <c r="D45">
        <v>1</v>
      </c>
      <c r="E45">
        <v>4</v>
      </c>
      <c r="F45">
        <v>4</v>
      </c>
    </row>
    <row r="46" spans="1:6" x14ac:dyDescent="0.3">
      <c r="A46" t="s">
        <v>503</v>
      </c>
      <c r="B46">
        <v>3</v>
      </c>
      <c r="C46" t="s">
        <v>693</v>
      </c>
      <c r="E46" t="s">
        <v>694</v>
      </c>
      <c r="F46" t="s">
        <v>694</v>
      </c>
    </row>
    <row r="47" spans="1:6" x14ac:dyDescent="0.3">
      <c r="A47" t="s">
        <v>679</v>
      </c>
      <c r="B47">
        <v>3</v>
      </c>
      <c r="C47">
        <v>368</v>
      </c>
      <c r="D47">
        <v>738</v>
      </c>
      <c r="E47">
        <v>1111</v>
      </c>
      <c r="F47">
        <v>1297</v>
      </c>
    </row>
    <row r="48" spans="1:6" x14ac:dyDescent="0.3">
      <c r="A48" t="s">
        <v>42</v>
      </c>
      <c r="B48">
        <v>3</v>
      </c>
      <c r="C48">
        <v>30</v>
      </c>
      <c r="D48">
        <v>30</v>
      </c>
      <c r="E48">
        <v>40</v>
      </c>
      <c r="F48">
        <v>40</v>
      </c>
    </row>
    <row r="49" spans="1:6" x14ac:dyDescent="0.3">
      <c r="A49" t="s">
        <v>680</v>
      </c>
      <c r="B49">
        <v>3</v>
      </c>
      <c r="C49">
        <v>8.4</v>
      </c>
      <c r="D49">
        <v>16.8</v>
      </c>
      <c r="E49">
        <v>18.899999999999999</v>
      </c>
      <c r="F49">
        <v>22.1</v>
      </c>
    </row>
    <row r="50" spans="1:6" x14ac:dyDescent="0.3">
      <c r="A50" t="s">
        <v>41</v>
      </c>
      <c r="B50">
        <v>3</v>
      </c>
      <c r="C50">
        <v>0</v>
      </c>
      <c r="D50">
        <v>0</v>
      </c>
      <c r="E50">
        <v>0</v>
      </c>
      <c r="F50">
        <v>0</v>
      </c>
    </row>
    <row r="51" spans="1:6" x14ac:dyDescent="0.3">
      <c r="A51" t="s">
        <v>681</v>
      </c>
      <c r="B51">
        <v>3</v>
      </c>
      <c r="C51">
        <v>0</v>
      </c>
      <c r="D51">
        <v>0</v>
      </c>
      <c r="E51">
        <v>12</v>
      </c>
      <c r="F51">
        <v>12</v>
      </c>
    </row>
    <row r="52" spans="1:6" x14ac:dyDescent="0.3">
      <c r="A52" t="s">
        <v>563</v>
      </c>
      <c r="B52">
        <v>3</v>
      </c>
      <c r="C52">
        <v>0</v>
      </c>
      <c r="D52">
        <v>0</v>
      </c>
      <c r="E52">
        <v>0</v>
      </c>
      <c r="F52">
        <v>0</v>
      </c>
    </row>
    <row r="53" spans="1:6" x14ac:dyDescent="0.3">
      <c r="A53" t="s">
        <v>682</v>
      </c>
      <c r="B53">
        <v>3</v>
      </c>
      <c r="C53">
        <v>0</v>
      </c>
      <c r="D53">
        <v>0</v>
      </c>
      <c r="E53">
        <v>0</v>
      </c>
      <c r="F53">
        <v>0</v>
      </c>
    </row>
    <row r="54" spans="1:6" x14ac:dyDescent="0.3">
      <c r="A54" t="s">
        <v>683</v>
      </c>
      <c r="B54">
        <v>3</v>
      </c>
      <c r="C54">
        <v>16</v>
      </c>
      <c r="D54">
        <v>16</v>
      </c>
      <c r="E54">
        <v>16</v>
      </c>
      <c r="F54">
        <v>16</v>
      </c>
    </row>
    <row r="55" spans="1:6" x14ac:dyDescent="0.3">
      <c r="A55" t="s">
        <v>684</v>
      </c>
      <c r="B55">
        <v>3</v>
      </c>
      <c r="C55">
        <v>500</v>
      </c>
      <c r="D55">
        <v>500</v>
      </c>
      <c r="E55">
        <v>500</v>
      </c>
      <c r="F55">
        <v>500</v>
      </c>
    </row>
    <row r="56" spans="1:6" x14ac:dyDescent="0.3">
      <c r="A56" t="s">
        <v>685</v>
      </c>
      <c r="B56">
        <v>3</v>
      </c>
      <c r="C56">
        <v>1320</v>
      </c>
      <c r="D56">
        <v>1320</v>
      </c>
      <c r="E56">
        <v>1761</v>
      </c>
      <c r="F56">
        <v>1761</v>
      </c>
    </row>
    <row r="57" spans="1:6" x14ac:dyDescent="0.3">
      <c r="A57" t="s">
        <v>686</v>
      </c>
      <c r="B57">
        <v>3</v>
      </c>
      <c r="C57">
        <v>880</v>
      </c>
      <c r="D57">
        <v>880</v>
      </c>
      <c r="E57">
        <v>1174</v>
      </c>
      <c r="F57">
        <v>1174</v>
      </c>
    </row>
    <row r="58" spans="1:6" x14ac:dyDescent="0.3">
      <c r="A58" t="s">
        <v>687</v>
      </c>
      <c r="B58">
        <v>3</v>
      </c>
      <c r="C58">
        <v>1760</v>
      </c>
      <c r="D58">
        <v>1760</v>
      </c>
      <c r="E58">
        <v>2348</v>
      </c>
      <c r="F58">
        <v>2348</v>
      </c>
    </row>
    <row r="59" spans="1:6" x14ac:dyDescent="0.3">
      <c r="A59" t="s">
        <v>688</v>
      </c>
      <c r="B59">
        <v>3</v>
      </c>
    </row>
    <row r="60" spans="1:6" x14ac:dyDescent="0.3">
      <c r="A60" t="s">
        <v>689</v>
      </c>
      <c r="B60">
        <v>3</v>
      </c>
    </row>
    <row r="61" spans="1:6" x14ac:dyDescent="0.3">
      <c r="A61" t="s">
        <v>690</v>
      </c>
      <c r="B61">
        <v>3</v>
      </c>
    </row>
    <row r="62" spans="1:6" x14ac:dyDescent="0.3">
      <c r="A62" t="s">
        <v>691</v>
      </c>
      <c r="B62">
        <v>3</v>
      </c>
      <c r="C62" t="b">
        <v>0</v>
      </c>
      <c r="D62" t="b">
        <v>0</v>
      </c>
      <c r="E62" t="b">
        <v>0</v>
      </c>
      <c r="F62" t="b">
        <v>0</v>
      </c>
    </row>
    <row r="63" spans="1:6" x14ac:dyDescent="0.3">
      <c r="A63" t="s">
        <v>692</v>
      </c>
      <c r="B63">
        <v>3</v>
      </c>
      <c r="C63" t="b">
        <v>0</v>
      </c>
      <c r="D63" t="b">
        <v>0</v>
      </c>
      <c r="E63" t="b">
        <v>0</v>
      </c>
      <c r="F63" t="b">
        <v>0</v>
      </c>
    </row>
    <row r="64" spans="1:6" x14ac:dyDescent="0.3">
      <c r="A64" t="s">
        <v>678</v>
      </c>
      <c r="B64">
        <v>4</v>
      </c>
      <c r="F64">
        <v>3</v>
      </c>
    </row>
    <row r="65" spans="1:6" x14ac:dyDescent="0.3">
      <c r="A65" t="s">
        <v>36</v>
      </c>
      <c r="B65">
        <v>4</v>
      </c>
      <c r="F65">
        <v>3</v>
      </c>
    </row>
    <row r="66" spans="1:6" x14ac:dyDescent="0.3">
      <c r="A66" t="s">
        <v>503</v>
      </c>
      <c r="B66">
        <v>4</v>
      </c>
      <c r="F66" t="s">
        <v>694</v>
      </c>
    </row>
    <row r="67" spans="1:6" x14ac:dyDescent="0.3">
      <c r="A67" t="s">
        <v>679</v>
      </c>
      <c r="B67">
        <v>4</v>
      </c>
      <c r="F67">
        <v>1111</v>
      </c>
    </row>
    <row r="68" spans="1:6" x14ac:dyDescent="0.3">
      <c r="A68" t="s">
        <v>42</v>
      </c>
      <c r="B68">
        <v>4</v>
      </c>
      <c r="F68">
        <v>30</v>
      </c>
    </row>
    <row r="69" spans="1:6" x14ac:dyDescent="0.3">
      <c r="A69" t="s">
        <v>680</v>
      </c>
      <c r="B69">
        <v>4</v>
      </c>
      <c r="F69">
        <v>25.3</v>
      </c>
    </row>
    <row r="70" spans="1:6" x14ac:dyDescent="0.3">
      <c r="A70" t="s">
        <v>41</v>
      </c>
      <c r="B70">
        <v>4</v>
      </c>
      <c r="F70">
        <v>0</v>
      </c>
    </row>
    <row r="71" spans="1:6" x14ac:dyDescent="0.3">
      <c r="A71" t="s">
        <v>681</v>
      </c>
      <c r="B71">
        <v>4</v>
      </c>
      <c r="F71">
        <v>12</v>
      </c>
    </row>
    <row r="72" spans="1:6" x14ac:dyDescent="0.3">
      <c r="A72" t="s">
        <v>563</v>
      </c>
      <c r="B72">
        <v>4</v>
      </c>
      <c r="F72">
        <v>0</v>
      </c>
    </row>
    <row r="73" spans="1:6" x14ac:dyDescent="0.3">
      <c r="A73" t="s">
        <v>682</v>
      </c>
      <c r="B73">
        <v>4</v>
      </c>
      <c r="F73">
        <v>0</v>
      </c>
    </row>
    <row r="74" spans="1:6" x14ac:dyDescent="0.3">
      <c r="A74" t="s">
        <v>683</v>
      </c>
      <c r="B74">
        <v>4</v>
      </c>
      <c r="F74">
        <v>16</v>
      </c>
    </row>
    <row r="75" spans="1:6" x14ac:dyDescent="0.3">
      <c r="A75" t="s">
        <v>684</v>
      </c>
      <c r="B75">
        <v>4</v>
      </c>
      <c r="F75">
        <v>200</v>
      </c>
    </row>
    <row r="76" spans="1:6" x14ac:dyDescent="0.3">
      <c r="A76" t="s">
        <v>685</v>
      </c>
      <c r="B76">
        <v>4</v>
      </c>
      <c r="F76">
        <v>1320</v>
      </c>
    </row>
    <row r="77" spans="1:6" x14ac:dyDescent="0.3">
      <c r="A77" t="s">
        <v>686</v>
      </c>
      <c r="B77">
        <v>4</v>
      </c>
      <c r="F77">
        <v>880</v>
      </c>
    </row>
    <row r="78" spans="1:6" x14ac:dyDescent="0.3">
      <c r="A78" t="s">
        <v>687</v>
      </c>
      <c r="B78">
        <v>4</v>
      </c>
      <c r="F78">
        <v>1760</v>
      </c>
    </row>
    <row r="79" spans="1:6" x14ac:dyDescent="0.3">
      <c r="A79" t="s">
        <v>688</v>
      </c>
      <c r="B79">
        <v>4</v>
      </c>
    </row>
    <row r="80" spans="1:6" x14ac:dyDescent="0.3">
      <c r="A80" t="s">
        <v>689</v>
      </c>
      <c r="B80">
        <v>4</v>
      </c>
    </row>
    <row r="81" spans="1:6" x14ac:dyDescent="0.3">
      <c r="A81" t="s">
        <v>690</v>
      </c>
      <c r="B81">
        <v>4</v>
      </c>
    </row>
    <row r="82" spans="1:6" x14ac:dyDescent="0.3">
      <c r="A82" t="s">
        <v>691</v>
      </c>
      <c r="B82">
        <v>4</v>
      </c>
      <c r="F82" t="b">
        <v>0</v>
      </c>
    </row>
    <row r="83" spans="1:6" x14ac:dyDescent="0.3">
      <c r="A83" t="s">
        <v>692</v>
      </c>
      <c r="B83">
        <v>4</v>
      </c>
      <c r="F83" t="b">
        <v>0</v>
      </c>
    </row>
    <row r="84" spans="1:6" x14ac:dyDescent="0.3">
      <c r="A84" t="s">
        <v>678</v>
      </c>
      <c r="B84">
        <v>5</v>
      </c>
      <c r="E84">
        <v>70</v>
      </c>
    </row>
    <row r="85" spans="1:6" x14ac:dyDescent="0.3">
      <c r="A85" t="s">
        <v>36</v>
      </c>
      <c r="B85">
        <v>5</v>
      </c>
      <c r="E85">
        <v>3</v>
      </c>
    </row>
    <row r="86" spans="1:6" x14ac:dyDescent="0.3">
      <c r="A86" t="s">
        <v>503</v>
      </c>
      <c r="B86">
        <v>5</v>
      </c>
      <c r="E86" t="s">
        <v>695</v>
      </c>
    </row>
    <row r="87" spans="1:6" x14ac:dyDescent="0.3">
      <c r="A87" t="s">
        <v>679</v>
      </c>
      <c r="B87">
        <v>5</v>
      </c>
      <c r="E87">
        <v>1781</v>
      </c>
    </row>
    <row r="88" spans="1:6" x14ac:dyDescent="0.3">
      <c r="A88" t="s">
        <v>42</v>
      </c>
      <c r="B88">
        <v>5</v>
      </c>
      <c r="E88">
        <v>45</v>
      </c>
    </row>
    <row r="89" spans="1:6" x14ac:dyDescent="0.3">
      <c r="A89" t="s">
        <v>680</v>
      </c>
      <c r="B89">
        <v>5</v>
      </c>
      <c r="E89">
        <v>27</v>
      </c>
    </row>
    <row r="90" spans="1:6" x14ac:dyDescent="0.3">
      <c r="A90" t="s">
        <v>41</v>
      </c>
      <c r="B90">
        <v>5</v>
      </c>
      <c r="E90">
        <v>0</v>
      </c>
    </row>
    <row r="91" spans="1:6" x14ac:dyDescent="0.3">
      <c r="A91" t="s">
        <v>681</v>
      </c>
      <c r="B91">
        <v>5</v>
      </c>
      <c r="E91">
        <v>12</v>
      </c>
    </row>
    <row r="92" spans="1:6" x14ac:dyDescent="0.3">
      <c r="A92" t="s">
        <v>563</v>
      </c>
      <c r="B92">
        <v>5</v>
      </c>
      <c r="E92">
        <v>0</v>
      </c>
    </row>
    <row r="93" spans="1:6" x14ac:dyDescent="0.3">
      <c r="A93" t="s">
        <v>682</v>
      </c>
      <c r="B93">
        <v>5</v>
      </c>
      <c r="E93">
        <v>0</v>
      </c>
    </row>
    <row r="94" spans="1:6" x14ac:dyDescent="0.3">
      <c r="A94" t="s">
        <v>683</v>
      </c>
      <c r="B94">
        <v>5</v>
      </c>
      <c r="E94">
        <v>16</v>
      </c>
    </row>
    <row r="95" spans="1:6" x14ac:dyDescent="0.3">
      <c r="A95" t="s">
        <v>684</v>
      </c>
      <c r="B95">
        <v>5</v>
      </c>
      <c r="E95">
        <v>200</v>
      </c>
    </row>
    <row r="96" spans="1:6" x14ac:dyDescent="0.3">
      <c r="A96" t="s">
        <v>685</v>
      </c>
      <c r="B96">
        <v>5</v>
      </c>
      <c r="E96">
        <v>1980</v>
      </c>
    </row>
    <row r="97" spans="1:6" x14ac:dyDescent="0.3">
      <c r="A97" t="s">
        <v>686</v>
      </c>
      <c r="B97">
        <v>5</v>
      </c>
      <c r="E97">
        <v>1320</v>
      </c>
    </row>
    <row r="98" spans="1:6" x14ac:dyDescent="0.3">
      <c r="A98" t="s">
        <v>687</v>
      </c>
      <c r="B98">
        <v>5</v>
      </c>
      <c r="E98">
        <v>2640</v>
      </c>
    </row>
    <row r="99" spans="1:6" x14ac:dyDescent="0.3">
      <c r="A99" t="s">
        <v>688</v>
      </c>
      <c r="B99">
        <v>5</v>
      </c>
    </row>
    <row r="100" spans="1:6" x14ac:dyDescent="0.3">
      <c r="A100" t="s">
        <v>689</v>
      </c>
      <c r="B100">
        <v>5</v>
      </c>
    </row>
    <row r="101" spans="1:6" x14ac:dyDescent="0.3">
      <c r="A101" t="s">
        <v>690</v>
      </c>
      <c r="B101">
        <v>5</v>
      </c>
    </row>
    <row r="102" spans="1:6" x14ac:dyDescent="0.3">
      <c r="A102" t="s">
        <v>691</v>
      </c>
      <c r="B102">
        <v>5</v>
      </c>
      <c r="E102" t="b">
        <v>0</v>
      </c>
    </row>
    <row r="103" spans="1:6" x14ac:dyDescent="0.3">
      <c r="A103" t="s">
        <v>692</v>
      </c>
      <c r="B103">
        <v>5</v>
      </c>
      <c r="E103" t="b">
        <v>0</v>
      </c>
    </row>
    <row r="104" spans="1:6" x14ac:dyDescent="0.3">
      <c r="A104" t="s">
        <v>678</v>
      </c>
      <c r="B104">
        <v>6</v>
      </c>
      <c r="C104">
        <v>8</v>
      </c>
      <c r="D104">
        <v>9</v>
      </c>
      <c r="E104">
        <v>3</v>
      </c>
      <c r="F104">
        <v>10</v>
      </c>
    </row>
    <row r="105" spans="1:6" x14ac:dyDescent="0.3">
      <c r="A105" t="s">
        <v>36</v>
      </c>
      <c r="B105">
        <v>6</v>
      </c>
      <c r="C105">
        <v>3</v>
      </c>
      <c r="D105">
        <v>2</v>
      </c>
      <c r="E105">
        <v>5</v>
      </c>
      <c r="F105">
        <v>4</v>
      </c>
    </row>
    <row r="106" spans="1:6" x14ac:dyDescent="0.3">
      <c r="A106" t="s">
        <v>503</v>
      </c>
      <c r="B106">
        <v>6</v>
      </c>
      <c r="C106" t="s">
        <v>696</v>
      </c>
      <c r="E106" t="s">
        <v>694</v>
      </c>
      <c r="F106" t="s">
        <v>694</v>
      </c>
    </row>
    <row r="107" spans="1:6" x14ac:dyDescent="0.3">
      <c r="A107" t="s">
        <v>679</v>
      </c>
      <c r="B107">
        <v>6</v>
      </c>
      <c r="C107">
        <v>532</v>
      </c>
      <c r="D107">
        <v>345</v>
      </c>
      <c r="E107">
        <v>1297</v>
      </c>
      <c r="F107">
        <v>2616</v>
      </c>
    </row>
    <row r="108" spans="1:6" x14ac:dyDescent="0.3">
      <c r="A108" t="s">
        <v>42</v>
      </c>
      <c r="B108">
        <v>6</v>
      </c>
      <c r="C108">
        <v>30</v>
      </c>
      <c r="D108">
        <v>30</v>
      </c>
      <c r="E108">
        <v>40</v>
      </c>
      <c r="F108">
        <v>40</v>
      </c>
    </row>
    <row r="109" spans="1:6" x14ac:dyDescent="0.3">
      <c r="A109" t="s">
        <v>680</v>
      </c>
      <c r="B109">
        <v>6</v>
      </c>
      <c r="C109">
        <v>12.1</v>
      </c>
      <c r="D109">
        <v>7.8</v>
      </c>
      <c r="E109">
        <v>22.1</v>
      </c>
      <c r="F109">
        <v>44.6</v>
      </c>
    </row>
    <row r="110" spans="1:6" x14ac:dyDescent="0.3">
      <c r="A110" t="s">
        <v>41</v>
      </c>
      <c r="B110">
        <v>6</v>
      </c>
      <c r="C110">
        <v>0</v>
      </c>
      <c r="D110">
        <v>0</v>
      </c>
      <c r="E110">
        <v>0</v>
      </c>
      <c r="F110">
        <v>0</v>
      </c>
    </row>
    <row r="111" spans="1:6" x14ac:dyDescent="0.3">
      <c r="A111" t="s">
        <v>681</v>
      </c>
      <c r="B111">
        <v>6</v>
      </c>
      <c r="C111">
        <v>24</v>
      </c>
      <c r="D111" t="s">
        <v>697</v>
      </c>
      <c r="E111">
        <v>12</v>
      </c>
      <c r="F111">
        <v>12</v>
      </c>
    </row>
    <row r="112" spans="1:6" x14ac:dyDescent="0.3">
      <c r="A112" t="s">
        <v>563</v>
      </c>
      <c r="B112">
        <v>6</v>
      </c>
      <c r="C112">
        <v>0</v>
      </c>
      <c r="D112">
        <v>0</v>
      </c>
      <c r="E112">
        <v>0</v>
      </c>
      <c r="F112">
        <v>0</v>
      </c>
    </row>
    <row r="113" spans="1:6" x14ac:dyDescent="0.3">
      <c r="A113" t="s">
        <v>682</v>
      </c>
      <c r="B113">
        <v>6</v>
      </c>
      <c r="C113">
        <v>0</v>
      </c>
      <c r="D113">
        <v>0</v>
      </c>
      <c r="E113">
        <v>0</v>
      </c>
      <c r="F113">
        <v>0</v>
      </c>
    </row>
    <row r="114" spans="1:6" x14ac:dyDescent="0.3">
      <c r="A114" t="s">
        <v>683</v>
      </c>
      <c r="B114">
        <v>6</v>
      </c>
      <c r="C114">
        <v>16</v>
      </c>
      <c r="D114">
        <v>16</v>
      </c>
      <c r="E114">
        <v>16</v>
      </c>
      <c r="F114">
        <v>16</v>
      </c>
    </row>
    <row r="115" spans="1:6" x14ac:dyDescent="0.3">
      <c r="A115" t="s">
        <v>684</v>
      </c>
      <c r="B115">
        <v>6</v>
      </c>
      <c r="C115">
        <v>500</v>
      </c>
      <c r="D115">
        <v>500</v>
      </c>
      <c r="E115">
        <v>500</v>
      </c>
      <c r="F115">
        <v>500</v>
      </c>
    </row>
    <row r="116" spans="1:6" x14ac:dyDescent="0.3">
      <c r="A116" t="s">
        <v>685</v>
      </c>
      <c r="B116">
        <v>6</v>
      </c>
      <c r="C116">
        <v>1320</v>
      </c>
      <c r="D116">
        <v>1320</v>
      </c>
      <c r="E116">
        <v>1761</v>
      </c>
      <c r="F116">
        <v>1761</v>
      </c>
    </row>
    <row r="117" spans="1:6" x14ac:dyDescent="0.3">
      <c r="A117" t="s">
        <v>686</v>
      </c>
      <c r="B117">
        <v>6</v>
      </c>
      <c r="C117">
        <v>880</v>
      </c>
      <c r="D117">
        <v>880</v>
      </c>
      <c r="E117">
        <v>1174</v>
      </c>
      <c r="F117">
        <v>1174</v>
      </c>
    </row>
    <row r="118" spans="1:6" x14ac:dyDescent="0.3">
      <c r="A118" t="s">
        <v>687</v>
      </c>
      <c r="B118">
        <v>6</v>
      </c>
      <c r="C118">
        <v>1760</v>
      </c>
      <c r="D118">
        <v>1760</v>
      </c>
      <c r="E118">
        <v>2348</v>
      </c>
      <c r="F118">
        <v>2348</v>
      </c>
    </row>
    <row r="119" spans="1:6" x14ac:dyDescent="0.3">
      <c r="A119" t="s">
        <v>688</v>
      </c>
      <c r="B119">
        <v>6</v>
      </c>
      <c r="C119">
        <v>4145</v>
      </c>
    </row>
    <row r="120" spans="1:6" x14ac:dyDescent="0.3">
      <c r="A120" t="s">
        <v>689</v>
      </c>
      <c r="B120">
        <v>6</v>
      </c>
      <c r="C120">
        <v>-446</v>
      </c>
    </row>
    <row r="121" spans="1:6" x14ac:dyDescent="0.3">
      <c r="A121" t="s">
        <v>690</v>
      </c>
      <c r="B121">
        <v>6</v>
      </c>
      <c r="C121">
        <v>0</v>
      </c>
    </row>
    <row r="122" spans="1:6" x14ac:dyDescent="0.3">
      <c r="A122" t="s">
        <v>691</v>
      </c>
      <c r="B122">
        <v>6</v>
      </c>
      <c r="C122" t="b">
        <v>0</v>
      </c>
      <c r="D122" t="b">
        <v>0</v>
      </c>
      <c r="E122" t="b">
        <v>0</v>
      </c>
      <c r="F122" t="b">
        <v>0</v>
      </c>
    </row>
    <row r="123" spans="1:6" x14ac:dyDescent="0.3">
      <c r="A123" t="s">
        <v>692</v>
      </c>
      <c r="B123">
        <v>6</v>
      </c>
      <c r="C123" t="b">
        <v>0</v>
      </c>
      <c r="D123" t="b">
        <v>0</v>
      </c>
      <c r="E123" t="b">
        <v>0</v>
      </c>
      <c r="F123" t="b">
        <v>0</v>
      </c>
    </row>
    <row r="124" spans="1:6" x14ac:dyDescent="0.3">
      <c r="A124" t="s">
        <v>678</v>
      </c>
      <c r="B124">
        <v>7</v>
      </c>
      <c r="C124">
        <v>9</v>
      </c>
    </row>
    <row r="125" spans="1:6" x14ac:dyDescent="0.3">
      <c r="A125" t="s">
        <v>36</v>
      </c>
      <c r="B125">
        <v>7</v>
      </c>
      <c r="C125" t="s">
        <v>698</v>
      </c>
    </row>
    <row r="126" spans="1:6" x14ac:dyDescent="0.3">
      <c r="A126" t="s">
        <v>503</v>
      </c>
      <c r="B126">
        <v>7</v>
      </c>
    </row>
    <row r="127" spans="1:6" x14ac:dyDescent="0.3">
      <c r="A127" t="s">
        <v>679</v>
      </c>
      <c r="B127">
        <v>7</v>
      </c>
      <c r="C127">
        <v>170</v>
      </c>
    </row>
    <row r="128" spans="1:6" x14ac:dyDescent="0.3">
      <c r="A128" t="s">
        <v>42</v>
      </c>
      <c r="B128">
        <v>7</v>
      </c>
      <c r="C128">
        <v>30</v>
      </c>
    </row>
    <row r="129" spans="1:4" x14ac:dyDescent="0.3">
      <c r="A129" t="s">
        <v>680</v>
      </c>
      <c r="B129">
        <v>7</v>
      </c>
      <c r="C129">
        <v>3.9</v>
      </c>
    </row>
    <row r="130" spans="1:4" x14ac:dyDescent="0.3">
      <c r="A130" t="s">
        <v>41</v>
      </c>
      <c r="B130">
        <v>7</v>
      </c>
      <c r="C130">
        <v>0</v>
      </c>
    </row>
    <row r="131" spans="1:4" x14ac:dyDescent="0.3">
      <c r="A131" t="s">
        <v>681</v>
      </c>
      <c r="B131">
        <v>7</v>
      </c>
      <c r="C131" t="s">
        <v>699</v>
      </c>
    </row>
    <row r="132" spans="1:4" x14ac:dyDescent="0.3">
      <c r="A132" t="s">
        <v>563</v>
      </c>
      <c r="B132">
        <v>7</v>
      </c>
      <c r="C132">
        <v>0</v>
      </c>
    </row>
    <row r="133" spans="1:4" x14ac:dyDescent="0.3">
      <c r="A133" t="s">
        <v>682</v>
      </c>
      <c r="B133">
        <v>7</v>
      </c>
      <c r="C133">
        <v>1</v>
      </c>
    </row>
    <row r="134" spans="1:4" x14ac:dyDescent="0.3">
      <c r="A134" t="s">
        <v>683</v>
      </c>
      <c r="B134">
        <v>7</v>
      </c>
      <c r="C134">
        <v>16</v>
      </c>
    </row>
    <row r="135" spans="1:4" x14ac:dyDescent="0.3">
      <c r="A135" t="s">
        <v>684</v>
      </c>
      <c r="B135">
        <v>7</v>
      </c>
      <c r="C135">
        <v>200</v>
      </c>
    </row>
    <row r="136" spans="1:4" x14ac:dyDescent="0.3">
      <c r="A136" t="s">
        <v>685</v>
      </c>
      <c r="B136">
        <v>7</v>
      </c>
      <c r="C136">
        <v>1320</v>
      </c>
    </row>
    <row r="137" spans="1:4" x14ac:dyDescent="0.3">
      <c r="A137" t="s">
        <v>686</v>
      </c>
      <c r="B137">
        <v>7</v>
      </c>
      <c r="C137">
        <v>880</v>
      </c>
    </row>
    <row r="138" spans="1:4" x14ac:dyDescent="0.3">
      <c r="A138" t="s">
        <v>687</v>
      </c>
      <c r="B138">
        <v>7</v>
      </c>
      <c r="C138">
        <v>1760</v>
      </c>
    </row>
    <row r="139" spans="1:4" x14ac:dyDescent="0.3">
      <c r="A139" t="s">
        <v>688</v>
      </c>
      <c r="B139">
        <v>7</v>
      </c>
    </row>
    <row r="140" spans="1:4" x14ac:dyDescent="0.3">
      <c r="A140" t="s">
        <v>689</v>
      </c>
      <c r="B140">
        <v>7</v>
      </c>
    </row>
    <row r="141" spans="1:4" x14ac:dyDescent="0.3">
      <c r="A141" t="s">
        <v>690</v>
      </c>
      <c r="B141">
        <v>7</v>
      </c>
    </row>
    <row r="142" spans="1:4" x14ac:dyDescent="0.3">
      <c r="A142" t="s">
        <v>691</v>
      </c>
      <c r="B142">
        <v>7</v>
      </c>
      <c r="C142" t="b">
        <v>0</v>
      </c>
    </row>
    <row r="143" spans="1:4" x14ac:dyDescent="0.3">
      <c r="A143" t="s">
        <v>692</v>
      </c>
      <c r="B143">
        <v>7</v>
      </c>
      <c r="C143" t="b">
        <v>0</v>
      </c>
    </row>
    <row r="144" spans="1:4" x14ac:dyDescent="0.3">
      <c r="A144" t="s">
        <v>678</v>
      </c>
      <c r="B144">
        <v>8</v>
      </c>
      <c r="D144">
        <v>6</v>
      </c>
    </row>
    <row r="145" spans="1:4" x14ac:dyDescent="0.3">
      <c r="A145" t="s">
        <v>36</v>
      </c>
      <c r="B145">
        <v>8</v>
      </c>
      <c r="D145">
        <v>1</v>
      </c>
    </row>
    <row r="146" spans="1:4" x14ac:dyDescent="0.3">
      <c r="A146" t="s">
        <v>503</v>
      </c>
      <c r="B146">
        <v>8</v>
      </c>
    </row>
    <row r="147" spans="1:4" x14ac:dyDescent="0.3">
      <c r="A147" t="s">
        <v>679</v>
      </c>
      <c r="B147">
        <v>8</v>
      </c>
      <c r="D147">
        <v>532</v>
      </c>
    </row>
    <row r="148" spans="1:4" x14ac:dyDescent="0.3">
      <c r="A148" t="s">
        <v>42</v>
      </c>
      <c r="B148">
        <v>8</v>
      </c>
      <c r="D148">
        <v>30</v>
      </c>
    </row>
    <row r="149" spans="1:4" x14ac:dyDescent="0.3">
      <c r="A149" t="s">
        <v>680</v>
      </c>
      <c r="B149">
        <v>8</v>
      </c>
      <c r="D149">
        <v>12.1</v>
      </c>
    </row>
    <row r="150" spans="1:4" x14ac:dyDescent="0.3">
      <c r="A150" t="s">
        <v>41</v>
      </c>
      <c r="B150">
        <v>8</v>
      </c>
      <c r="D150">
        <v>0</v>
      </c>
    </row>
    <row r="151" spans="1:4" x14ac:dyDescent="0.3">
      <c r="A151" t="s">
        <v>681</v>
      </c>
      <c r="B151">
        <v>8</v>
      </c>
      <c r="D151">
        <v>0</v>
      </c>
    </row>
    <row r="152" spans="1:4" x14ac:dyDescent="0.3">
      <c r="A152" t="s">
        <v>563</v>
      </c>
      <c r="B152">
        <v>8</v>
      </c>
      <c r="D152">
        <v>0</v>
      </c>
    </row>
    <row r="153" spans="1:4" x14ac:dyDescent="0.3">
      <c r="A153" t="s">
        <v>682</v>
      </c>
      <c r="B153">
        <v>8</v>
      </c>
      <c r="D153">
        <v>0</v>
      </c>
    </row>
    <row r="154" spans="1:4" x14ac:dyDescent="0.3">
      <c r="A154" t="s">
        <v>683</v>
      </c>
      <c r="B154">
        <v>8</v>
      </c>
      <c r="D154">
        <v>16</v>
      </c>
    </row>
    <row r="155" spans="1:4" x14ac:dyDescent="0.3">
      <c r="A155" t="s">
        <v>684</v>
      </c>
      <c r="B155">
        <v>8</v>
      </c>
      <c r="D155">
        <v>200</v>
      </c>
    </row>
    <row r="156" spans="1:4" x14ac:dyDescent="0.3">
      <c r="A156" t="s">
        <v>685</v>
      </c>
      <c r="B156">
        <v>8</v>
      </c>
      <c r="D156">
        <v>1320</v>
      </c>
    </row>
    <row r="157" spans="1:4" x14ac:dyDescent="0.3">
      <c r="A157" t="s">
        <v>686</v>
      </c>
      <c r="B157">
        <v>8</v>
      </c>
      <c r="D157">
        <v>880</v>
      </c>
    </row>
    <row r="158" spans="1:4" x14ac:dyDescent="0.3">
      <c r="A158" t="s">
        <v>687</v>
      </c>
      <c r="B158">
        <v>8</v>
      </c>
      <c r="D158">
        <v>1760</v>
      </c>
    </row>
    <row r="159" spans="1:4" x14ac:dyDescent="0.3">
      <c r="A159" t="s">
        <v>688</v>
      </c>
      <c r="B159">
        <v>8</v>
      </c>
      <c r="D159">
        <v>4220</v>
      </c>
    </row>
    <row r="160" spans="1:4" x14ac:dyDescent="0.3">
      <c r="A160" t="s">
        <v>689</v>
      </c>
      <c r="B160">
        <v>8</v>
      </c>
      <c r="D160">
        <v>-580</v>
      </c>
    </row>
    <row r="161" spans="1:4" x14ac:dyDescent="0.3">
      <c r="A161" t="s">
        <v>690</v>
      </c>
      <c r="B161">
        <v>8</v>
      </c>
      <c r="D161">
        <v>0</v>
      </c>
    </row>
    <row r="162" spans="1:4" x14ac:dyDescent="0.3">
      <c r="A162" t="s">
        <v>691</v>
      </c>
      <c r="B162">
        <v>8</v>
      </c>
      <c r="D162" t="b">
        <v>0</v>
      </c>
    </row>
    <row r="163" spans="1:4" x14ac:dyDescent="0.3">
      <c r="A163" t="s">
        <v>692</v>
      </c>
      <c r="B163">
        <v>8</v>
      </c>
      <c r="D163" t="b">
        <v>0</v>
      </c>
    </row>
    <row r="164" spans="1:4" x14ac:dyDescent="0.3">
      <c r="A164" t="s">
        <v>678</v>
      </c>
      <c r="B164">
        <v>9</v>
      </c>
      <c r="C164">
        <v>6</v>
      </c>
      <c r="D164">
        <v>7</v>
      </c>
    </row>
    <row r="165" spans="1:4" x14ac:dyDescent="0.3">
      <c r="A165" t="s">
        <v>36</v>
      </c>
      <c r="B165">
        <v>9</v>
      </c>
      <c r="C165" t="s">
        <v>698</v>
      </c>
      <c r="D165" t="s">
        <v>698</v>
      </c>
    </row>
    <row r="166" spans="1:4" x14ac:dyDescent="0.3">
      <c r="A166" t="s">
        <v>503</v>
      </c>
      <c r="B166">
        <v>9</v>
      </c>
    </row>
    <row r="167" spans="1:4" x14ac:dyDescent="0.3">
      <c r="A167" t="s">
        <v>679</v>
      </c>
      <c r="B167">
        <v>9</v>
      </c>
      <c r="C167">
        <v>345</v>
      </c>
      <c r="D167">
        <v>170</v>
      </c>
    </row>
    <row r="168" spans="1:4" x14ac:dyDescent="0.3">
      <c r="A168" t="s">
        <v>42</v>
      </c>
      <c r="B168">
        <v>9</v>
      </c>
      <c r="C168">
        <v>30</v>
      </c>
      <c r="D168">
        <v>30</v>
      </c>
    </row>
    <row r="169" spans="1:4" x14ac:dyDescent="0.3">
      <c r="A169" t="s">
        <v>680</v>
      </c>
      <c r="B169">
        <v>9</v>
      </c>
      <c r="C169">
        <v>7.8</v>
      </c>
      <c r="D169">
        <v>3.9</v>
      </c>
    </row>
    <row r="170" spans="1:4" x14ac:dyDescent="0.3">
      <c r="A170" t="s">
        <v>41</v>
      </c>
      <c r="B170">
        <v>9</v>
      </c>
      <c r="C170">
        <v>0</v>
      </c>
      <c r="D170">
        <v>0</v>
      </c>
    </row>
    <row r="171" spans="1:4" x14ac:dyDescent="0.3">
      <c r="A171" t="s">
        <v>681</v>
      </c>
      <c r="B171">
        <v>9</v>
      </c>
      <c r="C171" t="s">
        <v>699</v>
      </c>
      <c r="D171" t="s">
        <v>699</v>
      </c>
    </row>
    <row r="172" spans="1:4" x14ac:dyDescent="0.3">
      <c r="A172" t="s">
        <v>563</v>
      </c>
      <c r="B172">
        <v>9</v>
      </c>
      <c r="C172">
        <v>0</v>
      </c>
      <c r="D172">
        <v>0</v>
      </c>
    </row>
    <row r="173" spans="1:4" x14ac:dyDescent="0.3">
      <c r="A173" t="s">
        <v>682</v>
      </c>
      <c r="B173">
        <v>9</v>
      </c>
      <c r="C173">
        <v>0</v>
      </c>
      <c r="D173">
        <v>1</v>
      </c>
    </row>
    <row r="174" spans="1:4" x14ac:dyDescent="0.3">
      <c r="A174" t="s">
        <v>683</v>
      </c>
      <c r="B174">
        <v>9</v>
      </c>
      <c r="C174">
        <v>16</v>
      </c>
      <c r="D174">
        <v>16</v>
      </c>
    </row>
    <row r="175" spans="1:4" x14ac:dyDescent="0.3">
      <c r="A175" t="s">
        <v>684</v>
      </c>
      <c r="B175">
        <v>9</v>
      </c>
      <c r="C175">
        <v>100</v>
      </c>
      <c r="D175">
        <v>100</v>
      </c>
    </row>
    <row r="176" spans="1:4" x14ac:dyDescent="0.3">
      <c r="A176" t="s">
        <v>685</v>
      </c>
      <c r="B176">
        <v>9</v>
      </c>
      <c r="C176">
        <v>1320</v>
      </c>
      <c r="D176">
        <v>1320</v>
      </c>
    </row>
    <row r="177" spans="1:6" x14ac:dyDescent="0.3">
      <c r="A177" t="s">
        <v>686</v>
      </c>
      <c r="B177">
        <v>9</v>
      </c>
      <c r="C177">
        <v>880</v>
      </c>
      <c r="D177">
        <v>880</v>
      </c>
    </row>
    <row r="178" spans="1:6" x14ac:dyDescent="0.3">
      <c r="A178" t="s">
        <v>687</v>
      </c>
      <c r="B178">
        <v>9</v>
      </c>
      <c r="C178">
        <v>1760</v>
      </c>
      <c r="D178">
        <v>1760</v>
      </c>
    </row>
    <row r="179" spans="1:6" x14ac:dyDescent="0.3">
      <c r="A179" t="s">
        <v>688</v>
      </c>
      <c r="B179">
        <v>9</v>
      </c>
    </row>
    <row r="180" spans="1:6" x14ac:dyDescent="0.3">
      <c r="A180" t="s">
        <v>689</v>
      </c>
      <c r="B180">
        <v>9</v>
      </c>
    </row>
    <row r="181" spans="1:6" x14ac:dyDescent="0.3">
      <c r="A181" t="s">
        <v>690</v>
      </c>
      <c r="B181">
        <v>9</v>
      </c>
    </row>
    <row r="182" spans="1:6" x14ac:dyDescent="0.3">
      <c r="A182" t="s">
        <v>691</v>
      </c>
      <c r="B182">
        <v>9</v>
      </c>
      <c r="C182" t="b">
        <v>0</v>
      </c>
      <c r="D182" t="b">
        <v>0</v>
      </c>
    </row>
    <row r="183" spans="1:6" x14ac:dyDescent="0.3">
      <c r="A183" t="s">
        <v>692</v>
      </c>
      <c r="B183">
        <v>9</v>
      </c>
      <c r="C183" t="b">
        <v>0</v>
      </c>
      <c r="D183" t="b">
        <v>0</v>
      </c>
    </row>
    <row r="184" spans="1:6" x14ac:dyDescent="0.3">
      <c r="A184" t="s">
        <v>678</v>
      </c>
      <c r="B184">
        <v>10</v>
      </c>
      <c r="C184">
        <v>12</v>
      </c>
      <c r="D184">
        <v>11</v>
      </c>
      <c r="E184">
        <v>6</v>
      </c>
      <c r="F184">
        <v>13</v>
      </c>
    </row>
    <row r="185" spans="1:6" x14ac:dyDescent="0.3">
      <c r="A185" t="s">
        <v>36</v>
      </c>
      <c r="B185">
        <v>10</v>
      </c>
      <c r="C185">
        <v>3</v>
      </c>
      <c r="D185">
        <v>3</v>
      </c>
      <c r="E185">
        <v>5</v>
      </c>
      <c r="F185">
        <v>4</v>
      </c>
    </row>
    <row r="186" spans="1:6" x14ac:dyDescent="0.3">
      <c r="A186" t="s">
        <v>503</v>
      </c>
      <c r="B186">
        <v>10</v>
      </c>
      <c r="C186" t="s">
        <v>700</v>
      </c>
      <c r="D186" t="s">
        <v>700</v>
      </c>
      <c r="E186" t="s">
        <v>694</v>
      </c>
      <c r="F186" t="s">
        <v>694</v>
      </c>
    </row>
    <row r="187" spans="1:6" x14ac:dyDescent="0.3">
      <c r="A187" t="s">
        <v>679</v>
      </c>
      <c r="B187">
        <v>10</v>
      </c>
      <c r="C187">
        <v>652</v>
      </c>
      <c r="D187">
        <v>536</v>
      </c>
      <c r="E187">
        <v>2616</v>
      </c>
      <c r="F187">
        <v>2633</v>
      </c>
    </row>
    <row r="188" spans="1:6" x14ac:dyDescent="0.3">
      <c r="A188" t="s">
        <v>42</v>
      </c>
      <c r="B188">
        <v>10</v>
      </c>
      <c r="C188">
        <v>40</v>
      </c>
      <c r="D188">
        <v>35</v>
      </c>
      <c r="E188">
        <v>40</v>
      </c>
      <c r="F188">
        <v>40</v>
      </c>
    </row>
    <row r="189" spans="1:6" x14ac:dyDescent="0.3">
      <c r="A189" t="s">
        <v>680</v>
      </c>
      <c r="B189">
        <v>10</v>
      </c>
      <c r="C189">
        <v>11.1</v>
      </c>
      <c r="D189">
        <v>10.4</v>
      </c>
      <c r="E189">
        <v>44.6</v>
      </c>
      <c r="F189">
        <v>44.9</v>
      </c>
    </row>
    <row r="190" spans="1:6" x14ac:dyDescent="0.3">
      <c r="A190" t="s">
        <v>41</v>
      </c>
      <c r="B190">
        <v>10</v>
      </c>
      <c r="C190">
        <v>0</v>
      </c>
      <c r="D190">
        <v>0</v>
      </c>
      <c r="E190">
        <v>0</v>
      </c>
      <c r="F190">
        <v>0</v>
      </c>
    </row>
    <row r="191" spans="1:6" x14ac:dyDescent="0.3">
      <c r="A191" t="s">
        <v>681</v>
      </c>
      <c r="B191">
        <v>10</v>
      </c>
      <c r="C191">
        <v>12</v>
      </c>
      <c r="D191">
        <v>12</v>
      </c>
      <c r="E191">
        <v>12</v>
      </c>
      <c r="F191">
        <v>12</v>
      </c>
    </row>
    <row r="192" spans="1:6" x14ac:dyDescent="0.3">
      <c r="A192" t="s">
        <v>563</v>
      </c>
      <c r="B192">
        <v>10</v>
      </c>
      <c r="C192">
        <v>0</v>
      </c>
      <c r="D192">
        <v>0</v>
      </c>
      <c r="E192">
        <v>0</v>
      </c>
      <c r="F192">
        <v>0</v>
      </c>
    </row>
    <row r="193" spans="1:6" x14ac:dyDescent="0.3">
      <c r="A193" t="s">
        <v>682</v>
      </c>
      <c r="B193">
        <v>10</v>
      </c>
      <c r="C193">
        <v>0</v>
      </c>
      <c r="D193">
        <v>0</v>
      </c>
      <c r="E193">
        <v>0</v>
      </c>
      <c r="F193">
        <v>0</v>
      </c>
    </row>
    <row r="194" spans="1:6" x14ac:dyDescent="0.3">
      <c r="A194" t="s">
        <v>683</v>
      </c>
      <c r="B194">
        <v>10</v>
      </c>
      <c r="C194">
        <v>16</v>
      </c>
      <c r="D194">
        <v>16</v>
      </c>
      <c r="E194">
        <v>16</v>
      </c>
      <c r="F194">
        <v>16</v>
      </c>
    </row>
    <row r="195" spans="1:6" x14ac:dyDescent="0.3">
      <c r="A195" t="s">
        <v>684</v>
      </c>
      <c r="B195">
        <v>10</v>
      </c>
      <c r="C195">
        <v>500</v>
      </c>
      <c r="D195">
        <v>500</v>
      </c>
      <c r="E195">
        <v>500</v>
      </c>
      <c r="F195">
        <v>500</v>
      </c>
    </row>
    <row r="196" spans="1:6" x14ac:dyDescent="0.3">
      <c r="A196" t="s">
        <v>685</v>
      </c>
      <c r="B196">
        <v>10</v>
      </c>
      <c r="C196">
        <v>1761</v>
      </c>
      <c r="D196">
        <v>1539</v>
      </c>
      <c r="E196">
        <v>1761</v>
      </c>
      <c r="F196">
        <v>1761</v>
      </c>
    </row>
    <row r="197" spans="1:6" x14ac:dyDescent="0.3">
      <c r="A197" t="s">
        <v>686</v>
      </c>
      <c r="B197">
        <v>10</v>
      </c>
      <c r="C197">
        <v>1174</v>
      </c>
      <c r="D197">
        <v>1026</v>
      </c>
      <c r="E197">
        <v>1174</v>
      </c>
      <c r="F197">
        <v>1174</v>
      </c>
    </row>
    <row r="198" spans="1:6" x14ac:dyDescent="0.3">
      <c r="A198" t="s">
        <v>687</v>
      </c>
      <c r="B198">
        <v>10</v>
      </c>
      <c r="C198">
        <v>2348</v>
      </c>
      <c r="D198">
        <v>2052</v>
      </c>
      <c r="E198">
        <v>2348</v>
      </c>
      <c r="F198">
        <v>2348</v>
      </c>
    </row>
    <row r="199" spans="1:6" x14ac:dyDescent="0.3">
      <c r="A199" t="s">
        <v>688</v>
      </c>
      <c r="B199">
        <v>10</v>
      </c>
    </row>
    <row r="200" spans="1:6" x14ac:dyDescent="0.3">
      <c r="A200" t="s">
        <v>689</v>
      </c>
      <c r="B200">
        <v>10</v>
      </c>
    </row>
    <row r="201" spans="1:6" x14ac:dyDescent="0.3">
      <c r="A201" t="s">
        <v>690</v>
      </c>
      <c r="B201">
        <v>10</v>
      </c>
    </row>
    <row r="202" spans="1:6" x14ac:dyDescent="0.3">
      <c r="A202" t="s">
        <v>691</v>
      </c>
      <c r="B202">
        <v>10</v>
      </c>
      <c r="C202" t="b">
        <v>0</v>
      </c>
      <c r="D202" t="b">
        <v>0</v>
      </c>
      <c r="E202" t="b">
        <v>0</v>
      </c>
      <c r="F202" t="b">
        <v>0</v>
      </c>
    </row>
    <row r="203" spans="1:6" x14ac:dyDescent="0.3">
      <c r="A203" t="s">
        <v>692</v>
      </c>
      <c r="B203">
        <v>10</v>
      </c>
      <c r="C203" t="b">
        <v>0</v>
      </c>
      <c r="D203" t="b">
        <v>0</v>
      </c>
      <c r="E203" t="b">
        <v>0</v>
      </c>
      <c r="F203" t="b">
        <v>0</v>
      </c>
    </row>
    <row r="204" spans="1:6" x14ac:dyDescent="0.3">
      <c r="A204" t="s">
        <v>678</v>
      </c>
      <c r="B204">
        <v>11</v>
      </c>
      <c r="C204">
        <v>10</v>
      </c>
    </row>
    <row r="205" spans="1:6" x14ac:dyDescent="0.3">
      <c r="A205" t="s">
        <v>36</v>
      </c>
      <c r="B205">
        <v>11</v>
      </c>
      <c r="C205">
        <v>2</v>
      </c>
    </row>
    <row r="206" spans="1:6" x14ac:dyDescent="0.3">
      <c r="A206" t="s">
        <v>503</v>
      </c>
      <c r="B206">
        <v>11</v>
      </c>
      <c r="C206" t="s">
        <v>700</v>
      </c>
    </row>
    <row r="207" spans="1:6" x14ac:dyDescent="0.3">
      <c r="A207" t="s">
        <v>679</v>
      </c>
      <c r="B207">
        <v>11</v>
      </c>
      <c r="C207">
        <v>536</v>
      </c>
    </row>
    <row r="208" spans="1:6" x14ac:dyDescent="0.3">
      <c r="A208" t="s">
        <v>42</v>
      </c>
      <c r="B208">
        <v>11</v>
      </c>
      <c r="C208">
        <v>30</v>
      </c>
    </row>
    <row r="209" spans="1:4" x14ac:dyDescent="0.3">
      <c r="A209" t="s">
        <v>680</v>
      </c>
      <c r="B209">
        <v>11</v>
      </c>
      <c r="C209">
        <v>12.2</v>
      </c>
    </row>
    <row r="210" spans="1:4" x14ac:dyDescent="0.3">
      <c r="A210" t="s">
        <v>41</v>
      </c>
      <c r="B210">
        <v>11</v>
      </c>
      <c r="C210">
        <v>0</v>
      </c>
    </row>
    <row r="211" spans="1:4" x14ac:dyDescent="0.3">
      <c r="A211" t="s">
        <v>681</v>
      </c>
      <c r="B211">
        <v>11</v>
      </c>
      <c r="C211">
        <v>12</v>
      </c>
    </row>
    <row r="212" spans="1:4" x14ac:dyDescent="0.3">
      <c r="A212" t="s">
        <v>563</v>
      </c>
      <c r="B212">
        <v>11</v>
      </c>
      <c r="C212">
        <v>0</v>
      </c>
    </row>
    <row r="213" spans="1:4" x14ac:dyDescent="0.3">
      <c r="A213" t="s">
        <v>682</v>
      </c>
      <c r="B213">
        <v>11</v>
      </c>
      <c r="C213">
        <v>0</v>
      </c>
    </row>
    <row r="214" spans="1:4" x14ac:dyDescent="0.3">
      <c r="A214" t="s">
        <v>683</v>
      </c>
      <c r="B214">
        <v>11</v>
      </c>
      <c r="C214">
        <v>16</v>
      </c>
    </row>
    <row r="215" spans="1:4" x14ac:dyDescent="0.3">
      <c r="A215" t="s">
        <v>684</v>
      </c>
      <c r="B215">
        <v>11</v>
      </c>
      <c r="C215">
        <v>200</v>
      </c>
    </row>
    <row r="216" spans="1:4" x14ac:dyDescent="0.3">
      <c r="A216" t="s">
        <v>685</v>
      </c>
      <c r="B216">
        <v>11</v>
      </c>
      <c r="C216">
        <v>1320</v>
      </c>
    </row>
    <row r="217" spans="1:4" x14ac:dyDescent="0.3">
      <c r="A217" t="s">
        <v>686</v>
      </c>
      <c r="B217">
        <v>11</v>
      </c>
      <c r="C217">
        <v>880</v>
      </c>
    </row>
    <row r="218" spans="1:4" x14ac:dyDescent="0.3">
      <c r="A218" t="s">
        <v>687</v>
      </c>
      <c r="B218">
        <v>11</v>
      </c>
      <c r="C218">
        <v>1760</v>
      </c>
    </row>
    <row r="219" spans="1:4" x14ac:dyDescent="0.3">
      <c r="A219" t="s">
        <v>688</v>
      </c>
      <c r="B219">
        <v>11</v>
      </c>
    </row>
    <row r="220" spans="1:4" x14ac:dyDescent="0.3">
      <c r="A220" t="s">
        <v>689</v>
      </c>
      <c r="B220">
        <v>11</v>
      </c>
    </row>
    <row r="221" spans="1:4" x14ac:dyDescent="0.3">
      <c r="A221" t="s">
        <v>690</v>
      </c>
      <c r="B221">
        <v>11</v>
      </c>
    </row>
    <row r="222" spans="1:4" x14ac:dyDescent="0.3">
      <c r="A222" t="s">
        <v>691</v>
      </c>
      <c r="B222">
        <v>11</v>
      </c>
      <c r="C222" t="b">
        <v>0</v>
      </c>
    </row>
    <row r="223" spans="1:4" x14ac:dyDescent="0.3">
      <c r="A223" t="s">
        <v>692</v>
      </c>
      <c r="B223">
        <v>11</v>
      </c>
      <c r="C223" t="b">
        <v>0</v>
      </c>
    </row>
    <row r="224" spans="1:4" x14ac:dyDescent="0.3">
      <c r="A224" t="s">
        <v>678</v>
      </c>
      <c r="B224">
        <v>12</v>
      </c>
      <c r="D224">
        <v>10</v>
      </c>
    </row>
    <row r="225" spans="1:4" x14ac:dyDescent="0.3">
      <c r="A225" t="s">
        <v>36</v>
      </c>
      <c r="B225">
        <v>12</v>
      </c>
      <c r="D225">
        <v>2</v>
      </c>
    </row>
    <row r="226" spans="1:4" x14ac:dyDescent="0.3">
      <c r="A226" t="s">
        <v>503</v>
      </c>
      <c r="B226">
        <v>12</v>
      </c>
      <c r="D226" t="s">
        <v>700</v>
      </c>
    </row>
    <row r="227" spans="1:4" x14ac:dyDescent="0.3">
      <c r="A227" t="s">
        <v>679</v>
      </c>
      <c r="B227">
        <v>12</v>
      </c>
      <c r="D227">
        <v>652</v>
      </c>
    </row>
    <row r="228" spans="1:4" x14ac:dyDescent="0.3">
      <c r="A228" t="s">
        <v>42</v>
      </c>
      <c r="B228">
        <v>12</v>
      </c>
      <c r="D228">
        <v>30</v>
      </c>
    </row>
    <row r="229" spans="1:4" x14ac:dyDescent="0.3">
      <c r="A229" t="s">
        <v>680</v>
      </c>
      <c r="B229">
        <v>12</v>
      </c>
      <c r="D229">
        <v>14.8</v>
      </c>
    </row>
    <row r="230" spans="1:4" x14ac:dyDescent="0.3">
      <c r="A230" t="s">
        <v>41</v>
      </c>
      <c r="B230">
        <v>12</v>
      </c>
      <c r="D230">
        <v>0</v>
      </c>
    </row>
    <row r="231" spans="1:4" x14ac:dyDescent="0.3">
      <c r="A231" t="s">
        <v>681</v>
      </c>
      <c r="B231">
        <v>12</v>
      </c>
      <c r="D231">
        <v>12</v>
      </c>
    </row>
    <row r="232" spans="1:4" x14ac:dyDescent="0.3">
      <c r="A232" t="s">
        <v>563</v>
      </c>
      <c r="B232">
        <v>12</v>
      </c>
      <c r="D232">
        <v>0</v>
      </c>
    </row>
    <row r="233" spans="1:4" x14ac:dyDescent="0.3">
      <c r="A233" t="s">
        <v>682</v>
      </c>
      <c r="B233">
        <v>12</v>
      </c>
      <c r="D233">
        <v>0</v>
      </c>
    </row>
    <row r="234" spans="1:4" x14ac:dyDescent="0.3">
      <c r="A234" t="s">
        <v>683</v>
      </c>
      <c r="B234">
        <v>12</v>
      </c>
      <c r="D234">
        <v>16</v>
      </c>
    </row>
    <row r="235" spans="1:4" x14ac:dyDescent="0.3">
      <c r="A235" t="s">
        <v>684</v>
      </c>
      <c r="B235">
        <v>12</v>
      </c>
      <c r="D235">
        <v>200</v>
      </c>
    </row>
    <row r="236" spans="1:4" x14ac:dyDescent="0.3">
      <c r="A236" t="s">
        <v>685</v>
      </c>
      <c r="B236">
        <v>12</v>
      </c>
      <c r="D236">
        <v>1320</v>
      </c>
    </row>
    <row r="237" spans="1:4" x14ac:dyDescent="0.3">
      <c r="A237" t="s">
        <v>686</v>
      </c>
      <c r="B237">
        <v>12</v>
      </c>
      <c r="D237">
        <v>880</v>
      </c>
    </row>
    <row r="238" spans="1:4" x14ac:dyDescent="0.3">
      <c r="A238" t="s">
        <v>687</v>
      </c>
      <c r="B238">
        <v>12</v>
      </c>
      <c r="D238">
        <v>1760</v>
      </c>
    </row>
    <row r="239" spans="1:4" x14ac:dyDescent="0.3">
      <c r="A239" t="s">
        <v>688</v>
      </c>
      <c r="B239">
        <v>12</v>
      </c>
    </row>
    <row r="240" spans="1:4" x14ac:dyDescent="0.3">
      <c r="A240" t="s">
        <v>689</v>
      </c>
      <c r="B240">
        <v>12</v>
      </c>
    </row>
    <row r="241" spans="1:6" x14ac:dyDescent="0.3">
      <c r="A241" t="s">
        <v>690</v>
      </c>
      <c r="B241">
        <v>12</v>
      </c>
    </row>
    <row r="242" spans="1:6" x14ac:dyDescent="0.3">
      <c r="A242" t="s">
        <v>691</v>
      </c>
      <c r="B242">
        <v>12</v>
      </c>
      <c r="D242" t="b">
        <v>0</v>
      </c>
    </row>
    <row r="243" spans="1:6" x14ac:dyDescent="0.3">
      <c r="A243" t="s">
        <v>692</v>
      </c>
      <c r="B243">
        <v>12</v>
      </c>
      <c r="D243" t="b">
        <v>0</v>
      </c>
    </row>
    <row r="244" spans="1:6" x14ac:dyDescent="0.3">
      <c r="A244" t="s">
        <v>678</v>
      </c>
      <c r="B244">
        <v>13</v>
      </c>
      <c r="D244">
        <v>15</v>
      </c>
      <c r="E244">
        <v>10</v>
      </c>
      <c r="F244">
        <v>16</v>
      </c>
    </row>
    <row r="245" spans="1:6" x14ac:dyDescent="0.3">
      <c r="A245" t="s">
        <v>36</v>
      </c>
      <c r="B245">
        <v>13</v>
      </c>
      <c r="D245">
        <v>2</v>
      </c>
      <c r="E245">
        <v>4</v>
      </c>
      <c r="F245">
        <v>4</v>
      </c>
    </row>
    <row r="246" spans="1:6" x14ac:dyDescent="0.3">
      <c r="A246" t="s">
        <v>503</v>
      </c>
      <c r="B246">
        <v>13</v>
      </c>
      <c r="D246" t="s">
        <v>701</v>
      </c>
      <c r="E246" t="s">
        <v>694</v>
      </c>
      <c r="F246" t="s">
        <v>694</v>
      </c>
    </row>
    <row r="247" spans="1:6" x14ac:dyDescent="0.3">
      <c r="A247" t="s">
        <v>679</v>
      </c>
      <c r="B247">
        <v>13</v>
      </c>
      <c r="D247">
        <v>265</v>
      </c>
      <c r="E247">
        <v>2633</v>
      </c>
      <c r="F247">
        <v>1317</v>
      </c>
    </row>
    <row r="248" spans="1:6" x14ac:dyDescent="0.3">
      <c r="A248" t="s">
        <v>42</v>
      </c>
      <c r="B248">
        <v>13</v>
      </c>
      <c r="D248">
        <v>25</v>
      </c>
      <c r="E248">
        <v>40</v>
      </c>
      <c r="F248">
        <v>40</v>
      </c>
    </row>
    <row r="249" spans="1:6" x14ac:dyDescent="0.3">
      <c r="A249" t="s">
        <v>680</v>
      </c>
      <c r="B249">
        <v>13</v>
      </c>
      <c r="D249">
        <v>7.2</v>
      </c>
      <c r="E249">
        <v>44.9</v>
      </c>
      <c r="F249">
        <v>22.4</v>
      </c>
    </row>
    <row r="250" spans="1:6" x14ac:dyDescent="0.3">
      <c r="A250" t="s">
        <v>41</v>
      </c>
      <c r="B250">
        <v>13</v>
      </c>
      <c r="D250">
        <v>0</v>
      </c>
      <c r="E250">
        <v>0</v>
      </c>
      <c r="F250">
        <v>0</v>
      </c>
    </row>
    <row r="251" spans="1:6" x14ac:dyDescent="0.3">
      <c r="A251" t="s">
        <v>681</v>
      </c>
      <c r="B251">
        <v>13</v>
      </c>
      <c r="D251">
        <v>12</v>
      </c>
      <c r="E251">
        <v>12</v>
      </c>
      <c r="F251">
        <v>12</v>
      </c>
    </row>
    <row r="252" spans="1:6" x14ac:dyDescent="0.3">
      <c r="A252" t="s">
        <v>563</v>
      </c>
      <c r="B252">
        <v>13</v>
      </c>
      <c r="D252">
        <v>0</v>
      </c>
      <c r="E252">
        <v>0</v>
      </c>
      <c r="F252">
        <v>0</v>
      </c>
    </row>
    <row r="253" spans="1:6" x14ac:dyDescent="0.3">
      <c r="A253" t="s">
        <v>682</v>
      </c>
      <c r="B253">
        <v>13</v>
      </c>
      <c r="D253">
        <v>0</v>
      </c>
      <c r="E253">
        <v>0</v>
      </c>
      <c r="F253">
        <v>0</v>
      </c>
    </row>
    <row r="254" spans="1:6" x14ac:dyDescent="0.3">
      <c r="A254" t="s">
        <v>683</v>
      </c>
      <c r="B254">
        <v>13</v>
      </c>
      <c r="D254">
        <v>16</v>
      </c>
      <c r="E254">
        <v>16</v>
      </c>
      <c r="F254">
        <v>16</v>
      </c>
    </row>
    <row r="255" spans="1:6" x14ac:dyDescent="0.3">
      <c r="A255" t="s">
        <v>684</v>
      </c>
      <c r="B255">
        <v>13</v>
      </c>
      <c r="D255">
        <v>500</v>
      </c>
      <c r="E255">
        <v>500</v>
      </c>
      <c r="F255">
        <v>500</v>
      </c>
    </row>
    <row r="256" spans="1:6" x14ac:dyDescent="0.3">
      <c r="A256" t="s">
        <v>685</v>
      </c>
      <c r="B256">
        <v>13</v>
      </c>
      <c r="D256">
        <v>1101</v>
      </c>
      <c r="E256">
        <v>1761</v>
      </c>
      <c r="F256">
        <v>1761</v>
      </c>
    </row>
    <row r="257" spans="1:6" x14ac:dyDescent="0.3">
      <c r="A257" t="s">
        <v>686</v>
      </c>
      <c r="B257">
        <v>13</v>
      </c>
      <c r="D257">
        <v>734</v>
      </c>
      <c r="E257">
        <v>1174</v>
      </c>
      <c r="F257">
        <v>1174</v>
      </c>
    </row>
    <row r="258" spans="1:6" x14ac:dyDescent="0.3">
      <c r="A258" t="s">
        <v>687</v>
      </c>
      <c r="B258">
        <v>13</v>
      </c>
      <c r="D258">
        <v>1468</v>
      </c>
      <c r="E258">
        <v>2348</v>
      </c>
      <c r="F258">
        <v>2348</v>
      </c>
    </row>
    <row r="259" spans="1:6" x14ac:dyDescent="0.3">
      <c r="A259" t="s">
        <v>688</v>
      </c>
      <c r="B259">
        <v>13</v>
      </c>
    </row>
    <row r="260" spans="1:6" x14ac:dyDescent="0.3">
      <c r="A260" t="s">
        <v>689</v>
      </c>
      <c r="B260">
        <v>13</v>
      </c>
    </row>
    <row r="261" spans="1:6" x14ac:dyDescent="0.3">
      <c r="A261" t="s">
        <v>690</v>
      </c>
      <c r="B261">
        <v>13</v>
      </c>
    </row>
    <row r="262" spans="1:6" x14ac:dyDescent="0.3">
      <c r="A262" t="s">
        <v>691</v>
      </c>
      <c r="B262">
        <v>13</v>
      </c>
      <c r="D262" t="b">
        <v>0</v>
      </c>
      <c r="E262" t="b">
        <v>0</v>
      </c>
      <c r="F262" t="b">
        <v>0</v>
      </c>
    </row>
    <row r="263" spans="1:6" x14ac:dyDescent="0.3">
      <c r="A263" t="s">
        <v>692</v>
      </c>
      <c r="B263">
        <v>13</v>
      </c>
      <c r="D263" t="b">
        <v>0</v>
      </c>
      <c r="E263" t="b">
        <v>0</v>
      </c>
      <c r="F263" t="b">
        <v>0</v>
      </c>
    </row>
    <row r="264" spans="1:6" x14ac:dyDescent="0.3">
      <c r="A264" t="s">
        <v>678</v>
      </c>
      <c r="B264">
        <v>14</v>
      </c>
      <c r="C264">
        <v>15</v>
      </c>
    </row>
    <row r="265" spans="1:6" x14ac:dyDescent="0.3">
      <c r="A265" t="s">
        <v>36</v>
      </c>
      <c r="B265">
        <v>14</v>
      </c>
      <c r="C265">
        <v>1</v>
      </c>
    </row>
    <row r="266" spans="1:6" x14ac:dyDescent="0.3">
      <c r="A266" t="s">
        <v>503</v>
      </c>
      <c r="B266">
        <v>14</v>
      </c>
    </row>
    <row r="267" spans="1:6" x14ac:dyDescent="0.3">
      <c r="A267" t="s">
        <v>679</v>
      </c>
      <c r="B267">
        <v>14</v>
      </c>
      <c r="C267">
        <v>626</v>
      </c>
    </row>
    <row r="268" spans="1:6" x14ac:dyDescent="0.3">
      <c r="A268" t="s">
        <v>42</v>
      </c>
      <c r="B268">
        <v>14</v>
      </c>
      <c r="C268">
        <v>30</v>
      </c>
    </row>
    <row r="269" spans="1:6" x14ac:dyDescent="0.3">
      <c r="A269" t="s">
        <v>680</v>
      </c>
      <c r="B269">
        <v>14</v>
      </c>
      <c r="C269">
        <v>14.2</v>
      </c>
    </row>
    <row r="270" spans="1:6" x14ac:dyDescent="0.3">
      <c r="A270" t="s">
        <v>41</v>
      </c>
      <c r="B270">
        <v>14</v>
      </c>
      <c r="C270">
        <v>0</v>
      </c>
    </row>
    <row r="271" spans="1:6" x14ac:dyDescent="0.3">
      <c r="A271" t="s">
        <v>681</v>
      </c>
      <c r="B271">
        <v>14</v>
      </c>
      <c r="C271">
        <v>0</v>
      </c>
    </row>
    <row r="272" spans="1:6" x14ac:dyDescent="0.3">
      <c r="A272" t="s">
        <v>563</v>
      </c>
      <c r="B272">
        <v>14</v>
      </c>
      <c r="C272">
        <v>0</v>
      </c>
    </row>
    <row r="273" spans="1:4" x14ac:dyDescent="0.3">
      <c r="A273" t="s">
        <v>682</v>
      </c>
      <c r="B273">
        <v>14</v>
      </c>
      <c r="C273">
        <v>0</v>
      </c>
    </row>
    <row r="274" spans="1:4" x14ac:dyDescent="0.3">
      <c r="A274" t="s">
        <v>683</v>
      </c>
      <c r="B274">
        <v>14</v>
      </c>
      <c r="C274">
        <v>16</v>
      </c>
    </row>
    <row r="275" spans="1:4" x14ac:dyDescent="0.3">
      <c r="A275" t="s">
        <v>684</v>
      </c>
      <c r="B275">
        <v>14</v>
      </c>
      <c r="C275">
        <v>200</v>
      </c>
    </row>
    <row r="276" spans="1:4" x14ac:dyDescent="0.3">
      <c r="A276" t="s">
        <v>685</v>
      </c>
      <c r="B276">
        <v>14</v>
      </c>
      <c r="C276">
        <v>1320</v>
      </c>
    </row>
    <row r="277" spans="1:4" x14ac:dyDescent="0.3">
      <c r="A277" t="s">
        <v>686</v>
      </c>
      <c r="B277">
        <v>14</v>
      </c>
      <c r="C277">
        <v>880</v>
      </c>
    </row>
    <row r="278" spans="1:4" x14ac:dyDescent="0.3">
      <c r="A278" t="s">
        <v>687</v>
      </c>
      <c r="B278">
        <v>14</v>
      </c>
      <c r="C278">
        <v>1760</v>
      </c>
    </row>
    <row r="279" spans="1:4" x14ac:dyDescent="0.3">
      <c r="A279" t="s">
        <v>688</v>
      </c>
      <c r="B279">
        <v>14</v>
      </c>
    </row>
    <row r="280" spans="1:4" x14ac:dyDescent="0.3">
      <c r="A280" t="s">
        <v>689</v>
      </c>
      <c r="B280">
        <v>14</v>
      </c>
    </row>
    <row r="281" spans="1:4" x14ac:dyDescent="0.3">
      <c r="A281" t="s">
        <v>690</v>
      </c>
      <c r="B281">
        <v>14</v>
      </c>
    </row>
    <row r="282" spans="1:4" x14ac:dyDescent="0.3">
      <c r="A282" t="s">
        <v>691</v>
      </c>
      <c r="B282">
        <v>14</v>
      </c>
      <c r="C282" t="b">
        <v>0</v>
      </c>
    </row>
    <row r="283" spans="1:4" x14ac:dyDescent="0.3">
      <c r="A283" t="s">
        <v>692</v>
      </c>
      <c r="B283">
        <v>14</v>
      </c>
      <c r="C283" t="b">
        <v>0</v>
      </c>
    </row>
    <row r="284" spans="1:4" x14ac:dyDescent="0.3">
      <c r="A284" t="s">
        <v>678</v>
      </c>
      <c r="B284">
        <v>15</v>
      </c>
      <c r="C284">
        <v>13</v>
      </c>
      <c r="D284">
        <v>14</v>
      </c>
    </row>
    <row r="285" spans="1:4" x14ac:dyDescent="0.3">
      <c r="A285" t="s">
        <v>36</v>
      </c>
      <c r="B285">
        <v>15</v>
      </c>
      <c r="C285">
        <v>1</v>
      </c>
      <c r="D285" t="s">
        <v>698</v>
      </c>
    </row>
    <row r="286" spans="1:4" x14ac:dyDescent="0.3">
      <c r="A286" t="s">
        <v>503</v>
      </c>
      <c r="B286">
        <v>15</v>
      </c>
      <c r="C286" t="s">
        <v>701</v>
      </c>
    </row>
    <row r="287" spans="1:4" x14ac:dyDescent="0.3">
      <c r="A287" t="s">
        <v>679</v>
      </c>
      <c r="B287">
        <v>15</v>
      </c>
      <c r="C287">
        <v>265</v>
      </c>
      <c r="D287">
        <v>626</v>
      </c>
    </row>
    <row r="288" spans="1:4" x14ac:dyDescent="0.3">
      <c r="A288" t="s">
        <v>42</v>
      </c>
      <c r="B288">
        <v>15</v>
      </c>
      <c r="C288">
        <v>30</v>
      </c>
      <c r="D288">
        <v>30</v>
      </c>
    </row>
    <row r="289" spans="1:6" x14ac:dyDescent="0.3">
      <c r="A289" t="s">
        <v>680</v>
      </c>
      <c r="B289">
        <v>15</v>
      </c>
      <c r="C289">
        <v>6</v>
      </c>
      <c r="D289">
        <v>14.2</v>
      </c>
    </row>
    <row r="290" spans="1:6" x14ac:dyDescent="0.3">
      <c r="A290" t="s">
        <v>41</v>
      </c>
      <c r="B290">
        <v>15</v>
      </c>
      <c r="C290">
        <v>0</v>
      </c>
      <c r="D290">
        <v>0</v>
      </c>
    </row>
    <row r="291" spans="1:6" x14ac:dyDescent="0.3">
      <c r="A291" t="s">
        <v>681</v>
      </c>
      <c r="B291">
        <v>15</v>
      </c>
      <c r="C291">
        <v>0</v>
      </c>
      <c r="D291">
        <v>0</v>
      </c>
    </row>
    <row r="292" spans="1:6" x14ac:dyDescent="0.3">
      <c r="A292" t="s">
        <v>563</v>
      </c>
      <c r="B292">
        <v>15</v>
      </c>
      <c r="C292">
        <v>0</v>
      </c>
      <c r="D292">
        <v>0</v>
      </c>
    </row>
    <row r="293" spans="1:6" x14ac:dyDescent="0.3">
      <c r="A293" t="s">
        <v>682</v>
      </c>
      <c r="B293">
        <v>15</v>
      </c>
      <c r="C293">
        <v>0</v>
      </c>
      <c r="D293">
        <v>0</v>
      </c>
    </row>
    <row r="294" spans="1:6" x14ac:dyDescent="0.3">
      <c r="A294" t="s">
        <v>683</v>
      </c>
      <c r="B294">
        <v>15</v>
      </c>
      <c r="C294">
        <v>16</v>
      </c>
      <c r="D294">
        <v>16</v>
      </c>
    </row>
    <row r="295" spans="1:6" x14ac:dyDescent="0.3">
      <c r="A295" t="s">
        <v>684</v>
      </c>
      <c r="B295">
        <v>15</v>
      </c>
      <c r="C295">
        <v>100</v>
      </c>
      <c r="D295">
        <v>100</v>
      </c>
    </row>
    <row r="296" spans="1:6" x14ac:dyDescent="0.3">
      <c r="A296" t="s">
        <v>685</v>
      </c>
      <c r="B296">
        <v>15</v>
      </c>
      <c r="C296">
        <v>1320</v>
      </c>
      <c r="D296">
        <v>1320</v>
      </c>
    </row>
    <row r="297" spans="1:6" x14ac:dyDescent="0.3">
      <c r="A297" t="s">
        <v>686</v>
      </c>
      <c r="B297">
        <v>15</v>
      </c>
      <c r="C297">
        <v>880</v>
      </c>
      <c r="D297">
        <v>880</v>
      </c>
    </row>
    <row r="298" spans="1:6" x14ac:dyDescent="0.3">
      <c r="A298" t="s">
        <v>687</v>
      </c>
      <c r="B298">
        <v>15</v>
      </c>
      <c r="C298">
        <v>1760</v>
      </c>
      <c r="D298">
        <v>1760</v>
      </c>
    </row>
    <row r="299" spans="1:6" x14ac:dyDescent="0.3">
      <c r="A299" t="s">
        <v>688</v>
      </c>
      <c r="B299">
        <v>15</v>
      </c>
    </row>
    <row r="300" spans="1:6" x14ac:dyDescent="0.3">
      <c r="A300" t="s">
        <v>689</v>
      </c>
      <c r="B300">
        <v>15</v>
      </c>
    </row>
    <row r="301" spans="1:6" x14ac:dyDescent="0.3">
      <c r="A301" t="s">
        <v>690</v>
      </c>
      <c r="B301">
        <v>15</v>
      </c>
    </row>
    <row r="302" spans="1:6" x14ac:dyDescent="0.3">
      <c r="A302" t="s">
        <v>691</v>
      </c>
      <c r="B302">
        <v>15</v>
      </c>
      <c r="C302" t="b">
        <v>0</v>
      </c>
      <c r="D302" t="b">
        <v>0</v>
      </c>
    </row>
    <row r="303" spans="1:6" x14ac:dyDescent="0.3">
      <c r="A303" t="s">
        <v>692</v>
      </c>
      <c r="B303">
        <v>15</v>
      </c>
      <c r="C303" t="b">
        <v>0</v>
      </c>
      <c r="D303" t="b">
        <v>0</v>
      </c>
    </row>
    <row r="304" spans="1:6" x14ac:dyDescent="0.3">
      <c r="A304" t="s">
        <v>678</v>
      </c>
      <c r="B304">
        <v>16</v>
      </c>
      <c r="C304">
        <v>20</v>
      </c>
      <c r="D304">
        <v>19</v>
      </c>
      <c r="E304">
        <v>13</v>
      </c>
      <c r="F304">
        <v>21</v>
      </c>
    </row>
    <row r="305" spans="1:6" x14ac:dyDescent="0.3">
      <c r="A305" t="s">
        <v>36</v>
      </c>
      <c r="B305">
        <v>16</v>
      </c>
      <c r="C305">
        <v>3</v>
      </c>
      <c r="D305">
        <v>2</v>
      </c>
      <c r="E305">
        <v>5</v>
      </c>
      <c r="F305">
        <v>5</v>
      </c>
    </row>
    <row r="306" spans="1:6" x14ac:dyDescent="0.3">
      <c r="A306" t="s">
        <v>503</v>
      </c>
      <c r="B306">
        <v>16</v>
      </c>
      <c r="C306" t="s">
        <v>702</v>
      </c>
      <c r="D306" t="s">
        <v>702</v>
      </c>
      <c r="E306" t="s">
        <v>694</v>
      </c>
      <c r="F306" t="s">
        <v>695</v>
      </c>
    </row>
    <row r="307" spans="1:6" x14ac:dyDescent="0.3">
      <c r="A307" t="s">
        <v>679</v>
      </c>
      <c r="B307">
        <v>16</v>
      </c>
      <c r="C307">
        <v>276</v>
      </c>
      <c r="D307">
        <v>361</v>
      </c>
      <c r="E307">
        <v>1317</v>
      </c>
      <c r="F307">
        <v>1275</v>
      </c>
    </row>
    <row r="308" spans="1:6" x14ac:dyDescent="0.3">
      <c r="A308" t="s">
        <v>42</v>
      </c>
      <c r="B308">
        <v>16</v>
      </c>
      <c r="C308">
        <v>25</v>
      </c>
      <c r="D308">
        <v>25</v>
      </c>
      <c r="E308">
        <v>40</v>
      </c>
      <c r="F308">
        <v>40</v>
      </c>
    </row>
    <row r="309" spans="1:6" x14ac:dyDescent="0.3">
      <c r="A309" t="s">
        <v>680</v>
      </c>
      <c r="B309">
        <v>16</v>
      </c>
      <c r="C309">
        <v>7.5</v>
      </c>
      <c r="D309">
        <v>9.8000000000000007</v>
      </c>
      <c r="E309">
        <v>22.4</v>
      </c>
      <c r="F309">
        <v>21.7</v>
      </c>
    </row>
    <row r="310" spans="1:6" x14ac:dyDescent="0.3">
      <c r="A310" t="s">
        <v>41</v>
      </c>
      <c r="B310">
        <v>16</v>
      </c>
      <c r="C310">
        <v>0</v>
      </c>
      <c r="D310">
        <v>0</v>
      </c>
      <c r="E310">
        <v>0</v>
      </c>
      <c r="F310">
        <v>0</v>
      </c>
    </row>
    <row r="311" spans="1:6" x14ac:dyDescent="0.3">
      <c r="A311" t="s">
        <v>681</v>
      </c>
      <c r="B311">
        <v>16</v>
      </c>
      <c r="C311">
        <v>12</v>
      </c>
      <c r="D311">
        <v>12</v>
      </c>
      <c r="E311" t="s">
        <v>697</v>
      </c>
      <c r="F311" t="s">
        <v>697</v>
      </c>
    </row>
    <row r="312" spans="1:6" x14ac:dyDescent="0.3">
      <c r="A312" t="s">
        <v>563</v>
      </c>
      <c r="B312">
        <v>16</v>
      </c>
      <c r="C312">
        <v>0</v>
      </c>
      <c r="D312">
        <v>0</v>
      </c>
      <c r="E312">
        <v>0</v>
      </c>
      <c r="F312">
        <v>0</v>
      </c>
    </row>
    <row r="313" spans="1:6" x14ac:dyDescent="0.3">
      <c r="A313" t="s">
        <v>682</v>
      </c>
      <c r="B313">
        <v>16</v>
      </c>
      <c r="C313">
        <v>0</v>
      </c>
      <c r="D313">
        <v>0</v>
      </c>
      <c r="E313">
        <v>0</v>
      </c>
      <c r="F313">
        <v>0</v>
      </c>
    </row>
    <row r="314" spans="1:6" x14ac:dyDescent="0.3">
      <c r="A314" t="s">
        <v>683</v>
      </c>
      <c r="B314">
        <v>16</v>
      </c>
      <c r="C314">
        <v>16</v>
      </c>
      <c r="D314">
        <v>16</v>
      </c>
      <c r="E314">
        <v>16</v>
      </c>
      <c r="F314">
        <v>1</v>
      </c>
    </row>
    <row r="315" spans="1:6" x14ac:dyDescent="0.3">
      <c r="A315" t="s">
        <v>684</v>
      </c>
      <c r="B315">
        <v>16</v>
      </c>
      <c r="C315">
        <v>500</v>
      </c>
      <c r="D315">
        <v>500</v>
      </c>
      <c r="E315">
        <v>500</v>
      </c>
      <c r="F315">
        <v>500</v>
      </c>
    </row>
    <row r="316" spans="1:6" x14ac:dyDescent="0.3">
      <c r="A316" t="s">
        <v>685</v>
      </c>
      <c r="B316">
        <v>16</v>
      </c>
      <c r="C316">
        <v>1101</v>
      </c>
      <c r="D316">
        <v>1101</v>
      </c>
      <c r="E316">
        <v>1761</v>
      </c>
      <c r="F316">
        <v>1761</v>
      </c>
    </row>
    <row r="317" spans="1:6" x14ac:dyDescent="0.3">
      <c r="A317" t="s">
        <v>686</v>
      </c>
      <c r="B317">
        <v>16</v>
      </c>
      <c r="C317">
        <v>734</v>
      </c>
      <c r="D317">
        <v>734</v>
      </c>
      <c r="E317">
        <v>1174</v>
      </c>
      <c r="F317">
        <v>1174</v>
      </c>
    </row>
    <row r="318" spans="1:6" x14ac:dyDescent="0.3">
      <c r="A318" t="s">
        <v>687</v>
      </c>
      <c r="B318">
        <v>16</v>
      </c>
      <c r="C318">
        <v>1468</v>
      </c>
      <c r="D318">
        <v>1468</v>
      </c>
      <c r="E318">
        <v>2348</v>
      </c>
      <c r="F318">
        <v>2348</v>
      </c>
    </row>
    <row r="319" spans="1:6" x14ac:dyDescent="0.3">
      <c r="A319" t="s">
        <v>688</v>
      </c>
      <c r="B319">
        <v>16</v>
      </c>
      <c r="C319">
        <v>10714</v>
      </c>
    </row>
    <row r="320" spans="1:6" x14ac:dyDescent="0.3">
      <c r="A320" t="s">
        <v>689</v>
      </c>
      <c r="B320">
        <v>16</v>
      </c>
      <c r="C320">
        <v>-349</v>
      </c>
    </row>
    <row r="321" spans="1:6" x14ac:dyDescent="0.3">
      <c r="A321" t="s">
        <v>690</v>
      </c>
      <c r="B321">
        <v>16</v>
      </c>
      <c r="C321">
        <v>0</v>
      </c>
    </row>
    <row r="322" spans="1:6" x14ac:dyDescent="0.3">
      <c r="A322" t="s">
        <v>691</v>
      </c>
      <c r="B322">
        <v>16</v>
      </c>
      <c r="C322" t="b">
        <v>0</v>
      </c>
      <c r="D322" t="b">
        <v>0</v>
      </c>
      <c r="E322" t="b">
        <v>0</v>
      </c>
      <c r="F322" t="b">
        <v>0</v>
      </c>
    </row>
    <row r="323" spans="1:6" x14ac:dyDescent="0.3">
      <c r="A323" t="s">
        <v>692</v>
      </c>
      <c r="B323">
        <v>16</v>
      </c>
      <c r="C323" t="b">
        <v>0</v>
      </c>
      <c r="D323" t="b">
        <v>0</v>
      </c>
      <c r="E323" t="b">
        <v>0</v>
      </c>
      <c r="F323" t="b">
        <v>0</v>
      </c>
    </row>
    <row r="324" spans="1:6" x14ac:dyDescent="0.3">
      <c r="A324" t="s">
        <v>678</v>
      </c>
      <c r="B324">
        <v>17</v>
      </c>
      <c r="C324">
        <v>19</v>
      </c>
    </row>
    <row r="325" spans="1:6" x14ac:dyDescent="0.3">
      <c r="A325" t="s">
        <v>36</v>
      </c>
      <c r="B325">
        <v>17</v>
      </c>
      <c r="C325">
        <v>1</v>
      </c>
    </row>
    <row r="326" spans="1:6" x14ac:dyDescent="0.3">
      <c r="A326" t="s">
        <v>503</v>
      </c>
      <c r="B326">
        <v>17</v>
      </c>
    </row>
    <row r="327" spans="1:6" x14ac:dyDescent="0.3">
      <c r="A327" t="s">
        <v>679</v>
      </c>
      <c r="B327">
        <v>17</v>
      </c>
      <c r="C327">
        <v>295</v>
      </c>
    </row>
    <row r="328" spans="1:6" x14ac:dyDescent="0.3">
      <c r="A328" t="s">
        <v>42</v>
      </c>
      <c r="B328">
        <v>17</v>
      </c>
      <c r="C328">
        <v>30</v>
      </c>
    </row>
    <row r="329" spans="1:6" x14ac:dyDescent="0.3">
      <c r="A329" t="s">
        <v>680</v>
      </c>
      <c r="B329">
        <v>17</v>
      </c>
      <c r="C329">
        <v>6.7</v>
      </c>
    </row>
    <row r="330" spans="1:6" x14ac:dyDescent="0.3">
      <c r="A330" t="s">
        <v>41</v>
      </c>
      <c r="B330">
        <v>17</v>
      </c>
      <c r="C330">
        <v>0</v>
      </c>
    </row>
    <row r="331" spans="1:6" x14ac:dyDescent="0.3">
      <c r="A331" t="s">
        <v>681</v>
      </c>
      <c r="B331">
        <v>17</v>
      </c>
      <c r="C331">
        <v>0</v>
      </c>
    </row>
    <row r="332" spans="1:6" x14ac:dyDescent="0.3">
      <c r="A332" t="s">
        <v>563</v>
      </c>
      <c r="B332">
        <v>17</v>
      </c>
      <c r="C332">
        <v>0</v>
      </c>
    </row>
    <row r="333" spans="1:6" x14ac:dyDescent="0.3">
      <c r="A333" t="s">
        <v>682</v>
      </c>
      <c r="B333">
        <v>17</v>
      </c>
      <c r="C333">
        <v>0</v>
      </c>
    </row>
    <row r="334" spans="1:6" x14ac:dyDescent="0.3">
      <c r="A334" t="s">
        <v>683</v>
      </c>
      <c r="B334">
        <v>17</v>
      </c>
      <c r="C334">
        <v>16</v>
      </c>
    </row>
    <row r="335" spans="1:6" x14ac:dyDescent="0.3">
      <c r="A335" t="s">
        <v>684</v>
      </c>
      <c r="B335">
        <v>17</v>
      </c>
      <c r="C335">
        <v>200</v>
      </c>
    </row>
    <row r="336" spans="1:6" x14ac:dyDescent="0.3">
      <c r="A336" t="s">
        <v>685</v>
      </c>
      <c r="B336">
        <v>17</v>
      </c>
      <c r="C336">
        <v>1320</v>
      </c>
    </row>
    <row r="337" spans="1:4" x14ac:dyDescent="0.3">
      <c r="A337" t="s">
        <v>686</v>
      </c>
      <c r="B337">
        <v>17</v>
      </c>
      <c r="C337">
        <v>880</v>
      </c>
    </row>
    <row r="338" spans="1:4" x14ac:dyDescent="0.3">
      <c r="A338" t="s">
        <v>687</v>
      </c>
      <c r="B338">
        <v>17</v>
      </c>
      <c r="C338">
        <v>1760</v>
      </c>
    </row>
    <row r="339" spans="1:4" x14ac:dyDescent="0.3">
      <c r="A339" t="s">
        <v>688</v>
      </c>
      <c r="B339">
        <v>17</v>
      </c>
    </row>
    <row r="340" spans="1:4" x14ac:dyDescent="0.3">
      <c r="A340" t="s">
        <v>689</v>
      </c>
      <c r="B340">
        <v>17</v>
      </c>
    </row>
    <row r="341" spans="1:4" x14ac:dyDescent="0.3">
      <c r="A341" t="s">
        <v>690</v>
      </c>
      <c r="B341">
        <v>17</v>
      </c>
    </row>
    <row r="342" spans="1:4" x14ac:dyDescent="0.3">
      <c r="A342" t="s">
        <v>691</v>
      </c>
      <c r="B342">
        <v>17</v>
      </c>
      <c r="C342" t="b">
        <v>0</v>
      </c>
    </row>
    <row r="343" spans="1:4" x14ac:dyDescent="0.3">
      <c r="A343" t="s">
        <v>692</v>
      </c>
      <c r="B343">
        <v>17</v>
      </c>
      <c r="C343" t="b">
        <v>0</v>
      </c>
    </row>
    <row r="344" spans="1:4" x14ac:dyDescent="0.3">
      <c r="A344" t="s">
        <v>678</v>
      </c>
      <c r="B344">
        <v>18</v>
      </c>
      <c r="D344">
        <v>20</v>
      </c>
    </row>
    <row r="345" spans="1:4" x14ac:dyDescent="0.3">
      <c r="A345" t="s">
        <v>36</v>
      </c>
      <c r="B345">
        <v>18</v>
      </c>
      <c r="D345">
        <v>1</v>
      </c>
    </row>
    <row r="346" spans="1:4" x14ac:dyDescent="0.3">
      <c r="A346" t="s">
        <v>503</v>
      </c>
      <c r="B346">
        <v>18</v>
      </c>
    </row>
    <row r="347" spans="1:4" x14ac:dyDescent="0.3">
      <c r="A347" t="s">
        <v>679</v>
      </c>
      <c r="B347">
        <v>18</v>
      </c>
      <c r="D347">
        <v>377</v>
      </c>
    </row>
    <row r="348" spans="1:4" x14ac:dyDescent="0.3">
      <c r="A348" t="s">
        <v>42</v>
      </c>
      <c r="B348">
        <v>18</v>
      </c>
      <c r="D348">
        <v>30</v>
      </c>
    </row>
    <row r="349" spans="1:4" x14ac:dyDescent="0.3">
      <c r="A349" t="s">
        <v>680</v>
      </c>
      <c r="B349">
        <v>18</v>
      </c>
      <c r="D349">
        <v>8.6</v>
      </c>
    </row>
    <row r="350" spans="1:4" x14ac:dyDescent="0.3">
      <c r="A350" t="s">
        <v>41</v>
      </c>
      <c r="B350">
        <v>18</v>
      </c>
      <c r="D350">
        <v>0</v>
      </c>
    </row>
    <row r="351" spans="1:4" x14ac:dyDescent="0.3">
      <c r="A351" t="s">
        <v>681</v>
      </c>
      <c r="B351">
        <v>18</v>
      </c>
      <c r="D351">
        <v>0</v>
      </c>
    </row>
    <row r="352" spans="1:4" x14ac:dyDescent="0.3">
      <c r="A352" t="s">
        <v>563</v>
      </c>
      <c r="B352">
        <v>18</v>
      </c>
      <c r="D352">
        <v>0</v>
      </c>
    </row>
    <row r="353" spans="1:4" x14ac:dyDescent="0.3">
      <c r="A353" t="s">
        <v>682</v>
      </c>
      <c r="B353">
        <v>18</v>
      </c>
      <c r="D353">
        <v>1</v>
      </c>
    </row>
    <row r="354" spans="1:4" x14ac:dyDescent="0.3">
      <c r="A354" t="s">
        <v>683</v>
      </c>
      <c r="B354">
        <v>18</v>
      </c>
      <c r="D354">
        <v>16</v>
      </c>
    </row>
    <row r="355" spans="1:4" x14ac:dyDescent="0.3">
      <c r="A355" t="s">
        <v>684</v>
      </c>
      <c r="B355">
        <v>18</v>
      </c>
      <c r="D355">
        <v>200</v>
      </c>
    </row>
    <row r="356" spans="1:4" x14ac:dyDescent="0.3">
      <c r="A356" t="s">
        <v>685</v>
      </c>
      <c r="B356">
        <v>18</v>
      </c>
      <c r="D356">
        <v>1320</v>
      </c>
    </row>
    <row r="357" spans="1:4" x14ac:dyDescent="0.3">
      <c r="A357" t="s">
        <v>686</v>
      </c>
      <c r="B357">
        <v>18</v>
      </c>
      <c r="D357">
        <v>880</v>
      </c>
    </row>
    <row r="358" spans="1:4" x14ac:dyDescent="0.3">
      <c r="A358" t="s">
        <v>687</v>
      </c>
      <c r="B358">
        <v>18</v>
      </c>
      <c r="D358">
        <v>1760</v>
      </c>
    </row>
    <row r="359" spans="1:4" x14ac:dyDescent="0.3">
      <c r="A359" t="s">
        <v>688</v>
      </c>
      <c r="B359">
        <v>18</v>
      </c>
      <c r="D359">
        <v>10585</v>
      </c>
    </row>
    <row r="360" spans="1:4" x14ac:dyDescent="0.3">
      <c r="A360" t="s">
        <v>689</v>
      </c>
      <c r="B360">
        <v>18</v>
      </c>
      <c r="D360">
        <v>-685</v>
      </c>
    </row>
    <row r="361" spans="1:4" x14ac:dyDescent="0.3">
      <c r="A361" t="s">
        <v>690</v>
      </c>
      <c r="B361">
        <v>18</v>
      </c>
      <c r="D361">
        <v>0</v>
      </c>
    </row>
    <row r="362" spans="1:4" x14ac:dyDescent="0.3">
      <c r="A362" t="s">
        <v>691</v>
      </c>
      <c r="B362">
        <v>18</v>
      </c>
      <c r="D362" t="b">
        <v>0</v>
      </c>
    </row>
    <row r="363" spans="1:4" x14ac:dyDescent="0.3">
      <c r="A363" t="s">
        <v>692</v>
      </c>
      <c r="B363">
        <v>18</v>
      </c>
      <c r="D363" t="b">
        <v>0</v>
      </c>
    </row>
    <row r="364" spans="1:4" x14ac:dyDescent="0.3">
      <c r="A364" t="s">
        <v>678</v>
      </c>
      <c r="B364">
        <v>19</v>
      </c>
      <c r="C364">
        <v>16</v>
      </c>
      <c r="D364">
        <v>17</v>
      </c>
    </row>
    <row r="365" spans="1:4" x14ac:dyDescent="0.3">
      <c r="A365" t="s">
        <v>36</v>
      </c>
      <c r="B365">
        <v>19</v>
      </c>
      <c r="C365">
        <v>1</v>
      </c>
      <c r="D365" t="s">
        <v>698</v>
      </c>
    </row>
    <row r="366" spans="1:4" x14ac:dyDescent="0.3">
      <c r="A366" t="s">
        <v>503</v>
      </c>
      <c r="B366">
        <v>19</v>
      </c>
      <c r="C366" t="s">
        <v>702</v>
      </c>
    </row>
    <row r="367" spans="1:4" x14ac:dyDescent="0.3">
      <c r="A367" t="s">
        <v>679</v>
      </c>
      <c r="B367">
        <v>19</v>
      </c>
      <c r="C367">
        <v>361</v>
      </c>
      <c r="D367">
        <v>295</v>
      </c>
    </row>
    <row r="368" spans="1:4" x14ac:dyDescent="0.3">
      <c r="A368" t="s">
        <v>42</v>
      </c>
      <c r="B368">
        <v>19</v>
      </c>
      <c r="C368">
        <v>30</v>
      </c>
      <c r="D368">
        <v>30</v>
      </c>
    </row>
    <row r="369" spans="1:4" x14ac:dyDescent="0.3">
      <c r="A369" t="s">
        <v>680</v>
      </c>
      <c r="B369">
        <v>19</v>
      </c>
      <c r="C369">
        <v>8.1999999999999993</v>
      </c>
      <c r="D369">
        <v>6.7</v>
      </c>
    </row>
    <row r="370" spans="1:4" x14ac:dyDescent="0.3">
      <c r="A370" t="s">
        <v>41</v>
      </c>
      <c r="B370">
        <v>19</v>
      </c>
      <c r="C370">
        <v>0</v>
      </c>
      <c r="D370">
        <v>0</v>
      </c>
    </row>
    <row r="371" spans="1:4" x14ac:dyDescent="0.3">
      <c r="A371" t="s">
        <v>681</v>
      </c>
      <c r="B371">
        <v>19</v>
      </c>
      <c r="C371">
        <v>0</v>
      </c>
      <c r="D371">
        <v>0</v>
      </c>
    </row>
    <row r="372" spans="1:4" x14ac:dyDescent="0.3">
      <c r="A372" t="s">
        <v>563</v>
      </c>
      <c r="B372">
        <v>19</v>
      </c>
      <c r="C372">
        <v>0</v>
      </c>
      <c r="D372">
        <v>0</v>
      </c>
    </row>
    <row r="373" spans="1:4" x14ac:dyDescent="0.3">
      <c r="A373" t="s">
        <v>682</v>
      </c>
      <c r="B373">
        <v>19</v>
      </c>
      <c r="C373">
        <v>0</v>
      </c>
      <c r="D373">
        <v>0</v>
      </c>
    </row>
    <row r="374" spans="1:4" x14ac:dyDescent="0.3">
      <c r="A374" t="s">
        <v>683</v>
      </c>
      <c r="B374">
        <v>19</v>
      </c>
      <c r="C374">
        <v>16</v>
      </c>
      <c r="D374">
        <v>16</v>
      </c>
    </row>
    <row r="375" spans="1:4" x14ac:dyDescent="0.3">
      <c r="A375" t="s">
        <v>684</v>
      </c>
      <c r="B375">
        <v>19</v>
      </c>
      <c r="C375">
        <v>100</v>
      </c>
      <c r="D375">
        <v>100</v>
      </c>
    </row>
    <row r="376" spans="1:4" x14ac:dyDescent="0.3">
      <c r="A376" t="s">
        <v>685</v>
      </c>
      <c r="B376">
        <v>19</v>
      </c>
      <c r="C376">
        <v>1320</v>
      </c>
      <c r="D376">
        <v>1320</v>
      </c>
    </row>
    <row r="377" spans="1:4" x14ac:dyDescent="0.3">
      <c r="A377" t="s">
        <v>686</v>
      </c>
      <c r="B377">
        <v>19</v>
      </c>
      <c r="C377">
        <v>880</v>
      </c>
      <c r="D377">
        <v>880</v>
      </c>
    </row>
    <row r="378" spans="1:4" x14ac:dyDescent="0.3">
      <c r="A378" t="s">
        <v>687</v>
      </c>
      <c r="B378">
        <v>19</v>
      </c>
      <c r="C378">
        <v>1760</v>
      </c>
      <c r="D378">
        <v>1760</v>
      </c>
    </row>
    <row r="379" spans="1:4" x14ac:dyDescent="0.3">
      <c r="A379" t="s">
        <v>688</v>
      </c>
      <c r="B379">
        <v>19</v>
      </c>
    </row>
    <row r="380" spans="1:4" x14ac:dyDescent="0.3">
      <c r="A380" t="s">
        <v>689</v>
      </c>
      <c r="B380">
        <v>19</v>
      </c>
    </row>
    <row r="381" spans="1:4" x14ac:dyDescent="0.3">
      <c r="A381" t="s">
        <v>690</v>
      </c>
      <c r="B381">
        <v>19</v>
      </c>
    </row>
    <row r="382" spans="1:4" x14ac:dyDescent="0.3">
      <c r="A382" t="s">
        <v>691</v>
      </c>
      <c r="B382">
        <v>19</v>
      </c>
      <c r="C382" t="b">
        <v>0</v>
      </c>
      <c r="D382" t="b">
        <v>0</v>
      </c>
    </row>
    <row r="383" spans="1:4" x14ac:dyDescent="0.3">
      <c r="A383" t="s">
        <v>692</v>
      </c>
      <c r="B383">
        <v>19</v>
      </c>
      <c r="C383" t="b">
        <v>0</v>
      </c>
      <c r="D383" t="b">
        <v>0</v>
      </c>
    </row>
    <row r="384" spans="1:4" x14ac:dyDescent="0.3">
      <c r="A384" t="s">
        <v>678</v>
      </c>
      <c r="B384">
        <v>20</v>
      </c>
      <c r="C384">
        <v>18</v>
      </c>
      <c r="D384">
        <v>16</v>
      </c>
    </row>
    <row r="385" spans="1:4" x14ac:dyDescent="0.3">
      <c r="A385" t="s">
        <v>36</v>
      </c>
      <c r="B385">
        <v>20</v>
      </c>
      <c r="C385" t="s">
        <v>698</v>
      </c>
      <c r="D385">
        <v>1</v>
      </c>
    </row>
    <row r="386" spans="1:4" x14ac:dyDescent="0.3">
      <c r="A386" t="s">
        <v>503</v>
      </c>
      <c r="B386">
        <v>20</v>
      </c>
      <c r="D386" t="s">
        <v>702</v>
      </c>
    </row>
    <row r="387" spans="1:4" x14ac:dyDescent="0.3">
      <c r="A387" t="s">
        <v>679</v>
      </c>
      <c r="B387">
        <v>20</v>
      </c>
      <c r="C387">
        <v>377</v>
      </c>
      <c r="D387">
        <v>276</v>
      </c>
    </row>
    <row r="388" spans="1:4" x14ac:dyDescent="0.3">
      <c r="A388" t="s">
        <v>42</v>
      </c>
      <c r="B388">
        <v>20</v>
      </c>
      <c r="C388">
        <v>30</v>
      </c>
      <c r="D388">
        <v>30</v>
      </c>
    </row>
    <row r="389" spans="1:4" x14ac:dyDescent="0.3">
      <c r="A389" t="s">
        <v>680</v>
      </c>
      <c r="B389">
        <v>20</v>
      </c>
      <c r="C389">
        <v>8.6</v>
      </c>
      <c r="D389">
        <v>6.3</v>
      </c>
    </row>
    <row r="390" spans="1:4" x14ac:dyDescent="0.3">
      <c r="A390" t="s">
        <v>41</v>
      </c>
      <c r="B390">
        <v>20</v>
      </c>
      <c r="C390">
        <v>0</v>
      </c>
      <c r="D390">
        <v>0</v>
      </c>
    </row>
    <row r="391" spans="1:4" x14ac:dyDescent="0.3">
      <c r="A391" t="s">
        <v>681</v>
      </c>
      <c r="B391">
        <v>20</v>
      </c>
      <c r="C391" t="s">
        <v>699</v>
      </c>
      <c r="D391">
        <v>12</v>
      </c>
    </row>
    <row r="392" spans="1:4" x14ac:dyDescent="0.3">
      <c r="A392" t="s">
        <v>563</v>
      </c>
      <c r="B392">
        <v>20</v>
      </c>
      <c r="C392">
        <v>0</v>
      </c>
      <c r="D392">
        <v>0</v>
      </c>
    </row>
    <row r="393" spans="1:4" x14ac:dyDescent="0.3">
      <c r="A393" t="s">
        <v>682</v>
      </c>
      <c r="B393">
        <v>20</v>
      </c>
      <c r="C393">
        <v>1</v>
      </c>
      <c r="D393">
        <v>0</v>
      </c>
    </row>
    <row r="394" spans="1:4" x14ac:dyDescent="0.3">
      <c r="A394" t="s">
        <v>683</v>
      </c>
      <c r="B394">
        <v>20</v>
      </c>
      <c r="C394">
        <v>16</v>
      </c>
      <c r="D394">
        <v>16</v>
      </c>
    </row>
    <row r="395" spans="1:4" x14ac:dyDescent="0.3">
      <c r="A395" t="s">
        <v>684</v>
      </c>
      <c r="B395">
        <v>20</v>
      </c>
      <c r="C395">
        <v>100</v>
      </c>
      <c r="D395">
        <v>100</v>
      </c>
    </row>
    <row r="396" spans="1:4" x14ac:dyDescent="0.3">
      <c r="A396" t="s">
        <v>685</v>
      </c>
      <c r="B396">
        <v>20</v>
      </c>
      <c r="C396">
        <v>1320</v>
      </c>
      <c r="D396">
        <v>1320</v>
      </c>
    </row>
    <row r="397" spans="1:4" x14ac:dyDescent="0.3">
      <c r="A397" t="s">
        <v>686</v>
      </c>
      <c r="B397">
        <v>20</v>
      </c>
      <c r="C397">
        <v>880</v>
      </c>
      <c r="D397">
        <v>880</v>
      </c>
    </row>
    <row r="398" spans="1:4" x14ac:dyDescent="0.3">
      <c r="A398" t="s">
        <v>687</v>
      </c>
      <c r="B398">
        <v>20</v>
      </c>
      <c r="C398">
        <v>1760</v>
      </c>
      <c r="D398">
        <v>1760</v>
      </c>
    </row>
    <row r="399" spans="1:4" x14ac:dyDescent="0.3">
      <c r="A399" t="s">
        <v>688</v>
      </c>
      <c r="B399">
        <v>20</v>
      </c>
      <c r="C399">
        <v>10646</v>
      </c>
      <c r="D399">
        <v>10711</v>
      </c>
    </row>
    <row r="400" spans="1:4" x14ac:dyDescent="0.3">
      <c r="A400" t="s">
        <v>689</v>
      </c>
      <c r="B400">
        <v>20</v>
      </c>
      <c r="C400">
        <v>-606</v>
      </c>
      <c r="D400">
        <v>-402</v>
      </c>
    </row>
    <row r="401" spans="1:6" x14ac:dyDescent="0.3">
      <c r="A401" t="s">
        <v>690</v>
      </c>
      <c r="B401">
        <v>20</v>
      </c>
      <c r="C401">
        <v>0</v>
      </c>
      <c r="D401">
        <v>0</v>
      </c>
    </row>
    <row r="402" spans="1:6" x14ac:dyDescent="0.3">
      <c r="A402" t="s">
        <v>691</v>
      </c>
      <c r="B402">
        <v>20</v>
      </c>
      <c r="C402" t="b">
        <v>0</v>
      </c>
      <c r="D402" t="b">
        <v>0</v>
      </c>
    </row>
    <row r="403" spans="1:6" x14ac:dyDescent="0.3">
      <c r="A403" t="s">
        <v>692</v>
      </c>
      <c r="B403">
        <v>20</v>
      </c>
      <c r="C403" t="b">
        <v>0</v>
      </c>
      <c r="D403" t="b">
        <v>0</v>
      </c>
    </row>
    <row r="404" spans="1:6" x14ac:dyDescent="0.3">
      <c r="A404" t="s">
        <v>678</v>
      </c>
      <c r="B404">
        <v>21</v>
      </c>
      <c r="C404">
        <v>23</v>
      </c>
      <c r="D404">
        <v>22</v>
      </c>
      <c r="E404">
        <v>16</v>
      </c>
      <c r="F404">
        <v>24</v>
      </c>
    </row>
    <row r="405" spans="1:6" x14ac:dyDescent="0.3">
      <c r="A405" t="s">
        <v>36</v>
      </c>
      <c r="B405">
        <v>21</v>
      </c>
      <c r="C405">
        <v>5</v>
      </c>
      <c r="D405">
        <v>5</v>
      </c>
      <c r="E405">
        <v>6</v>
      </c>
      <c r="F405">
        <v>5</v>
      </c>
    </row>
    <row r="406" spans="1:6" x14ac:dyDescent="0.3">
      <c r="A406" t="s">
        <v>503</v>
      </c>
      <c r="B406">
        <v>21</v>
      </c>
      <c r="C406" t="s">
        <v>703</v>
      </c>
      <c r="D406" t="s">
        <v>703</v>
      </c>
      <c r="E406" t="s">
        <v>695</v>
      </c>
      <c r="F406" t="s">
        <v>695</v>
      </c>
    </row>
    <row r="407" spans="1:6" x14ac:dyDescent="0.3">
      <c r="A407" t="s">
        <v>679</v>
      </c>
      <c r="B407">
        <v>21</v>
      </c>
      <c r="C407">
        <v>473</v>
      </c>
      <c r="D407">
        <v>742</v>
      </c>
      <c r="E407">
        <v>1275</v>
      </c>
      <c r="F407">
        <v>1358</v>
      </c>
    </row>
    <row r="408" spans="1:6" x14ac:dyDescent="0.3">
      <c r="A408" t="s">
        <v>42</v>
      </c>
      <c r="B408">
        <v>21</v>
      </c>
      <c r="C408">
        <v>40</v>
      </c>
      <c r="D408">
        <v>40</v>
      </c>
      <c r="E408">
        <v>40</v>
      </c>
      <c r="F408">
        <v>40</v>
      </c>
    </row>
    <row r="409" spans="1:6" x14ac:dyDescent="0.3">
      <c r="A409" t="s">
        <v>680</v>
      </c>
      <c r="B409">
        <v>21</v>
      </c>
      <c r="C409">
        <v>8.1</v>
      </c>
      <c r="D409">
        <v>12.6</v>
      </c>
      <c r="E409">
        <v>21.7</v>
      </c>
      <c r="F409">
        <v>23.1</v>
      </c>
    </row>
    <row r="410" spans="1:6" x14ac:dyDescent="0.3">
      <c r="A410" t="s">
        <v>41</v>
      </c>
      <c r="B410">
        <v>21</v>
      </c>
      <c r="C410">
        <v>0</v>
      </c>
      <c r="D410">
        <v>0</v>
      </c>
      <c r="E410">
        <v>0</v>
      </c>
      <c r="F410">
        <v>0</v>
      </c>
    </row>
    <row r="411" spans="1:6" x14ac:dyDescent="0.3">
      <c r="A411" t="s">
        <v>681</v>
      </c>
      <c r="B411">
        <v>21</v>
      </c>
      <c r="C411">
        <v>24</v>
      </c>
      <c r="D411">
        <v>24</v>
      </c>
      <c r="E411">
        <v>24</v>
      </c>
      <c r="F411">
        <v>24</v>
      </c>
    </row>
    <row r="412" spans="1:6" x14ac:dyDescent="0.3">
      <c r="A412" t="s">
        <v>563</v>
      </c>
      <c r="B412">
        <v>21</v>
      </c>
      <c r="C412">
        <v>0</v>
      </c>
      <c r="D412">
        <v>0</v>
      </c>
      <c r="E412">
        <v>0</v>
      </c>
      <c r="F412">
        <v>0</v>
      </c>
    </row>
    <row r="413" spans="1:6" x14ac:dyDescent="0.3">
      <c r="A413" t="s">
        <v>682</v>
      </c>
      <c r="B413">
        <v>21</v>
      </c>
      <c r="C413">
        <v>0</v>
      </c>
      <c r="D413">
        <v>0</v>
      </c>
      <c r="E413">
        <v>0</v>
      </c>
      <c r="F413">
        <v>0</v>
      </c>
    </row>
    <row r="414" spans="1:6" x14ac:dyDescent="0.3">
      <c r="A414" t="s">
        <v>683</v>
      </c>
      <c r="B414">
        <v>21</v>
      </c>
      <c r="C414">
        <v>16</v>
      </c>
      <c r="D414">
        <v>16</v>
      </c>
      <c r="E414">
        <v>16</v>
      </c>
      <c r="F414">
        <v>16</v>
      </c>
    </row>
    <row r="415" spans="1:6" x14ac:dyDescent="0.3">
      <c r="A415" t="s">
        <v>684</v>
      </c>
      <c r="B415">
        <v>21</v>
      </c>
      <c r="C415">
        <v>500</v>
      </c>
      <c r="D415">
        <v>500</v>
      </c>
      <c r="E415">
        <v>500</v>
      </c>
      <c r="F415">
        <v>500</v>
      </c>
    </row>
    <row r="416" spans="1:6" x14ac:dyDescent="0.3">
      <c r="A416" t="s">
        <v>685</v>
      </c>
      <c r="B416">
        <v>21</v>
      </c>
      <c r="C416">
        <v>1761</v>
      </c>
      <c r="D416">
        <v>1761</v>
      </c>
      <c r="E416">
        <v>1761</v>
      </c>
      <c r="F416">
        <v>1761</v>
      </c>
    </row>
    <row r="417" spans="1:6" x14ac:dyDescent="0.3">
      <c r="A417" t="s">
        <v>686</v>
      </c>
      <c r="B417">
        <v>21</v>
      </c>
      <c r="C417">
        <v>1174</v>
      </c>
      <c r="D417">
        <v>1174</v>
      </c>
      <c r="E417">
        <v>1174</v>
      </c>
      <c r="F417">
        <v>1174</v>
      </c>
    </row>
    <row r="418" spans="1:6" x14ac:dyDescent="0.3">
      <c r="A418" t="s">
        <v>687</v>
      </c>
      <c r="B418">
        <v>21</v>
      </c>
      <c r="C418">
        <v>2348</v>
      </c>
      <c r="D418">
        <v>2348</v>
      </c>
      <c r="E418">
        <v>2348</v>
      </c>
      <c r="F418">
        <v>2348</v>
      </c>
    </row>
    <row r="419" spans="1:6" x14ac:dyDescent="0.3">
      <c r="A419" t="s">
        <v>688</v>
      </c>
      <c r="B419">
        <v>21</v>
      </c>
    </row>
    <row r="420" spans="1:6" x14ac:dyDescent="0.3">
      <c r="A420" t="s">
        <v>689</v>
      </c>
      <c r="B420">
        <v>21</v>
      </c>
    </row>
    <row r="421" spans="1:6" x14ac:dyDescent="0.3">
      <c r="A421" t="s">
        <v>690</v>
      </c>
      <c r="B421">
        <v>21</v>
      </c>
    </row>
    <row r="422" spans="1:6" x14ac:dyDescent="0.3">
      <c r="A422" t="s">
        <v>691</v>
      </c>
      <c r="B422">
        <v>21</v>
      </c>
      <c r="C422" t="b">
        <v>0</v>
      </c>
      <c r="D422" t="b">
        <v>0</v>
      </c>
      <c r="E422" t="b">
        <v>0</v>
      </c>
      <c r="F422" t="b">
        <v>0</v>
      </c>
    </row>
    <row r="423" spans="1:6" x14ac:dyDescent="0.3">
      <c r="A423" t="s">
        <v>692</v>
      </c>
      <c r="B423">
        <v>21</v>
      </c>
      <c r="C423" t="b">
        <v>0</v>
      </c>
      <c r="D423" t="b">
        <v>0</v>
      </c>
      <c r="E423" t="b">
        <v>0</v>
      </c>
      <c r="F423" t="b">
        <v>0</v>
      </c>
    </row>
    <row r="424" spans="1:6" x14ac:dyDescent="0.3">
      <c r="A424" t="s">
        <v>678</v>
      </c>
      <c r="B424">
        <v>22</v>
      </c>
      <c r="C424">
        <v>21</v>
      </c>
    </row>
    <row r="425" spans="1:6" x14ac:dyDescent="0.3">
      <c r="A425" t="s">
        <v>36</v>
      </c>
      <c r="B425">
        <v>22</v>
      </c>
      <c r="C425">
        <v>3</v>
      </c>
    </row>
    <row r="426" spans="1:6" x14ac:dyDescent="0.3">
      <c r="A426" t="s">
        <v>503</v>
      </c>
      <c r="B426">
        <v>22</v>
      </c>
      <c r="C426" t="s">
        <v>703</v>
      </c>
    </row>
    <row r="427" spans="1:6" x14ac:dyDescent="0.3">
      <c r="A427" t="s">
        <v>679</v>
      </c>
      <c r="B427">
        <v>22</v>
      </c>
      <c r="C427">
        <v>742</v>
      </c>
    </row>
    <row r="428" spans="1:6" x14ac:dyDescent="0.3">
      <c r="A428" t="s">
        <v>42</v>
      </c>
      <c r="B428">
        <v>22</v>
      </c>
      <c r="C428">
        <v>30</v>
      </c>
    </row>
    <row r="429" spans="1:6" x14ac:dyDescent="0.3">
      <c r="A429" t="s">
        <v>680</v>
      </c>
      <c r="B429">
        <v>22</v>
      </c>
      <c r="C429">
        <v>16.899999999999999</v>
      </c>
    </row>
    <row r="430" spans="1:6" x14ac:dyDescent="0.3">
      <c r="A430" t="s">
        <v>41</v>
      </c>
      <c r="B430">
        <v>22</v>
      </c>
      <c r="C430">
        <v>0</v>
      </c>
    </row>
    <row r="431" spans="1:6" x14ac:dyDescent="0.3">
      <c r="A431" t="s">
        <v>681</v>
      </c>
      <c r="B431">
        <v>22</v>
      </c>
      <c r="C431">
        <v>24</v>
      </c>
    </row>
    <row r="432" spans="1:6" x14ac:dyDescent="0.3">
      <c r="A432" t="s">
        <v>563</v>
      </c>
      <c r="B432">
        <v>22</v>
      </c>
      <c r="C432">
        <v>0</v>
      </c>
    </row>
    <row r="433" spans="1:4" x14ac:dyDescent="0.3">
      <c r="A433" t="s">
        <v>682</v>
      </c>
      <c r="B433">
        <v>22</v>
      </c>
      <c r="C433">
        <v>0</v>
      </c>
    </row>
    <row r="434" spans="1:4" x14ac:dyDescent="0.3">
      <c r="A434" t="s">
        <v>683</v>
      </c>
      <c r="B434">
        <v>22</v>
      </c>
      <c r="C434">
        <v>16</v>
      </c>
    </row>
    <row r="435" spans="1:4" x14ac:dyDescent="0.3">
      <c r="A435" t="s">
        <v>684</v>
      </c>
      <c r="B435">
        <v>22</v>
      </c>
      <c r="C435">
        <v>200</v>
      </c>
    </row>
    <row r="436" spans="1:4" x14ac:dyDescent="0.3">
      <c r="A436" t="s">
        <v>685</v>
      </c>
      <c r="B436">
        <v>22</v>
      </c>
      <c r="C436">
        <v>1320</v>
      </c>
    </row>
    <row r="437" spans="1:4" x14ac:dyDescent="0.3">
      <c r="A437" t="s">
        <v>686</v>
      </c>
      <c r="B437">
        <v>22</v>
      </c>
      <c r="C437">
        <v>880</v>
      </c>
    </row>
    <row r="438" spans="1:4" x14ac:dyDescent="0.3">
      <c r="A438" t="s">
        <v>687</v>
      </c>
      <c r="B438">
        <v>22</v>
      </c>
      <c r="C438">
        <v>1760</v>
      </c>
    </row>
    <row r="439" spans="1:4" x14ac:dyDescent="0.3">
      <c r="A439" t="s">
        <v>688</v>
      </c>
      <c r="B439">
        <v>22</v>
      </c>
    </row>
    <row r="440" spans="1:4" x14ac:dyDescent="0.3">
      <c r="A440" t="s">
        <v>689</v>
      </c>
      <c r="B440">
        <v>22</v>
      </c>
    </row>
    <row r="441" spans="1:4" x14ac:dyDescent="0.3">
      <c r="A441" t="s">
        <v>690</v>
      </c>
      <c r="B441">
        <v>22</v>
      </c>
    </row>
    <row r="442" spans="1:4" x14ac:dyDescent="0.3">
      <c r="A442" t="s">
        <v>691</v>
      </c>
      <c r="B442">
        <v>22</v>
      </c>
      <c r="C442" t="b">
        <v>0</v>
      </c>
    </row>
    <row r="443" spans="1:4" x14ac:dyDescent="0.3">
      <c r="A443" t="s">
        <v>692</v>
      </c>
      <c r="B443">
        <v>22</v>
      </c>
      <c r="C443" t="b">
        <v>0</v>
      </c>
    </row>
    <row r="444" spans="1:4" x14ac:dyDescent="0.3">
      <c r="A444" t="s">
        <v>678</v>
      </c>
      <c r="B444">
        <v>23</v>
      </c>
      <c r="D444">
        <v>21</v>
      </c>
    </row>
    <row r="445" spans="1:4" x14ac:dyDescent="0.3">
      <c r="A445" t="s">
        <v>36</v>
      </c>
      <c r="B445">
        <v>23</v>
      </c>
      <c r="D445">
        <v>3</v>
      </c>
    </row>
    <row r="446" spans="1:4" x14ac:dyDescent="0.3">
      <c r="A446" t="s">
        <v>503</v>
      </c>
      <c r="B446">
        <v>23</v>
      </c>
      <c r="D446" t="s">
        <v>703</v>
      </c>
    </row>
    <row r="447" spans="1:4" x14ac:dyDescent="0.3">
      <c r="A447" t="s">
        <v>679</v>
      </c>
      <c r="B447">
        <v>23</v>
      </c>
      <c r="D447">
        <v>473</v>
      </c>
    </row>
    <row r="448" spans="1:4" x14ac:dyDescent="0.3">
      <c r="A448" t="s">
        <v>42</v>
      </c>
      <c r="B448">
        <v>23</v>
      </c>
      <c r="D448">
        <v>30</v>
      </c>
    </row>
    <row r="449" spans="1:6" x14ac:dyDescent="0.3">
      <c r="A449" t="s">
        <v>680</v>
      </c>
      <c r="B449">
        <v>23</v>
      </c>
      <c r="D449">
        <v>10.8</v>
      </c>
    </row>
    <row r="450" spans="1:6" x14ac:dyDescent="0.3">
      <c r="A450" t="s">
        <v>41</v>
      </c>
      <c r="B450">
        <v>23</v>
      </c>
      <c r="D450">
        <v>0</v>
      </c>
    </row>
    <row r="451" spans="1:6" x14ac:dyDescent="0.3">
      <c r="A451" t="s">
        <v>681</v>
      </c>
      <c r="B451">
        <v>23</v>
      </c>
      <c r="D451">
        <v>24</v>
      </c>
    </row>
    <row r="452" spans="1:6" x14ac:dyDescent="0.3">
      <c r="A452" t="s">
        <v>563</v>
      </c>
      <c r="B452">
        <v>23</v>
      </c>
      <c r="D452">
        <v>0</v>
      </c>
    </row>
    <row r="453" spans="1:6" x14ac:dyDescent="0.3">
      <c r="A453" t="s">
        <v>682</v>
      </c>
      <c r="B453">
        <v>23</v>
      </c>
      <c r="D453">
        <v>0</v>
      </c>
    </row>
    <row r="454" spans="1:6" x14ac:dyDescent="0.3">
      <c r="A454" t="s">
        <v>683</v>
      </c>
      <c r="B454">
        <v>23</v>
      </c>
      <c r="D454">
        <v>16</v>
      </c>
    </row>
    <row r="455" spans="1:6" x14ac:dyDescent="0.3">
      <c r="A455" t="s">
        <v>684</v>
      </c>
      <c r="B455">
        <v>23</v>
      </c>
      <c r="D455">
        <v>200</v>
      </c>
    </row>
    <row r="456" spans="1:6" x14ac:dyDescent="0.3">
      <c r="A456" t="s">
        <v>685</v>
      </c>
      <c r="B456">
        <v>23</v>
      </c>
      <c r="D456">
        <v>1320</v>
      </c>
    </row>
    <row r="457" spans="1:6" x14ac:dyDescent="0.3">
      <c r="A457" t="s">
        <v>686</v>
      </c>
      <c r="B457">
        <v>23</v>
      </c>
      <c r="D457">
        <v>880</v>
      </c>
    </row>
    <row r="458" spans="1:6" x14ac:dyDescent="0.3">
      <c r="A458" t="s">
        <v>687</v>
      </c>
      <c r="B458">
        <v>23</v>
      </c>
      <c r="D458">
        <v>1760</v>
      </c>
    </row>
    <row r="459" spans="1:6" x14ac:dyDescent="0.3">
      <c r="A459" t="s">
        <v>688</v>
      </c>
      <c r="B459">
        <v>23</v>
      </c>
    </row>
    <row r="460" spans="1:6" x14ac:dyDescent="0.3">
      <c r="A460" t="s">
        <v>689</v>
      </c>
      <c r="B460">
        <v>23</v>
      </c>
    </row>
    <row r="461" spans="1:6" x14ac:dyDescent="0.3">
      <c r="A461" t="s">
        <v>690</v>
      </c>
      <c r="B461">
        <v>23</v>
      </c>
    </row>
    <row r="462" spans="1:6" x14ac:dyDescent="0.3">
      <c r="A462" t="s">
        <v>691</v>
      </c>
      <c r="B462">
        <v>23</v>
      </c>
      <c r="D462" t="b">
        <v>0</v>
      </c>
    </row>
    <row r="463" spans="1:6" x14ac:dyDescent="0.3">
      <c r="A463" t="s">
        <v>692</v>
      </c>
      <c r="B463">
        <v>23</v>
      </c>
      <c r="D463" t="b">
        <v>0</v>
      </c>
    </row>
    <row r="464" spans="1:6" x14ac:dyDescent="0.3">
      <c r="A464" t="s">
        <v>678</v>
      </c>
      <c r="B464">
        <v>24</v>
      </c>
      <c r="C464">
        <v>26</v>
      </c>
      <c r="D464">
        <v>25</v>
      </c>
      <c r="E464">
        <v>21</v>
      </c>
      <c r="F464">
        <v>27</v>
      </c>
    </row>
    <row r="465" spans="1:6" x14ac:dyDescent="0.3">
      <c r="A465" t="s">
        <v>36</v>
      </c>
      <c r="B465">
        <v>24</v>
      </c>
      <c r="C465">
        <v>1</v>
      </c>
      <c r="D465">
        <v>1</v>
      </c>
      <c r="E465">
        <v>4</v>
      </c>
      <c r="F465">
        <v>4</v>
      </c>
    </row>
    <row r="466" spans="1:6" x14ac:dyDescent="0.3">
      <c r="A466" t="s">
        <v>503</v>
      </c>
      <c r="B466">
        <v>24</v>
      </c>
      <c r="C466" t="s">
        <v>704</v>
      </c>
      <c r="D466" t="s">
        <v>704</v>
      </c>
      <c r="E466" t="s">
        <v>695</v>
      </c>
      <c r="F466" t="s">
        <v>695</v>
      </c>
    </row>
    <row r="467" spans="1:6" x14ac:dyDescent="0.3">
      <c r="A467" t="s">
        <v>679</v>
      </c>
      <c r="B467">
        <v>24</v>
      </c>
      <c r="C467">
        <v>527</v>
      </c>
      <c r="D467">
        <v>551</v>
      </c>
      <c r="E467">
        <v>1358</v>
      </c>
      <c r="F467">
        <v>1300</v>
      </c>
    </row>
    <row r="468" spans="1:6" x14ac:dyDescent="0.3">
      <c r="A468" t="s">
        <v>42</v>
      </c>
      <c r="B468">
        <v>24</v>
      </c>
      <c r="C468">
        <v>25</v>
      </c>
      <c r="D468">
        <v>25</v>
      </c>
      <c r="E468">
        <v>40</v>
      </c>
      <c r="F468">
        <v>40</v>
      </c>
    </row>
    <row r="469" spans="1:6" x14ac:dyDescent="0.3">
      <c r="A469" t="s">
        <v>680</v>
      </c>
      <c r="B469">
        <v>24</v>
      </c>
      <c r="C469">
        <v>14.4</v>
      </c>
      <c r="D469">
        <v>15</v>
      </c>
      <c r="E469">
        <v>23.1</v>
      </c>
      <c r="F469">
        <v>22.2</v>
      </c>
    </row>
    <row r="470" spans="1:6" x14ac:dyDescent="0.3">
      <c r="A470" t="s">
        <v>41</v>
      </c>
      <c r="B470">
        <v>24</v>
      </c>
      <c r="C470">
        <v>0</v>
      </c>
      <c r="D470">
        <v>0</v>
      </c>
      <c r="E470">
        <v>0</v>
      </c>
      <c r="F470">
        <v>0</v>
      </c>
    </row>
    <row r="471" spans="1:6" x14ac:dyDescent="0.3">
      <c r="A471" t="s">
        <v>681</v>
      </c>
      <c r="B471">
        <v>24</v>
      </c>
      <c r="C471">
        <v>0</v>
      </c>
      <c r="D471">
        <v>0</v>
      </c>
      <c r="E471" t="s">
        <v>697</v>
      </c>
      <c r="F471" t="s">
        <v>697</v>
      </c>
    </row>
    <row r="472" spans="1:6" x14ac:dyDescent="0.3">
      <c r="A472" t="s">
        <v>563</v>
      </c>
      <c r="B472">
        <v>24</v>
      </c>
      <c r="C472">
        <v>0</v>
      </c>
      <c r="D472">
        <v>0</v>
      </c>
      <c r="E472">
        <v>0</v>
      </c>
      <c r="F472">
        <v>0</v>
      </c>
    </row>
    <row r="473" spans="1:6" x14ac:dyDescent="0.3">
      <c r="A473" t="s">
        <v>682</v>
      </c>
      <c r="B473">
        <v>24</v>
      </c>
      <c r="C473">
        <v>0</v>
      </c>
      <c r="D473">
        <v>0</v>
      </c>
      <c r="E473">
        <v>0</v>
      </c>
      <c r="F473">
        <v>0</v>
      </c>
    </row>
    <row r="474" spans="1:6" x14ac:dyDescent="0.3">
      <c r="A474" t="s">
        <v>683</v>
      </c>
      <c r="B474">
        <v>24</v>
      </c>
      <c r="C474">
        <v>16</v>
      </c>
      <c r="D474">
        <v>16</v>
      </c>
      <c r="E474">
        <v>16</v>
      </c>
      <c r="F474">
        <v>16</v>
      </c>
    </row>
    <row r="475" spans="1:6" x14ac:dyDescent="0.3">
      <c r="A475" t="s">
        <v>684</v>
      </c>
      <c r="B475">
        <v>24</v>
      </c>
      <c r="C475">
        <v>250</v>
      </c>
      <c r="D475">
        <v>250</v>
      </c>
      <c r="E475">
        <v>250</v>
      </c>
      <c r="F475">
        <v>250</v>
      </c>
    </row>
    <row r="476" spans="1:6" x14ac:dyDescent="0.3">
      <c r="A476" t="s">
        <v>685</v>
      </c>
      <c r="B476">
        <v>24</v>
      </c>
      <c r="C476">
        <v>1101</v>
      </c>
      <c r="D476">
        <v>1101</v>
      </c>
      <c r="E476">
        <v>1761</v>
      </c>
      <c r="F476">
        <v>1761</v>
      </c>
    </row>
    <row r="477" spans="1:6" x14ac:dyDescent="0.3">
      <c r="A477" t="s">
        <v>686</v>
      </c>
      <c r="B477">
        <v>24</v>
      </c>
      <c r="C477">
        <v>734</v>
      </c>
      <c r="D477">
        <v>734</v>
      </c>
      <c r="E477">
        <v>1174</v>
      </c>
      <c r="F477">
        <v>1174</v>
      </c>
    </row>
    <row r="478" spans="1:6" x14ac:dyDescent="0.3">
      <c r="A478" t="s">
        <v>687</v>
      </c>
      <c r="B478">
        <v>24</v>
      </c>
      <c r="C478">
        <v>1468</v>
      </c>
      <c r="D478">
        <v>1468</v>
      </c>
      <c r="E478">
        <v>2348</v>
      </c>
      <c r="F478">
        <v>2348</v>
      </c>
    </row>
    <row r="479" spans="1:6" x14ac:dyDescent="0.3">
      <c r="A479" t="s">
        <v>688</v>
      </c>
      <c r="B479">
        <v>24</v>
      </c>
    </row>
    <row r="480" spans="1:6" x14ac:dyDescent="0.3">
      <c r="A480" t="s">
        <v>689</v>
      </c>
      <c r="B480">
        <v>24</v>
      </c>
    </row>
    <row r="481" spans="1:6" x14ac:dyDescent="0.3">
      <c r="A481" t="s">
        <v>690</v>
      </c>
      <c r="B481">
        <v>24</v>
      </c>
    </row>
    <row r="482" spans="1:6" x14ac:dyDescent="0.3">
      <c r="A482" t="s">
        <v>691</v>
      </c>
      <c r="B482">
        <v>24</v>
      </c>
      <c r="C482" t="b">
        <v>0</v>
      </c>
      <c r="D482" t="b">
        <v>0</v>
      </c>
      <c r="E482" t="b">
        <v>0</v>
      </c>
      <c r="F482" t="b">
        <v>0</v>
      </c>
    </row>
    <row r="483" spans="1:6" x14ac:dyDescent="0.3">
      <c r="A483" t="s">
        <v>692</v>
      </c>
      <c r="B483">
        <v>24</v>
      </c>
      <c r="C483" t="b">
        <v>0</v>
      </c>
      <c r="D483" t="b">
        <v>0</v>
      </c>
      <c r="E483" t="b">
        <v>0</v>
      </c>
      <c r="F483" t="b">
        <v>0</v>
      </c>
    </row>
    <row r="484" spans="1:6" x14ac:dyDescent="0.3">
      <c r="A484" t="s">
        <v>678</v>
      </c>
      <c r="B484">
        <v>25</v>
      </c>
      <c r="C484">
        <v>24</v>
      </c>
    </row>
    <row r="485" spans="1:6" x14ac:dyDescent="0.3">
      <c r="A485" t="s">
        <v>36</v>
      </c>
      <c r="B485">
        <v>25</v>
      </c>
      <c r="C485">
        <v>1</v>
      </c>
    </row>
    <row r="486" spans="1:6" x14ac:dyDescent="0.3">
      <c r="A486" t="s">
        <v>503</v>
      </c>
      <c r="B486">
        <v>25</v>
      </c>
      <c r="C486" t="s">
        <v>704</v>
      </c>
    </row>
    <row r="487" spans="1:6" x14ac:dyDescent="0.3">
      <c r="A487" t="s">
        <v>679</v>
      </c>
      <c r="B487">
        <v>25</v>
      </c>
      <c r="C487">
        <v>551</v>
      </c>
    </row>
    <row r="488" spans="1:6" x14ac:dyDescent="0.3">
      <c r="A488" t="s">
        <v>42</v>
      </c>
      <c r="B488">
        <v>25</v>
      </c>
      <c r="C488">
        <v>30</v>
      </c>
    </row>
    <row r="489" spans="1:6" x14ac:dyDescent="0.3">
      <c r="A489" t="s">
        <v>680</v>
      </c>
      <c r="B489">
        <v>25</v>
      </c>
      <c r="C489">
        <v>12.5</v>
      </c>
    </row>
    <row r="490" spans="1:6" x14ac:dyDescent="0.3">
      <c r="A490" t="s">
        <v>41</v>
      </c>
      <c r="B490">
        <v>25</v>
      </c>
      <c r="C490">
        <v>0</v>
      </c>
    </row>
    <row r="491" spans="1:6" x14ac:dyDescent="0.3">
      <c r="A491" t="s">
        <v>681</v>
      </c>
      <c r="B491">
        <v>25</v>
      </c>
      <c r="C491">
        <v>0</v>
      </c>
    </row>
    <row r="492" spans="1:6" x14ac:dyDescent="0.3">
      <c r="A492" t="s">
        <v>563</v>
      </c>
      <c r="B492">
        <v>25</v>
      </c>
      <c r="C492">
        <v>0</v>
      </c>
    </row>
    <row r="493" spans="1:6" x14ac:dyDescent="0.3">
      <c r="A493" t="s">
        <v>682</v>
      </c>
      <c r="B493">
        <v>25</v>
      </c>
      <c r="C493">
        <v>0</v>
      </c>
    </row>
    <row r="494" spans="1:6" x14ac:dyDescent="0.3">
      <c r="A494" t="s">
        <v>683</v>
      </c>
      <c r="B494">
        <v>25</v>
      </c>
      <c r="C494">
        <v>16</v>
      </c>
    </row>
    <row r="495" spans="1:6" x14ac:dyDescent="0.3">
      <c r="A495" t="s">
        <v>684</v>
      </c>
      <c r="B495">
        <v>25</v>
      </c>
      <c r="C495">
        <v>200</v>
      </c>
    </row>
    <row r="496" spans="1:6" x14ac:dyDescent="0.3">
      <c r="A496" t="s">
        <v>685</v>
      </c>
      <c r="B496">
        <v>25</v>
      </c>
      <c r="C496">
        <v>1320</v>
      </c>
    </row>
    <row r="497" spans="1:4" x14ac:dyDescent="0.3">
      <c r="A497" t="s">
        <v>686</v>
      </c>
      <c r="B497">
        <v>25</v>
      </c>
      <c r="C497">
        <v>880</v>
      </c>
    </row>
    <row r="498" spans="1:4" x14ac:dyDescent="0.3">
      <c r="A498" t="s">
        <v>687</v>
      </c>
      <c r="B498">
        <v>25</v>
      </c>
      <c r="C498">
        <v>1760</v>
      </c>
    </row>
    <row r="499" spans="1:4" x14ac:dyDescent="0.3">
      <c r="A499" t="s">
        <v>688</v>
      </c>
      <c r="B499">
        <v>25</v>
      </c>
    </row>
    <row r="500" spans="1:4" x14ac:dyDescent="0.3">
      <c r="A500" t="s">
        <v>689</v>
      </c>
      <c r="B500">
        <v>25</v>
      </c>
    </row>
    <row r="501" spans="1:4" x14ac:dyDescent="0.3">
      <c r="A501" t="s">
        <v>690</v>
      </c>
      <c r="B501">
        <v>25</v>
      </c>
    </row>
    <row r="502" spans="1:4" x14ac:dyDescent="0.3">
      <c r="A502" t="s">
        <v>691</v>
      </c>
      <c r="B502">
        <v>25</v>
      </c>
      <c r="C502" t="b">
        <v>0</v>
      </c>
    </row>
    <row r="503" spans="1:4" x14ac:dyDescent="0.3">
      <c r="A503" t="s">
        <v>692</v>
      </c>
      <c r="B503">
        <v>25</v>
      </c>
      <c r="C503" t="b">
        <v>0</v>
      </c>
    </row>
    <row r="504" spans="1:4" x14ac:dyDescent="0.3">
      <c r="A504" t="s">
        <v>678</v>
      </c>
      <c r="B504">
        <v>26</v>
      </c>
      <c r="D504">
        <v>24</v>
      </c>
    </row>
    <row r="505" spans="1:4" x14ac:dyDescent="0.3">
      <c r="A505" t="s">
        <v>36</v>
      </c>
      <c r="B505">
        <v>26</v>
      </c>
      <c r="D505">
        <v>1</v>
      </c>
    </row>
    <row r="506" spans="1:4" x14ac:dyDescent="0.3">
      <c r="A506" t="s">
        <v>503</v>
      </c>
      <c r="B506">
        <v>26</v>
      </c>
      <c r="D506" t="s">
        <v>704</v>
      </c>
    </row>
    <row r="507" spans="1:4" x14ac:dyDescent="0.3">
      <c r="A507" t="s">
        <v>679</v>
      </c>
      <c r="B507">
        <v>26</v>
      </c>
      <c r="D507">
        <v>527</v>
      </c>
    </row>
    <row r="508" spans="1:4" x14ac:dyDescent="0.3">
      <c r="A508" t="s">
        <v>42</v>
      </c>
      <c r="B508">
        <v>26</v>
      </c>
      <c r="D508">
        <v>30</v>
      </c>
    </row>
    <row r="509" spans="1:4" x14ac:dyDescent="0.3">
      <c r="A509" t="s">
        <v>680</v>
      </c>
      <c r="B509">
        <v>26</v>
      </c>
      <c r="D509">
        <v>12</v>
      </c>
    </row>
    <row r="510" spans="1:4" x14ac:dyDescent="0.3">
      <c r="A510" t="s">
        <v>41</v>
      </c>
      <c r="B510">
        <v>26</v>
      </c>
      <c r="D510">
        <v>0</v>
      </c>
    </row>
    <row r="511" spans="1:4" x14ac:dyDescent="0.3">
      <c r="A511" t="s">
        <v>681</v>
      </c>
      <c r="B511">
        <v>26</v>
      </c>
      <c r="D511">
        <v>0</v>
      </c>
    </row>
    <row r="512" spans="1:4" x14ac:dyDescent="0.3">
      <c r="A512" t="s">
        <v>563</v>
      </c>
      <c r="B512">
        <v>26</v>
      </c>
      <c r="D512">
        <v>0</v>
      </c>
    </row>
    <row r="513" spans="1:6" x14ac:dyDescent="0.3">
      <c r="A513" t="s">
        <v>682</v>
      </c>
      <c r="B513">
        <v>26</v>
      </c>
      <c r="D513">
        <v>0</v>
      </c>
    </row>
    <row r="514" spans="1:6" x14ac:dyDescent="0.3">
      <c r="A514" t="s">
        <v>683</v>
      </c>
      <c r="B514">
        <v>26</v>
      </c>
      <c r="D514">
        <v>16</v>
      </c>
    </row>
    <row r="515" spans="1:6" x14ac:dyDescent="0.3">
      <c r="A515" t="s">
        <v>684</v>
      </c>
      <c r="B515">
        <v>26</v>
      </c>
      <c r="D515">
        <v>200</v>
      </c>
    </row>
    <row r="516" spans="1:6" x14ac:dyDescent="0.3">
      <c r="A516" t="s">
        <v>685</v>
      </c>
      <c r="B516">
        <v>26</v>
      </c>
      <c r="D516">
        <v>1320</v>
      </c>
    </row>
    <row r="517" spans="1:6" x14ac:dyDescent="0.3">
      <c r="A517" t="s">
        <v>686</v>
      </c>
      <c r="B517">
        <v>26</v>
      </c>
      <c r="D517">
        <v>880</v>
      </c>
    </row>
    <row r="518" spans="1:6" x14ac:dyDescent="0.3">
      <c r="A518" t="s">
        <v>687</v>
      </c>
      <c r="B518">
        <v>26</v>
      </c>
      <c r="D518">
        <v>1760</v>
      </c>
    </row>
    <row r="519" spans="1:6" x14ac:dyDescent="0.3">
      <c r="A519" t="s">
        <v>688</v>
      </c>
      <c r="B519">
        <v>26</v>
      </c>
    </row>
    <row r="520" spans="1:6" x14ac:dyDescent="0.3">
      <c r="A520" t="s">
        <v>689</v>
      </c>
      <c r="B520">
        <v>26</v>
      </c>
    </row>
    <row r="521" spans="1:6" x14ac:dyDescent="0.3">
      <c r="A521" t="s">
        <v>690</v>
      </c>
      <c r="B521">
        <v>26</v>
      </c>
    </row>
    <row r="522" spans="1:6" x14ac:dyDescent="0.3">
      <c r="A522" t="s">
        <v>691</v>
      </c>
      <c r="B522">
        <v>26</v>
      </c>
      <c r="D522" t="b">
        <v>0</v>
      </c>
    </row>
    <row r="523" spans="1:6" x14ac:dyDescent="0.3">
      <c r="A523" t="s">
        <v>692</v>
      </c>
      <c r="B523">
        <v>26</v>
      </c>
      <c r="D523" t="b">
        <v>0</v>
      </c>
    </row>
    <row r="524" spans="1:6" x14ac:dyDescent="0.3">
      <c r="A524" t="s">
        <v>678</v>
      </c>
      <c r="B524">
        <v>27</v>
      </c>
      <c r="C524">
        <v>30</v>
      </c>
      <c r="D524">
        <v>31</v>
      </c>
      <c r="E524">
        <v>24</v>
      </c>
      <c r="F524">
        <v>73</v>
      </c>
    </row>
    <row r="525" spans="1:6" x14ac:dyDescent="0.3">
      <c r="A525" t="s">
        <v>36</v>
      </c>
      <c r="B525">
        <v>27</v>
      </c>
      <c r="C525">
        <v>3</v>
      </c>
      <c r="D525">
        <v>2</v>
      </c>
      <c r="E525">
        <v>4</v>
      </c>
      <c r="F525">
        <v>4</v>
      </c>
    </row>
    <row r="526" spans="1:6" x14ac:dyDescent="0.3">
      <c r="A526" t="s">
        <v>503</v>
      </c>
      <c r="B526">
        <v>27</v>
      </c>
      <c r="C526" t="s">
        <v>705</v>
      </c>
      <c r="D526" t="s">
        <v>705</v>
      </c>
      <c r="E526" t="s">
        <v>695</v>
      </c>
      <c r="F526" t="s">
        <v>695</v>
      </c>
    </row>
    <row r="527" spans="1:6" x14ac:dyDescent="0.3">
      <c r="A527" t="s">
        <v>679</v>
      </c>
      <c r="B527">
        <v>27</v>
      </c>
      <c r="C527">
        <v>403</v>
      </c>
      <c r="D527">
        <v>311</v>
      </c>
      <c r="E527">
        <v>1300</v>
      </c>
      <c r="F527">
        <v>1322</v>
      </c>
    </row>
    <row r="528" spans="1:6" x14ac:dyDescent="0.3">
      <c r="A528" t="s">
        <v>42</v>
      </c>
      <c r="B528">
        <v>27</v>
      </c>
      <c r="C528">
        <v>30</v>
      </c>
      <c r="D528">
        <v>25</v>
      </c>
      <c r="E528">
        <v>45</v>
      </c>
      <c r="F528">
        <v>40</v>
      </c>
    </row>
    <row r="529" spans="1:6" x14ac:dyDescent="0.3">
      <c r="A529" t="s">
        <v>680</v>
      </c>
      <c r="B529">
        <v>27</v>
      </c>
      <c r="C529">
        <v>9.1999999999999993</v>
      </c>
      <c r="D529">
        <v>8.5</v>
      </c>
      <c r="E529">
        <v>19.7</v>
      </c>
      <c r="F529">
        <v>22.5</v>
      </c>
    </row>
    <row r="530" spans="1:6" x14ac:dyDescent="0.3">
      <c r="A530" t="s">
        <v>41</v>
      </c>
      <c r="B530">
        <v>27</v>
      </c>
      <c r="C530">
        <v>0</v>
      </c>
      <c r="D530">
        <v>0</v>
      </c>
      <c r="E530">
        <v>0</v>
      </c>
      <c r="F530">
        <v>0</v>
      </c>
    </row>
    <row r="531" spans="1:6" x14ac:dyDescent="0.3">
      <c r="A531" t="s">
        <v>681</v>
      </c>
      <c r="B531">
        <v>27</v>
      </c>
      <c r="C531">
        <v>12</v>
      </c>
      <c r="D531">
        <v>12</v>
      </c>
      <c r="E531">
        <v>12</v>
      </c>
      <c r="F531">
        <v>12</v>
      </c>
    </row>
    <row r="532" spans="1:6" x14ac:dyDescent="0.3">
      <c r="A532" t="s">
        <v>563</v>
      </c>
      <c r="B532">
        <v>27</v>
      </c>
      <c r="C532">
        <v>0</v>
      </c>
      <c r="D532">
        <v>0</v>
      </c>
      <c r="E532">
        <v>0</v>
      </c>
      <c r="F532">
        <v>0</v>
      </c>
    </row>
    <row r="533" spans="1:6" x14ac:dyDescent="0.3">
      <c r="A533" t="s">
        <v>682</v>
      </c>
      <c r="B533">
        <v>27</v>
      </c>
      <c r="C533">
        <v>0</v>
      </c>
      <c r="D533">
        <v>0</v>
      </c>
      <c r="E533">
        <v>0</v>
      </c>
      <c r="F533">
        <v>0</v>
      </c>
    </row>
    <row r="534" spans="1:6" x14ac:dyDescent="0.3">
      <c r="A534" t="s">
        <v>683</v>
      </c>
      <c r="B534">
        <v>27</v>
      </c>
      <c r="C534">
        <v>16</v>
      </c>
      <c r="D534">
        <v>16</v>
      </c>
      <c r="E534">
        <v>16</v>
      </c>
      <c r="F534">
        <v>16</v>
      </c>
    </row>
    <row r="535" spans="1:6" x14ac:dyDescent="0.3">
      <c r="A535" t="s">
        <v>684</v>
      </c>
      <c r="B535">
        <v>27</v>
      </c>
      <c r="C535">
        <v>500</v>
      </c>
      <c r="D535">
        <v>500</v>
      </c>
      <c r="E535">
        <v>500</v>
      </c>
      <c r="F535">
        <v>500</v>
      </c>
    </row>
    <row r="536" spans="1:6" x14ac:dyDescent="0.3">
      <c r="A536" t="s">
        <v>685</v>
      </c>
      <c r="B536">
        <v>27</v>
      </c>
      <c r="C536">
        <v>1320</v>
      </c>
      <c r="D536">
        <v>1101</v>
      </c>
      <c r="E536">
        <v>1980</v>
      </c>
      <c r="F536">
        <v>1761</v>
      </c>
    </row>
    <row r="537" spans="1:6" x14ac:dyDescent="0.3">
      <c r="A537" t="s">
        <v>686</v>
      </c>
      <c r="B537">
        <v>27</v>
      </c>
      <c r="C537">
        <v>880</v>
      </c>
      <c r="D537">
        <v>734</v>
      </c>
      <c r="E537">
        <v>1320</v>
      </c>
      <c r="F537">
        <v>1174</v>
      </c>
    </row>
    <row r="538" spans="1:6" x14ac:dyDescent="0.3">
      <c r="A538" t="s">
        <v>687</v>
      </c>
      <c r="B538">
        <v>27</v>
      </c>
      <c r="C538">
        <v>1760</v>
      </c>
      <c r="D538">
        <v>1468</v>
      </c>
      <c r="E538">
        <v>2640</v>
      </c>
      <c r="F538">
        <v>2348</v>
      </c>
    </row>
    <row r="539" spans="1:6" x14ac:dyDescent="0.3">
      <c r="A539" t="s">
        <v>688</v>
      </c>
      <c r="B539">
        <v>27</v>
      </c>
    </row>
    <row r="540" spans="1:6" x14ac:dyDescent="0.3">
      <c r="A540" t="s">
        <v>689</v>
      </c>
      <c r="B540">
        <v>27</v>
      </c>
    </row>
    <row r="541" spans="1:6" x14ac:dyDescent="0.3">
      <c r="A541" t="s">
        <v>690</v>
      </c>
      <c r="B541">
        <v>27</v>
      </c>
    </row>
    <row r="542" spans="1:6" x14ac:dyDescent="0.3">
      <c r="A542" t="s">
        <v>691</v>
      </c>
      <c r="B542">
        <v>27</v>
      </c>
      <c r="C542" t="b">
        <v>0</v>
      </c>
      <c r="D542" t="b">
        <v>0</v>
      </c>
      <c r="E542" t="b">
        <v>0</v>
      </c>
      <c r="F542" t="b">
        <v>0</v>
      </c>
    </row>
    <row r="543" spans="1:6" x14ac:dyDescent="0.3">
      <c r="A543" t="s">
        <v>692</v>
      </c>
      <c r="B543">
        <v>27</v>
      </c>
      <c r="C543" t="b">
        <v>0</v>
      </c>
      <c r="D543" t="b">
        <v>1</v>
      </c>
      <c r="E543" t="b">
        <v>0</v>
      </c>
      <c r="F543" t="b">
        <v>0</v>
      </c>
    </row>
    <row r="544" spans="1:6" x14ac:dyDescent="0.3">
      <c r="A544" t="s">
        <v>678</v>
      </c>
      <c r="B544">
        <v>28</v>
      </c>
      <c r="C544">
        <v>31</v>
      </c>
    </row>
    <row r="545" spans="1:3" x14ac:dyDescent="0.3">
      <c r="A545" t="s">
        <v>36</v>
      </c>
      <c r="B545">
        <v>28</v>
      </c>
      <c r="C545">
        <v>1</v>
      </c>
    </row>
    <row r="546" spans="1:3" x14ac:dyDescent="0.3">
      <c r="A546" t="s">
        <v>503</v>
      </c>
      <c r="B546">
        <v>28</v>
      </c>
      <c r="C546" t="s">
        <v>705</v>
      </c>
    </row>
    <row r="547" spans="1:3" x14ac:dyDescent="0.3">
      <c r="A547" t="s">
        <v>679</v>
      </c>
      <c r="B547">
        <v>28</v>
      </c>
      <c r="C547">
        <v>530</v>
      </c>
    </row>
    <row r="548" spans="1:3" x14ac:dyDescent="0.3">
      <c r="A548" t="s">
        <v>42</v>
      </c>
      <c r="B548">
        <v>28</v>
      </c>
      <c r="C548">
        <v>30</v>
      </c>
    </row>
    <row r="549" spans="1:3" x14ac:dyDescent="0.3">
      <c r="A549" t="s">
        <v>680</v>
      </c>
      <c r="B549">
        <v>28</v>
      </c>
      <c r="C549">
        <v>12</v>
      </c>
    </row>
    <row r="550" spans="1:3" x14ac:dyDescent="0.3">
      <c r="A550" t="s">
        <v>41</v>
      </c>
      <c r="B550">
        <v>28</v>
      </c>
      <c r="C550">
        <v>0</v>
      </c>
    </row>
    <row r="551" spans="1:3" x14ac:dyDescent="0.3">
      <c r="A551" t="s">
        <v>681</v>
      </c>
      <c r="B551">
        <v>28</v>
      </c>
      <c r="C551" t="s">
        <v>698</v>
      </c>
    </row>
    <row r="552" spans="1:3" x14ac:dyDescent="0.3">
      <c r="A552" t="s">
        <v>563</v>
      </c>
      <c r="B552">
        <v>28</v>
      </c>
      <c r="C552">
        <v>0</v>
      </c>
    </row>
    <row r="553" spans="1:3" x14ac:dyDescent="0.3">
      <c r="A553" t="s">
        <v>682</v>
      </c>
      <c r="B553">
        <v>28</v>
      </c>
      <c r="C553">
        <v>0</v>
      </c>
    </row>
    <row r="554" spans="1:3" x14ac:dyDescent="0.3">
      <c r="A554" t="s">
        <v>683</v>
      </c>
      <c r="B554">
        <v>28</v>
      </c>
      <c r="C554">
        <v>16</v>
      </c>
    </row>
    <row r="555" spans="1:3" x14ac:dyDescent="0.3">
      <c r="A555" t="s">
        <v>684</v>
      </c>
      <c r="B555">
        <v>28</v>
      </c>
      <c r="C555">
        <v>200</v>
      </c>
    </row>
    <row r="556" spans="1:3" x14ac:dyDescent="0.3">
      <c r="A556" t="s">
        <v>685</v>
      </c>
      <c r="B556">
        <v>28</v>
      </c>
      <c r="C556">
        <v>1320</v>
      </c>
    </row>
    <row r="557" spans="1:3" x14ac:dyDescent="0.3">
      <c r="A557" t="s">
        <v>686</v>
      </c>
      <c r="B557">
        <v>28</v>
      </c>
      <c r="C557">
        <v>880</v>
      </c>
    </row>
    <row r="558" spans="1:3" x14ac:dyDescent="0.3">
      <c r="A558" t="s">
        <v>687</v>
      </c>
      <c r="B558">
        <v>28</v>
      </c>
      <c r="C558">
        <v>1760</v>
      </c>
    </row>
    <row r="559" spans="1:3" x14ac:dyDescent="0.3">
      <c r="A559" t="s">
        <v>688</v>
      </c>
      <c r="B559">
        <v>28</v>
      </c>
    </row>
    <row r="560" spans="1:3" x14ac:dyDescent="0.3">
      <c r="A560" t="s">
        <v>689</v>
      </c>
      <c r="B560">
        <v>28</v>
      </c>
    </row>
    <row r="561" spans="1:4" x14ac:dyDescent="0.3">
      <c r="A561" t="s">
        <v>690</v>
      </c>
      <c r="B561">
        <v>28</v>
      </c>
    </row>
    <row r="562" spans="1:4" x14ac:dyDescent="0.3">
      <c r="A562" t="s">
        <v>691</v>
      </c>
      <c r="B562">
        <v>28</v>
      </c>
      <c r="C562" t="b">
        <v>0</v>
      </c>
    </row>
    <row r="563" spans="1:4" x14ac:dyDescent="0.3">
      <c r="A563" t="s">
        <v>692</v>
      </c>
      <c r="B563">
        <v>28</v>
      </c>
      <c r="C563" t="b">
        <v>0</v>
      </c>
    </row>
    <row r="564" spans="1:4" x14ac:dyDescent="0.3">
      <c r="A564" t="s">
        <v>678</v>
      </c>
      <c r="B564">
        <v>29</v>
      </c>
      <c r="D564">
        <v>30</v>
      </c>
    </row>
    <row r="565" spans="1:4" x14ac:dyDescent="0.3">
      <c r="A565" t="s">
        <v>36</v>
      </c>
      <c r="B565">
        <v>29</v>
      </c>
      <c r="D565">
        <v>1</v>
      </c>
    </row>
    <row r="566" spans="1:4" x14ac:dyDescent="0.3">
      <c r="A566" t="s">
        <v>503</v>
      </c>
      <c r="B566">
        <v>29</v>
      </c>
    </row>
    <row r="567" spans="1:4" x14ac:dyDescent="0.3">
      <c r="A567" t="s">
        <v>679</v>
      </c>
      <c r="B567">
        <v>29</v>
      </c>
      <c r="D567">
        <v>636</v>
      </c>
    </row>
    <row r="568" spans="1:4" x14ac:dyDescent="0.3">
      <c r="A568" t="s">
        <v>42</v>
      </c>
      <c r="B568">
        <v>29</v>
      </c>
      <c r="D568">
        <v>30</v>
      </c>
    </row>
    <row r="569" spans="1:4" x14ac:dyDescent="0.3">
      <c r="A569" t="s">
        <v>680</v>
      </c>
      <c r="B569">
        <v>29</v>
      </c>
      <c r="D569">
        <v>14.5</v>
      </c>
    </row>
    <row r="570" spans="1:4" x14ac:dyDescent="0.3">
      <c r="A570" t="s">
        <v>41</v>
      </c>
      <c r="B570">
        <v>29</v>
      </c>
      <c r="D570">
        <v>0</v>
      </c>
    </row>
    <row r="571" spans="1:4" x14ac:dyDescent="0.3">
      <c r="A571" t="s">
        <v>681</v>
      </c>
      <c r="B571">
        <v>29</v>
      </c>
      <c r="D571">
        <v>0</v>
      </c>
    </row>
    <row r="572" spans="1:4" x14ac:dyDescent="0.3">
      <c r="A572" t="s">
        <v>563</v>
      </c>
      <c r="B572">
        <v>29</v>
      </c>
      <c r="D572">
        <v>0</v>
      </c>
    </row>
    <row r="573" spans="1:4" x14ac:dyDescent="0.3">
      <c r="A573" t="s">
        <v>682</v>
      </c>
      <c r="B573">
        <v>29</v>
      </c>
      <c r="D573">
        <v>1</v>
      </c>
    </row>
    <row r="574" spans="1:4" x14ac:dyDescent="0.3">
      <c r="A574" t="s">
        <v>683</v>
      </c>
      <c r="B574">
        <v>29</v>
      </c>
      <c r="D574">
        <v>16</v>
      </c>
    </row>
    <row r="575" spans="1:4" x14ac:dyDescent="0.3">
      <c r="A575" t="s">
        <v>684</v>
      </c>
      <c r="B575">
        <v>29</v>
      </c>
      <c r="D575">
        <v>200</v>
      </c>
    </row>
    <row r="576" spans="1:4" x14ac:dyDescent="0.3">
      <c r="A576" t="s">
        <v>685</v>
      </c>
      <c r="B576">
        <v>29</v>
      </c>
      <c r="D576">
        <v>1320</v>
      </c>
    </row>
    <row r="577" spans="1:4" x14ac:dyDescent="0.3">
      <c r="A577" t="s">
        <v>686</v>
      </c>
      <c r="B577">
        <v>29</v>
      </c>
      <c r="D577">
        <v>880</v>
      </c>
    </row>
    <row r="578" spans="1:4" x14ac:dyDescent="0.3">
      <c r="A578" t="s">
        <v>687</v>
      </c>
      <c r="B578">
        <v>29</v>
      </c>
      <c r="D578">
        <v>1760</v>
      </c>
    </row>
    <row r="579" spans="1:4" x14ac:dyDescent="0.3">
      <c r="A579" t="s">
        <v>688</v>
      </c>
      <c r="B579">
        <v>29</v>
      </c>
    </row>
    <row r="580" spans="1:4" x14ac:dyDescent="0.3">
      <c r="A580" t="s">
        <v>689</v>
      </c>
      <c r="B580">
        <v>29</v>
      </c>
    </row>
    <row r="581" spans="1:4" x14ac:dyDescent="0.3">
      <c r="A581" t="s">
        <v>690</v>
      </c>
      <c r="B581">
        <v>29</v>
      </c>
    </row>
    <row r="582" spans="1:4" x14ac:dyDescent="0.3">
      <c r="A582" t="s">
        <v>691</v>
      </c>
      <c r="B582">
        <v>29</v>
      </c>
      <c r="D582" t="b">
        <v>0</v>
      </c>
    </row>
    <row r="583" spans="1:4" x14ac:dyDescent="0.3">
      <c r="A583" t="s">
        <v>692</v>
      </c>
      <c r="B583">
        <v>29</v>
      </c>
      <c r="D583" t="b">
        <v>0</v>
      </c>
    </row>
    <row r="584" spans="1:4" x14ac:dyDescent="0.3">
      <c r="A584" t="s">
        <v>678</v>
      </c>
      <c r="B584">
        <v>30</v>
      </c>
      <c r="C584">
        <v>29</v>
      </c>
      <c r="D584">
        <v>27</v>
      </c>
    </row>
    <row r="585" spans="1:4" x14ac:dyDescent="0.3">
      <c r="A585" t="s">
        <v>36</v>
      </c>
      <c r="B585">
        <v>30</v>
      </c>
      <c r="C585" t="s">
        <v>698</v>
      </c>
      <c r="D585">
        <v>1</v>
      </c>
    </row>
    <row r="586" spans="1:4" x14ac:dyDescent="0.3">
      <c r="A586" t="s">
        <v>503</v>
      </c>
      <c r="B586">
        <v>30</v>
      </c>
      <c r="D586" t="s">
        <v>705</v>
      </c>
    </row>
    <row r="587" spans="1:4" x14ac:dyDescent="0.3">
      <c r="A587" t="s">
        <v>679</v>
      </c>
      <c r="B587">
        <v>30</v>
      </c>
      <c r="C587">
        <v>636</v>
      </c>
      <c r="D587">
        <v>403</v>
      </c>
    </row>
    <row r="588" spans="1:4" x14ac:dyDescent="0.3">
      <c r="A588" t="s">
        <v>42</v>
      </c>
      <c r="B588">
        <v>30</v>
      </c>
      <c r="C588">
        <v>30</v>
      </c>
      <c r="D588">
        <v>30</v>
      </c>
    </row>
    <row r="589" spans="1:4" x14ac:dyDescent="0.3">
      <c r="A589" t="s">
        <v>680</v>
      </c>
      <c r="B589">
        <v>30</v>
      </c>
      <c r="C589">
        <v>14.5</v>
      </c>
      <c r="D589">
        <v>9.1999999999999993</v>
      </c>
    </row>
    <row r="590" spans="1:4" x14ac:dyDescent="0.3">
      <c r="A590" t="s">
        <v>41</v>
      </c>
      <c r="B590">
        <v>30</v>
      </c>
      <c r="C590">
        <v>0</v>
      </c>
      <c r="D590">
        <v>0</v>
      </c>
    </row>
    <row r="591" spans="1:4" x14ac:dyDescent="0.3">
      <c r="A591" t="s">
        <v>681</v>
      </c>
      <c r="B591">
        <v>30</v>
      </c>
      <c r="C591">
        <v>12</v>
      </c>
      <c r="D591">
        <v>12</v>
      </c>
    </row>
    <row r="592" spans="1:4" x14ac:dyDescent="0.3">
      <c r="A592" t="s">
        <v>563</v>
      </c>
      <c r="B592">
        <v>30</v>
      </c>
      <c r="C592">
        <v>0</v>
      </c>
      <c r="D592">
        <v>0</v>
      </c>
    </row>
    <row r="593" spans="1:4" x14ac:dyDescent="0.3">
      <c r="A593" t="s">
        <v>682</v>
      </c>
      <c r="B593">
        <v>30</v>
      </c>
      <c r="C593">
        <v>1</v>
      </c>
      <c r="D593">
        <v>0</v>
      </c>
    </row>
    <row r="594" spans="1:4" x14ac:dyDescent="0.3">
      <c r="A594" t="s">
        <v>683</v>
      </c>
      <c r="B594">
        <v>30</v>
      </c>
      <c r="C594">
        <v>16</v>
      </c>
      <c r="D594">
        <v>16</v>
      </c>
    </row>
    <row r="595" spans="1:4" x14ac:dyDescent="0.3">
      <c r="A595" t="s">
        <v>684</v>
      </c>
      <c r="B595">
        <v>30</v>
      </c>
      <c r="C595">
        <v>100</v>
      </c>
      <c r="D595">
        <v>100</v>
      </c>
    </row>
    <row r="596" spans="1:4" x14ac:dyDescent="0.3">
      <c r="A596" t="s">
        <v>685</v>
      </c>
      <c r="B596">
        <v>30</v>
      </c>
      <c r="C596">
        <v>1320</v>
      </c>
      <c r="D596">
        <v>1320</v>
      </c>
    </row>
    <row r="597" spans="1:4" x14ac:dyDescent="0.3">
      <c r="A597" t="s">
        <v>686</v>
      </c>
      <c r="B597">
        <v>30</v>
      </c>
      <c r="C597">
        <v>880</v>
      </c>
      <c r="D597">
        <v>880</v>
      </c>
    </row>
    <row r="598" spans="1:4" x14ac:dyDescent="0.3">
      <c r="A598" t="s">
        <v>687</v>
      </c>
      <c r="B598">
        <v>30</v>
      </c>
      <c r="C598">
        <v>1760</v>
      </c>
      <c r="D598">
        <v>1760</v>
      </c>
    </row>
    <row r="599" spans="1:4" x14ac:dyDescent="0.3">
      <c r="A599" t="s">
        <v>688</v>
      </c>
      <c r="B599">
        <v>30</v>
      </c>
    </row>
    <row r="600" spans="1:4" x14ac:dyDescent="0.3">
      <c r="A600" t="s">
        <v>689</v>
      </c>
      <c r="B600">
        <v>30</v>
      </c>
    </row>
    <row r="601" spans="1:4" x14ac:dyDescent="0.3">
      <c r="A601" t="s">
        <v>690</v>
      </c>
      <c r="B601">
        <v>30</v>
      </c>
    </row>
    <row r="602" spans="1:4" x14ac:dyDescent="0.3">
      <c r="A602" t="s">
        <v>691</v>
      </c>
      <c r="B602">
        <v>30</v>
      </c>
      <c r="C602" t="b">
        <v>0</v>
      </c>
      <c r="D602" t="b">
        <v>0</v>
      </c>
    </row>
    <row r="603" spans="1:4" x14ac:dyDescent="0.3">
      <c r="A603" t="s">
        <v>692</v>
      </c>
      <c r="B603">
        <v>30</v>
      </c>
      <c r="C603" t="b">
        <v>0</v>
      </c>
      <c r="D603" t="b">
        <v>0</v>
      </c>
    </row>
    <row r="604" spans="1:4" x14ac:dyDescent="0.3">
      <c r="A604" t="s">
        <v>678</v>
      </c>
      <c r="B604">
        <v>31</v>
      </c>
      <c r="C604">
        <v>27</v>
      </c>
      <c r="D604">
        <v>28</v>
      </c>
    </row>
    <row r="605" spans="1:4" x14ac:dyDescent="0.3">
      <c r="A605" t="s">
        <v>36</v>
      </c>
      <c r="B605">
        <v>31</v>
      </c>
      <c r="C605">
        <v>1</v>
      </c>
      <c r="D605">
        <v>1</v>
      </c>
    </row>
    <row r="606" spans="1:4" x14ac:dyDescent="0.3">
      <c r="A606" t="s">
        <v>503</v>
      </c>
      <c r="B606">
        <v>31</v>
      </c>
      <c r="C606" t="s">
        <v>705</v>
      </c>
      <c r="D606" t="s">
        <v>705</v>
      </c>
    </row>
    <row r="607" spans="1:4" x14ac:dyDescent="0.3">
      <c r="A607" t="s">
        <v>679</v>
      </c>
      <c r="B607">
        <v>31</v>
      </c>
      <c r="C607">
        <v>311</v>
      </c>
      <c r="D607">
        <v>530</v>
      </c>
    </row>
    <row r="608" spans="1:4" x14ac:dyDescent="0.3">
      <c r="A608" t="s">
        <v>42</v>
      </c>
      <c r="B608">
        <v>31</v>
      </c>
      <c r="C608">
        <v>30</v>
      </c>
      <c r="D608">
        <v>30</v>
      </c>
    </row>
    <row r="609" spans="1:6" x14ac:dyDescent="0.3">
      <c r="A609" t="s">
        <v>680</v>
      </c>
      <c r="B609">
        <v>31</v>
      </c>
      <c r="C609">
        <v>7.1</v>
      </c>
      <c r="D609">
        <v>12</v>
      </c>
    </row>
    <row r="610" spans="1:6" x14ac:dyDescent="0.3">
      <c r="A610" t="s">
        <v>41</v>
      </c>
      <c r="B610">
        <v>31</v>
      </c>
      <c r="C610">
        <v>0</v>
      </c>
      <c r="D610">
        <v>0</v>
      </c>
    </row>
    <row r="611" spans="1:6" x14ac:dyDescent="0.3">
      <c r="A611" t="s">
        <v>681</v>
      </c>
      <c r="B611">
        <v>31</v>
      </c>
      <c r="C611">
        <v>12</v>
      </c>
      <c r="D611" t="s">
        <v>699</v>
      </c>
    </row>
    <row r="612" spans="1:6" x14ac:dyDescent="0.3">
      <c r="A612" t="s">
        <v>563</v>
      </c>
      <c r="B612">
        <v>31</v>
      </c>
      <c r="C612">
        <v>0</v>
      </c>
      <c r="D612">
        <v>0</v>
      </c>
    </row>
    <row r="613" spans="1:6" x14ac:dyDescent="0.3">
      <c r="A613" t="s">
        <v>682</v>
      </c>
      <c r="B613">
        <v>31</v>
      </c>
      <c r="C613">
        <v>0</v>
      </c>
      <c r="D613">
        <v>0</v>
      </c>
    </row>
    <row r="614" spans="1:6" x14ac:dyDescent="0.3">
      <c r="A614" t="s">
        <v>683</v>
      </c>
      <c r="B614">
        <v>31</v>
      </c>
      <c r="C614">
        <v>16</v>
      </c>
      <c r="D614">
        <v>16</v>
      </c>
    </row>
    <row r="615" spans="1:6" x14ac:dyDescent="0.3">
      <c r="A615" t="s">
        <v>684</v>
      </c>
      <c r="B615">
        <v>31</v>
      </c>
      <c r="C615">
        <v>100</v>
      </c>
      <c r="D615">
        <v>100</v>
      </c>
    </row>
    <row r="616" spans="1:6" x14ac:dyDescent="0.3">
      <c r="A616" t="s">
        <v>685</v>
      </c>
      <c r="B616">
        <v>31</v>
      </c>
      <c r="C616">
        <v>1320</v>
      </c>
      <c r="D616">
        <v>1320</v>
      </c>
    </row>
    <row r="617" spans="1:6" x14ac:dyDescent="0.3">
      <c r="A617" t="s">
        <v>686</v>
      </c>
      <c r="B617">
        <v>31</v>
      </c>
      <c r="C617">
        <v>880</v>
      </c>
      <c r="D617">
        <v>880</v>
      </c>
    </row>
    <row r="618" spans="1:6" x14ac:dyDescent="0.3">
      <c r="A618" t="s">
        <v>687</v>
      </c>
      <c r="B618">
        <v>31</v>
      </c>
      <c r="C618">
        <v>1760</v>
      </c>
      <c r="D618">
        <v>1760</v>
      </c>
    </row>
    <row r="619" spans="1:6" x14ac:dyDescent="0.3">
      <c r="A619" t="s">
        <v>688</v>
      </c>
      <c r="B619">
        <v>31</v>
      </c>
    </row>
    <row r="620" spans="1:6" x14ac:dyDescent="0.3">
      <c r="A620" t="s">
        <v>689</v>
      </c>
      <c r="B620">
        <v>31</v>
      </c>
    </row>
    <row r="621" spans="1:6" x14ac:dyDescent="0.3">
      <c r="A621" t="s">
        <v>690</v>
      </c>
      <c r="B621">
        <v>31</v>
      </c>
    </row>
    <row r="622" spans="1:6" x14ac:dyDescent="0.3">
      <c r="A622" t="s">
        <v>691</v>
      </c>
      <c r="B622">
        <v>31</v>
      </c>
      <c r="C622" t="b">
        <v>0</v>
      </c>
      <c r="D622" t="b">
        <v>0</v>
      </c>
    </row>
    <row r="623" spans="1:6" x14ac:dyDescent="0.3">
      <c r="A623" t="s">
        <v>692</v>
      </c>
      <c r="B623">
        <v>31</v>
      </c>
      <c r="C623" t="b">
        <v>1</v>
      </c>
      <c r="D623" t="b">
        <v>0</v>
      </c>
    </row>
    <row r="624" spans="1:6" x14ac:dyDescent="0.3">
      <c r="A624" t="s">
        <v>678</v>
      </c>
      <c r="B624">
        <v>32</v>
      </c>
      <c r="C624">
        <v>34</v>
      </c>
      <c r="D624">
        <v>33</v>
      </c>
      <c r="E624">
        <v>73</v>
      </c>
      <c r="F624">
        <v>35</v>
      </c>
    </row>
    <row r="625" spans="1:6" x14ac:dyDescent="0.3">
      <c r="A625" t="s">
        <v>36</v>
      </c>
      <c r="B625">
        <v>32</v>
      </c>
      <c r="C625">
        <v>3</v>
      </c>
      <c r="D625">
        <v>3</v>
      </c>
      <c r="E625">
        <v>5</v>
      </c>
      <c r="F625">
        <v>4</v>
      </c>
    </row>
    <row r="626" spans="1:6" x14ac:dyDescent="0.3">
      <c r="A626" t="s">
        <v>503</v>
      </c>
      <c r="B626">
        <v>32</v>
      </c>
      <c r="C626" t="s">
        <v>706</v>
      </c>
      <c r="D626" t="s">
        <v>706</v>
      </c>
      <c r="E626" t="s">
        <v>695</v>
      </c>
      <c r="F626" t="s">
        <v>695</v>
      </c>
    </row>
    <row r="627" spans="1:6" x14ac:dyDescent="0.3">
      <c r="A627" t="s">
        <v>679</v>
      </c>
      <c r="B627">
        <v>32</v>
      </c>
      <c r="C627">
        <v>789</v>
      </c>
      <c r="D627">
        <v>826</v>
      </c>
      <c r="E627">
        <v>1302</v>
      </c>
      <c r="F627">
        <v>2677</v>
      </c>
    </row>
    <row r="628" spans="1:6" x14ac:dyDescent="0.3">
      <c r="A628" t="s">
        <v>42</v>
      </c>
      <c r="B628">
        <v>32</v>
      </c>
      <c r="C628">
        <v>35</v>
      </c>
      <c r="D628">
        <v>30</v>
      </c>
      <c r="E628">
        <v>45</v>
      </c>
      <c r="F628">
        <v>45</v>
      </c>
    </row>
    <row r="629" spans="1:6" x14ac:dyDescent="0.3">
      <c r="A629" t="s">
        <v>680</v>
      </c>
      <c r="B629">
        <v>32</v>
      </c>
      <c r="C629">
        <v>15.4</v>
      </c>
      <c r="D629">
        <v>18.8</v>
      </c>
      <c r="E629">
        <v>19.7</v>
      </c>
      <c r="F629">
        <v>40.6</v>
      </c>
    </row>
    <row r="630" spans="1:6" x14ac:dyDescent="0.3">
      <c r="A630" t="s">
        <v>41</v>
      </c>
      <c r="B630">
        <v>32</v>
      </c>
      <c r="C630">
        <v>0</v>
      </c>
      <c r="D630">
        <v>0</v>
      </c>
      <c r="E630">
        <v>0</v>
      </c>
      <c r="F630">
        <v>0</v>
      </c>
    </row>
    <row r="631" spans="1:6" x14ac:dyDescent="0.3">
      <c r="A631" t="s">
        <v>681</v>
      </c>
      <c r="B631">
        <v>32</v>
      </c>
      <c r="C631">
        <v>12</v>
      </c>
      <c r="D631">
        <v>12</v>
      </c>
      <c r="E631">
        <v>12</v>
      </c>
      <c r="F631">
        <v>12</v>
      </c>
    </row>
    <row r="632" spans="1:6" x14ac:dyDescent="0.3">
      <c r="A632" t="s">
        <v>563</v>
      </c>
      <c r="B632">
        <v>32</v>
      </c>
      <c r="C632">
        <v>0</v>
      </c>
      <c r="D632">
        <v>0</v>
      </c>
      <c r="E632">
        <v>0</v>
      </c>
      <c r="F632">
        <v>0</v>
      </c>
    </row>
    <row r="633" spans="1:6" x14ac:dyDescent="0.3">
      <c r="A633" t="s">
        <v>682</v>
      </c>
      <c r="B633">
        <v>32</v>
      </c>
      <c r="C633">
        <v>0</v>
      </c>
      <c r="D633">
        <v>0</v>
      </c>
      <c r="E633">
        <v>0</v>
      </c>
      <c r="F633">
        <v>0</v>
      </c>
    </row>
    <row r="634" spans="1:6" x14ac:dyDescent="0.3">
      <c r="A634" t="s">
        <v>683</v>
      </c>
      <c r="B634">
        <v>32</v>
      </c>
      <c r="C634">
        <v>16</v>
      </c>
      <c r="D634">
        <v>16</v>
      </c>
      <c r="E634">
        <v>16</v>
      </c>
      <c r="F634">
        <v>16</v>
      </c>
    </row>
    <row r="635" spans="1:6" x14ac:dyDescent="0.3">
      <c r="A635" t="s">
        <v>684</v>
      </c>
      <c r="B635">
        <v>32</v>
      </c>
      <c r="C635">
        <v>500</v>
      </c>
      <c r="D635">
        <v>500</v>
      </c>
      <c r="E635">
        <v>500</v>
      </c>
      <c r="F635">
        <v>500</v>
      </c>
    </row>
    <row r="636" spans="1:6" x14ac:dyDescent="0.3">
      <c r="A636" t="s">
        <v>685</v>
      </c>
      <c r="B636">
        <v>32</v>
      </c>
      <c r="C636">
        <v>1539</v>
      </c>
      <c r="D636">
        <v>1320</v>
      </c>
      <c r="E636">
        <v>1980</v>
      </c>
      <c r="F636">
        <v>1980</v>
      </c>
    </row>
    <row r="637" spans="1:6" x14ac:dyDescent="0.3">
      <c r="A637" t="s">
        <v>686</v>
      </c>
      <c r="B637">
        <v>32</v>
      </c>
      <c r="C637">
        <v>1026</v>
      </c>
      <c r="D637">
        <v>880</v>
      </c>
      <c r="E637">
        <v>1320</v>
      </c>
      <c r="F637">
        <v>1320</v>
      </c>
    </row>
    <row r="638" spans="1:6" x14ac:dyDescent="0.3">
      <c r="A638" t="s">
        <v>687</v>
      </c>
      <c r="B638">
        <v>32</v>
      </c>
      <c r="C638">
        <v>2052</v>
      </c>
      <c r="D638">
        <v>1760</v>
      </c>
      <c r="E638">
        <v>2640</v>
      </c>
      <c r="F638">
        <v>2640</v>
      </c>
    </row>
    <row r="639" spans="1:6" x14ac:dyDescent="0.3">
      <c r="A639" t="s">
        <v>688</v>
      </c>
      <c r="B639">
        <v>32</v>
      </c>
      <c r="C639">
        <v>17296</v>
      </c>
    </row>
    <row r="640" spans="1:6" x14ac:dyDescent="0.3">
      <c r="A640" t="s">
        <v>689</v>
      </c>
      <c r="B640">
        <v>32</v>
      </c>
      <c r="C640">
        <v>-457</v>
      </c>
    </row>
    <row r="641" spans="1:6" x14ac:dyDescent="0.3">
      <c r="A641" t="s">
        <v>690</v>
      </c>
      <c r="B641">
        <v>32</v>
      </c>
      <c r="C641">
        <v>0</v>
      </c>
    </row>
    <row r="642" spans="1:6" x14ac:dyDescent="0.3">
      <c r="A642" t="s">
        <v>691</v>
      </c>
      <c r="B642">
        <v>32</v>
      </c>
      <c r="C642" t="b">
        <v>0</v>
      </c>
      <c r="D642" t="b">
        <v>0</v>
      </c>
      <c r="E642" t="b">
        <v>0</v>
      </c>
      <c r="F642" t="b">
        <v>0</v>
      </c>
    </row>
    <row r="643" spans="1:6" x14ac:dyDescent="0.3">
      <c r="A643" t="s">
        <v>692</v>
      </c>
      <c r="B643">
        <v>32</v>
      </c>
      <c r="C643" t="b">
        <v>0</v>
      </c>
      <c r="D643" t="b">
        <v>0</v>
      </c>
      <c r="E643" t="b">
        <v>0</v>
      </c>
      <c r="F643" t="b">
        <v>0</v>
      </c>
    </row>
    <row r="644" spans="1:6" x14ac:dyDescent="0.3">
      <c r="A644" t="s">
        <v>678</v>
      </c>
      <c r="B644">
        <v>33</v>
      </c>
      <c r="C644">
        <v>32</v>
      </c>
    </row>
    <row r="645" spans="1:6" x14ac:dyDescent="0.3">
      <c r="A645" t="s">
        <v>36</v>
      </c>
      <c r="B645">
        <v>33</v>
      </c>
      <c r="C645">
        <v>2</v>
      </c>
    </row>
    <row r="646" spans="1:6" x14ac:dyDescent="0.3">
      <c r="A646" t="s">
        <v>503</v>
      </c>
      <c r="B646">
        <v>33</v>
      </c>
      <c r="C646" t="s">
        <v>706</v>
      </c>
    </row>
    <row r="647" spans="1:6" x14ac:dyDescent="0.3">
      <c r="A647" t="s">
        <v>679</v>
      </c>
      <c r="B647">
        <v>33</v>
      </c>
      <c r="C647">
        <v>826</v>
      </c>
    </row>
    <row r="648" spans="1:6" x14ac:dyDescent="0.3">
      <c r="A648" t="s">
        <v>42</v>
      </c>
      <c r="B648">
        <v>33</v>
      </c>
      <c r="C648">
        <v>30</v>
      </c>
    </row>
    <row r="649" spans="1:6" x14ac:dyDescent="0.3">
      <c r="A649" t="s">
        <v>680</v>
      </c>
      <c r="B649">
        <v>33</v>
      </c>
      <c r="C649">
        <v>18.8</v>
      </c>
    </row>
    <row r="650" spans="1:6" x14ac:dyDescent="0.3">
      <c r="A650" t="s">
        <v>41</v>
      </c>
      <c r="B650">
        <v>33</v>
      </c>
      <c r="C650">
        <v>0</v>
      </c>
    </row>
    <row r="651" spans="1:6" x14ac:dyDescent="0.3">
      <c r="A651" t="s">
        <v>681</v>
      </c>
      <c r="B651">
        <v>33</v>
      </c>
      <c r="C651">
        <v>12</v>
      </c>
    </row>
    <row r="652" spans="1:6" x14ac:dyDescent="0.3">
      <c r="A652" t="s">
        <v>563</v>
      </c>
      <c r="B652">
        <v>33</v>
      </c>
      <c r="C652">
        <v>0</v>
      </c>
    </row>
    <row r="653" spans="1:6" x14ac:dyDescent="0.3">
      <c r="A653" t="s">
        <v>682</v>
      </c>
      <c r="B653">
        <v>33</v>
      </c>
      <c r="C653">
        <v>0</v>
      </c>
    </row>
    <row r="654" spans="1:6" x14ac:dyDescent="0.3">
      <c r="A654" t="s">
        <v>683</v>
      </c>
      <c r="B654">
        <v>33</v>
      </c>
      <c r="C654">
        <v>16</v>
      </c>
    </row>
    <row r="655" spans="1:6" x14ac:dyDescent="0.3">
      <c r="A655" t="s">
        <v>684</v>
      </c>
      <c r="B655">
        <v>33</v>
      </c>
      <c r="C655">
        <v>200</v>
      </c>
    </row>
    <row r="656" spans="1:6" x14ac:dyDescent="0.3">
      <c r="A656" t="s">
        <v>685</v>
      </c>
      <c r="B656">
        <v>33</v>
      </c>
      <c r="C656">
        <v>1320</v>
      </c>
    </row>
    <row r="657" spans="1:4" x14ac:dyDescent="0.3">
      <c r="A657" t="s">
        <v>686</v>
      </c>
      <c r="B657">
        <v>33</v>
      </c>
      <c r="C657">
        <v>880</v>
      </c>
    </row>
    <row r="658" spans="1:4" x14ac:dyDescent="0.3">
      <c r="A658" t="s">
        <v>687</v>
      </c>
      <c r="B658">
        <v>33</v>
      </c>
      <c r="C658">
        <v>1760</v>
      </c>
    </row>
    <row r="659" spans="1:4" x14ac:dyDescent="0.3">
      <c r="A659" t="s">
        <v>688</v>
      </c>
      <c r="B659">
        <v>33</v>
      </c>
    </row>
    <row r="660" spans="1:4" x14ac:dyDescent="0.3">
      <c r="A660" t="s">
        <v>689</v>
      </c>
      <c r="B660">
        <v>33</v>
      </c>
    </row>
    <row r="661" spans="1:4" x14ac:dyDescent="0.3">
      <c r="A661" t="s">
        <v>690</v>
      </c>
      <c r="B661">
        <v>33</v>
      </c>
    </row>
    <row r="662" spans="1:4" x14ac:dyDescent="0.3">
      <c r="A662" t="s">
        <v>691</v>
      </c>
      <c r="B662">
        <v>33</v>
      </c>
      <c r="C662" t="b">
        <v>0</v>
      </c>
    </row>
    <row r="663" spans="1:4" x14ac:dyDescent="0.3">
      <c r="A663" t="s">
        <v>692</v>
      </c>
      <c r="B663">
        <v>33</v>
      </c>
      <c r="C663" t="b">
        <v>0</v>
      </c>
    </row>
    <row r="664" spans="1:4" x14ac:dyDescent="0.3">
      <c r="A664" t="s">
        <v>678</v>
      </c>
      <c r="B664">
        <v>34</v>
      </c>
      <c r="D664">
        <v>32</v>
      </c>
    </row>
    <row r="665" spans="1:4" x14ac:dyDescent="0.3">
      <c r="A665" t="s">
        <v>36</v>
      </c>
      <c r="B665">
        <v>34</v>
      </c>
      <c r="D665">
        <v>2</v>
      </c>
    </row>
    <row r="666" spans="1:4" x14ac:dyDescent="0.3">
      <c r="A666" t="s">
        <v>503</v>
      </c>
      <c r="B666">
        <v>34</v>
      </c>
      <c r="D666" t="s">
        <v>706</v>
      </c>
    </row>
    <row r="667" spans="1:4" x14ac:dyDescent="0.3">
      <c r="A667" t="s">
        <v>679</v>
      </c>
      <c r="B667">
        <v>34</v>
      </c>
      <c r="D667">
        <v>789</v>
      </c>
    </row>
    <row r="668" spans="1:4" x14ac:dyDescent="0.3">
      <c r="A668" t="s">
        <v>42</v>
      </c>
      <c r="B668">
        <v>34</v>
      </c>
      <c r="D668">
        <v>30</v>
      </c>
    </row>
    <row r="669" spans="1:4" x14ac:dyDescent="0.3">
      <c r="A669" t="s">
        <v>680</v>
      </c>
      <c r="B669">
        <v>34</v>
      </c>
      <c r="D669">
        <v>17.899999999999999</v>
      </c>
    </row>
    <row r="670" spans="1:4" x14ac:dyDescent="0.3">
      <c r="A670" t="s">
        <v>41</v>
      </c>
      <c r="B670">
        <v>34</v>
      </c>
      <c r="D670">
        <v>0</v>
      </c>
    </row>
    <row r="671" spans="1:4" x14ac:dyDescent="0.3">
      <c r="A671" t="s">
        <v>681</v>
      </c>
      <c r="B671">
        <v>34</v>
      </c>
      <c r="D671">
        <v>12</v>
      </c>
    </row>
    <row r="672" spans="1:4" x14ac:dyDescent="0.3">
      <c r="A672" t="s">
        <v>563</v>
      </c>
      <c r="B672">
        <v>34</v>
      </c>
      <c r="D672">
        <v>0</v>
      </c>
    </row>
    <row r="673" spans="1:6" x14ac:dyDescent="0.3">
      <c r="A673" t="s">
        <v>682</v>
      </c>
      <c r="B673">
        <v>34</v>
      </c>
      <c r="D673">
        <v>0</v>
      </c>
    </row>
    <row r="674" spans="1:6" x14ac:dyDescent="0.3">
      <c r="A674" t="s">
        <v>683</v>
      </c>
      <c r="B674">
        <v>34</v>
      </c>
      <c r="D674">
        <v>16</v>
      </c>
    </row>
    <row r="675" spans="1:6" x14ac:dyDescent="0.3">
      <c r="A675" t="s">
        <v>684</v>
      </c>
      <c r="B675">
        <v>34</v>
      </c>
      <c r="D675">
        <v>200</v>
      </c>
    </row>
    <row r="676" spans="1:6" x14ac:dyDescent="0.3">
      <c r="A676" t="s">
        <v>685</v>
      </c>
      <c r="B676">
        <v>34</v>
      </c>
      <c r="D676">
        <v>1320</v>
      </c>
    </row>
    <row r="677" spans="1:6" x14ac:dyDescent="0.3">
      <c r="A677" t="s">
        <v>686</v>
      </c>
      <c r="B677">
        <v>34</v>
      </c>
      <c r="D677">
        <v>880</v>
      </c>
    </row>
    <row r="678" spans="1:6" x14ac:dyDescent="0.3">
      <c r="A678" t="s">
        <v>687</v>
      </c>
      <c r="B678">
        <v>34</v>
      </c>
      <c r="D678">
        <v>1760</v>
      </c>
    </row>
    <row r="679" spans="1:6" x14ac:dyDescent="0.3">
      <c r="A679" t="s">
        <v>688</v>
      </c>
      <c r="B679">
        <v>34</v>
      </c>
      <c r="D679">
        <v>17248</v>
      </c>
    </row>
    <row r="680" spans="1:6" x14ac:dyDescent="0.3">
      <c r="A680" t="s">
        <v>689</v>
      </c>
      <c r="B680">
        <v>34</v>
      </c>
      <c r="D680">
        <v>-717</v>
      </c>
    </row>
    <row r="681" spans="1:6" x14ac:dyDescent="0.3">
      <c r="A681" t="s">
        <v>690</v>
      </c>
      <c r="B681">
        <v>34</v>
      </c>
      <c r="D681">
        <v>0</v>
      </c>
    </row>
    <row r="682" spans="1:6" x14ac:dyDescent="0.3">
      <c r="A682" t="s">
        <v>691</v>
      </c>
      <c r="B682">
        <v>34</v>
      </c>
      <c r="D682" t="b">
        <v>0</v>
      </c>
    </row>
    <row r="683" spans="1:6" x14ac:dyDescent="0.3">
      <c r="A683" t="s">
        <v>692</v>
      </c>
      <c r="B683">
        <v>34</v>
      </c>
      <c r="D683" t="b">
        <v>0</v>
      </c>
    </row>
    <row r="684" spans="1:6" x14ac:dyDescent="0.3">
      <c r="A684" t="s">
        <v>678</v>
      </c>
      <c r="B684">
        <v>35</v>
      </c>
      <c r="C684">
        <v>39</v>
      </c>
      <c r="D684">
        <v>40</v>
      </c>
      <c r="E684">
        <v>32</v>
      </c>
      <c r="F684">
        <v>41</v>
      </c>
    </row>
    <row r="685" spans="1:6" x14ac:dyDescent="0.3">
      <c r="A685" t="s">
        <v>36</v>
      </c>
      <c r="B685">
        <v>35</v>
      </c>
      <c r="C685">
        <v>3</v>
      </c>
      <c r="D685">
        <v>2</v>
      </c>
      <c r="E685">
        <v>4</v>
      </c>
      <c r="F685">
        <v>4</v>
      </c>
    </row>
    <row r="686" spans="1:6" x14ac:dyDescent="0.3">
      <c r="A686" t="s">
        <v>503</v>
      </c>
      <c r="B686">
        <v>35</v>
      </c>
      <c r="C686" t="s">
        <v>707</v>
      </c>
      <c r="D686" t="s">
        <v>707</v>
      </c>
      <c r="E686" t="s">
        <v>695</v>
      </c>
      <c r="F686" t="s">
        <v>695</v>
      </c>
    </row>
    <row r="687" spans="1:6" x14ac:dyDescent="0.3">
      <c r="A687" t="s">
        <v>679</v>
      </c>
      <c r="B687">
        <v>35</v>
      </c>
      <c r="C687">
        <v>282</v>
      </c>
      <c r="D687">
        <v>512</v>
      </c>
      <c r="E687">
        <v>2677</v>
      </c>
      <c r="F687">
        <v>2603</v>
      </c>
    </row>
    <row r="688" spans="1:6" x14ac:dyDescent="0.3">
      <c r="A688" t="s">
        <v>42</v>
      </c>
      <c r="B688">
        <v>35</v>
      </c>
      <c r="C688">
        <v>30</v>
      </c>
      <c r="D688">
        <v>25</v>
      </c>
      <c r="E688">
        <v>45</v>
      </c>
      <c r="F688">
        <v>45</v>
      </c>
    </row>
    <row r="689" spans="1:6" x14ac:dyDescent="0.3">
      <c r="A689" t="s">
        <v>680</v>
      </c>
      <c r="B689">
        <v>35</v>
      </c>
      <c r="C689">
        <v>6.4</v>
      </c>
      <c r="D689">
        <v>14</v>
      </c>
      <c r="E689">
        <v>40.6</v>
      </c>
      <c r="F689">
        <v>39.4</v>
      </c>
    </row>
    <row r="690" spans="1:6" x14ac:dyDescent="0.3">
      <c r="A690" t="s">
        <v>41</v>
      </c>
      <c r="B690">
        <v>35</v>
      </c>
      <c r="C690">
        <v>0</v>
      </c>
      <c r="D690">
        <v>0</v>
      </c>
      <c r="E690">
        <v>0</v>
      </c>
      <c r="F690">
        <v>0</v>
      </c>
    </row>
    <row r="691" spans="1:6" x14ac:dyDescent="0.3">
      <c r="A691" t="s">
        <v>681</v>
      </c>
      <c r="B691">
        <v>35</v>
      </c>
      <c r="C691">
        <v>12</v>
      </c>
      <c r="D691">
        <v>12</v>
      </c>
      <c r="E691" t="s">
        <v>697</v>
      </c>
      <c r="F691" t="s">
        <v>697</v>
      </c>
    </row>
    <row r="692" spans="1:6" x14ac:dyDescent="0.3">
      <c r="A692" t="s">
        <v>563</v>
      </c>
      <c r="B692">
        <v>35</v>
      </c>
      <c r="C692">
        <v>0</v>
      </c>
      <c r="D692">
        <v>0</v>
      </c>
      <c r="E692">
        <v>0</v>
      </c>
      <c r="F692">
        <v>0</v>
      </c>
    </row>
    <row r="693" spans="1:6" x14ac:dyDescent="0.3">
      <c r="A693" t="s">
        <v>682</v>
      </c>
      <c r="B693">
        <v>35</v>
      </c>
      <c r="C693">
        <v>0</v>
      </c>
      <c r="D693">
        <v>0</v>
      </c>
      <c r="E693">
        <v>0</v>
      </c>
      <c r="F693">
        <v>0</v>
      </c>
    </row>
    <row r="694" spans="1:6" x14ac:dyDescent="0.3">
      <c r="A694" t="s">
        <v>683</v>
      </c>
      <c r="B694">
        <v>35</v>
      </c>
      <c r="C694">
        <v>16</v>
      </c>
      <c r="D694">
        <v>16</v>
      </c>
      <c r="E694">
        <v>16</v>
      </c>
      <c r="F694">
        <v>16</v>
      </c>
    </row>
    <row r="695" spans="1:6" x14ac:dyDescent="0.3">
      <c r="A695" t="s">
        <v>684</v>
      </c>
      <c r="B695">
        <v>35</v>
      </c>
      <c r="C695">
        <v>500</v>
      </c>
      <c r="D695">
        <v>500</v>
      </c>
      <c r="E695">
        <v>500</v>
      </c>
      <c r="F695">
        <v>500</v>
      </c>
    </row>
    <row r="696" spans="1:6" x14ac:dyDescent="0.3">
      <c r="A696" t="s">
        <v>685</v>
      </c>
      <c r="B696">
        <v>35</v>
      </c>
      <c r="C696">
        <v>1320</v>
      </c>
      <c r="D696">
        <v>1101</v>
      </c>
      <c r="E696">
        <v>1980</v>
      </c>
      <c r="F696">
        <v>1980</v>
      </c>
    </row>
    <row r="697" spans="1:6" x14ac:dyDescent="0.3">
      <c r="A697" t="s">
        <v>686</v>
      </c>
      <c r="B697">
        <v>35</v>
      </c>
      <c r="C697">
        <v>880</v>
      </c>
      <c r="D697">
        <v>734</v>
      </c>
      <c r="E697">
        <v>1320</v>
      </c>
      <c r="F697">
        <v>1320</v>
      </c>
    </row>
    <row r="698" spans="1:6" x14ac:dyDescent="0.3">
      <c r="A698" t="s">
        <v>687</v>
      </c>
      <c r="B698">
        <v>35</v>
      </c>
      <c r="C698">
        <v>1760</v>
      </c>
      <c r="D698">
        <v>1468</v>
      </c>
      <c r="E698">
        <v>2640</v>
      </c>
      <c r="F698">
        <v>2640</v>
      </c>
    </row>
    <row r="699" spans="1:6" x14ac:dyDescent="0.3">
      <c r="A699" t="s">
        <v>688</v>
      </c>
      <c r="B699">
        <v>35</v>
      </c>
    </row>
    <row r="700" spans="1:6" x14ac:dyDescent="0.3">
      <c r="A700" t="s">
        <v>689</v>
      </c>
      <c r="B700">
        <v>35</v>
      </c>
    </row>
    <row r="701" spans="1:6" x14ac:dyDescent="0.3">
      <c r="A701" t="s">
        <v>690</v>
      </c>
      <c r="B701">
        <v>35</v>
      </c>
    </row>
    <row r="702" spans="1:6" x14ac:dyDescent="0.3">
      <c r="A702" t="s">
        <v>691</v>
      </c>
      <c r="B702">
        <v>35</v>
      </c>
      <c r="C702" t="b">
        <v>0</v>
      </c>
      <c r="D702" t="b">
        <v>0</v>
      </c>
      <c r="E702" t="b">
        <v>0</v>
      </c>
      <c r="F702" t="b">
        <v>0</v>
      </c>
    </row>
    <row r="703" spans="1:6" x14ac:dyDescent="0.3">
      <c r="A703" t="s">
        <v>692</v>
      </c>
      <c r="B703">
        <v>35</v>
      </c>
      <c r="C703" t="b">
        <v>1</v>
      </c>
      <c r="D703" t="b">
        <v>1</v>
      </c>
      <c r="E703" t="b">
        <v>0</v>
      </c>
      <c r="F703" t="b">
        <v>0</v>
      </c>
    </row>
    <row r="704" spans="1:6" x14ac:dyDescent="0.3">
      <c r="A704" t="s">
        <v>678</v>
      </c>
      <c r="B704">
        <v>36</v>
      </c>
      <c r="C704">
        <v>40</v>
      </c>
    </row>
    <row r="705" spans="1:3" x14ac:dyDescent="0.3">
      <c r="A705" t="s">
        <v>36</v>
      </c>
      <c r="B705">
        <v>36</v>
      </c>
      <c r="C705">
        <v>1</v>
      </c>
    </row>
    <row r="706" spans="1:3" x14ac:dyDescent="0.3">
      <c r="A706" t="s">
        <v>503</v>
      </c>
      <c r="B706">
        <v>36</v>
      </c>
      <c r="C706" t="s">
        <v>707</v>
      </c>
    </row>
    <row r="707" spans="1:3" x14ac:dyDescent="0.3">
      <c r="A707" t="s">
        <v>679</v>
      </c>
      <c r="B707">
        <v>36</v>
      </c>
      <c r="C707">
        <v>251</v>
      </c>
    </row>
    <row r="708" spans="1:3" x14ac:dyDescent="0.3">
      <c r="A708" t="s">
        <v>42</v>
      </c>
      <c r="B708">
        <v>36</v>
      </c>
      <c r="C708">
        <v>30</v>
      </c>
    </row>
    <row r="709" spans="1:3" x14ac:dyDescent="0.3">
      <c r="A709" t="s">
        <v>680</v>
      </c>
      <c r="B709">
        <v>36</v>
      </c>
      <c r="C709">
        <v>5.7</v>
      </c>
    </row>
    <row r="710" spans="1:3" x14ac:dyDescent="0.3">
      <c r="A710" t="s">
        <v>41</v>
      </c>
      <c r="B710">
        <v>36</v>
      </c>
      <c r="C710">
        <v>0</v>
      </c>
    </row>
    <row r="711" spans="1:3" x14ac:dyDescent="0.3">
      <c r="A711" t="s">
        <v>681</v>
      </c>
      <c r="B711">
        <v>36</v>
      </c>
      <c r="C711" t="s">
        <v>697</v>
      </c>
    </row>
    <row r="712" spans="1:3" x14ac:dyDescent="0.3">
      <c r="A712" t="s">
        <v>563</v>
      </c>
      <c r="B712">
        <v>36</v>
      </c>
      <c r="C712">
        <v>0</v>
      </c>
    </row>
    <row r="713" spans="1:3" x14ac:dyDescent="0.3">
      <c r="A713" t="s">
        <v>682</v>
      </c>
      <c r="B713">
        <v>36</v>
      </c>
      <c r="C713">
        <v>0</v>
      </c>
    </row>
    <row r="714" spans="1:3" x14ac:dyDescent="0.3">
      <c r="A714" t="s">
        <v>683</v>
      </c>
      <c r="B714">
        <v>36</v>
      </c>
      <c r="C714">
        <v>16</v>
      </c>
    </row>
    <row r="715" spans="1:3" x14ac:dyDescent="0.3">
      <c r="A715" t="s">
        <v>684</v>
      </c>
      <c r="B715">
        <v>36</v>
      </c>
      <c r="C715">
        <v>200</v>
      </c>
    </row>
    <row r="716" spans="1:3" x14ac:dyDescent="0.3">
      <c r="A716" t="s">
        <v>685</v>
      </c>
      <c r="B716">
        <v>36</v>
      </c>
      <c r="C716">
        <v>1320</v>
      </c>
    </row>
    <row r="717" spans="1:3" x14ac:dyDescent="0.3">
      <c r="A717" t="s">
        <v>686</v>
      </c>
      <c r="B717">
        <v>36</v>
      </c>
      <c r="C717">
        <v>880</v>
      </c>
    </row>
    <row r="718" spans="1:3" x14ac:dyDescent="0.3">
      <c r="A718" t="s">
        <v>687</v>
      </c>
      <c r="B718">
        <v>36</v>
      </c>
      <c r="C718">
        <v>1760</v>
      </c>
    </row>
    <row r="719" spans="1:3" x14ac:dyDescent="0.3">
      <c r="A719" t="s">
        <v>688</v>
      </c>
      <c r="B719">
        <v>36</v>
      </c>
    </row>
    <row r="720" spans="1:3" x14ac:dyDescent="0.3">
      <c r="A720" t="s">
        <v>689</v>
      </c>
      <c r="B720">
        <v>36</v>
      </c>
    </row>
    <row r="721" spans="1:4" x14ac:dyDescent="0.3">
      <c r="A721" t="s">
        <v>690</v>
      </c>
      <c r="B721">
        <v>36</v>
      </c>
    </row>
    <row r="722" spans="1:4" x14ac:dyDescent="0.3">
      <c r="A722" t="s">
        <v>691</v>
      </c>
      <c r="B722">
        <v>36</v>
      </c>
      <c r="C722" t="b">
        <v>0</v>
      </c>
    </row>
    <row r="723" spans="1:4" x14ac:dyDescent="0.3">
      <c r="A723" t="s">
        <v>692</v>
      </c>
      <c r="B723">
        <v>36</v>
      </c>
      <c r="C723" t="b">
        <v>0</v>
      </c>
    </row>
    <row r="724" spans="1:4" x14ac:dyDescent="0.3">
      <c r="A724" t="s">
        <v>678</v>
      </c>
      <c r="B724">
        <v>37</v>
      </c>
      <c r="D724">
        <v>38</v>
      </c>
    </row>
    <row r="725" spans="1:4" x14ac:dyDescent="0.3">
      <c r="A725" t="s">
        <v>36</v>
      </c>
      <c r="B725">
        <v>37</v>
      </c>
      <c r="D725">
        <v>1</v>
      </c>
    </row>
    <row r="726" spans="1:4" x14ac:dyDescent="0.3">
      <c r="A726" t="s">
        <v>503</v>
      </c>
      <c r="B726">
        <v>37</v>
      </c>
      <c r="D726" t="s">
        <v>707</v>
      </c>
    </row>
    <row r="727" spans="1:4" x14ac:dyDescent="0.3">
      <c r="A727" t="s">
        <v>679</v>
      </c>
      <c r="B727">
        <v>37</v>
      </c>
      <c r="D727">
        <v>555</v>
      </c>
    </row>
    <row r="728" spans="1:4" x14ac:dyDescent="0.3">
      <c r="A728" t="s">
        <v>42</v>
      </c>
      <c r="B728">
        <v>37</v>
      </c>
      <c r="D728">
        <v>30</v>
      </c>
    </row>
    <row r="729" spans="1:4" x14ac:dyDescent="0.3">
      <c r="A729" t="s">
        <v>680</v>
      </c>
      <c r="B729">
        <v>37</v>
      </c>
      <c r="D729">
        <v>12.6</v>
      </c>
    </row>
    <row r="730" spans="1:4" x14ac:dyDescent="0.3">
      <c r="A730" t="s">
        <v>41</v>
      </c>
      <c r="B730">
        <v>37</v>
      </c>
      <c r="D730">
        <v>0</v>
      </c>
    </row>
    <row r="731" spans="1:4" x14ac:dyDescent="0.3">
      <c r="A731" t="s">
        <v>681</v>
      </c>
      <c r="B731">
        <v>37</v>
      </c>
      <c r="D731" t="s">
        <v>697</v>
      </c>
    </row>
    <row r="732" spans="1:4" x14ac:dyDescent="0.3">
      <c r="A732" t="s">
        <v>563</v>
      </c>
      <c r="B732">
        <v>37</v>
      </c>
      <c r="D732">
        <v>0</v>
      </c>
    </row>
    <row r="733" spans="1:4" x14ac:dyDescent="0.3">
      <c r="A733" t="s">
        <v>682</v>
      </c>
      <c r="B733">
        <v>37</v>
      </c>
      <c r="D733">
        <v>0</v>
      </c>
    </row>
    <row r="734" spans="1:4" x14ac:dyDescent="0.3">
      <c r="A734" t="s">
        <v>683</v>
      </c>
      <c r="B734">
        <v>37</v>
      </c>
      <c r="D734">
        <v>16</v>
      </c>
    </row>
    <row r="735" spans="1:4" x14ac:dyDescent="0.3">
      <c r="A735" t="s">
        <v>684</v>
      </c>
      <c r="B735">
        <v>37</v>
      </c>
      <c r="D735">
        <v>200</v>
      </c>
    </row>
    <row r="736" spans="1:4" x14ac:dyDescent="0.3">
      <c r="A736" t="s">
        <v>685</v>
      </c>
      <c r="B736">
        <v>37</v>
      </c>
      <c r="D736">
        <v>1320</v>
      </c>
    </row>
    <row r="737" spans="1:4" x14ac:dyDescent="0.3">
      <c r="A737" t="s">
        <v>686</v>
      </c>
      <c r="B737">
        <v>37</v>
      </c>
      <c r="D737">
        <v>880</v>
      </c>
    </row>
    <row r="738" spans="1:4" x14ac:dyDescent="0.3">
      <c r="A738" t="s">
        <v>687</v>
      </c>
      <c r="B738">
        <v>37</v>
      </c>
      <c r="D738">
        <v>1760</v>
      </c>
    </row>
    <row r="739" spans="1:4" x14ac:dyDescent="0.3">
      <c r="A739" t="s">
        <v>688</v>
      </c>
      <c r="B739">
        <v>37</v>
      </c>
    </row>
    <row r="740" spans="1:4" x14ac:dyDescent="0.3">
      <c r="A740" t="s">
        <v>689</v>
      </c>
      <c r="B740">
        <v>37</v>
      </c>
    </row>
    <row r="741" spans="1:4" x14ac:dyDescent="0.3">
      <c r="A741" t="s">
        <v>690</v>
      </c>
      <c r="B741">
        <v>37</v>
      </c>
    </row>
    <row r="742" spans="1:4" x14ac:dyDescent="0.3">
      <c r="A742" t="s">
        <v>691</v>
      </c>
      <c r="B742">
        <v>37</v>
      </c>
      <c r="D742" t="b">
        <v>0</v>
      </c>
    </row>
    <row r="743" spans="1:4" x14ac:dyDescent="0.3">
      <c r="A743" t="s">
        <v>692</v>
      </c>
      <c r="B743">
        <v>37</v>
      </c>
      <c r="D743" t="b">
        <v>0</v>
      </c>
    </row>
    <row r="744" spans="1:4" x14ac:dyDescent="0.3">
      <c r="A744" t="s">
        <v>678</v>
      </c>
      <c r="B744">
        <v>38</v>
      </c>
      <c r="C744">
        <v>37</v>
      </c>
      <c r="D744">
        <v>39</v>
      </c>
    </row>
    <row r="745" spans="1:4" x14ac:dyDescent="0.3">
      <c r="A745" t="s">
        <v>36</v>
      </c>
      <c r="B745">
        <v>38</v>
      </c>
      <c r="C745" t="s">
        <v>698</v>
      </c>
      <c r="D745">
        <v>1</v>
      </c>
    </row>
    <row r="746" spans="1:4" x14ac:dyDescent="0.3">
      <c r="A746" t="s">
        <v>503</v>
      </c>
      <c r="B746">
        <v>38</v>
      </c>
      <c r="C746" t="s">
        <v>707</v>
      </c>
      <c r="D746" t="s">
        <v>707</v>
      </c>
    </row>
    <row r="747" spans="1:4" x14ac:dyDescent="0.3">
      <c r="A747" t="s">
        <v>679</v>
      </c>
      <c r="B747">
        <v>38</v>
      </c>
      <c r="C747">
        <v>555</v>
      </c>
      <c r="D747">
        <v>370</v>
      </c>
    </row>
    <row r="748" spans="1:4" x14ac:dyDescent="0.3">
      <c r="A748" t="s">
        <v>42</v>
      </c>
      <c r="B748">
        <v>38</v>
      </c>
      <c r="C748">
        <v>30</v>
      </c>
      <c r="D748">
        <v>30</v>
      </c>
    </row>
    <row r="749" spans="1:4" x14ac:dyDescent="0.3">
      <c r="A749" t="s">
        <v>680</v>
      </c>
      <c r="B749">
        <v>38</v>
      </c>
      <c r="C749">
        <v>12.6</v>
      </c>
      <c r="D749">
        <v>8.4</v>
      </c>
    </row>
    <row r="750" spans="1:4" x14ac:dyDescent="0.3">
      <c r="A750" t="s">
        <v>41</v>
      </c>
      <c r="B750">
        <v>38</v>
      </c>
      <c r="C750">
        <v>0</v>
      </c>
      <c r="D750">
        <v>0</v>
      </c>
    </row>
    <row r="751" spans="1:4" x14ac:dyDescent="0.3">
      <c r="A751" t="s">
        <v>681</v>
      </c>
      <c r="B751">
        <v>38</v>
      </c>
      <c r="C751" t="s">
        <v>697</v>
      </c>
      <c r="D751" t="s">
        <v>697</v>
      </c>
    </row>
    <row r="752" spans="1:4" x14ac:dyDescent="0.3">
      <c r="A752" t="s">
        <v>563</v>
      </c>
      <c r="B752">
        <v>38</v>
      </c>
      <c r="C752">
        <v>0</v>
      </c>
      <c r="D752">
        <v>0</v>
      </c>
    </row>
    <row r="753" spans="1:4" x14ac:dyDescent="0.3">
      <c r="A753" t="s">
        <v>682</v>
      </c>
      <c r="B753">
        <v>38</v>
      </c>
      <c r="C753">
        <v>0</v>
      </c>
      <c r="D753">
        <v>0</v>
      </c>
    </row>
    <row r="754" spans="1:4" x14ac:dyDescent="0.3">
      <c r="A754" t="s">
        <v>683</v>
      </c>
      <c r="B754">
        <v>38</v>
      </c>
      <c r="C754">
        <v>16</v>
      </c>
      <c r="D754">
        <v>16</v>
      </c>
    </row>
    <row r="755" spans="1:4" x14ac:dyDescent="0.3">
      <c r="A755" t="s">
        <v>684</v>
      </c>
      <c r="B755">
        <v>38</v>
      </c>
      <c r="C755">
        <v>100</v>
      </c>
      <c r="D755">
        <v>100</v>
      </c>
    </row>
    <row r="756" spans="1:4" x14ac:dyDescent="0.3">
      <c r="A756" t="s">
        <v>685</v>
      </c>
      <c r="B756">
        <v>38</v>
      </c>
      <c r="C756">
        <v>1320</v>
      </c>
      <c r="D756">
        <v>1320</v>
      </c>
    </row>
    <row r="757" spans="1:4" x14ac:dyDescent="0.3">
      <c r="A757" t="s">
        <v>686</v>
      </c>
      <c r="B757">
        <v>38</v>
      </c>
      <c r="C757">
        <v>880</v>
      </c>
      <c r="D757">
        <v>880</v>
      </c>
    </row>
    <row r="758" spans="1:4" x14ac:dyDescent="0.3">
      <c r="A758" t="s">
        <v>687</v>
      </c>
      <c r="B758">
        <v>38</v>
      </c>
      <c r="C758">
        <v>1760</v>
      </c>
      <c r="D758">
        <v>1760</v>
      </c>
    </row>
    <row r="759" spans="1:4" x14ac:dyDescent="0.3">
      <c r="A759" t="s">
        <v>688</v>
      </c>
      <c r="B759">
        <v>38</v>
      </c>
    </row>
    <row r="760" spans="1:4" x14ac:dyDescent="0.3">
      <c r="A760" t="s">
        <v>689</v>
      </c>
      <c r="B760">
        <v>38</v>
      </c>
    </row>
    <row r="761" spans="1:4" x14ac:dyDescent="0.3">
      <c r="A761" t="s">
        <v>690</v>
      </c>
      <c r="B761">
        <v>38</v>
      </c>
    </row>
    <row r="762" spans="1:4" x14ac:dyDescent="0.3">
      <c r="A762" t="s">
        <v>691</v>
      </c>
      <c r="B762">
        <v>38</v>
      </c>
      <c r="C762" t="b">
        <v>0</v>
      </c>
      <c r="D762" t="b">
        <v>0</v>
      </c>
    </row>
    <row r="763" spans="1:4" x14ac:dyDescent="0.3">
      <c r="A763" t="s">
        <v>692</v>
      </c>
      <c r="B763">
        <v>38</v>
      </c>
      <c r="C763" t="b">
        <v>0</v>
      </c>
      <c r="D763" t="b">
        <v>1</v>
      </c>
    </row>
    <row r="764" spans="1:4" x14ac:dyDescent="0.3">
      <c r="A764" t="s">
        <v>678</v>
      </c>
      <c r="B764">
        <v>39</v>
      </c>
      <c r="C764">
        <v>38</v>
      </c>
      <c r="D764">
        <v>35</v>
      </c>
    </row>
    <row r="765" spans="1:4" x14ac:dyDescent="0.3">
      <c r="A765" t="s">
        <v>36</v>
      </c>
      <c r="B765">
        <v>39</v>
      </c>
      <c r="C765">
        <v>1</v>
      </c>
      <c r="D765">
        <v>1</v>
      </c>
    </row>
    <row r="766" spans="1:4" x14ac:dyDescent="0.3">
      <c r="A766" t="s">
        <v>503</v>
      </c>
      <c r="B766">
        <v>39</v>
      </c>
      <c r="C766" t="s">
        <v>707</v>
      </c>
      <c r="D766" t="s">
        <v>707</v>
      </c>
    </row>
    <row r="767" spans="1:4" x14ac:dyDescent="0.3">
      <c r="A767" t="s">
        <v>679</v>
      </c>
      <c r="B767">
        <v>39</v>
      </c>
      <c r="C767">
        <v>370</v>
      </c>
      <c r="D767">
        <v>282</v>
      </c>
    </row>
    <row r="768" spans="1:4" x14ac:dyDescent="0.3">
      <c r="A768" t="s">
        <v>42</v>
      </c>
      <c r="B768">
        <v>39</v>
      </c>
      <c r="C768">
        <v>30</v>
      </c>
      <c r="D768">
        <v>30</v>
      </c>
    </row>
    <row r="769" spans="1:4" x14ac:dyDescent="0.3">
      <c r="A769" t="s">
        <v>680</v>
      </c>
      <c r="B769">
        <v>39</v>
      </c>
      <c r="C769">
        <v>8.4</v>
      </c>
      <c r="D769">
        <v>6.4</v>
      </c>
    </row>
    <row r="770" spans="1:4" x14ac:dyDescent="0.3">
      <c r="A770" t="s">
        <v>41</v>
      </c>
      <c r="B770">
        <v>39</v>
      </c>
      <c r="C770">
        <v>0</v>
      </c>
      <c r="D770">
        <v>0</v>
      </c>
    </row>
    <row r="771" spans="1:4" x14ac:dyDescent="0.3">
      <c r="A771" t="s">
        <v>681</v>
      </c>
      <c r="B771">
        <v>39</v>
      </c>
      <c r="C771">
        <v>12</v>
      </c>
      <c r="D771">
        <v>12</v>
      </c>
    </row>
    <row r="772" spans="1:4" x14ac:dyDescent="0.3">
      <c r="A772" t="s">
        <v>563</v>
      </c>
      <c r="B772">
        <v>39</v>
      </c>
      <c r="C772">
        <v>0</v>
      </c>
      <c r="D772">
        <v>0</v>
      </c>
    </row>
    <row r="773" spans="1:4" x14ac:dyDescent="0.3">
      <c r="A773" t="s">
        <v>682</v>
      </c>
      <c r="B773">
        <v>39</v>
      </c>
      <c r="C773">
        <v>0</v>
      </c>
      <c r="D773">
        <v>0</v>
      </c>
    </row>
    <row r="774" spans="1:4" x14ac:dyDescent="0.3">
      <c r="A774" t="s">
        <v>683</v>
      </c>
      <c r="B774">
        <v>39</v>
      </c>
      <c r="C774">
        <v>16</v>
      </c>
      <c r="D774">
        <v>16</v>
      </c>
    </row>
    <row r="775" spans="1:4" x14ac:dyDescent="0.3">
      <c r="A775" t="s">
        <v>684</v>
      </c>
      <c r="B775">
        <v>39</v>
      </c>
      <c r="C775">
        <v>100</v>
      </c>
      <c r="D775">
        <v>100</v>
      </c>
    </row>
    <row r="776" spans="1:4" x14ac:dyDescent="0.3">
      <c r="A776" t="s">
        <v>685</v>
      </c>
      <c r="B776">
        <v>39</v>
      </c>
      <c r="C776">
        <v>1320</v>
      </c>
      <c r="D776">
        <v>1320</v>
      </c>
    </row>
    <row r="777" spans="1:4" x14ac:dyDescent="0.3">
      <c r="A777" t="s">
        <v>686</v>
      </c>
      <c r="B777">
        <v>39</v>
      </c>
      <c r="C777">
        <v>880</v>
      </c>
      <c r="D777">
        <v>880</v>
      </c>
    </row>
    <row r="778" spans="1:4" x14ac:dyDescent="0.3">
      <c r="A778" t="s">
        <v>687</v>
      </c>
      <c r="B778">
        <v>39</v>
      </c>
      <c r="C778">
        <v>1760</v>
      </c>
      <c r="D778">
        <v>1760</v>
      </c>
    </row>
    <row r="779" spans="1:4" x14ac:dyDescent="0.3">
      <c r="A779" t="s">
        <v>688</v>
      </c>
      <c r="B779">
        <v>39</v>
      </c>
    </row>
    <row r="780" spans="1:4" x14ac:dyDescent="0.3">
      <c r="A780" t="s">
        <v>689</v>
      </c>
      <c r="B780">
        <v>39</v>
      </c>
    </row>
    <row r="781" spans="1:4" x14ac:dyDescent="0.3">
      <c r="A781" t="s">
        <v>690</v>
      </c>
      <c r="B781">
        <v>39</v>
      </c>
    </row>
    <row r="782" spans="1:4" x14ac:dyDescent="0.3">
      <c r="A782" t="s">
        <v>691</v>
      </c>
      <c r="B782">
        <v>39</v>
      </c>
      <c r="C782" t="b">
        <v>0</v>
      </c>
      <c r="D782" t="b">
        <v>0</v>
      </c>
    </row>
    <row r="783" spans="1:4" x14ac:dyDescent="0.3">
      <c r="A783" t="s">
        <v>692</v>
      </c>
      <c r="B783">
        <v>39</v>
      </c>
      <c r="C783" t="b">
        <v>1</v>
      </c>
      <c r="D783" t="b">
        <v>1</v>
      </c>
    </row>
    <row r="784" spans="1:4" x14ac:dyDescent="0.3">
      <c r="A784" t="s">
        <v>678</v>
      </c>
      <c r="B784">
        <v>40</v>
      </c>
      <c r="C784">
        <v>35</v>
      </c>
      <c r="D784">
        <v>36</v>
      </c>
    </row>
    <row r="785" spans="1:4" x14ac:dyDescent="0.3">
      <c r="A785" t="s">
        <v>36</v>
      </c>
      <c r="B785">
        <v>40</v>
      </c>
      <c r="C785">
        <v>1</v>
      </c>
      <c r="D785">
        <v>1</v>
      </c>
    </row>
    <row r="786" spans="1:4" x14ac:dyDescent="0.3">
      <c r="A786" t="s">
        <v>503</v>
      </c>
      <c r="B786">
        <v>40</v>
      </c>
      <c r="C786" t="s">
        <v>707</v>
      </c>
      <c r="D786" t="s">
        <v>707</v>
      </c>
    </row>
    <row r="787" spans="1:4" x14ac:dyDescent="0.3">
      <c r="A787" t="s">
        <v>679</v>
      </c>
      <c r="B787">
        <v>40</v>
      </c>
      <c r="C787">
        <v>512</v>
      </c>
      <c r="D787">
        <v>251</v>
      </c>
    </row>
    <row r="788" spans="1:4" x14ac:dyDescent="0.3">
      <c r="A788" t="s">
        <v>42</v>
      </c>
      <c r="B788">
        <v>40</v>
      </c>
      <c r="C788">
        <v>30</v>
      </c>
      <c r="D788">
        <v>30</v>
      </c>
    </row>
    <row r="789" spans="1:4" x14ac:dyDescent="0.3">
      <c r="A789" t="s">
        <v>680</v>
      </c>
      <c r="B789">
        <v>40</v>
      </c>
      <c r="C789">
        <v>11.6</v>
      </c>
      <c r="D789">
        <v>5.7</v>
      </c>
    </row>
    <row r="790" spans="1:4" x14ac:dyDescent="0.3">
      <c r="A790" t="s">
        <v>41</v>
      </c>
      <c r="B790">
        <v>40</v>
      </c>
      <c r="C790">
        <v>0</v>
      </c>
      <c r="D790">
        <v>0</v>
      </c>
    </row>
    <row r="791" spans="1:4" x14ac:dyDescent="0.3">
      <c r="A791" t="s">
        <v>681</v>
      </c>
      <c r="B791">
        <v>40</v>
      </c>
      <c r="C791">
        <v>12</v>
      </c>
      <c r="D791">
        <v>12</v>
      </c>
    </row>
    <row r="792" spans="1:4" x14ac:dyDescent="0.3">
      <c r="A792" t="s">
        <v>563</v>
      </c>
      <c r="B792">
        <v>40</v>
      </c>
      <c r="C792">
        <v>0</v>
      </c>
      <c r="D792">
        <v>0</v>
      </c>
    </row>
    <row r="793" spans="1:4" x14ac:dyDescent="0.3">
      <c r="A793" t="s">
        <v>682</v>
      </c>
      <c r="B793">
        <v>40</v>
      </c>
      <c r="C793">
        <v>0</v>
      </c>
      <c r="D793">
        <v>0</v>
      </c>
    </row>
    <row r="794" spans="1:4" x14ac:dyDescent="0.3">
      <c r="A794" t="s">
        <v>683</v>
      </c>
      <c r="B794">
        <v>40</v>
      </c>
      <c r="C794">
        <v>16</v>
      </c>
      <c r="D794">
        <v>16</v>
      </c>
    </row>
    <row r="795" spans="1:4" x14ac:dyDescent="0.3">
      <c r="A795" t="s">
        <v>684</v>
      </c>
      <c r="B795">
        <v>40</v>
      </c>
      <c r="C795">
        <v>100</v>
      </c>
      <c r="D795">
        <v>100</v>
      </c>
    </row>
    <row r="796" spans="1:4" x14ac:dyDescent="0.3">
      <c r="A796" t="s">
        <v>685</v>
      </c>
      <c r="B796">
        <v>40</v>
      </c>
      <c r="C796">
        <v>1320</v>
      </c>
      <c r="D796">
        <v>1320</v>
      </c>
    </row>
    <row r="797" spans="1:4" x14ac:dyDescent="0.3">
      <c r="A797" t="s">
        <v>686</v>
      </c>
      <c r="B797">
        <v>40</v>
      </c>
      <c r="C797">
        <v>880</v>
      </c>
      <c r="D797">
        <v>880</v>
      </c>
    </row>
    <row r="798" spans="1:4" x14ac:dyDescent="0.3">
      <c r="A798" t="s">
        <v>687</v>
      </c>
      <c r="B798">
        <v>40</v>
      </c>
      <c r="C798">
        <v>1760</v>
      </c>
      <c r="D798">
        <v>1760</v>
      </c>
    </row>
    <row r="799" spans="1:4" x14ac:dyDescent="0.3">
      <c r="A799" t="s">
        <v>688</v>
      </c>
      <c r="B799">
        <v>40</v>
      </c>
    </row>
    <row r="800" spans="1:4" x14ac:dyDescent="0.3">
      <c r="A800" t="s">
        <v>689</v>
      </c>
      <c r="B800">
        <v>40</v>
      </c>
    </row>
    <row r="801" spans="1:6" x14ac:dyDescent="0.3">
      <c r="A801" t="s">
        <v>690</v>
      </c>
      <c r="B801">
        <v>40</v>
      </c>
    </row>
    <row r="802" spans="1:6" x14ac:dyDescent="0.3">
      <c r="A802" t="s">
        <v>691</v>
      </c>
      <c r="B802">
        <v>40</v>
      </c>
      <c r="C802" t="b">
        <v>0</v>
      </c>
      <c r="D802" t="b">
        <v>0</v>
      </c>
    </row>
    <row r="803" spans="1:6" x14ac:dyDescent="0.3">
      <c r="A803" t="s">
        <v>692</v>
      </c>
      <c r="B803">
        <v>40</v>
      </c>
      <c r="C803" t="b">
        <v>1</v>
      </c>
      <c r="D803" t="b">
        <v>0</v>
      </c>
    </row>
    <row r="804" spans="1:6" x14ac:dyDescent="0.3">
      <c r="A804" t="s">
        <v>678</v>
      </c>
      <c r="B804">
        <v>41</v>
      </c>
      <c r="C804">
        <v>43</v>
      </c>
      <c r="D804">
        <v>42</v>
      </c>
      <c r="E804">
        <v>35</v>
      </c>
      <c r="F804">
        <v>44</v>
      </c>
    </row>
    <row r="805" spans="1:6" x14ac:dyDescent="0.3">
      <c r="A805" t="s">
        <v>36</v>
      </c>
      <c r="B805">
        <v>41</v>
      </c>
      <c r="C805">
        <v>5</v>
      </c>
      <c r="D805">
        <v>4</v>
      </c>
      <c r="E805">
        <v>6</v>
      </c>
      <c r="F805">
        <v>6</v>
      </c>
    </row>
    <row r="806" spans="1:6" x14ac:dyDescent="0.3">
      <c r="A806" t="s">
        <v>503</v>
      </c>
      <c r="B806">
        <v>41</v>
      </c>
      <c r="C806" t="s">
        <v>708</v>
      </c>
      <c r="D806" t="s">
        <v>709</v>
      </c>
      <c r="E806" t="s">
        <v>695</v>
      </c>
      <c r="F806" t="s">
        <v>695</v>
      </c>
    </row>
    <row r="807" spans="1:6" x14ac:dyDescent="0.3">
      <c r="A807" t="s">
        <v>679</v>
      </c>
      <c r="B807">
        <v>41</v>
      </c>
      <c r="C807">
        <v>1229</v>
      </c>
      <c r="D807">
        <v>1230</v>
      </c>
      <c r="E807">
        <v>2603</v>
      </c>
      <c r="F807">
        <v>2630</v>
      </c>
    </row>
    <row r="808" spans="1:6" x14ac:dyDescent="0.3">
      <c r="A808" t="s">
        <v>42</v>
      </c>
      <c r="B808">
        <v>41</v>
      </c>
      <c r="C808">
        <v>45</v>
      </c>
      <c r="D808">
        <v>45</v>
      </c>
      <c r="E808">
        <v>40</v>
      </c>
      <c r="F808">
        <v>40</v>
      </c>
    </row>
    <row r="809" spans="1:6" x14ac:dyDescent="0.3">
      <c r="A809" t="s">
        <v>680</v>
      </c>
      <c r="B809">
        <v>41</v>
      </c>
      <c r="C809">
        <v>18.600000000000001</v>
      </c>
      <c r="D809">
        <v>18.600000000000001</v>
      </c>
      <c r="E809">
        <v>44.4</v>
      </c>
      <c r="F809">
        <v>44.8</v>
      </c>
    </row>
    <row r="810" spans="1:6" x14ac:dyDescent="0.3">
      <c r="A810" t="s">
        <v>41</v>
      </c>
      <c r="B810">
        <v>41</v>
      </c>
      <c r="C810">
        <v>0</v>
      </c>
      <c r="D810">
        <v>0</v>
      </c>
      <c r="E810">
        <v>0</v>
      </c>
      <c r="F810">
        <v>0</v>
      </c>
    </row>
    <row r="811" spans="1:6" x14ac:dyDescent="0.3">
      <c r="A811" t="s">
        <v>681</v>
      </c>
      <c r="B811">
        <v>41</v>
      </c>
      <c r="C811">
        <v>12</v>
      </c>
      <c r="D811">
        <v>12</v>
      </c>
      <c r="E811">
        <v>24</v>
      </c>
      <c r="F811">
        <v>24</v>
      </c>
    </row>
    <row r="812" spans="1:6" x14ac:dyDescent="0.3">
      <c r="A812" t="s">
        <v>563</v>
      </c>
      <c r="B812">
        <v>41</v>
      </c>
      <c r="C812">
        <v>0</v>
      </c>
      <c r="D812">
        <v>0</v>
      </c>
      <c r="E812">
        <v>0</v>
      </c>
      <c r="F812">
        <v>0</v>
      </c>
    </row>
    <row r="813" spans="1:6" x14ac:dyDescent="0.3">
      <c r="A813" t="s">
        <v>682</v>
      </c>
      <c r="B813">
        <v>41</v>
      </c>
      <c r="C813">
        <v>0</v>
      </c>
      <c r="D813">
        <v>0</v>
      </c>
      <c r="E813">
        <v>0</v>
      </c>
      <c r="F813">
        <v>0</v>
      </c>
    </row>
    <row r="814" spans="1:6" x14ac:dyDescent="0.3">
      <c r="A814" t="s">
        <v>683</v>
      </c>
      <c r="B814">
        <v>41</v>
      </c>
      <c r="C814">
        <v>16</v>
      </c>
      <c r="D814">
        <v>16</v>
      </c>
      <c r="E814">
        <v>16</v>
      </c>
      <c r="F814">
        <v>16</v>
      </c>
    </row>
    <row r="815" spans="1:6" x14ac:dyDescent="0.3">
      <c r="A815" t="s">
        <v>684</v>
      </c>
      <c r="B815">
        <v>41</v>
      </c>
      <c r="C815">
        <v>500</v>
      </c>
      <c r="D815">
        <v>500</v>
      </c>
      <c r="E815">
        <v>500</v>
      </c>
      <c r="F815">
        <v>500</v>
      </c>
    </row>
    <row r="816" spans="1:6" x14ac:dyDescent="0.3">
      <c r="A816" t="s">
        <v>685</v>
      </c>
      <c r="B816">
        <v>41</v>
      </c>
      <c r="C816">
        <v>1980</v>
      </c>
      <c r="D816">
        <v>1980</v>
      </c>
      <c r="E816">
        <v>1761</v>
      </c>
      <c r="F816">
        <v>1761</v>
      </c>
    </row>
    <row r="817" spans="1:6" x14ac:dyDescent="0.3">
      <c r="A817" t="s">
        <v>686</v>
      </c>
      <c r="B817">
        <v>41</v>
      </c>
      <c r="C817">
        <v>1320</v>
      </c>
      <c r="D817">
        <v>1320</v>
      </c>
      <c r="E817">
        <v>1174</v>
      </c>
      <c r="F817">
        <v>1174</v>
      </c>
    </row>
    <row r="818" spans="1:6" x14ac:dyDescent="0.3">
      <c r="A818" t="s">
        <v>687</v>
      </c>
      <c r="B818">
        <v>41</v>
      </c>
      <c r="C818">
        <v>2640</v>
      </c>
      <c r="D818">
        <v>2640</v>
      </c>
      <c r="E818">
        <v>2348</v>
      </c>
      <c r="F818">
        <v>2348</v>
      </c>
    </row>
    <row r="819" spans="1:6" x14ac:dyDescent="0.3">
      <c r="A819" t="s">
        <v>688</v>
      </c>
      <c r="B819">
        <v>41</v>
      </c>
    </row>
    <row r="820" spans="1:6" x14ac:dyDescent="0.3">
      <c r="A820" t="s">
        <v>689</v>
      </c>
      <c r="B820">
        <v>41</v>
      </c>
    </row>
    <row r="821" spans="1:6" x14ac:dyDescent="0.3">
      <c r="A821" t="s">
        <v>690</v>
      </c>
      <c r="B821">
        <v>41</v>
      </c>
    </row>
    <row r="822" spans="1:6" x14ac:dyDescent="0.3">
      <c r="A822" t="s">
        <v>691</v>
      </c>
      <c r="B822">
        <v>41</v>
      </c>
      <c r="C822" t="b">
        <v>0</v>
      </c>
      <c r="D822" t="b">
        <v>0</v>
      </c>
      <c r="E822" t="b">
        <v>0</v>
      </c>
      <c r="F822" t="b">
        <v>0</v>
      </c>
    </row>
    <row r="823" spans="1:6" x14ac:dyDescent="0.3">
      <c r="A823" t="s">
        <v>692</v>
      </c>
      <c r="B823">
        <v>41</v>
      </c>
      <c r="C823" t="b">
        <v>0</v>
      </c>
      <c r="D823" t="b">
        <v>0</v>
      </c>
      <c r="E823" t="b">
        <v>0</v>
      </c>
      <c r="F823" t="b">
        <v>0</v>
      </c>
    </row>
    <row r="824" spans="1:6" x14ac:dyDescent="0.3">
      <c r="A824" t="s">
        <v>678</v>
      </c>
      <c r="B824">
        <v>42</v>
      </c>
      <c r="C824">
        <v>41</v>
      </c>
    </row>
    <row r="825" spans="1:6" x14ac:dyDescent="0.3">
      <c r="A825" t="s">
        <v>36</v>
      </c>
      <c r="B825">
        <v>42</v>
      </c>
      <c r="C825">
        <v>3</v>
      </c>
    </row>
    <row r="826" spans="1:6" x14ac:dyDescent="0.3">
      <c r="A826" t="s">
        <v>503</v>
      </c>
      <c r="B826">
        <v>42</v>
      </c>
      <c r="C826" t="s">
        <v>709</v>
      </c>
    </row>
    <row r="827" spans="1:6" x14ac:dyDescent="0.3">
      <c r="A827" t="s">
        <v>679</v>
      </c>
      <c r="B827">
        <v>42</v>
      </c>
      <c r="C827">
        <v>1230</v>
      </c>
    </row>
    <row r="828" spans="1:6" x14ac:dyDescent="0.3">
      <c r="A828" t="s">
        <v>42</v>
      </c>
      <c r="B828">
        <v>42</v>
      </c>
      <c r="C828">
        <v>30</v>
      </c>
    </row>
    <row r="829" spans="1:6" x14ac:dyDescent="0.3">
      <c r="A829" t="s">
        <v>680</v>
      </c>
      <c r="B829">
        <v>42</v>
      </c>
      <c r="C829">
        <v>28</v>
      </c>
    </row>
    <row r="830" spans="1:6" x14ac:dyDescent="0.3">
      <c r="A830" t="s">
        <v>41</v>
      </c>
      <c r="B830">
        <v>42</v>
      </c>
      <c r="C830">
        <v>0</v>
      </c>
    </row>
    <row r="831" spans="1:6" x14ac:dyDescent="0.3">
      <c r="A831" t="s">
        <v>681</v>
      </c>
      <c r="B831">
        <v>42</v>
      </c>
      <c r="C831">
        <v>12</v>
      </c>
    </row>
    <row r="832" spans="1:6" x14ac:dyDescent="0.3">
      <c r="A832" t="s">
        <v>563</v>
      </c>
      <c r="B832">
        <v>42</v>
      </c>
      <c r="C832">
        <v>0</v>
      </c>
    </row>
    <row r="833" spans="1:4" x14ac:dyDescent="0.3">
      <c r="A833" t="s">
        <v>682</v>
      </c>
      <c r="B833">
        <v>42</v>
      </c>
      <c r="C833">
        <v>0</v>
      </c>
    </row>
    <row r="834" spans="1:4" x14ac:dyDescent="0.3">
      <c r="A834" t="s">
        <v>683</v>
      </c>
      <c r="B834">
        <v>42</v>
      </c>
      <c r="C834">
        <v>16</v>
      </c>
    </row>
    <row r="835" spans="1:4" x14ac:dyDescent="0.3">
      <c r="A835" t="s">
        <v>684</v>
      </c>
      <c r="B835">
        <v>42</v>
      </c>
      <c r="C835">
        <v>200</v>
      </c>
    </row>
    <row r="836" spans="1:4" x14ac:dyDescent="0.3">
      <c r="A836" t="s">
        <v>685</v>
      </c>
      <c r="B836">
        <v>42</v>
      </c>
      <c r="C836">
        <v>1320</v>
      </c>
    </row>
    <row r="837" spans="1:4" x14ac:dyDescent="0.3">
      <c r="A837" t="s">
        <v>686</v>
      </c>
      <c r="B837">
        <v>42</v>
      </c>
      <c r="C837">
        <v>880</v>
      </c>
    </row>
    <row r="838" spans="1:4" x14ac:dyDescent="0.3">
      <c r="A838" t="s">
        <v>687</v>
      </c>
      <c r="B838">
        <v>42</v>
      </c>
      <c r="C838">
        <v>1760</v>
      </c>
    </row>
    <row r="839" spans="1:4" x14ac:dyDescent="0.3">
      <c r="A839" t="s">
        <v>688</v>
      </c>
      <c r="B839">
        <v>42</v>
      </c>
    </row>
    <row r="840" spans="1:4" x14ac:dyDescent="0.3">
      <c r="A840" t="s">
        <v>689</v>
      </c>
      <c r="B840">
        <v>42</v>
      </c>
    </row>
    <row r="841" spans="1:4" x14ac:dyDescent="0.3">
      <c r="A841" t="s">
        <v>690</v>
      </c>
      <c r="B841">
        <v>42</v>
      </c>
    </row>
    <row r="842" spans="1:4" x14ac:dyDescent="0.3">
      <c r="A842" t="s">
        <v>691</v>
      </c>
      <c r="B842">
        <v>42</v>
      </c>
      <c r="C842" t="b">
        <v>0</v>
      </c>
    </row>
    <row r="843" spans="1:4" x14ac:dyDescent="0.3">
      <c r="A843" t="s">
        <v>692</v>
      </c>
      <c r="B843">
        <v>42</v>
      </c>
      <c r="C843" t="b">
        <v>0</v>
      </c>
    </row>
    <row r="844" spans="1:4" x14ac:dyDescent="0.3">
      <c r="A844" t="s">
        <v>678</v>
      </c>
      <c r="B844">
        <v>43</v>
      </c>
      <c r="D844">
        <v>41</v>
      </c>
    </row>
    <row r="845" spans="1:4" x14ac:dyDescent="0.3">
      <c r="A845" t="s">
        <v>36</v>
      </c>
      <c r="B845">
        <v>43</v>
      </c>
      <c r="D845">
        <v>3</v>
      </c>
    </row>
    <row r="846" spans="1:4" x14ac:dyDescent="0.3">
      <c r="A846" t="s">
        <v>503</v>
      </c>
      <c r="B846">
        <v>43</v>
      </c>
      <c r="D846" t="s">
        <v>708</v>
      </c>
    </row>
    <row r="847" spans="1:4" x14ac:dyDescent="0.3">
      <c r="A847" t="s">
        <v>679</v>
      </c>
      <c r="B847">
        <v>43</v>
      </c>
      <c r="D847">
        <v>1229</v>
      </c>
    </row>
    <row r="848" spans="1:4" x14ac:dyDescent="0.3">
      <c r="A848" t="s">
        <v>42</v>
      </c>
      <c r="B848">
        <v>43</v>
      </c>
      <c r="D848">
        <v>30</v>
      </c>
    </row>
    <row r="849" spans="1:6" x14ac:dyDescent="0.3">
      <c r="A849" t="s">
        <v>680</v>
      </c>
      <c r="B849">
        <v>43</v>
      </c>
      <c r="D849">
        <v>27.9</v>
      </c>
    </row>
    <row r="850" spans="1:6" x14ac:dyDescent="0.3">
      <c r="A850" t="s">
        <v>41</v>
      </c>
      <c r="B850">
        <v>43</v>
      </c>
      <c r="D850">
        <v>0</v>
      </c>
    </row>
    <row r="851" spans="1:6" x14ac:dyDescent="0.3">
      <c r="A851" t="s">
        <v>681</v>
      </c>
      <c r="B851">
        <v>43</v>
      </c>
      <c r="D851">
        <v>12</v>
      </c>
    </row>
    <row r="852" spans="1:6" x14ac:dyDescent="0.3">
      <c r="A852" t="s">
        <v>563</v>
      </c>
      <c r="B852">
        <v>43</v>
      </c>
      <c r="D852">
        <v>0</v>
      </c>
    </row>
    <row r="853" spans="1:6" x14ac:dyDescent="0.3">
      <c r="A853" t="s">
        <v>682</v>
      </c>
      <c r="B853">
        <v>43</v>
      </c>
      <c r="D853">
        <v>0</v>
      </c>
    </row>
    <row r="854" spans="1:6" x14ac:dyDescent="0.3">
      <c r="A854" t="s">
        <v>683</v>
      </c>
      <c r="B854">
        <v>43</v>
      </c>
      <c r="D854">
        <v>16</v>
      </c>
    </row>
    <row r="855" spans="1:6" x14ac:dyDescent="0.3">
      <c r="A855" t="s">
        <v>684</v>
      </c>
      <c r="B855">
        <v>43</v>
      </c>
      <c r="D855">
        <v>200</v>
      </c>
    </row>
    <row r="856" spans="1:6" x14ac:dyDescent="0.3">
      <c r="A856" t="s">
        <v>685</v>
      </c>
      <c r="B856">
        <v>43</v>
      </c>
      <c r="D856">
        <v>1320</v>
      </c>
    </row>
    <row r="857" spans="1:6" x14ac:dyDescent="0.3">
      <c r="A857" t="s">
        <v>686</v>
      </c>
      <c r="B857">
        <v>43</v>
      </c>
      <c r="D857">
        <v>880</v>
      </c>
    </row>
    <row r="858" spans="1:6" x14ac:dyDescent="0.3">
      <c r="A858" t="s">
        <v>687</v>
      </c>
      <c r="B858">
        <v>43</v>
      </c>
      <c r="D858">
        <v>1760</v>
      </c>
    </row>
    <row r="859" spans="1:6" x14ac:dyDescent="0.3">
      <c r="A859" t="s">
        <v>688</v>
      </c>
      <c r="B859">
        <v>43</v>
      </c>
    </row>
    <row r="860" spans="1:6" x14ac:dyDescent="0.3">
      <c r="A860" t="s">
        <v>689</v>
      </c>
      <c r="B860">
        <v>43</v>
      </c>
    </row>
    <row r="861" spans="1:6" x14ac:dyDescent="0.3">
      <c r="A861" t="s">
        <v>690</v>
      </c>
      <c r="B861">
        <v>43</v>
      </c>
    </row>
    <row r="862" spans="1:6" x14ac:dyDescent="0.3">
      <c r="A862" t="s">
        <v>691</v>
      </c>
      <c r="B862">
        <v>43</v>
      </c>
      <c r="D862" t="b">
        <v>0</v>
      </c>
    </row>
    <row r="863" spans="1:6" x14ac:dyDescent="0.3">
      <c r="A863" t="s">
        <v>692</v>
      </c>
      <c r="B863">
        <v>43</v>
      </c>
      <c r="D863" t="b">
        <v>0</v>
      </c>
    </row>
    <row r="864" spans="1:6" x14ac:dyDescent="0.3">
      <c r="A864" t="s">
        <v>678</v>
      </c>
      <c r="B864">
        <v>44</v>
      </c>
      <c r="C864">
        <v>46</v>
      </c>
      <c r="D864">
        <v>47</v>
      </c>
      <c r="E864">
        <v>41</v>
      </c>
      <c r="F864">
        <v>48</v>
      </c>
    </row>
    <row r="865" spans="1:6" x14ac:dyDescent="0.3">
      <c r="A865" t="s">
        <v>36</v>
      </c>
      <c r="B865">
        <v>44</v>
      </c>
      <c r="C865">
        <v>1</v>
      </c>
      <c r="D865">
        <v>2</v>
      </c>
      <c r="E865">
        <v>4</v>
      </c>
      <c r="F865">
        <v>4</v>
      </c>
    </row>
    <row r="866" spans="1:6" x14ac:dyDescent="0.3">
      <c r="A866" t="s">
        <v>503</v>
      </c>
      <c r="B866">
        <v>44</v>
      </c>
      <c r="C866" t="s">
        <v>710</v>
      </c>
      <c r="E866" t="s">
        <v>695</v>
      </c>
      <c r="F866" t="s">
        <v>695</v>
      </c>
    </row>
    <row r="867" spans="1:6" x14ac:dyDescent="0.3">
      <c r="A867" t="s">
        <v>679</v>
      </c>
      <c r="B867">
        <v>44</v>
      </c>
      <c r="C867">
        <v>331</v>
      </c>
      <c r="D867">
        <v>483</v>
      </c>
      <c r="E867">
        <v>2630</v>
      </c>
      <c r="F867">
        <v>682</v>
      </c>
    </row>
    <row r="868" spans="1:6" x14ac:dyDescent="0.3">
      <c r="A868" t="s">
        <v>42</v>
      </c>
      <c r="B868">
        <v>44</v>
      </c>
      <c r="C868">
        <v>25</v>
      </c>
      <c r="D868">
        <v>25</v>
      </c>
      <c r="E868">
        <v>40</v>
      </c>
      <c r="F868">
        <v>40</v>
      </c>
    </row>
    <row r="869" spans="1:6" x14ac:dyDescent="0.3">
      <c r="A869" t="s">
        <v>680</v>
      </c>
      <c r="B869">
        <v>44</v>
      </c>
      <c r="C869">
        <v>9</v>
      </c>
      <c r="D869">
        <v>13.2</v>
      </c>
      <c r="E869">
        <v>44.8</v>
      </c>
      <c r="F869">
        <v>11.6</v>
      </c>
    </row>
    <row r="870" spans="1:6" x14ac:dyDescent="0.3">
      <c r="A870" t="s">
        <v>41</v>
      </c>
      <c r="B870">
        <v>44</v>
      </c>
      <c r="C870">
        <v>0</v>
      </c>
      <c r="D870">
        <v>0</v>
      </c>
      <c r="E870">
        <v>0</v>
      </c>
      <c r="F870">
        <v>0</v>
      </c>
    </row>
    <row r="871" spans="1:6" x14ac:dyDescent="0.3">
      <c r="A871" t="s">
        <v>681</v>
      </c>
      <c r="B871">
        <v>44</v>
      </c>
      <c r="C871" t="s">
        <v>699</v>
      </c>
      <c r="D871">
        <v>12</v>
      </c>
      <c r="E871" t="s">
        <v>697</v>
      </c>
      <c r="F871" t="s">
        <v>697</v>
      </c>
    </row>
    <row r="872" spans="1:6" x14ac:dyDescent="0.3">
      <c r="A872" t="s">
        <v>563</v>
      </c>
      <c r="B872">
        <v>44</v>
      </c>
      <c r="C872">
        <v>0</v>
      </c>
      <c r="D872">
        <v>0</v>
      </c>
      <c r="E872">
        <v>0</v>
      </c>
      <c r="F872">
        <v>0</v>
      </c>
    </row>
    <row r="873" spans="1:6" x14ac:dyDescent="0.3">
      <c r="A873" t="s">
        <v>682</v>
      </c>
      <c r="B873">
        <v>44</v>
      </c>
      <c r="C873">
        <v>0</v>
      </c>
      <c r="D873">
        <v>0</v>
      </c>
      <c r="E873">
        <v>0</v>
      </c>
      <c r="F873">
        <v>0</v>
      </c>
    </row>
    <row r="874" spans="1:6" x14ac:dyDescent="0.3">
      <c r="A874" t="s">
        <v>683</v>
      </c>
      <c r="B874">
        <v>44</v>
      </c>
      <c r="C874">
        <v>16</v>
      </c>
      <c r="D874">
        <v>16</v>
      </c>
      <c r="E874">
        <v>16</v>
      </c>
      <c r="F874">
        <v>16</v>
      </c>
    </row>
    <row r="875" spans="1:6" x14ac:dyDescent="0.3">
      <c r="A875" t="s">
        <v>684</v>
      </c>
      <c r="B875">
        <v>44</v>
      </c>
      <c r="C875">
        <v>500</v>
      </c>
      <c r="D875">
        <v>500</v>
      </c>
      <c r="E875">
        <v>500</v>
      </c>
      <c r="F875">
        <v>500</v>
      </c>
    </row>
    <row r="876" spans="1:6" x14ac:dyDescent="0.3">
      <c r="A876" t="s">
        <v>685</v>
      </c>
      <c r="B876">
        <v>44</v>
      </c>
      <c r="C876">
        <v>1101</v>
      </c>
      <c r="D876">
        <v>1101</v>
      </c>
      <c r="E876">
        <v>1761</v>
      </c>
      <c r="F876">
        <v>1761</v>
      </c>
    </row>
    <row r="877" spans="1:6" x14ac:dyDescent="0.3">
      <c r="A877" t="s">
        <v>686</v>
      </c>
      <c r="B877">
        <v>44</v>
      </c>
      <c r="C877">
        <v>734</v>
      </c>
      <c r="D877">
        <v>734</v>
      </c>
      <c r="E877">
        <v>1174</v>
      </c>
      <c r="F877">
        <v>1174</v>
      </c>
    </row>
    <row r="878" spans="1:6" x14ac:dyDescent="0.3">
      <c r="A878" t="s">
        <v>687</v>
      </c>
      <c r="B878">
        <v>44</v>
      </c>
      <c r="C878">
        <v>1468</v>
      </c>
      <c r="D878">
        <v>1468</v>
      </c>
      <c r="E878">
        <v>2348</v>
      </c>
      <c r="F878">
        <v>2348</v>
      </c>
    </row>
    <row r="879" spans="1:6" x14ac:dyDescent="0.3">
      <c r="A879" t="s">
        <v>688</v>
      </c>
      <c r="B879">
        <v>44</v>
      </c>
    </row>
    <row r="880" spans="1:6" x14ac:dyDescent="0.3">
      <c r="A880" t="s">
        <v>689</v>
      </c>
      <c r="B880">
        <v>44</v>
      </c>
    </row>
    <row r="881" spans="1:6" x14ac:dyDescent="0.3">
      <c r="A881" t="s">
        <v>690</v>
      </c>
      <c r="B881">
        <v>44</v>
      </c>
    </row>
    <row r="882" spans="1:6" x14ac:dyDescent="0.3">
      <c r="A882" t="s">
        <v>691</v>
      </c>
      <c r="B882">
        <v>44</v>
      </c>
      <c r="C882" t="b">
        <v>0</v>
      </c>
      <c r="D882" t="b">
        <v>0</v>
      </c>
      <c r="E882" t="b">
        <v>0</v>
      </c>
      <c r="F882" t="b">
        <v>0</v>
      </c>
    </row>
    <row r="883" spans="1:6" x14ac:dyDescent="0.3">
      <c r="A883" t="s">
        <v>692</v>
      </c>
      <c r="B883">
        <v>44</v>
      </c>
      <c r="C883" t="b">
        <v>0</v>
      </c>
      <c r="D883" t="b">
        <v>0</v>
      </c>
      <c r="E883" t="b">
        <v>0</v>
      </c>
      <c r="F883" t="b">
        <v>0</v>
      </c>
    </row>
    <row r="884" spans="1:6" x14ac:dyDescent="0.3">
      <c r="A884" t="s">
        <v>678</v>
      </c>
      <c r="B884">
        <v>45</v>
      </c>
      <c r="C884">
        <v>47</v>
      </c>
    </row>
    <row r="885" spans="1:6" x14ac:dyDescent="0.3">
      <c r="A885" t="s">
        <v>36</v>
      </c>
      <c r="B885">
        <v>45</v>
      </c>
      <c r="C885">
        <v>1</v>
      </c>
    </row>
    <row r="886" spans="1:6" x14ac:dyDescent="0.3">
      <c r="A886" t="s">
        <v>503</v>
      </c>
      <c r="B886">
        <v>45</v>
      </c>
    </row>
    <row r="887" spans="1:6" x14ac:dyDescent="0.3">
      <c r="A887" t="s">
        <v>679</v>
      </c>
      <c r="B887">
        <v>45</v>
      </c>
      <c r="C887">
        <v>345</v>
      </c>
    </row>
    <row r="888" spans="1:6" x14ac:dyDescent="0.3">
      <c r="A888" t="s">
        <v>42</v>
      </c>
      <c r="B888">
        <v>45</v>
      </c>
      <c r="C888">
        <v>30</v>
      </c>
    </row>
    <row r="889" spans="1:6" x14ac:dyDescent="0.3">
      <c r="A889" t="s">
        <v>680</v>
      </c>
      <c r="B889">
        <v>45</v>
      </c>
      <c r="C889">
        <v>7.8</v>
      </c>
    </row>
    <row r="890" spans="1:6" x14ac:dyDescent="0.3">
      <c r="A890" t="s">
        <v>41</v>
      </c>
      <c r="B890">
        <v>45</v>
      </c>
      <c r="C890">
        <v>0</v>
      </c>
    </row>
    <row r="891" spans="1:6" x14ac:dyDescent="0.3">
      <c r="A891" t="s">
        <v>681</v>
      </c>
      <c r="B891">
        <v>45</v>
      </c>
      <c r="C891">
        <v>0</v>
      </c>
    </row>
    <row r="892" spans="1:6" x14ac:dyDescent="0.3">
      <c r="A892" t="s">
        <v>563</v>
      </c>
      <c r="B892">
        <v>45</v>
      </c>
      <c r="C892">
        <v>0</v>
      </c>
    </row>
    <row r="893" spans="1:6" x14ac:dyDescent="0.3">
      <c r="A893" t="s">
        <v>682</v>
      </c>
      <c r="B893">
        <v>45</v>
      </c>
      <c r="C893">
        <v>1</v>
      </c>
    </row>
    <row r="894" spans="1:6" x14ac:dyDescent="0.3">
      <c r="A894" t="s">
        <v>683</v>
      </c>
      <c r="B894">
        <v>45</v>
      </c>
      <c r="C894">
        <v>16</v>
      </c>
    </row>
    <row r="895" spans="1:6" x14ac:dyDescent="0.3">
      <c r="A895" t="s">
        <v>684</v>
      </c>
      <c r="B895">
        <v>45</v>
      </c>
      <c r="C895">
        <v>200</v>
      </c>
    </row>
    <row r="896" spans="1:6" x14ac:dyDescent="0.3">
      <c r="A896" t="s">
        <v>685</v>
      </c>
      <c r="B896">
        <v>45</v>
      </c>
      <c r="C896">
        <v>1320</v>
      </c>
    </row>
    <row r="897" spans="1:4" x14ac:dyDescent="0.3">
      <c r="A897" t="s">
        <v>686</v>
      </c>
      <c r="B897">
        <v>45</v>
      </c>
      <c r="C897">
        <v>880</v>
      </c>
    </row>
    <row r="898" spans="1:4" x14ac:dyDescent="0.3">
      <c r="A898" t="s">
        <v>687</v>
      </c>
      <c r="B898">
        <v>45</v>
      </c>
      <c r="C898">
        <v>1760</v>
      </c>
    </row>
    <row r="899" spans="1:4" x14ac:dyDescent="0.3">
      <c r="A899" t="s">
        <v>688</v>
      </c>
      <c r="B899">
        <v>45</v>
      </c>
    </row>
    <row r="900" spans="1:4" x14ac:dyDescent="0.3">
      <c r="A900" t="s">
        <v>689</v>
      </c>
      <c r="B900">
        <v>45</v>
      </c>
    </row>
    <row r="901" spans="1:4" x14ac:dyDescent="0.3">
      <c r="A901" t="s">
        <v>690</v>
      </c>
      <c r="B901">
        <v>45</v>
      </c>
    </row>
    <row r="902" spans="1:4" x14ac:dyDescent="0.3">
      <c r="A902" t="s">
        <v>691</v>
      </c>
      <c r="B902">
        <v>45</v>
      </c>
      <c r="C902" t="b">
        <v>0</v>
      </c>
    </row>
    <row r="903" spans="1:4" x14ac:dyDescent="0.3">
      <c r="A903" t="s">
        <v>692</v>
      </c>
      <c r="B903">
        <v>45</v>
      </c>
      <c r="C903" t="b">
        <v>0</v>
      </c>
    </row>
    <row r="904" spans="1:4" x14ac:dyDescent="0.3">
      <c r="A904" t="s">
        <v>678</v>
      </c>
      <c r="B904">
        <v>46</v>
      </c>
      <c r="D904">
        <v>44</v>
      </c>
    </row>
    <row r="905" spans="1:4" x14ac:dyDescent="0.3">
      <c r="A905" t="s">
        <v>36</v>
      </c>
      <c r="B905">
        <v>46</v>
      </c>
      <c r="D905">
        <v>1</v>
      </c>
    </row>
    <row r="906" spans="1:4" x14ac:dyDescent="0.3">
      <c r="A906" t="s">
        <v>503</v>
      </c>
      <c r="B906">
        <v>46</v>
      </c>
      <c r="D906" t="s">
        <v>710</v>
      </c>
    </row>
    <row r="907" spans="1:4" x14ac:dyDescent="0.3">
      <c r="A907" t="s">
        <v>679</v>
      </c>
      <c r="B907">
        <v>46</v>
      </c>
      <c r="D907">
        <v>331</v>
      </c>
    </row>
    <row r="908" spans="1:4" x14ac:dyDescent="0.3">
      <c r="A908" t="s">
        <v>42</v>
      </c>
      <c r="B908">
        <v>46</v>
      </c>
      <c r="D908">
        <v>30</v>
      </c>
    </row>
    <row r="909" spans="1:4" x14ac:dyDescent="0.3">
      <c r="A909" t="s">
        <v>680</v>
      </c>
      <c r="B909">
        <v>46</v>
      </c>
      <c r="D909">
        <v>7.5</v>
      </c>
    </row>
    <row r="910" spans="1:4" x14ac:dyDescent="0.3">
      <c r="A910" t="s">
        <v>41</v>
      </c>
      <c r="B910">
        <v>46</v>
      </c>
      <c r="D910">
        <v>0</v>
      </c>
    </row>
    <row r="911" spans="1:4" x14ac:dyDescent="0.3">
      <c r="A911" t="s">
        <v>681</v>
      </c>
      <c r="B911">
        <v>46</v>
      </c>
      <c r="D911">
        <v>0</v>
      </c>
    </row>
    <row r="912" spans="1:4" x14ac:dyDescent="0.3">
      <c r="A912" t="s">
        <v>563</v>
      </c>
      <c r="B912">
        <v>46</v>
      </c>
      <c r="D912">
        <v>0</v>
      </c>
    </row>
    <row r="913" spans="1:4" x14ac:dyDescent="0.3">
      <c r="A913" t="s">
        <v>682</v>
      </c>
      <c r="B913">
        <v>46</v>
      </c>
      <c r="D913">
        <v>0</v>
      </c>
    </row>
    <row r="914" spans="1:4" x14ac:dyDescent="0.3">
      <c r="A914" t="s">
        <v>683</v>
      </c>
      <c r="B914">
        <v>46</v>
      </c>
      <c r="D914">
        <v>16</v>
      </c>
    </row>
    <row r="915" spans="1:4" x14ac:dyDescent="0.3">
      <c r="A915" t="s">
        <v>684</v>
      </c>
      <c r="B915">
        <v>46</v>
      </c>
      <c r="D915">
        <v>200</v>
      </c>
    </row>
    <row r="916" spans="1:4" x14ac:dyDescent="0.3">
      <c r="A916" t="s">
        <v>685</v>
      </c>
      <c r="B916">
        <v>46</v>
      </c>
      <c r="D916">
        <v>1320</v>
      </c>
    </row>
    <row r="917" spans="1:4" x14ac:dyDescent="0.3">
      <c r="A917" t="s">
        <v>686</v>
      </c>
      <c r="B917">
        <v>46</v>
      </c>
      <c r="D917">
        <v>880</v>
      </c>
    </row>
    <row r="918" spans="1:4" x14ac:dyDescent="0.3">
      <c r="A918" t="s">
        <v>687</v>
      </c>
      <c r="B918">
        <v>46</v>
      </c>
      <c r="D918">
        <v>1760</v>
      </c>
    </row>
    <row r="919" spans="1:4" x14ac:dyDescent="0.3">
      <c r="A919" t="s">
        <v>688</v>
      </c>
      <c r="B919">
        <v>46</v>
      </c>
    </row>
    <row r="920" spans="1:4" x14ac:dyDescent="0.3">
      <c r="A920" t="s">
        <v>689</v>
      </c>
      <c r="B920">
        <v>46</v>
      </c>
    </row>
    <row r="921" spans="1:4" x14ac:dyDescent="0.3">
      <c r="A921" t="s">
        <v>690</v>
      </c>
      <c r="B921">
        <v>46</v>
      </c>
    </row>
    <row r="922" spans="1:4" x14ac:dyDescent="0.3">
      <c r="A922" t="s">
        <v>691</v>
      </c>
      <c r="B922">
        <v>46</v>
      </c>
      <c r="D922" t="b">
        <v>0</v>
      </c>
    </row>
    <row r="923" spans="1:4" x14ac:dyDescent="0.3">
      <c r="A923" t="s">
        <v>692</v>
      </c>
      <c r="B923">
        <v>46</v>
      </c>
      <c r="D923" t="b">
        <v>0</v>
      </c>
    </row>
    <row r="924" spans="1:4" x14ac:dyDescent="0.3">
      <c r="A924" t="s">
        <v>678</v>
      </c>
      <c r="B924">
        <v>47</v>
      </c>
      <c r="C924">
        <v>44</v>
      </c>
      <c r="D924">
        <v>45</v>
      </c>
    </row>
    <row r="925" spans="1:4" x14ac:dyDescent="0.3">
      <c r="A925" t="s">
        <v>36</v>
      </c>
      <c r="B925">
        <v>47</v>
      </c>
      <c r="C925">
        <v>1</v>
      </c>
      <c r="D925" t="s">
        <v>698</v>
      </c>
    </row>
    <row r="926" spans="1:4" x14ac:dyDescent="0.3">
      <c r="A926" t="s">
        <v>503</v>
      </c>
      <c r="B926">
        <v>47</v>
      </c>
    </row>
    <row r="927" spans="1:4" x14ac:dyDescent="0.3">
      <c r="A927" t="s">
        <v>679</v>
      </c>
      <c r="B927">
        <v>47</v>
      </c>
      <c r="C927">
        <v>483</v>
      </c>
      <c r="D927">
        <v>345</v>
      </c>
    </row>
    <row r="928" spans="1:4" x14ac:dyDescent="0.3">
      <c r="A928" t="s">
        <v>42</v>
      </c>
      <c r="B928">
        <v>47</v>
      </c>
      <c r="C928">
        <v>30</v>
      </c>
      <c r="D928">
        <v>30</v>
      </c>
    </row>
    <row r="929" spans="1:6" x14ac:dyDescent="0.3">
      <c r="A929" t="s">
        <v>680</v>
      </c>
      <c r="B929">
        <v>47</v>
      </c>
      <c r="C929">
        <v>11</v>
      </c>
      <c r="D929">
        <v>7.8</v>
      </c>
    </row>
    <row r="930" spans="1:6" x14ac:dyDescent="0.3">
      <c r="A930" t="s">
        <v>41</v>
      </c>
      <c r="B930">
        <v>47</v>
      </c>
      <c r="C930">
        <v>0</v>
      </c>
      <c r="D930">
        <v>0</v>
      </c>
    </row>
    <row r="931" spans="1:6" x14ac:dyDescent="0.3">
      <c r="A931" t="s">
        <v>681</v>
      </c>
      <c r="B931">
        <v>47</v>
      </c>
      <c r="C931">
        <v>12</v>
      </c>
      <c r="D931" t="s">
        <v>699</v>
      </c>
    </row>
    <row r="932" spans="1:6" x14ac:dyDescent="0.3">
      <c r="A932" t="s">
        <v>563</v>
      </c>
      <c r="B932">
        <v>47</v>
      </c>
      <c r="C932">
        <v>0</v>
      </c>
      <c r="D932">
        <v>0</v>
      </c>
    </row>
    <row r="933" spans="1:6" x14ac:dyDescent="0.3">
      <c r="A933" t="s">
        <v>682</v>
      </c>
      <c r="B933">
        <v>47</v>
      </c>
      <c r="C933">
        <v>0</v>
      </c>
      <c r="D933">
        <v>1</v>
      </c>
    </row>
    <row r="934" spans="1:6" x14ac:dyDescent="0.3">
      <c r="A934" t="s">
        <v>683</v>
      </c>
      <c r="B934">
        <v>47</v>
      </c>
      <c r="C934">
        <v>16</v>
      </c>
      <c r="D934">
        <v>16</v>
      </c>
    </row>
    <row r="935" spans="1:6" x14ac:dyDescent="0.3">
      <c r="A935" t="s">
        <v>684</v>
      </c>
      <c r="B935">
        <v>47</v>
      </c>
      <c r="C935">
        <v>100</v>
      </c>
      <c r="D935">
        <v>100</v>
      </c>
    </row>
    <row r="936" spans="1:6" x14ac:dyDescent="0.3">
      <c r="A936" t="s">
        <v>685</v>
      </c>
      <c r="B936">
        <v>47</v>
      </c>
      <c r="C936">
        <v>1320</v>
      </c>
      <c r="D936">
        <v>1320</v>
      </c>
    </row>
    <row r="937" spans="1:6" x14ac:dyDescent="0.3">
      <c r="A937" t="s">
        <v>686</v>
      </c>
      <c r="B937">
        <v>47</v>
      </c>
      <c r="C937">
        <v>880</v>
      </c>
      <c r="D937">
        <v>880</v>
      </c>
    </row>
    <row r="938" spans="1:6" x14ac:dyDescent="0.3">
      <c r="A938" t="s">
        <v>687</v>
      </c>
      <c r="B938">
        <v>47</v>
      </c>
      <c r="C938">
        <v>1760</v>
      </c>
      <c r="D938">
        <v>1760</v>
      </c>
    </row>
    <row r="939" spans="1:6" x14ac:dyDescent="0.3">
      <c r="A939" t="s">
        <v>688</v>
      </c>
      <c r="B939">
        <v>47</v>
      </c>
    </row>
    <row r="940" spans="1:6" x14ac:dyDescent="0.3">
      <c r="A940" t="s">
        <v>689</v>
      </c>
      <c r="B940">
        <v>47</v>
      </c>
    </row>
    <row r="941" spans="1:6" x14ac:dyDescent="0.3">
      <c r="A941" t="s">
        <v>690</v>
      </c>
      <c r="B941">
        <v>47</v>
      </c>
    </row>
    <row r="942" spans="1:6" x14ac:dyDescent="0.3">
      <c r="A942" t="s">
        <v>691</v>
      </c>
      <c r="B942">
        <v>47</v>
      </c>
      <c r="C942" t="b">
        <v>0</v>
      </c>
      <c r="D942" t="b">
        <v>0</v>
      </c>
    </row>
    <row r="943" spans="1:6" x14ac:dyDescent="0.3">
      <c r="A943" t="s">
        <v>692</v>
      </c>
      <c r="B943">
        <v>47</v>
      </c>
      <c r="C943" t="b">
        <v>0</v>
      </c>
      <c r="D943" t="b">
        <v>0</v>
      </c>
    </row>
    <row r="944" spans="1:6" x14ac:dyDescent="0.3">
      <c r="A944" t="s">
        <v>678</v>
      </c>
      <c r="B944">
        <v>48</v>
      </c>
      <c r="C944">
        <v>50</v>
      </c>
      <c r="E944">
        <v>44</v>
      </c>
      <c r="F944">
        <v>49</v>
      </c>
    </row>
    <row r="945" spans="1:6" x14ac:dyDescent="0.3">
      <c r="A945" t="s">
        <v>36</v>
      </c>
      <c r="B945">
        <v>48</v>
      </c>
      <c r="C945">
        <v>1</v>
      </c>
      <c r="E945">
        <v>3</v>
      </c>
      <c r="F945">
        <v>4</v>
      </c>
    </row>
    <row r="946" spans="1:6" x14ac:dyDescent="0.3">
      <c r="A946" t="s">
        <v>503</v>
      </c>
      <c r="B946">
        <v>48</v>
      </c>
      <c r="C946" t="s">
        <v>711</v>
      </c>
      <c r="E946" t="s">
        <v>695</v>
      </c>
      <c r="F946" t="s">
        <v>695</v>
      </c>
    </row>
    <row r="947" spans="1:6" x14ac:dyDescent="0.3">
      <c r="A947" t="s">
        <v>679</v>
      </c>
      <c r="B947">
        <v>48</v>
      </c>
      <c r="C947">
        <v>362</v>
      </c>
      <c r="E947">
        <v>682</v>
      </c>
      <c r="F947">
        <v>1947</v>
      </c>
    </row>
    <row r="948" spans="1:6" x14ac:dyDescent="0.3">
      <c r="A948" t="s">
        <v>42</v>
      </c>
      <c r="B948">
        <v>48</v>
      </c>
      <c r="C948">
        <v>25</v>
      </c>
      <c r="E948">
        <v>40</v>
      </c>
      <c r="F948">
        <v>40</v>
      </c>
    </row>
    <row r="949" spans="1:6" x14ac:dyDescent="0.3">
      <c r="A949" t="s">
        <v>680</v>
      </c>
      <c r="B949">
        <v>48</v>
      </c>
      <c r="C949">
        <v>9.9</v>
      </c>
      <c r="E949">
        <v>11.6</v>
      </c>
      <c r="F949">
        <v>33.200000000000003</v>
      </c>
    </row>
    <row r="950" spans="1:6" x14ac:dyDescent="0.3">
      <c r="A950" t="s">
        <v>41</v>
      </c>
      <c r="B950">
        <v>48</v>
      </c>
      <c r="C950">
        <v>0</v>
      </c>
      <c r="E950">
        <v>0</v>
      </c>
      <c r="F950">
        <v>0</v>
      </c>
    </row>
    <row r="951" spans="1:6" x14ac:dyDescent="0.3">
      <c r="A951" t="s">
        <v>681</v>
      </c>
      <c r="B951">
        <v>48</v>
      </c>
      <c r="C951">
        <v>12</v>
      </c>
      <c r="E951">
        <v>12</v>
      </c>
      <c r="F951">
        <v>12</v>
      </c>
    </row>
    <row r="952" spans="1:6" x14ac:dyDescent="0.3">
      <c r="A952" t="s">
        <v>563</v>
      </c>
      <c r="B952">
        <v>48</v>
      </c>
      <c r="C952">
        <v>0</v>
      </c>
      <c r="E952">
        <v>0</v>
      </c>
      <c r="F952">
        <v>0</v>
      </c>
    </row>
    <row r="953" spans="1:6" x14ac:dyDescent="0.3">
      <c r="A953" t="s">
        <v>682</v>
      </c>
      <c r="B953">
        <v>48</v>
      </c>
      <c r="C953">
        <v>0</v>
      </c>
      <c r="E953">
        <v>0</v>
      </c>
      <c r="F953">
        <v>0</v>
      </c>
    </row>
    <row r="954" spans="1:6" x14ac:dyDescent="0.3">
      <c r="A954" t="s">
        <v>683</v>
      </c>
      <c r="B954">
        <v>48</v>
      </c>
      <c r="C954">
        <v>16</v>
      </c>
      <c r="E954">
        <v>16</v>
      </c>
      <c r="F954">
        <v>16</v>
      </c>
    </row>
    <row r="955" spans="1:6" x14ac:dyDescent="0.3">
      <c r="A955" t="s">
        <v>684</v>
      </c>
      <c r="B955">
        <v>48</v>
      </c>
      <c r="C955">
        <v>500</v>
      </c>
      <c r="E955">
        <v>500</v>
      </c>
      <c r="F955">
        <v>500</v>
      </c>
    </row>
    <row r="956" spans="1:6" x14ac:dyDescent="0.3">
      <c r="A956" t="s">
        <v>685</v>
      </c>
      <c r="B956">
        <v>48</v>
      </c>
      <c r="C956">
        <v>1101</v>
      </c>
      <c r="E956">
        <v>1761</v>
      </c>
      <c r="F956">
        <v>1761</v>
      </c>
    </row>
    <row r="957" spans="1:6" x14ac:dyDescent="0.3">
      <c r="A957" t="s">
        <v>686</v>
      </c>
      <c r="B957">
        <v>48</v>
      </c>
      <c r="C957">
        <v>734</v>
      </c>
      <c r="E957">
        <v>1174</v>
      </c>
      <c r="F957">
        <v>1174</v>
      </c>
    </row>
    <row r="958" spans="1:6" x14ac:dyDescent="0.3">
      <c r="A958" t="s">
        <v>687</v>
      </c>
      <c r="B958">
        <v>48</v>
      </c>
      <c r="C958">
        <v>1468</v>
      </c>
      <c r="E958">
        <v>2348</v>
      </c>
      <c r="F958">
        <v>2348</v>
      </c>
    </row>
    <row r="959" spans="1:6" x14ac:dyDescent="0.3">
      <c r="A959" t="s">
        <v>688</v>
      </c>
      <c r="B959">
        <v>48</v>
      </c>
    </row>
    <row r="960" spans="1:6" x14ac:dyDescent="0.3">
      <c r="A960" t="s">
        <v>689</v>
      </c>
      <c r="B960">
        <v>48</v>
      </c>
    </row>
    <row r="961" spans="1:6" x14ac:dyDescent="0.3">
      <c r="A961" t="s">
        <v>690</v>
      </c>
      <c r="B961">
        <v>48</v>
      </c>
    </row>
    <row r="962" spans="1:6" x14ac:dyDescent="0.3">
      <c r="A962" t="s">
        <v>691</v>
      </c>
      <c r="B962">
        <v>48</v>
      </c>
      <c r="C962" t="b">
        <v>0</v>
      </c>
      <c r="E962" t="b">
        <v>0</v>
      </c>
      <c r="F962" t="b">
        <v>0</v>
      </c>
    </row>
    <row r="963" spans="1:6" x14ac:dyDescent="0.3">
      <c r="A963" t="s">
        <v>692</v>
      </c>
      <c r="B963">
        <v>48</v>
      </c>
      <c r="C963" t="b">
        <v>0</v>
      </c>
      <c r="E963" t="b">
        <v>0</v>
      </c>
      <c r="F963" t="b">
        <v>0</v>
      </c>
    </row>
    <row r="964" spans="1:6" x14ac:dyDescent="0.3">
      <c r="A964" t="s">
        <v>678</v>
      </c>
      <c r="B964">
        <v>49</v>
      </c>
      <c r="C964">
        <v>52</v>
      </c>
      <c r="D964">
        <v>51</v>
      </c>
      <c r="E964">
        <v>48</v>
      </c>
      <c r="F964">
        <v>53</v>
      </c>
    </row>
    <row r="965" spans="1:6" x14ac:dyDescent="0.3">
      <c r="A965" t="s">
        <v>36</v>
      </c>
      <c r="B965">
        <v>49</v>
      </c>
      <c r="C965">
        <v>4</v>
      </c>
      <c r="D965">
        <v>4</v>
      </c>
      <c r="E965">
        <v>4</v>
      </c>
      <c r="F965">
        <v>4</v>
      </c>
    </row>
    <row r="966" spans="1:6" x14ac:dyDescent="0.3">
      <c r="A966" t="s">
        <v>503</v>
      </c>
      <c r="B966">
        <v>49</v>
      </c>
      <c r="C966" t="s">
        <v>712</v>
      </c>
      <c r="D966" t="s">
        <v>712</v>
      </c>
      <c r="E966" t="s">
        <v>695</v>
      </c>
      <c r="F966" t="s">
        <v>695</v>
      </c>
    </row>
    <row r="967" spans="1:6" x14ac:dyDescent="0.3">
      <c r="A967" t="s">
        <v>679</v>
      </c>
      <c r="B967">
        <v>49</v>
      </c>
      <c r="C967">
        <v>829</v>
      </c>
      <c r="D967">
        <v>589</v>
      </c>
      <c r="E967">
        <v>1947</v>
      </c>
      <c r="F967">
        <v>1829</v>
      </c>
    </row>
    <row r="968" spans="1:6" x14ac:dyDescent="0.3">
      <c r="A968" t="s">
        <v>42</v>
      </c>
      <c r="B968">
        <v>49</v>
      </c>
      <c r="C968">
        <v>45</v>
      </c>
      <c r="D968">
        <v>40</v>
      </c>
      <c r="E968">
        <v>40</v>
      </c>
      <c r="F968">
        <v>40</v>
      </c>
    </row>
    <row r="969" spans="1:6" x14ac:dyDescent="0.3">
      <c r="A969" t="s">
        <v>680</v>
      </c>
      <c r="B969">
        <v>49</v>
      </c>
      <c r="C969">
        <v>12.6</v>
      </c>
      <c r="D969">
        <v>10</v>
      </c>
      <c r="E969">
        <v>33.200000000000003</v>
      </c>
      <c r="F969">
        <v>31.2</v>
      </c>
    </row>
    <row r="970" spans="1:6" x14ac:dyDescent="0.3">
      <c r="A970" t="s">
        <v>41</v>
      </c>
      <c r="B970">
        <v>49</v>
      </c>
      <c r="C970">
        <v>0</v>
      </c>
      <c r="D970">
        <v>0</v>
      </c>
      <c r="E970">
        <v>0</v>
      </c>
      <c r="F970">
        <v>0</v>
      </c>
    </row>
    <row r="971" spans="1:6" x14ac:dyDescent="0.3">
      <c r="A971" t="s">
        <v>681</v>
      </c>
      <c r="B971">
        <v>49</v>
      </c>
      <c r="C971">
        <v>12</v>
      </c>
      <c r="D971">
        <v>12</v>
      </c>
      <c r="E971">
        <v>12</v>
      </c>
      <c r="F971">
        <v>12</v>
      </c>
    </row>
    <row r="972" spans="1:6" x14ac:dyDescent="0.3">
      <c r="A972" t="s">
        <v>563</v>
      </c>
      <c r="B972">
        <v>49</v>
      </c>
      <c r="C972">
        <v>0</v>
      </c>
      <c r="D972">
        <v>0</v>
      </c>
      <c r="E972">
        <v>0</v>
      </c>
      <c r="F972">
        <v>0</v>
      </c>
    </row>
    <row r="973" spans="1:6" x14ac:dyDescent="0.3">
      <c r="A973" t="s">
        <v>682</v>
      </c>
      <c r="B973">
        <v>49</v>
      </c>
      <c r="C973">
        <v>0</v>
      </c>
      <c r="D973">
        <v>0</v>
      </c>
      <c r="E973">
        <v>0</v>
      </c>
      <c r="F973">
        <v>0</v>
      </c>
    </row>
    <row r="974" spans="1:6" x14ac:dyDescent="0.3">
      <c r="A974" t="s">
        <v>683</v>
      </c>
      <c r="B974">
        <v>49</v>
      </c>
      <c r="C974">
        <v>16</v>
      </c>
      <c r="D974">
        <v>16</v>
      </c>
      <c r="E974">
        <v>16</v>
      </c>
      <c r="F974">
        <v>0</v>
      </c>
    </row>
    <row r="975" spans="1:6" x14ac:dyDescent="0.3">
      <c r="A975" t="s">
        <v>684</v>
      </c>
      <c r="B975">
        <v>49</v>
      </c>
      <c r="C975">
        <v>500</v>
      </c>
      <c r="D975">
        <v>500</v>
      </c>
      <c r="E975">
        <v>500</v>
      </c>
      <c r="F975">
        <v>500</v>
      </c>
    </row>
    <row r="976" spans="1:6" x14ac:dyDescent="0.3">
      <c r="A976" t="s">
        <v>685</v>
      </c>
      <c r="B976">
        <v>49</v>
      </c>
      <c r="C976">
        <v>1980</v>
      </c>
      <c r="D976">
        <v>1761</v>
      </c>
      <c r="E976">
        <v>1761</v>
      </c>
      <c r="F976">
        <v>1761</v>
      </c>
    </row>
    <row r="977" spans="1:6" x14ac:dyDescent="0.3">
      <c r="A977" t="s">
        <v>686</v>
      </c>
      <c r="B977">
        <v>49</v>
      </c>
      <c r="C977">
        <v>1320</v>
      </c>
      <c r="D977">
        <v>1174</v>
      </c>
      <c r="E977">
        <v>1174</v>
      </c>
      <c r="F977">
        <v>1174</v>
      </c>
    </row>
    <row r="978" spans="1:6" x14ac:dyDescent="0.3">
      <c r="A978" t="s">
        <v>687</v>
      </c>
      <c r="B978">
        <v>49</v>
      </c>
      <c r="C978">
        <v>2640</v>
      </c>
      <c r="D978">
        <v>2348</v>
      </c>
      <c r="E978">
        <v>2348</v>
      </c>
      <c r="F978">
        <v>2348</v>
      </c>
    </row>
    <row r="979" spans="1:6" x14ac:dyDescent="0.3">
      <c r="A979" t="s">
        <v>688</v>
      </c>
      <c r="B979">
        <v>49</v>
      </c>
    </row>
    <row r="980" spans="1:6" x14ac:dyDescent="0.3">
      <c r="A980" t="s">
        <v>689</v>
      </c>
      <c r="B980">
        <v>49</v>
      </c>
    </row>
    <row r="981" spans="1:6" x14ac:dyDescent="0.3">
      <c r="A981" t="s">
        <v>690</v>
      </c>
      <c r="B981">
        <v>49</v>
      </c>
    </row>
    <row r="982" spans="1:6" x14ac:dyDescent="0.3">
      <c r="A982" t="s">
        <v>691</v>
      </c>
      <c r="B982">
        <v>49</v>
      </c>
      <c r="C982" t="b">
        <v>0</v>
      </c>
      <c r="D982" t="b">
        <v>0</v>
      </c>
      <c r="E982" t="b">
        <v>0</v>
      </c>
      <c r="F982" t="b">
        <v>0</v>
      </c>
    </row>
    <row r="983" spans="1:6" x14ac:dyDescent="0.3">
      <c r="A983" t="s">
        <v>692</v>
      </c>
      <c r="B983">
        <v>49</v>
      </c>
      <c r="C983" t="b">
        <v>0</v>
      </c>
      <c r="D983" t="b">
        <v>0</v>
      </c>
      <c r="E983" t="b">
        <v>0</v>
      </c>
      <c r="F983" t="b">
        <v>0</v>
      </c>
    </row>
    <row r="984" spans="1:6" x14ac:dyDescent="0.3">
      <c r="A984" t="s">
        <v>678</v>
      </c>
      <c r="B984">
        <v>50</v>
      </c>
      <c r="D984">
        <v>48</v>
      </c>
    </row>
    <row r="985" spans="1:6" x14ac:dyDescent="0.3">
      <c r="A985" t="s">
        <v>36</v>
      </c>
      <c r="B985">
        <v>50</v>
      </c>
      <c r="D985">
        <v>1</v>
      </c>
    </row>
    <row r="986" spans="1:6" x14ac:dyDescent="0.3">
      <c r="A986" t="s">
        <v>503</v>
      </c>
      <c r="B986">
        <v>50</v>
      </c>
      <c r="D986" t="s">
        <v>711</v>
      </c>
    </row>
    <row r="987" spans="1:6" x14ac:dyDescent="0.3">
      <c r="A987" t="s">
        <v>679</v>
      </c>
      <c r="B987">
        <v>50</v>
      </c>
      <c r="D987">
        <v>362</v>
      </c>
    </row>
    <row r="988" spans="1:6" x14ac:dyDescent="0.3">
      <c r="A988" t="s">
        <v>42</v>
      </c>
      <c r="B988">
        <v>50</v>
      </c>
      <c r="D988">
        <v>30</v>
      </c>
    </row>
    <row r="989" spans="1:6" x14ac:dyDescent="0.3">
      <c r="A989" t="s">
        <v>680</v>
      </c>
      <c r="B989">
        <v>50</v>
      </c>
      <c r="D989">
        <v>8.1999999999999993</v>
      </c>
    </row>
    <row r="990" spans="1:6" x14ac:dyDescent="0.3">
      <c r="A990" t="s">
        <v>41</v>
      </c>
      <c r="B990">
        <v>50</v>
      </c>
      <c r="D990">
        <v>0</v>
      </c>
    </row>
    <row r="991" spans="1:6" x14ac:dyDescent="0.3">
      <c r="A991" t="s">
        <v>681</v>
      </c>
      <c r="B991">
        <v>50</v>
      </c>
      <c r="D991">
        <v>0</v>
      </c>
    </row>
    <row r="992" spans="1:6" x14ac:dyDescent="0.3">
      <c r="A992" t="s">
        <v>563</v>
      </c>
      <c r="B992">
        <v>50</v>
      </c>
      <c r="D992">
        <v>0</v>
      </c>
    </row>
    <row r="993" spans="1:4" x14ac:dyDescent="0.3">
      <c r="A993" t="s">
        <v>682</v>
      </c>
      <c r="B993">
        <v>50</v>
      </c>
      <c r="D993">
        <v>0</v>
      </c>
    </row>
    <row r="994" spans="1:4" x14ac:dyDescent="0.3">
      <c r="A994" t="s">
        <v>683</v>
      </c>
      <c r="B994">
        <v>50</v>
      </c>
      <c r="D994">
        <v>16</v>
      </c>
    </row>
    <row r="995" spans="1:4" x14ac:dyDescent="0.3">
      <c r="A995" t="s">
        <v>684</v>
      </c>
      <c r="B995">
        <v>50</v>
      </c>
      <c r="D995">
        <v>200</v>
      </c>
    </row>
    <row r="996" spans="1:4" x14ac:dyDescent="0.3">
      <c r="A996" t="s">
        <v>685</v>
      </c>
      <c r="B996">
        <v>50</v>
      </c>
      <c r="D996">
        <v>1320</v>
      </c>
    </row>
    <row r="997" spans="1:4" x14ac:dyDescent="0.3">
      <c r="A997" t="s">
        <v>686</v>
      </c>
      <c r="B997">
        <v>50</v>
      </c>
      <c r="D997">
        <v>880</v>
      </c>
    </row>
    <row r="998" spans="1:4" x14ac:dyDescent="0.3">
      <c r="A998" t="s">
        <v>687</v>
      </c>
      <c r="B998">
        <v>50</v>
      </c>
      <c r="D998">
        <v>1760</v>
      </c>
    </row>
    <row r="999" spans="1:4" x14ac:dyDescent="0.3">
      <c r="A999" t="s">
        <v>688</v>
      </c>
      <c r="B999">
        <v>50</v>
      </c>
    </row>
    <row r="1000" spans="1:4" x14ac:dyDescent="0.3">
      <c r="A1000" t="s">
        <v>689</v>
      </c>
      <c r="B1000">
        <v>50</v>
      </c>
    </row>
    <row r="1001" spans="1:4" x14ac:dyDescent="0.3">
      <c r="A1001" t="s">
        <v>690</v>
      </c>
      <c r="B1001">
        <v>50</v>
      </c>
    </row>
    <row r="1002" spans="1:4" x14ac:dyDescent="0.3">
      <c r="A1002" t="s">
        <v>691</v>
      </c>
      <c r="B1002">
        <v>50</v>
      </c>
      <c r="D1002" t="b">
        <v>0</v>
      </c>
    </row>
    <row r="1003" spans="1:4" x14ac:dyDescent="0.3">
      <c r="A1003" t="s">
        <v>692</v>
      </c>
      <c r="B1003">
        <v>50</v>
      </c>
      <c r="D1003" t="b">
        <v>0</v>
      </c>
    </row>
    <row r="1004" spans="1:4" x14ac:dyDescent="0.3">
      <c r="A1004" t="s">
        <v>678</v>
      </c>
      <c r="B1004">
        <v>51</v>
      </c>
      <c r="C1004">
        <v>49</v>
      </c>
    </row>
    <row r="1005" spans="1:4" x14ac:dyDescent="0.3">
      <c r="A1005" t="s">
        <v>36</v>
      </c>
      <c r="B1005">
        <v>51</v>
      </c>
      <c r="C1005">
        <v>3</v>
      </c>
    </row>
    <row r="1006" spans="1:4" x14ac:dyDescent="0.3">
      <c r="A1006" t="s">
        <v>503</v>
      </c>
      <c r="B1006">
        <v>51</v>
      </c>
      <c r="C1006" t="s">
        <v>712</v>
      </c>
    </row>
    <row r="1007" spans="1:4" x14ac:dyDescent="0.3">
      <c r="A1007" t="s">
        <v>679</v>
      </c>
      <c r="B1007">
        <v>51</v>
      </c>
      <c r="C1007">
        <v>589</v>
      </c>
    </row>
    <row r="1008" spans="1:4" x14ac:dyDescent="0.3">
      <c r="A1008" t="s">
        <v>42</v>
      </c>
      <c r="B1008">
        <v>51</v>
      </c>
      <c r="C1008">
        <v>30</v>
      </c>
    </row>
    <row r="1009" spans="1:4" x14ac:dyDescent="0.3">
      <c r="A1009" t="s">
        <v>680</v>
      </c>
      <c r="B1009">
        <v>51</v>
      </c>
      <c r="C1009">
        <v>13.4</v>
      </c>
    </row>
    <row r="1010" spans="1:4" x14ac:dyDescent="0.3">
      <c r="A1010" t="s">
        <v>41</v>
      </c>
      <c r="B1010">
        <v>51</v>
      </c>
      <c r="C1010">
        <v>0</v>
      </c>
    </row>
    <row r="1011" spans="1:4" x14ac:dyDescent="0.3">
      <c r="A1011" t="s">
        <v>681</v>
      </c>
      <c r="B1011">
        <v>51</v>
      </c>
      <c r="C1011">
        <v>12</v>
      </c>
    </row>
    <row r="1012" spans="1:4" x14ac:dyDescent="0.3">
      <c r="A1012" t="s">
        <v>563</v>
      </c>
      <c r="B1012">
        <v>51</v>
      </c>
      <c r="C1012">
        <v>0</v>
      </c>
    </row>
    <row r="1013" spans="1:4" x14ac:dyDescent="0.3">
      <c r="A1013" t="s">
        <v>682</v>
      </c>
      <c r="B1013">
        <v>51</v>
      </c>
      <c r="C1013">
        <v>0</v>
      </c>
    </row>
    <row r="1014" spans="1:4" x14ac:dyDescent="0.3">
      <c r="A1014" t="s">
        <v>683</v>
      </c>
      <c r="B1014">
        <v>51</v>
      </c>
      <c r="C1014">
        <v>16</v>
      </c>
    </row>
    <row r="1015" spans="1:4" x14ac:dyDescent="0.3">
      <c r="A1015" t="s">
        <v>684</v>
      </c>
      <c r="B1015">
        <v>51</v>
      </c>
      <c r="C1015">
        <v>200</v>
      </c>
    </row>
    <row r="1016" spans="1:4" x14ac:dyDescent="0.3">
      <c r="A1016" t="s">
        <v>685</v>
      </c>
      <c r="B1016">
        <v>51</v>
      </c>
      <c r="C1016">
        <v>1320</v>
      </c>
    </row>
    <row r="1017" spans="1:4" x14ac:dyDescent="0.3">
      <c r="A1017" t="s">
        <v>686</v>
      </c>
      <c r="B1017">
        <v>51</v>
      </c>
      <c r="C1017">
        <v>880</v>
      </c>
    </row>
    <row r="1018" spans="1:4" x14ac:dyDescent="0.3">
      <c r="A1018" t="s">
        <v>687</v>
      </c>
      <c r="B1018">
        <v>51</v>
      </c>
      <c r="C1018">
        <v>1760</v>
      </c>
    </row>
    <row r="1019" spans="1:4" x14ac:dyDescent="0.3">
      <c r="A1019" t="s">
        <v>688</v>
      </c>
      <c r="B1019">
        <v>51</v>
      </c>
    </row>
    <row r="1020" spans="1:4" x14ac:dyDescent="0.3">
      <c r="A1020" t="s">
        <v>689</v>
      </c>
      <c r="B1020">
        <v>51</v>
      </c>
    </row>
    <row r="1021" spans="1:4" x14ac:dyDescent="0.3">
      <c r="A1021" t="s">
        <v>690</v>
      </c>
      <c r="B1021">
        <v>51</v>
      </c>
    </row>
    <row r="1022" spans="1:4" x14ac:dyDescent="0.3">
      <c r="A1022" t="s">
        <v>691</v>
      </c>
      <c r="B1022">
        <v>51</v>
      </c>
      <c r="C1022" t="b">
        <v>0</v>
      </c>
    </row>
    <row r="1023" spans="1:4" x14ac:dyDescent="0.3">
      <c r="A1023" t="s">
        <v>692</v>
      </c>
      <c r="B1023">
        <v>51</v>
      </c>
      <c r="C1023" t="b">
        <v>0</v>
      </c>
    </row>
    <row r="1024" spans="1:4" x14ac:dyDescent="0.3">
      <c r="A1024" t="s">
        <v>678</v>
      </c>
      <c r="B1024">
        <v>52</v>
      </c>
      <c r="D1024">
        <v>49</v>
      </c>
    </row>
    <row r="1025" spans="1:4" x14ac:dyDescent="0.3">
      <c r="A1025" t="s">
        <v>36</v>
      </c>
      <c r="B1025">
        <v>52</v>
      </c>
      <c r="D1025">
        <v>3</v>
      </c>
    </row>
    <row r="1026" spans="1:4" x14ac:dyDescent="0.3">
      <c r="A1026" t="s">
        <v>503</v>
      </c>
      <c r="B1026">
        <v>52</v>
      </c>
      <c r="D1026" t="s">
        <v>712</v>
      </c>
    </row>
    <row r="1027" spans="1:4" x14ac:dyDescent="0.3">
      <c r="A1027" t="s">
        <v>679</v>
      </c>
      <c r="B1027">
        <v>52</v>
      </c>
      <c r="D1027">
        <v>829</v>
      </c>
    </row>
    <row r="1028" spans="1:4" x14ac:dyDescent="0.3">
      <c r="A1028" t="s">
        <v>42</v>
      </c>
      <c r="B1028">
        <v>52</v>
      </c>
      <c r="D1028">
        <v>30</v>
      </c>
    </row>
    <row r="1029" spans="1:4" x14ac:dyDescent="0.3">
      <c r="A1029" t="s">
        <v>680</v>
      </c>
      <c r="B1029">
        <v>52</v>
      </c>
      <c r="D1029">
        <v>18.8</v>
      </c>
    </row>
    <row r="1030" spans="1:4" x14ac:dyDescent="0.3">
      <c r="A1030" t="s">
        <v>41</v>
      </c>
      <c r="B1030">
        <v>52</v>
      </c>
      <c r="D1030">
        <v>0</v>
      </c>
    </row>
    <row r="1031" spans="1:4" x14ac:dyDescent="0.3">
      <c r="A1031" t="s">
        <v>681</v>
      </c>
      <c r="B1031">
        <v>52</v>
      </c>
      <c r="D1031">
        <v>12</v>
      </c>
    </row>
    <row r="1032" spans="1:4" x14ac:dyDescent="0.3">
      <c r="A1032" t="s">
        <v>563</v>
      </c>
      <c r="B1032">
        <v>52</v>
      </c>
      <c r="D1032">
        <v>0</v>
      </c>
    </row>
    <row r="1033" spans="1:4" x14ac:dyDescent="0.3">
      <c r="A1033" t="s">
        <v>682</v>
      </c>
      <c r="B1033">
        <v>52</v>
      </c>
      <c r="D1033">
        <v>0</v>
      </c>
    </row>
    <row r="1034" spans="1:4" x14ac:dyDescent="0.3">
      <c r="A1034" t="s">
        <v>683</v>
      </c>
      <c r="B1034">
        <v>52</v>
      </c>
      <c r="D1034">
        <v>16</v>
      </c>
    </row>
    <row r="1035" spans="1:4" x14ac:dyDescent="0.3">
      <c r="A1035" t="s">
        <v>684</v>
      </c>
      <c r="B1035">
        <v>52</v>
      </c>
      <c r="D1035">
        <v>200</v>
      </c>
    </row>
    <row r="1036" spans="1:4" x14ac:dyDescent="0.3">
      <c r="A1036" t="s">
        <v>685</v>
      </c>
      <c r="B1036">
        <v>52</v>
      </c>
      <c r="D1036">
        <v>1320</v>
      </c>
    </row>
    <row r="1037" spans="1:4" x14ac:dyDescent="0.3">
      <c r="A1037" t="s">
        <v>686</v>
      </c>
      <c r="B1037">
        <v>52</v>
      </c>
      <c r="D1037">
        <v>880</v>
      </c>
    </row>
    <row r="1038" spans="1:4" x14ac:dyDescent="0.3">
      <c r="A1038" t="s">
        <v>687</v>
      </c>
      <c r="B1038">
        <v>52</v>
      </c>
      <c r="D1038">
        <v>1760</v>
      </c>
    </row>
    <row r="1039" spans="1:4" x14ac:dyDescent="0.3">
      <c r="A1039" t="s">
        <v>688</v>
      </c>
      <c r="B1039">
        <v>52</v>
      </c>
    </row>
    <row r="1040" spans="1:4" x14ac:dyDescent="0.3">
      <c r="A1040" t="s">
        <v>689</v>
      </c>
      <c r="B1040">
        <v>52</v>
      </c>
    </row>
    <row r="1041" spans="1:6" x14ac:dyDescent="0.3">
      <c r="A1041" t="s">
        <v>690</v>
      </c>
      <c r="B1041">
        <v>52</v>
      </c>
    </row>
    <row r="1042" spans="1:6" x14ac:dyDescent="0.3">
      <c r="A1042" t="s">
        <v>691</v>
      </c>
      <c r="B1042">
        <v>52</v>
      </c>
      <c r="D1042" t="b">
        <v>0</v>
      </c>
    </row>
    <row r="1043" spans="1:6" x14ac:dyDescent="0.3">
      <c r="A1043" t="s">
        <v>692</v>
      </c>
      <c r="B1043">
        <v>52</v>
      </c>
      <c r="D1043" t="b">
        <v>0</v>
      </c>
    </row>
    <row r="1044" spans="1:6" x14ac:dyDescent="0.3">
      <c r="A1044" t="s">
        <v>678</v>
      </c>
      <c r="B1044">
        <v>53</v>
      </c>
      <c r="C1044">
        <v>100</v>
      </c>
      <c r="D1044">
        <v>55</v>
      </c>
      <c r="E1044">
        <v>49</v>
      </c>
      <c r="F1044">
        <v>97</v>
      </c>
    </row>
    <row r="1045" spans="1:6" x14ac:dyDescent="0.3">
      <c r="A1045" t="s">
        <v>36</v>
      </c>
      <c r="B1045">
        <v>53</v>
      </c>
      <c r="C1045">
        <v>2</v>
      </c>
      <c r="D1045">
        <v>2</v>
      </c>
      <c r="E1045">
        <v>4</v>
      </c>
      <c r="F1045">
        <v>4</v>
      </c>
    </row>
    <row r="1046" spans="1:6" x14ac:dyDescent="0.3">
      <c r="A1046" t="s">
        <v>503</v>
      </c>
      <c r="B1046">
        <v>53</v>
      </c>
      <c r="D1046" t="s">
        <v>713</v>
      </c>
      <c r="E1046" t="s">
        <v>695</v>
      </c>
      <c r="F1046" t="s">
        <v>695</v>
      </c>
    </row>
    <row r="1047" spans="1:6" x14ac:dyDescent="0.3">
      <c r="A1047" t="s">
        <v>679</v>
      </c>
      <c r="B1047">
        <v>53</v>
      </c>
      <c r="C1047">
        <v>249</v>
      </c>
      <c r="D1047">
        <v>437</v>
      </c>
      <c r="E1047">
        <v>1829</v>
      </c>
      <c r="F1047">
        <v>1087</v>
      </c>
    </row>
    <row r="1048" spans="1:6" x14ac:dyDescent="0.3">
      <c r="A1048" t="s">
        <v>42</v>
      </c>
      <c r="B1048">
        <v>53</v>
      </c>
      <c r="C1048">
        <v>30</v>
      </c>
      <c r="D1048">
        <v>25</v>
      </c>
      <c r="E1048">
        <v>40</v>
      </c>
      <c r="F1048">
        <v>40</v>
      </c>
    </row>
    <row r="1049" spans="1:6" x14ac:dyDescent="0.3">
      <c r="A1049" t="s">
        <v>680</v>
      </c>
      <c r="B1049">
        <v>53</v>
      </c>
      <c r="C1049">
        <v>5.7</v>
      </c>
      <c r="D1049">
        <v>11.9</v>
      </c>
      <c r="E1049">
        <v>31.2</v>
      </c>
      <c r="F1049">
        <v>18.5</v>
      </c>
    </row>
    <row r="1050" spans="1:6" x14ac:dyDescent="0.3">
      <c r="A1050" t="s">
        <v>41</v>
      </c>
      <c r="B1050">
        <v>53</v>
      </c>
      <c r="C1050">
        <v>0</v>
      </c>
      <c r="D1050">
        <v>0</v>
      </c>
      <c r="E1050">
        <v>0</v>
      </c>
      <c r="F1050">
        <v>0</v>
      </c>
    </row>
    <row r="1051" spans="1:6" x14ac:dyDescent="0.3">
      <c r="A1051" t="s">
        <v>681</v>
      </c>
      <c r="B1051">
        <v>53</v>
      </c>
      <c r="C1051">
        <v>12</v>
      </c>
      <c r="D1051">
        <v>12</v>
      </c>
      <c r="E1051">
        <v>12</v>
      </c>
      <c r="F1051">
        <v>12</v>
      </c>
    </row>
    <row r="1052" spans="1:6" x14ac:dyDescent="0.3">
      <c r="A1052" t="s">
        <v>563</v>
      </c>
      <c r="B1052">
        <v>53</v>
      </c>
      <c r="C1052">
        <v>0</v>
      </c>
      <c r="D1052">
        <v>0</v>
      </c>
      <c r="E1052">
        <v>0</v>
      </c>
      <c r="F1052">
        <v>0</v>
      </c>
    </row>
    <row r="1053" spans="1:6" x14ac:dyDescent="0.3">
      <c r="A1053" t="s">
        <v>682</v>
      </c>
      <c r="B1053">
        <v>53</v>
      </c>
      <c r="C1053">
        <v>0</v>
      </c>
      <c r="D1053">
        <v>0</v>
      </c>
      <c r="E1053">
        <v>0</v>
      </c>
      <c r="F1053">
        <v>0</v>
      </c>
    </row>
    <row r="1054" spans="1:6" x14ac:dyDescent="0.3">
      <c r="A1054" t="s">
        <v>683</v>
      </c>
      <c r="B1054">
        <v>53</v>
      </c>
      <c r="C1054">
        <v>16</v>
      </c>
      <c r="D1054">
        <v>16</v>
      </c>
      <c r="E1054">
        <v>16</v>
      </c>
      <c r="F1054">
        <v>16</v>
      </c>
    </row>
    <row r="1055" spans="1:6" x14ac:dyDescent="0.3">
      <c r="A1055" t="s">
        <v>684</v>
      </c>
      <c r="B1055">
        <v>53</v>
      </c>
      <c r="C1055">
        <v>500</v>
      </c>
      <c r="D1055">
        <v>500</v>
      </c>
      <c r="E1055">
        <v>500</v>
      </c>
      <c r="F1055">
        <v>500</v>
      </c>
    </row>
    <row r="1056" spans="1:6" x14ac:dyDescent="0.3">
      <c r="A1056" t="s">
        <v>685</v>
      </c>
      <c r="B1056">
        <v>53</v>
      </c>
      <c r="C1056">
        <v>1320</v>
      </c>
      <c r="D1056">
        <v>1101</v>
      </c>
      <c r="E1056">
        <v>1761</v>
      </c>
      <c r="F1056">
        <v>1761</v>
      </c>
    </row>
    <row r="1057" spans="1:6" x14ac:dyDescent="0.3">
      <c r="A1057" t="s">
        <v>686</v>
      </c>
      <c r="B1057">
        <v>53</v>
      </c>
      <c r="C1057">
        <v>880</v>
      </c>
      <c r="D1057">
        <v>734</v>
      </c>
      <c r="E1057">
        <v>1174</v>
      </c>
      <c r="F1057">
        <v>1174</v>
      </c>
    </row>
    <row r="1058" spans="1:6" x14ac:dyDescent="0.3">
      <c r="A1058" t="s">
        <v>687</v>
      </c>
      <c r="B1058">
        <v>53</v>
      </c>
      <c r="C1058">
        <v>1760</v>
      </c>
      <c r="D1058">
        <v>1468</v>
      </c>
      <c r="E1058">
        <v>2348</v>
      </c>
      <c r="F1058">
        <v>2348</v>
      </c>
    </row>
    <row r="1059" spans="1:6" x14ac:dyDescent="0.3">
      <c r="A1059" t="s">
        <v>688</v>
      </c>
      <c r="B1059">
        <v>53</v>
      </c>
    </row>
    <row r="1060" spans="1:6" x14ac:dyDescent="0.3">
      <c r="A1060" t="s">
        <v>689</v>
      </c>
      <c r="B1060">
        <v>53</v>
      </c>
    </row>
    <row r="1061" spans="1:6" x14ac:dyDescent="0.3">
      <c r="A1061" t="s">
        <v>690</v>
      </c>
      <c r="B1061">
        <v>53</v>
      </c>
    </row>
    <row r="1062" spans="1:6" x14ac:dyDescent="0.3">
      <c r="A1062" t="s">
        <v>691</v>
      </c>
      <c r="B1062">
        <v>53</v>
      </c>
      <c r="C1062" t="b">
        <v>0</v>
      </c>
      <c r="D1062" t="b">
        <v>0</v>
      </c>
      <c r="E1062" t="b">
        <v>0</v>
      </c>
      <c r="F1062" t="b">
        <v>0</v>
      </c>
    </row>
    <row r="1063" spans="1:6" x14ac:dyDescent="0.3">
      <c r="A1063" t="s">
        <v>692</v>
      </c>
      <c r="B1063">
        <v>53</v>
      </c>
      <c r="C1063" t="b">
        <v>0</v>
      </c>
      <c r="D1063" t="b">
        <v>0</v>
      </c>
      <c r="E1063" t="b">
        <v>0</v>
      </c>
      <c r="F1063" t="b">
        <v>0</v>
      </c>
    </row>
    <row r="1064" spans="1:6" x14ac:dyDescent="0.3">
      <c r="A1064" t="s">
        <v>678</v>
      </c>
      <c r="B1064">
        <v>54</v>
      </c>
      <c r="C1064">
        <v>55</v>
      </c>
    </row>
    <row r="1065" spans="1:6" x14ac:dyDescent="0.3">
      <c r="A1065" t="s">
        <v>36</v>
      </c>
      <c r="B1065">
        <v>54</v>
      </c>
      <c r="C1065">
        <v>1</v>
      </c>
    </row>
    <row r="1066" spans="1:6" x14ac:dyDescent="0.3">
      <c r="A1066" t="s">
        <v>503</v>
      </c>
      <c r="B1066">
        <v>54</v>
      </c>
    </row>
    <row r="1067" spans="1:6" x14ac:dyDescent="0.3">
      <c r="A1067" t="s">
        <v>679</v>
      </c>
      <c r="B1067">
        <v>54</v>
      </c>
      <c r="C1067">
        <v>391</v>
      </c>
    </row>
    <row r="1068" spans="1:6" x14ac:dyDescent="0.3">
      <c r="A1068" t="s">
        <v>42</v>
      </c>
      <c r="B1068">
        <v>54</v>
      </c>
      <c r="C1068">
        <v>30</v>
      </c>
    </row>
    <row r="1069" spans="1:6" x14ac:dyDescent="0.3">
      <c r="A1069" t="s">
        <v>680</v>
      </c>
      <c r="B1069">
        <v>54</v>
      </c>
      <c r="C1069">
        <v>8.9</v>
      </c>
    </row>
    <row r="1070" spans="1:6" x14ac:dyDescent="0.3">
      <c r="A1070" t="s">
        <v>41</v>
      </c>
      <c r="B1070">
        <v>54</v>
      </c>
      <c r="C1070">
        <v>0</v>
      </c>
    </row>
    <row r="1071" spans="1:6" x14ac:dyDescent="0.3">
      <c r="A1071" t="s">
        <v>681</v>
      </c>
      <c r="B1071">
        <v>54</v>
      </c>
      <c r="C1071">
        <v>0</v>
      </c>
    </row>
    <row r="1072" spans="1:6" x14ac:dyDescent="0.3">
      <c r="A1072" t="s">
        <v>563</v>
      </c>
      <c r="B1072">
        <v>54</v>
      </c>
      <c r="C1072">
        <v>0</v>
      </c>
    </row>
    <row r="1073" spans="1:4" x14ac:dyDescent="0.3">
      <c r="A1073" t="s">
        <v>682</v>
      </c>
      <c r="B1073">
        <v>54</v>
      </c>
      <c r="C1073">
        <v>1</v>
      </c>
    </row>
    <row r="1074" spans="1:4" x14ac:dyDescent="0.3">
      <c r="A1074" t="s">
        <v>683</v>
      </c>
      <c r="B1074">
        <v>54</v>
      </c>
      <c r="C1074">
        <v>16</v>
      </c>
    </row>
    <row r="1075" spans="1:4" x14ac:dyDescent="0.3">
      <c r="A1075" t="s">
        <v>684</v>
      </c>
      <c r="B1075">
        <v>54</v>
      </c>
      <c r="C1075">
        <v>200</v>
      </c>
    </row>
    <row r="1076" spans="1:4" x14ac:dyDescent="0.3">
      <c r="A1076" t="s">
        <v>685</v>
      </c>
      <c r="B1076">
        <v>54</v>
      </c>
      <c r="C1076">
        <v>1320</v>
      </c>
    </row>
    <row r="1077" spans="1:4" x14ac:dyDescent="0.3">
      <c r="A1077" t="s">
        <v>686</v>
      </c>
      <c r="B1077">
        <v>54</v>
      </c>
      <c r="C1077">
        <v>880</v>
      </c>
    </row>
    <row r="1078" spans="1:4" x14ac:dyDescent="0.3">
      <c r="A1078" t="s">
        <v>687</v>
      </c>
      <c r="B1078">
        <v>54</v>
      </c>
      <c r="C1078">
        <v>1760</v>
      </c>
    </row>
    <row r="1079" spans="1:4" x14ac:dyDescent="0.3">
      <c r="A1079" t="s">
        <v>688</v>
      </c>
      <c r="B1079">
        <v>54</v>
      </c>
    </row>
    <row r="1080" spans="1:4" x14ac:dyDescent="0.3">
      <c r="A1080" t="s">
        <v>689</v>
      </c>
      <c r="B1080">
        <v>54</v>
      </c>
    </row>
    <row r="1081" spans="1:4" x14ac:dyDescent="0.3">
      <c r="A1081" t="s">
        <v>690</v>
      </c>
      <c r="B1081">
        <v>54</v>
      </c>
    </row>
    <row r="1082" spans="1:4" x14ac:dyDescent="0.3">
      <c r="A1082" t="s">
        <v>691</v>
      </c>
      <c r="B1082">
        <v>54</v>
      </c>
      <c r="C1082" t="b">
        <v>0</v>
      </c>
    </row>
    <row r="1083" spans="1:4" x14ac:dyDescent="0.3">
      <c r="A1083" t="s">
        <v>692</v>
      </c>
      <c r="B1083">
        <v>54</v>
      </c>
      <c r="C1083" t="b">
        <v>0</v>
      </c>
    </row>
    <row r="1084" spans="1:4" x14ac:dyDescent="0.3">
      <c r="A1084" t="s">
        <v>678</v>
      </c>
      <c r="B1084">
        <v>55</v>
      </c>
      <c r="C1084">
        <v>53</v>
      </c>
      <c r="D1084">
        <v>54</v>
      </c>
    </row>
    <row r="1085" spans="1:4" x14ac:dyDescent="0.3">
      <c r="A1085" t="s">
        <v>36</v>
      </c>
      <c r="B1085">
        <v>55</v>
      </c>
      <c r="C1085">
        <v>1</v>
      </c>
      <c r="D1085" t="s">
        <v>698</v>
      </c>
    </row>
    <row r="1086" spans="1:4" x14ac:dyDescent="0.3">
      <c r="A1086" t="s">
        <v>503</v>
      </c>
      <c r="B1086">
        <v>55</v>
      </c>
      <c r="C1086" t="s">
        <v>713</v>
      </c>
    </row>
    <row r="1087" spans="1:4" x14ac:dyDescent="0.3">
      <c r="A1087" t="s">
        <v>679</v>
      </c>
      <c r="B1087">
        <v>55</v>
      </c>
      <c r="C1087">
        <v>437</v>
      </c>
      <c r="D1087">
        <v>391</v>
      </c>
    </row>
    <row r="1088" spans="1:4" x14ac:dyDescent="0.3">
      <c r="A1088" t="s">
        <v>42</v>
      </c>
      <c r="B1088">
        <v>55</v>
      </c>
      <c r="C1088">
        <v>30</v>
      </c>
      <c r="D1088">
        <v>30</v>
      </c>
    </row>
    <row r="1089" spans="1:10" x14ac:dyDescent="0.3">
      <c r="A1089" t="s">
        <v>680</v>
      </c>
      <c r="B1089">
        <v>55</v>
      </c>
      <c r="C1089">
        <v>9.9</v>
      </c>
      <c r="D1089">
        <v>8.9</v>
      </c>
    </row>
    <row r="1090" spans="1:10" x14ac:dyDescent="0.3">
      <c r="A1090" t="s">
        <v>41</v>
      </c>
      <c r="B1090">
        <v>55</v>
      </c>
      <c r="C1090">
        <v>0</v>
      </c>
      <c r="D1090">
        <v>0</v>
      </c>
    </row>
    <row r="1091" spans="1:10" x14ac:dyDescent="0.3">
      <c r="A1091" t="s">
        <v>681</v>
      </c>
      <c r="B1091">
        <v>55</v>
      </c>
      <c r="C1091">
        <v>12</v>
      </c>
      <c r="D1091" t="s">
        <v>699</v>
      </c>
    </row>
    <row r="1092" spans="1:10" x14ac:dyDescent="0.3">
      <c r="A1092" t="s">
        <v>563</v>
      </c>
      <c r="B1092">
        <v>55</v>
      </c>
      <c r="C1092">
        <v>0</v>
      </c>
      <c r="D1092">
        <v>0</v>
      </c>
    </row>
    <row r="1093" spans="1:10" x14ac:dyDescent="0.3">
      <c r="A1093" t="s">
        <v>682</v>
      </c>
      <c r="B1093">
        <v>55</v>
      </c>
      <c r="C1093">
        <v>0</v>
      </c>
      <c r="D1093">
        <v>1</v>
      </c>
    </row>
    <row r="1094" spans="1:10" x14ac:dyDescent="0.3">
      <c r="A1094" t="s">
        <v>683</v>
      </c>
      <c r="B1094">
        <v>55</v>
      </c>
      <c r="C1094">
        <v>16</v>
      </c>
      <c r="D1094">
        <v>16</v>
      </c>
    </row>
    <row r="1095" spans="1:10" x14ac:dyDescent="0.3">
      <c r="A1095" t="s">
        <v>684</v>
      </c>
      <c r="B1095">
        <v>55</v>
      </c>
      <c r="C1095">
        <v>100</v>
      </c>
      <c r="D1095">
        <v>100</v>
      </c>
    </row>
    <row r="1096" spans="1:10" x14ac:dyDescent="0.3">
      <c r="A1096" t="s">
        <v>685</v>
      </c>
      <c r="B1096">
        <v>55</v>
      </c>
      <c r="C1096">
        <v>1320</v>
      </c>
      <c r="D1096">
        <v>1320</v>
      </c>
    </row>
    <row r="1097" spans="1:10" x14ac:dyDescent="0.3">
      <c r="A1097" t="s">
        <v>686</v>
      </c>
      <c r="B1097">
        <v>55</v>
      </c>
      <c r="C1097">
        <v>880</v>
      </c>
      <c r="D1097">
        <v>880</v>
      </c>
    </row>
    <row r="1098" spans="1:10" x14ac:dyDescent="0.3">
      <c r="A1098" t="s">
        <v>687</v>
      </c>
      <c r="B1098">
        <v>55</v>
      </c>
      <c r="C1098">
        <v>1760</v>
      </c>
      <c r="D1098">
        <v>1760</v>
      </c>
    </row>
    <row r="1099" spans="1:10" x14ac:dyDescent="0.3">
      <c r="A1099" t="s">
        <v>688</v>
      </c>
      <c r="B1099">
        <v>55</v>
      </c>
    </row>
    <row r="1100" spans="1:10" x14ac:dyDescent="0.3">
      <c r="A1100" t="s">
        <v>689</v>
      </c>
      <c r="B1100">
        <v>55</v>
      </c>
    </row>
    <row r="1101" spans="1:10" x14ac:dyDescent="0.3">
      <c r="A1101" t="s">
        <v>690</v>
      </c>
      <c r="B1101">
        <v>55</v>
      </c>
    </row>
    <row r="1102" spans="1:10" x14ac:dyDescent="0.3">
      <c r="A1102" t="s">
        <v>691</v>
      </c>
      <c r="B1102">
        <v>55</v>
      </c>
      <c r="C1102" t="b">
        <v>0</v>
      </c>
      <c r="D1102" t="b">
        <v>0</v>
      </c>
    </row>
    <row r="1103" spans="1:10" x14ac:dyDescent="0.3">
      <c r="A1103" t="s">
        <v>692</v>
      </c>
      <c r="B1103">
        <v>55</v>
      </c>
      <c r="C1103" t="b">
        <v>0</v>
      </c>
      <c r="D1103" t="b">
        <v>0</v>
      </c>
    </row>
    <row r="1104" spans="1:10" x14ac:dyDescent="0.3">
      <c r="A1104" t="s">
        <v>678</v>
      </c>
      <c r="B1104">
        <v>56</v>
      </c>
      <c r="C1104">
        <v>98</v>
      </c>
      <c r="E1104">
        <v>97</v>
      </c>
      <c r="F1104">
        <v>62</v>
      </c>
      <c r="G1104">
        <v>99</v>
      </c>
      <c r="I1104">
        <v>60</v>
      </c>
      <c r="J1104">
        <v>61</v>
      </c>
    </row>
    <row r="1105" spans="1:10" x14ac:dyDescent="0.3">
      <c r="A1105" t="s">
        <v>36</v>
      </c>
      <c r="B1105">
        <v>56</v>
      </c>
      <c r="C1105">
        <v>4</v>
      </c>
      <c r="E1105">
        <v>5</v>
      </c>
      <c r="F1105">
        <v>5</v>
      </c>
      <c r="G1105">
        <v>0</v>
      </c>
      <c r="I1105">
        <v>2</v>
      </c>
      <c r="J1105">
        <v>0</v>
      </c>
    </row>
    <row r="1106" spans="1:10" x14ac:dyDescent="0.3">
      <c r="A1106" t="s">
        <v>503</v>
      </c>
      <c r="B1106">
        <v>56</v>
      </c>
    </row>
    <row r="1107" spans="1:10" x14ac:dyDescent="0.3">
      <c r="A1107" t="s">
        <v>679</v>
      </c>
      <c r="B1107">
        <v>56</v>
      </c>
      <c r="C1107">
        <v>295</v>
      </c>
      <c r="E1107">
        <v>283</v>
      </c>
      <c r="F1107">
        <v>363</v>
      </c>
      <c r="G1107">
        <v>289</v>
      </c>
      <c r="I1107">
        <v>165</v>
      </c>
      <c r="J1107">
        <v>340</v>
      </c>
    </row>
    <row r="1108" spans="1:10" x14ac:dyDescent="0.3">
      <c r="A1108" t="s">
        <v>42</v>
      </c>
      <c r="B1108">
        <v>56</v>
      </c>
      <c r="C1108">
        <v>40</v>
      </c>
      <c r="E1108">
        <v>40</v>
      </c>
      <c r="F1108">
        <v>40</v>
      </c>
      <c r="G1108">
        <v>30</v>
      </c>
      <c r="I1108">
        <v>40</v>
      </c>
      <c r="J1108">
        <v>30</v>
      </c>
    </row>
    <row r="1109" spans="1:10" x14ac:dyDescent="0.3">
      <c r="A1109" t="s">
        <v>680</v>
      </c>
      <c r="B1109">
        <v>56</v>
      </c>
      <c r="C1109">
        <v>5</v>
      </c>
      <c r="E1109">
        <v>4.8</v>
      </c>
      <c r="F1109">
        <v>6.2</v>
      </c>
      <c r="G1109">
        <v>6.6</v>
      </c>
      <c r="I1109">
        <v>2.8</v>
      </c>
      <c r="J1109">
        <v>7.7</v>
      </c>
    </row>
    <row r="1110" spans="1:10" x14ac:dyDescent="0.3">
      <c r="A1110" t="s">
        <v>41</v>
      </c>
      <c r="B1110">
        <v>56</v>
      </c>
      <c r="C1110">
        <v>0</v>
      </c>
      <c r="E1110">
        <v>0</v>
      </c>
      <c r="F1110">
        <v>0</v>
      </c>
      <c r="G1110">
        <v>0</v>
      </c>
      <c r="I1110">
        <v>0</v>
      </c>
      <c r="J1110">
        <v>0</v>
      </c>
    </row>
    <row r="1111" spans="1:10" x14ac:dyDescent="0.3">
      <c r="A1111" t="s">
        <v>681</v>
      </c>
      <c r="B1111">
        <v>56</v>
      </c>
      <c r="C1111">
        <v>24</v>
      </c>
      <c r="E1111">
        <v>24</v>
      </c>
      <c r="F1111">
        <v>24</v>
      </c>
      <c r="G1111">
        <v>0</v>
      </c>
      <c r="I1111">
        <v>24</v>
      </c>
      <c r="J1111">
        <v>0</v>
      </c>
    </row>
    <row r="1112" spans="1:10" x14ac:dyDescent="0.3">
      <c r="A1112" t="s">
        <v>563</v>
      </c>
      <c r="B1112">
        <v>56</v>
      </c>
      <c r="C1112">
        <v>0</v>
      </c>
      <c r="E1112">
        <v>0</v>
      </c>
      <c r="F1112">
        <v>0</v>
      </c>
      <c r="G1112">
        <v>0</v>
      </c>
      <c r="I1112">
        <v>0</v>
      </c>
      <c r="J1112">
        <v>0</v>
      </c>
    </row>
    <row r="1113" spans="1:10" x14ac:dyDescent="0.3">
      <c r="A1113" t="s">
        <v>682</v>
      </c>
      <c r="B1113">
        <v>56</v>
      </c>
      <c r="C1113">
        <v>0</v>
      </c>
      <c r="E1113">
        <v>1</v>
      </c>
      <c r="F1113">
        <v>0</v>
      </c>
      <c r="G1113">
        <v>0</v>
      </c>
      <c r="I1113">
        <v>0</v>
      </c>
      <c r="J1113">
        <v>0</v>
      </c>
    </row>
    <row r="1114" spans="1:10" x14ac:dyDescent="0.3">
      <c r="A1114" t="s">
        <v>683</v>
      </c>
      <c r="B1114">
        <v>56</v>
      </c>
      <c r="C1114">
        <v>16</v>
      </c>
      <c r="E1114">
        <v>16</v>
      </c>
      <c r="F1114">
        <v>16</v>
      </c>
      <c r="G1114">
        <v>16</v>
      </c>
      <c r="I1114">
        <v>16</v>
      </c>
      <c r="J1114">
        <v>16</v>
      </c>
    </row>
    <row r="1115" spans="1:10" x14ac:dyDescent="0.3">
      <c r="A1115" t="s">
        <v>684</v>
      </c>
      <c r="B1115">
        <v>56</v>
      </c>
      <c r="C1115">
        <v>500</v>
      </c>
      <c r="E1115">
        <v>500</v>
      </c>
      <c r="F1115">
        <v>500</v>
      </c>
      <c r="G1115">
        <v>500</v>
      </c>
      <c r="I1115">
        <v>500</v>
      </c>
      <c r="J1115">
        <v>500</v>
      </c>
    </row>
    <row r="1116" spans="1:10" x14ac:dyDescent="0.3">
      <c r="A1116" t="s">
        <v>685</v>
      </c>
      <c r="B1116">
        <v>56</v>
      </c>
      <c r="C1116">
        <v>1761</v>
      </c>
      <c r="E1116">
        <v>1761</v>
      </c>
      <c r="F1116">
        <v>1761</v>
      </c>
      <c r="G1116">
        <v>1320</v>
      </c>
      <c r="I1116">
        <v>1761</v>
      </c>
      <c r="J1116">
        <v>1320</v>
      </c>
    </row>
    <row r="1117" spans="1:10" x14ac:dyDescent="0.3">
      <c r="A1117" t="s">
        <v>686</v>
      </c>
      <c r="B1117">
        <v>56</v>
      </c>
      <c r="C1117">
        <v>1174</v>
      </c>
      <c r="E1117">
        <v>1174</v>
      </c>
      <c r="F1117">
        <v>1174</v>
      </c>
      <c r="G1117">
        <v>880</v>
      </c>
      <c r="I1117">
        <v>1174</v>
      </c>
      <c r="J1117">
        <v>880</v>
      </c>
    </row>
    <row r="1118" spans="1:10" x14ac:dyDescent="0.3">
      <c r="A1118" t="s">
        <v>687</v>
      </c>
      <c r="B1118">
        <v>56</v>
      </c>
      <c r="C1118">
        <v>2348</v>
      </c>
      <c r="E1118">
        <v>2348</v>
      </c>
      <c r="F1118">
        <v>2348</v>
      </c>
      <c r="G1118">
        <v>1760</v>
      </c>
      <c r="I1118">
        <v>2348</v>
      </c>
      <c r="J1118">
        <v>1760</v>
      </c>
    </row>
    <row r="1119" spans="1:10" x14ac:dyDescent="0.3">
      <c r="A1119" t="s">
        <v>688</v>
      </c>
      <c r="B1119">
        <v>56</v>
      </c>
      <c r="G1119">
        <v>30909</v>
      </c>
      <c r="J1119">
        <v>31114</v>
      </c>
    </row>
    <row r="1120" spans="1:10" x14ac:dyDescent="0.3">
      <c r="A1120" t="s">
        <v>689</v>
      </c>
      <c r="B1120">
        <v>56</v>
      </c>
      <c r="G1120">
        <v>-182</v>
      </c>
      <c r="J1120">
        <v>-11</v>
      </c>
    </row>
    <row r="1121" spans="1:10" x14ac:dyDescent="0.3">
      <c r="A1121" t="s">
        <v>690</v>
      </c>
      <c r="B1121">
        <v>56</v>
      </c>
      <c r="G1121">
        <v>0</v>
      </c>
      <c r="J1121">
        <v>0</v>
      </c>
    </row>
    <row r="1122" spans="1:10" x14ac:dyDescent="0.3">
      <c r="A1122" t="s">
        <v>691</v>
      </c>
      <c r="B1122">
        <v>56</v>
      </c>
      <c r="C1122" t="b">
        <v>0</v>
      </c>
      <c r="E1122" t="b">
        <v>0</v>
      </c>
      <c r="F1122" t="b">
        <v>0</v>
      </c>
      <c r="G1122" t="b">
        <v>0</v>
      </c>
      <c r="I1122" t="b">
        <v>0</v>
      </c>
      <c r="J1122" t="b">
        <v>0</v>
      </c>
    </row>
    <row r="1123" spans="1:10" x14ac:dyDescent="0.3">
      <c r="A1123" t="s">
        <v>692</v>
      </c>
      <c r="B1123">
        <v>56</v>
      </c>
      <c r="C1123" t="b">
        <v>0</v>
      </c>
      <c r="E1123" t="b">
        <v>0</v>
      </c>
      <c r="F1123" t="b">
        <v>0</v>
      </c>
      <c r="G1123" t="b">
        <v>0</v>
      </c>
      <c r="I1123" t="b">
        <v>0</v>
      </c>
      <c r="J1123" t="b">
        <v>0</v>
      </c>
    </row>
    <row r="1124" spans="1:10" x14ac:dyDescent="0.3">
      <c r="A1124" t="s">
        <v>678</v>
      </c>
      <c r="B1124">
        <v>57</v>
      </c>
      <c r="C1124">
        <v>61</v>
      </c>
    </row>
    <row r="1125" spans="1:10" x14ac:dyDescent="0.3">
      <c r="A1125" t="s">
        <v>36</v>
      </c>
      <c r="B1125">
        <v>57</v>
      </c>
      <c r="C1125" t="s">
        <v>714</v>
      </c>
    </row>
    <row r="1126" spans="1:10" x14ac:dyDescent="0.3">
      <c r="A1126" t="s">
        <v>503</v>
      </c>
      <c r="B1126">
        <v>57</v>
      </c>
    </row>
    <row r="1127" spans="1:10" x14ac:dyDescent="0.3">
      <c r="A1127" t="s">
        <v>679</v>
      </c>
      <c r="B1127">
        <v>57</v>
      </c>
      <c r="C1127">
        <v>603</v>
      </c>
    </row>
    <row r="1128" spans="1:10" x14ac:dyDescent="0.3">
      <c r="A1128" t="s">
        <v>42</v>
      </c>
      <c r="B1128">
        <v>57</v>
      </c>
      <c r="C1128">
        <v>30</v>
      </c>
    </row>
    <row r="1129" spans="1:10" x14ac:dyDescent="0.3">
      <c r="A1129" t="s">
        <v>680</v>
      </c>
      <c r="B1129">
        <v>57</v>
      </c>
      <c r="C1129">
        <v>13.7</v>
      </c>
    </row>
    <row r="1130" spans="1:10" x14ac:dyDescent="0.3">
      <c r="A1130" t="s">
        <v>41</v>
      </c>
      <c r="B1130">
        <v>57</v>
      </c>
      <c r="C1130">
        <v>0</v>
      </c>
    </row>
    <row r="1131" spans="1:10" x14ac:dyDescent="0.3">
      <c r="A1131" t="s">
        <v>681</v>
      </c>
      <c r="B1131">
        <v>57</v>
      </c>
      <c r="C1131">
        <v>0</v>
      </c>
    </row>
    <row r="1132" spans="1:10" x14ac:dyDescent="0.3">
      <c r="A1132" t="s">
        <v>563</v>
      </c>
      <c r="B1132">
        <v>57</v>
      </c>
      <c r="C1132">
        <v>0</v>
      </c>
    </row>
    <row r="1133" spans="1:10" x14ac:dyDescent="0.3">
      <c r="A1133" t="s">
        <v>682</v>
      </c>
      <c r="B1133">
        <v>57</v>
      </c>
      <c r="C1133">
        <v>0</v>
      </c>
    </row>
    <row r="1134" spans="1:10" x14ac:dyDescent="0.3">
      <c r="A1134" t="s">
        <v>683</v>
      </c>
      <c r="B1134">
        <v>57</v>
      </c>
      <c r="C1134">
        <v>16</v>
      </c>
    </row>
    <row r="1135" spans="1:10" x14ac:dyDescent="0.3">
      <c r="A1135" t="s">
        <v>684</v>
      </c>
      <c r="B1135">
        <v>57</v>
      </c>
      <c r="C1135">
        <v>200</v>
      </c>
    </row>
    <row r="1136" spans="1:10" x14ac:dyDescent="0.3">
      <c r="A1136" t="s">
        <v>685</v>
      </c>
      <c r="B1136">
        <v>57</v>
      </c>
      <c r="C1136">
        <v>1320</v>
      </c>
    </row>
    <row r="1137" spans="1:3" x14ac:dyDescent="0.3">
      <c r="A1137" t="s">
        <v>686</v>
      </c>
      <c r="B1137">
        <v>57</v>
      </c>
      <c r="C1137">
        <v>880</v>
      </c>
    </row>
    <row r="1138" spans="1:3" x14ac:dyDescent="0.3">
      <c r="A1138" t="s">
        <v>687</v>
      </c>
      <c r="B1138">
        <v>57</v>
      </c>
      <c r="C1138">
        <v>1760</v>
      </c>
    </row>
    <row r="1139" spans="1:3" x14ac:dyDescent="0.3">
      <c r="A1139" t="s">
        <v>688</v>
      </c>
      <c r="B1139">
        <v>57</v>
      </c>
    </row>
    <row r="1140" spans="1:3" x14ac:dyDescent="0.3">
      <c r="A1140" t="s">
        <v>689</v>
      </c>
      <c r="B1140">
        <v>57</v>
      </c>
    </row>
    <row r="1141" spans="1:3" x14ac:dyDescent="0.3">
      <c r="A1141" t="s">
        <v>690</v>
      </c>
      <c r="B1141">
        <v>57</v>
      </c>
    </row>
    <row r="1142" spans="1:3" x14ac:dyDescent="0.3">
      <c r="A1142" t="s">
        <v>691</v>
      </c>
      <c r="B1142">
        <v>57</v>
      </c>
      <c r="C1142" t="b">
        <v>0</v>
      </c>
    </row>
    <row r="1143" spans="1:3" x14ac:dyDescent="0.3">
      <c r="A1143" t="s">
        <v>692</v>
      </c>
      <c r="B1143">
        <v>57</v>
      </c>
      <c r="C1143" t="b">
        <v>0</v>
      </c>
    </row>
    <row r="1144" spans="1:3" x14ac:dyDescent="0.3">
      <c r="A1144" t="s">
        <v>678</v>
      </c>
      <c r="B1144">
        <v>58</v>
      </c>
      <c r="C1144">
        <v>60</v>
      </c>
    </row>
    <row r="1145" spans="1:3" x14ac:dyDescent="0.3">
      <c r="A1145" t="s">
        <v>36</v>
      </c>
      <c r="B1145">
        <v>58</v>
      </c>
      <c r="C1145">
        <v>0</v>
      </c>
    </row>
    <row r="1146" spans="1:3" x14ac:dyDescent="0.3">
      <c r="A1146" t="s">
        <v>503</v>
      </c>
      <c r="B1146">
        <v>58</v>
      </c>
    </row>
    <row r="1147" spans="1:3" x14ac:dyDescent="0.3">
      <c r="A1147" t="s">
        <v>679</v>
      </c>
      <c r="B1147">
        <v>58</v>
      </c>
      <c r="C1147">
        <v>729</v>
      </c>
    </row>
    <row r="1148" spans="1:3" x14ac:dyDescent="0.3">
      <c r="A1148" t="s">
        <v>42</v>
      </c>
      <c r="B1148">
        <v>58</v>
      </c>
      <c r="C1148">
        <v>30</v>
      </c>
    </row>
    <row r="1149" spans="1:3" x14ac:dyDescent="0.3">
      <c r="A1149" t="s">
        <v>680</v>
      </c>
      <c r="B1149">
        <v>58</v>
      </c>
      <c r="C1149">
        <v>16.600000000000001</v>
      </c>
    </row>
    <row r="1150" spans="1:3" x14ac:dyDescent="0.3">
      <c r="A1150" t="s">
        <v>41</v>
      </c>
      <c r="B1150">
        <v>58</v>
      </c>
      <c r="C1150">
        <v>0</v>
      </c>
    </row>
    <row r="1151" spans="1:3" x14ac:dyDescent="0.3">
      <c r="A1151" t="s">
        <v>681</v>
      </c>
      <c r="B1151">
        <v>58</v>
      </c>
      <c r="C1151">
        <v>0</v>
      </c>
    </row>
    <row r="1152" spans="1:3" x14ac:dyDescent="0.3">
      <c r="A1152" t="s">
        <v>563</v>
      </c>
      <c r="B1152">
        <v>58</v>
      </c>
      <c r="C1152">
        <v>0</v>
      </c>
    </row>
    <row r="1153" spans="1:4" x14ac:dyDescent="0.3">
      <c r="A1153" t="s">
        <v>682</v>
      </c>
      <c r="B1153">
        <v>58</v>
      </c>
      <c r="C1153">
        <v>0</v>
      </c>
    </row>
    <row r="1154" spans="1:4" x14ac:dyDescent="0.3">
      <c r="A1154" t="s">
        <v>683</v>
      </c>
      <c r="B1154">
        <v>58</v>
      </c>
      <c r="C1154">
        <v>16</v>
      </c>
    </row>
    <row r="1155" spans="1:4" x14ac:dyDescent="0.3">
      <c r="A1155" t="s">
        <v>684</v>
      </c>
      <c r="B1155">
        <v>58</v>
      </c>
      <c r="C1155">
        <v>200</v>
      </c>
    </row>
    <row r="1156" spans="1:4" x14ac:dyDescent="0.3">
      <c r="A1156" t="s">
        <v>685</v>
      </c>
      <c r="B1156">
        <v>58</v>
      </c>
      <c r="C1156">
        <v>1320</v>
      </c>
    </row>
    <row r="1157" spans="1:4" x14ac:dyDescent="0.3">
      <c r="A1157" t="s">
        <v>686</v>
      </c>
      <c r="B1157">
        <v>58</v>
      </c>
      <c r="C1157">
        <v>880</v>
      </c>
    </row>
    <row r="1158" spans="1:4" x14ac:dyDescent="0.3">
      <c r="A1158" t="s">
        <v>687</v>
      </c>
      <c r="B1158">
        <v>58</v>
      </c>
      <c r="C1158">
        <v>1760</v>
      </c>
    </row>
    <row r="1159" spans="1:4" x14ac:dyDescent="0.3">
      <c r="A1159" t="s">
        <v>688</v>
      </c>
      <c r="B1159">
        <v>58</v>
      </c>
    </row>
    <row r="1160" spans="1:4" x14ac:dyDescent="0.3">
      <c r="A1160" t="s">
        <v>689</v>
      </c>
      <c r="B1160">
        <v>58</v>
      </c>
    </row>
    <row r="1161" spans="1:4" x14ac:dyDescent="0.3">
      <c r="A1161" t="s">
        <v>690</v>
      </c>
      <c r="B1161">
        <v>58</v>
      </c>
    </row>
    <row r="1162" spans="1:4" x14ac:dyDescent="0.3">
      <c r="A1162" t="s">
        <v>691</v>
      </c>
      <c r="B1162">
        <v>58</v>
      </c>
      <c r="C1162" t="b">
        <v>0</v>
      </c>
    </row>
    <row r="1163" spans="1:4" x14ac:dyDescent="0.3">
      <c r="A1163" t="s">
        <v>692</v>
      </c>
      <c r="B1163">
        <v>58</v>
      </c>
      <c r="C1163" t="b">
        <v>0</v>
      </c>
    </row>
    <row r="1164" spans="1:4" x14ac:dyDescent="0.3">
      <c r="A1164" t="s">
        <v>678</v>
      </c>
      <c r="B1164">
        <v>59</v>
      </c>
      <c r="D1164">
        <v>99</v>
      </c>
    </row>
    <row r="1165" spans="1:4" x14ac:dyDescent="0.3">
      <c r="A1165" t="s">
        <v>36</v>
      </c>
      <c r="B1165">
        <v>59</v>
      </c>
      <c r="D1165" t="s">
        <v>714</v>
      </c>
    </row>
    <row r="1166" spans="1:4" x14ac:dyDescent="0.3">
      <c r="A1166" t="s">
        <v>503</v>
      </c>
      <c r="B1166">
        <v>59</v>
      </c>
      <c r="D1166" t="s">
        <v>715</v>
      </c>
    </row>
    <row r="1167" spans="1:4" x14ac:dyDescent="0.3">
      <c r="A1167" t="s">
        <v>679</v>
      </c>
      <c r="B1167">
        <v>59</v>
      </c>
      <c r="D1167">
        <v>383</v>
      </c>
    </row>
    <row r="1168" spans="1:4" x14ac:dyDescent="0.3">
      <c r="A1168" t="s">
        <v>42</v>
      </c>
      <c r="B1168">
        <v>59</v>
      </c>
      <c r="D1168">
        <v>30</v>
      </c>
    </row>
    <row r="1169" spans="1:8" x14ac:dyDescent="0.3">
      <c r="A1169" t="s">
        <v>680</v>
      </c>
      <c r="B1169">
        <v>59</v>
      </c>
      <c r="D1169">
        <v>8.6999999999999993</v>
      </c>
    </row>
    <row r="1170" spans="1:8" x14ac:dyDescent="0.3">
      <c r="A1170" t="s">
        <v>41</v>
      </c>
      <c r="B1170">
        <v>59</v>
      </c>
      <c r="D1170">
        <v>0</v>
      </c>
    </row>
    <row r="1171" spans="1:8" x14ac:dyDescent="0.3">
      <c r="A1171" t="s">
        <v>681</v>
      </c>
      <c r="B1171">
        <v>59</v>
      </c>
      <c r="D1171">
        <v>0</v>
      </c>
    </row>
    <row r="1172" spans="1:8" x14ac:dyDescent="0.3">
      <c r="A1172" t="s">
        <v>563</v>
      </c>
      <c r="B1172">
        <v>59</v>
      </c>
      <c r="D1172">
        <v>0</v>
      </c>
    </row>
    <row r="1173" spans="1:8" x14ac:dyDescent="0.3">
      <c r="A1173" t="s">
        <v>682</v>
      </c>
      <c r="B1173">
        <v>59</v>
      </c>
      <c r="D1173">
        <v>0</v>
      </c>
    </row>
    <row r="1174" spans="1:8" x14ac:dyDescent="0.3">
      <c r="A1174" t="s">
        <v>683</v>
      </c>
      <c r="B1174">
        <v>59</v>
      </c>
      <c r="D1174">
        <v>16</v>
      </c>
    </row>
    <row r="1175" spans="1:8" x14ac:dyDescent="0.3">
      <c r="A1175" t="s">
        <v>684</v>
      </c>
      <c r="B1175">
        <v>59</v>
      </c>
      <c r="D1175">
        <v>200</v>
      </c>
    </row>
    <row r="1176" spans="1:8" x14ac:dyDescent="0.3">
      <c r="A1176" t="s">
        <v>685</v>
      </c>
      <c r="B1176">
        <v>59</v>
      </c>
      <c r="D1176">
        <v>1320</v>
      </c>
    </row>
    <row r="1177" spans="1:8" x14ac:dyDescent="0.3">
      <c r="A1177" t="s">
        <v>686</v>
      </c>
      <c r="B1177">
        <v>59</v>
      </c>
      <c r="D1177">
        <v>880</v>
      </c>
    </row>
    <row r="1178" spans="1:8" x14ac:dyDescent="0.3">
      <c r="A1178" t="s">
        <v>687</v>
      </c>
      <c r="B1178">
        <v>59</v>
      </c>
      <c r="D1178">
        <v>1760</v>
      </c>
    </row>
    <row r="1179" spans="1:8" x14ac:dyDescent="0.3">
      <c r="A1179" t="s">
        <v>688</v>
      </c>
      <c r="B1179">
        <v>59</v>
      </c>
    </row>
    <row r="1180" spans="1:8" x14ac:dyDescent="0.3">
      <c r="A1180" t="s">
        <v>689</v>
      </c>
      <c r="B1180">
        <v>59</v>
      </c>
    </row>
    <row r="1181" spans="1:8" x14ac:dyDescent="0.3">
      <c r="A1181" t="s">
        <v>690</v>
      </c>
      <c r="B1181">
        <v>59</v>
      </c>
    </row>
    <row r="1182" spans="1:8" x14ac:dyDescent="0.3">
      <c r="A1182" t="s">
        <v>691</v>
      </c>
      <c r="B1182">
        <v>59</v>
      </c>
      <c r="D1182" t="b">
        <v>0</v>
      </c>
    </row>
    <row r="1183" spans="1:8" x14ac:dyDescent="0.3">
      <c r="A1183" t="s">
        <v>692</v>
      </c>
      <c r="B1183">
        <v>59</v>
      </c>
      <c r="D1183" t="b">
        <v>0</v>
      </c>
    </row>
    <row r="1184" spans="1:8" x14ac:dyDescent="0.3">
      <c r="A1184" t="s">
        <v>678</v>
      </c>
      <c r="B1184">
        <v>60</v>
      </c>
      <c r="D1184">
        <v>58</v>
      </c>
      <c r="E1184">
        <v>97</v>
      </c>
      <c r="H1184">
        <v>56</v>
      </c>
    </row>
    <row r="1185" spans="1:8" x14ac:dyDescent="0.3">
      <c r="A1185" t="s">
        <v>36</v>
      </c>
      <c r="B1185">
        <v>60</v>
      </c>
      <c r="D1185">
        <v>3</v>
      </c>
      <c r="E1185">
        <v>0</v>
      </c>
      <c r="H1185">
        <v>0</v>
      </c>
    </row>
    <row r="1186" spans="1:8" x14ac:dyDescent="0.3">
      <c r="A1186" t="s">
        <v>503</v>
      </c>
      <c r="B1186">
        <v>60</v>
      </c>
    </row>
    <row r="1187" spans="1:8" x14ac:dyDescent="0.3">
      <c r="A1187" t="s">
        <v>679</v>
      </c>
      <c r="B1187">
        <v>60</v>
      </c>
      <c r="D1187">
        <v>729</v>
      </c>
      <c r="E1187">
        <v>192</v>
      </c>
      <c r="H1187">
        <v>165</v>
      </c>
    </row>
    <row r="1188" spans="1:8" x14ac:dyDescent="0.3">
      <c r="A1188" t="s">
        <v>42</v>
      </c>
      <c r="B1188">
        <v>60</v>
      </c>
      <c r="D1188">
        <v>30</v>
      </c>
      <c r="E1188">
        <v>30</v>
      </c>
      <c r="H1188">
        <v>30</v>
      </c>
    </row>
    <row r="1189" spans="1:8" x14ac:dyDescent="0.3">
      <c r="A1189" t="s">
        <v>680</v>
      </c>
      <c r="B1189">
        <v>60</v>
      </c>
      <c r="D1189">
        <v>16.600000000000001</v>
      </c>
      <c r="E1189">
        <v>4.4000000000000004</v>
      </c>
      <c r="H1189">
        <v>3.8</v>
      </c>
    </row>
    <row r="1190" spans="1:8" x14ac:dyDescent="0.3">
      <c r="A1190" t="s">
        <v>41</v>
      </c>
      <c r="B1190">
        <v>60</v>
      </c>
      <c r="D1190">
        <v>0</v>
      </c>
      <c r="E1190">
        <v>0</v>
      </c>
      <c r="H1190">
        <v>0</v>
      </c>
    </row>
    <row r="1191" spans="1:8" x14ac:dyDescent="0.3">
      <c r="A1191" t="s">
        <v>681</v>
      </c>
      <c r="B1191">
        <v>60</v>
      </c>
      <c r="D1191">
        <v>24</v>
      </c>
      <c r="E1191">
        <v>0</v>
      </c>
      <c r="H1191">
        <v>0</v>
      </c>
    </row>
    <row r="1192" spans="1:8" x14ac:dyDescent="0.3">
      <c r="A1192" t="s">
        <v>563</v>
      </c>
      <c r="B1192">
        <v>60</v>
      </c>
      <c r="D1192">
        <v>0</v>
      </c>
      <c r="E1192">
        <v>0</v>
      </c>
      <c r="H1192">
        <v>0</v>
      </c>
    </row>
    <row r="1193" spans="1:8" x14ac:dyDescent="0.3">
      <c r="A1193" t="s">
        <v>682</v>
      </c>
      <c r="B1193">
        <v>60</v>
      </c>
      <c r="D1193">
        <v>0</v>
      </c>
      <c r="E1193">
        <v>0</v>
      </c>
      <c r="H1193">
        <v>0</v>
      </c>
    </row>
    <row r="1194" spans="1:8" x14ac:dyDescent="0.3">
      <c r="A1194" t="s">
        <v>683</v>
      </c>
      <c r="B1194">
        <v>60</v>
      </c>
      <c r="D1194">
        <v>16</v>
      </c>
      <c r="E1194">
        <v>16</v>
      </c>
      <c r="H1194">
        <v>16</v>
      </c>
    </row>
    <row r="1195" spans="1:8" x14ac:dyDescent="0.3">
      <c r="A1195" t="s">
        <v>684</v>
      </c>
      <c r="B1195">
        <v>60</v>
      </c>
      <c r="D1195">
        <v>200</v>
      </c>
      <c r="E1195">
        <v>200</v>
      </c>
      <c r="H1195">
        <v>200</v>
      </c>
    </row>
    <row r="1196" spans="1:8" x14ac:dyDescent="0.3">
      <c r="A1196" t="s">
        <v>685</v>
      </c>
      <c r="B1196">
        <v>60</v>
      </c>
      <c r="D1196">
        <v>1320</v>
      </c>
      <c r="E1196">
        <v>1320</v>
      </c>
      <c r="H1196">
        <v>1320</v>
      </c>
    </row>
    <row r="1197" spans="1:8" x14ac:dyDescent="0.3">
      <c r="A1197" t="s">
        <v>686</v>
      </c>
      <c r="B1197">
        <v>60</v>
      </c>
      <c r="D1197">
        <v>880</v>
      </c>
      <c r="E1197">
        <v>880</v>
      </c>
      <c r="H1197">
        <v>880</v>
      </c>
    </row>
    <row r="1198" spans="1:8" x14ac:dyDescent="0.3">
      <c r="A1198" t="s">
        <v>687</v>
      </c>
      <c r="B1198">
        <v>60</v>
      </c>
      <c r="D1198">
        <v>1760</v>
      </c>
      <c r="E1198">
        <v>1760</v>
      </c>
      <c r="H1198">
        <v>1760</v>
      </c>
    </row>
    <row r="1199" spans="1:8" x14ac:dyDescent="0.3">
      <c r="A1199" t="s">
        <v>688</v>
      </c>
      <c r="B1199">
        <v>60</v>
      </c>
    </row>
    <row r="1200" spans="1:8" x14ac:dyDescent="0.3">
      <c r="A1200" t="s">
        <v>689</v>
      </c>
      <c r="B1200">
        <v>60</v>
      </c>
    </row>
    <row r="1201" spans="1:8" x14ac:dyDescent="0.3">
      <c r="A1201" t="s">
        <v>690</v>
      </c>
      <c r="B1201">
        <v>60</v>
      </c>
    </row>
    <row r="1202" spans="1:8" x14ac:dyDescent="0.3">
      <c r="A1202" t="s">
        <v>691</v>
      </c>
      <c r="B1202">
        <v>60</v>
      </c>
      <c r="D1202" t="b">
        <v>0</v>
      </c>
      <c r="E1202" t="b">
        <v>0</v>
      </c>
      <c r="H1202" t="b">
        <v>0</v>
      </c>
    </row>
    <row r="1203" spans="1:8" x14ac:dyDescent="0.3">
      <c r="A1203" t="s">
        <v>692</v>
      </c>
      <c r="B1203">
        <v>60</v>
      </c>
      <c r="D1203" t="b">
        <v>0</v>
      </c>
      <c r="E1203" t="b">
        <v>0</v>
      </c>
      <c r="H1203" t="b">
        <v>0</v>
      </c>
    </row>
    <row r="1204" spans="1:8" x14ac:dyDescent="0.3">
      <c r="A1204" t="s">
        <v>678</v>
      </c>
      <c r="B1204">
        <v>61</v>
      </c>
      <c r="C1204">
        <v>63</v>
      </c>
      <c r="D1204">
        <v>57</v>
      </c>
      <c r="G1204">
        <v>56</v>
      </c>
    </row>
    <row r="1205" spans="1:8" x14ac:dyDescent="0.3">
      <c r="A1205" t="s">
        <v>36</v>
      </c>
      <c r="B1205">
        <v>61</v>
      </c>
      <c r="C1205">
        <v>1</v>
      </c>
      <c r="D1205">
        <v>0</v>
      </c>
      <c r="G1205">
        <v>2</v>
      </c>
    </row>
    <row r="1206" spans="1:8" x14ac:dyDescent="0.3">
      <c r="A1206" t="s">
        <v>503</v>
      </c>
      <c r="B1206">
        <v>61</v>
      </c>
    </row>
    <row r="1207" spans="1:8" x14ac:dyDescent="0.3">
      <c r="A1207" t="s">
        <v>679</v>
      </c>
      <c r="B1207">
        <v>61</v>
      </c>
      <c r="C1207">
        <v>224</v>
      </c>
      <c r="D1207">
        <v>603</v>
      </c>
      <c r="G1207">
        <v>340</v>
      </c>
    </row>
    <row r="1208" spans="1:8" x14ac:dyDescent="0.3">
      <c r="A1208" t="s">
        <v>42</v>
      </c>
      <c r="B1208">
        <v>61</v>
      </c>
      <c r="C1208">
        <v>30</v>
      </c>
      <c r="D1208">
        <v>30</v>
      </c>
      <c r="G1208">
        <v>30</v>
      </c>
    </row>
    <row r="1209" spans="1:8" x14ac:dyDescent="0.3">
      <c r="A1209" t="s">
        <v>680</v>
      </c>
      <c r="B1209">
        <v>61</v>
      </c>
      <c r="C1209">
        <v>5.0999999999999996</v>
      </c>
      <c r="D1209">
        <v>13.7</v>
      </c>
      <c r="G1209">
        <v>7.7</v>
      </c>
    </row>
    <row r="1210" spans="1:8" x14ac:dyDescent="0.3">
      <c r="A1210" t="s">
        <v>41</v>
      </c>
      <c r="B1210">
        <v>61</v>
      </c>
      <c r="C1210">
        <v>0</v>
      </c>
      <c r="D1210">
        <v>0</v>
      </c>
      <c r="G1210">
        <v>0</v>
      </c>
    </row>
    <row r="1211" spans="1:8" x14ac:dyDescent="0.3">
      <c r="A1211" t="s">
        <v>681</v>
      </c>
      <c r="B1211">
        <v>61</v>
      </c>
      <c r="C1211">
        <v>0</v>
      </c>
      <c r="D1211">
        <v>0</v>
      </c>
      <c r="G1211" t="s">
        <v>716</v>
      </c>
    </row>
    <row r="1212" spans="1:8" x14ac:dyDescent="0.3">
      <c r="A1212" t="s">
        <v>563</v>
      </c>
      <c r="B1212">
        <v>61</v>
      </c>
      <c r="C1212">
        <v>0</v>
      </c>
      <c r="D1212">
        <v>0</v>
      </c>
      <c r="G1212">
        <v>0</v>
      </c>
    </row>
    <row r="1213" spans="1:8" x14ac:dyDescent="0.3">
      <c r="A1213" t="s">
        <v>682</v>
      </c>
      <c r="B1213">
        <v>61</v>
      </c>
      <c r="C1213">
        <v>0</v>
      </c>
      <c r="D1213">
        <v>0</v>
      </c>
      <c r="G1213">
        <v>0</v>
      </c>
    </row>
    <row r="1214" spans="1:8" x14ac:dyDescent="0.3">
      <c r="A1214" t="s">
        <v>683</v>
      </c>
      <c r="B1214">
        <v>61</v>
      </c>
      <c r="C1214">
        <v>16</v>
      </c>
      <c r="D1214">
        <v>16</v>
      </c>
      <c r="G1214">
        <v>16</v>
      </c>
    </row>
    <row r="1215" spans="1:8" x14ac:dyDescent="0.3">
      <c r="A1215" t="s">
        <v>684</v>
      </c>
      <c r="B1215">
        <v>61</v>
      </c>
      <c r="C1215">
        <v>200</v>
      </c>
      <c r="D1215">
        <v>200</v>
      </c>
      <c r="G1215">
        <v>200</v>
      </c>
    </row>
    <row r="1216" spans="1:8" x14ac:dyDescent="0.3">
      <c r="A1216" t="s">
        <v>685</v>
      </c>
      <c r="B1216">
        <v>61</v>
      </c>
      <c r="C1216">
        <v>1320</v>
      </c>
      <c r="D1216">
        <v>1320</v>
      </c>
      <c r="G1216">
        <v>1320</v>
      </c>
    </row>
    <row r="1217" spans="1:9" x14ac:dyDescent="0.3">
      <c r="A1217" t="s">
        <v>686</v>
      </c>
      <c r="B1217">
        <v>61</v>
      </c>
      <c r="C1217">
        <v>880</v>
      </c>
      <c r="D1217">
        <v>880</v>
      </c>
      <c r="G1217">
        <v>880</v>
      </c>
    </row>
    <row r="1218" spans="1:9" x14ac:dyDescent="0.3">
      <c r="A1218" t="s">
        <v>687</v>
      </c>
      <c r="B1218">
        <v>61</v>
      </c>
      <c r="C1218">
        <v>1760</v>
      </c>
      <c r="D1218">
        <v>1760</v>
      </c>
      <c r="G1218">
        <v>1760</v>
      </c>
    </row>
    <row r="1219" spans="1:9" x14ac:dyDescent="0.3">
      <c r="A1219" t="s">
        <v>688</v>
      </c>
      <c r="B1219">
        <v>61</v>
      </c>
      <c r="C1219">
        <v>31202</v>
      </c>
      <c r="G1219">
        <v>31162</v>
      </c>
    </row>
    <row r="1220" spans="1:9" x14ac:dyDescent="0.3">
      <c r="A1220" t="s">
        <v>689</v>
      </c>
      <c r="B1220">
        <v>61</v>
      </c>
      <c r="C1220">
        <v>90</v>
      </c>
      <c r="G1220">
        <v>64</v>
      </c>
    </row>
    <row r="1221" spans="1:9" x14ac:dyDescent="0.3">
      <c r="A1221" t="s">
        <v>690</v>
      </c>
      <c r="B1221">
        <v>61</v>
      </c>
      <c r="C1221">
        <v>0</v>
      </c>
      <c r="G1221">
        <v>0</v>
      </c>
    </row>
    <row r="1222" spans="1:9" x14ac:dyDescent="0.3">
      <c r="A1222" t="s">
        <v>691</v>
      </c>
      <c r="B1222">
        <v>61</v>
      </c>
      <c r="C1222" t="b">
        <v>0</v>
      </c>
      <c r="D1222" t="b">
        <v>0</v>
      </c>
      <c r="G1222" t="b">
        <v>0</v>
      </c>
    </row>
    <row r="1223" spans="1:9" x14ac:dyDescent="0.3">
      <c r="A1223" t="s">
        <v>692</v>
      </c>
      <c r="B1223">
        <v>61</v>
      </c>
      <c r="C1223" t="b">
        <v>0</v>
      </c>
      <c r="D1223" t="b">
        <v>0</v>
      </c>
      <c r="G1223" t="b">
        <v>0</v>
      </c>
    </row>
    <row r="1224" spans="1:9" x14ac:dyDescent="0.3">
      <c r="A1224" t="s">
        <v>678</v>
      </c>
      <c r="B1224">
        <v>62</v>
      </c>
      <c r="E1224">
        <v>56</v>
      </c>
      <c r="F1224">
        <v>64</v>
      </c>
      <c r="I1224">
        <v>63</v>
      </c>
    </row>
    <row r="1225" spans="1:9" x14ac:dyDescent="0.3">
      <c r="A1225" t="s">
        <v>36</v>
      </c>
      <c r="B1225">
        <v>62</v>
      </c>
      <c r="E1225">
        <v>3</v>
      </c>
      <c r="F1225">
        <v>3</v>
      </c>
      <c r="I1225">
        <v>0</v>
      </c>
    </row>
    <row r="1226" spans="1:9" x14ac:dyDescent="0.3">
      <c r="A1226" t="s">
        <v>503</v>
      </c>
      <c r="B1226">
        <v>62</v>
      </c>
      <c r="F1226" t="s">
        <v>695</v>
      </c>
    </row>
    <row r="1227" spans="1:9" x14ac:dyDescent="0.3">
      <c r="A1227" t="s">
        <v>679</v>
      </c>
      <c r="B1227">
        <v>62</v>
      </c>
      <c r="E1227">
        <v>363</v>
      </c>
      <c r="F1227">
        <v>821</v>
      </c>
      <c r="I1227">
        <v>110</v>
      </c>
    </row>
    <row r="1228" spans="1:9" x14ac:dyDescent="0.3">
      <c r="A1228" t="s">
        <v>42</v>
      </c>
      <c r="B1228">
        <v>62</v>
      </c>
      <c r="E1228">
        <v>40</v>
      </c>
      <c r="F1228">
        <v>40</v>
      </c>
      <c r="I1228">
        <v>30</v>
      </c>
    </row>
    <row r="1229" spans="1:9" x14ac:dyDescent="0.3">
      <c r="A1229" t="s">
        <v>680</v>
      </c>
      <c r="B1229">
        <v>62</v>
      </c>
      <c r="E1229">
        <v>6.2</v>
      </c>
      <c r="F1229">
        <v>14</v>
      </c>
      <c r="I1229">
        <v>2.5</v>
      </c>
    </row>
    <row r="1230" spans="1:9" x14ac:dyDescent="0.3">
      <c r="A1230" t="s">
        <v>41</v>
      </c>
      <c r="B1230">
        <v>62</v>
      </c>
      <c r="E1230">
        <v>0</v>
      </c>
      <c r="F1230">
        <v>0</v>
      </c>
      <c r="I1230">
        <v>0</v>
      </c>
    </row>
    <row r="1231" spans="1:9" x14ac:dyDescent="0.3">
      <c r="A1231" t="s">
        <v>681</v>
      </c>
      <c r="B1231">
        <v>62</v>
      </c>
      <c r="E1231">
        <v>24</v>
      </c>
      <c r="F1231">
        <v>24</v>
      </c>
      <c r="I1231">
        <v>0</v>
      </c>
    </row>
    <row r="1232" spans="1:9" x14ac:dyDescent="0.3">
      <c r="A1232" t="s">
        <v>563</v>
      </c>
      <c r="B1232">
        <v>62</v>
      </c>
      <c r="E1232">
        <v>0</v>
      </c>
      <c r="F1232">
        <v>0</v>
      </c>
      <c r="I1232">
        <v>0</v>
      </c>
    </row>
    <row r="1233" spans="1:9" x14ac:dyDescent="0.3">
      <c r="A1233" t="s">
        <v>682</v>
      </c>
      <c r="B1233">
        <v>62</v>
      </c>
      <c r="E1233">
        <v>0</v>
      </c>
      <c r="F1233">
        <v>0</v>
      </c>
      <c r="I1233">
        <v>0</v>
      </c>
    </row>
    <row r="1234" spans="1:9" x14ac:dyDescent="0.3">
      <c r="A1234" t="s">
        <v>683</v>
      </c>
      <c r="B1234">
        <v>62</v>
      </c>
      <c r="E1234">
        <v>16</v>
      </c>
      <c r="F1234">
        <v>16</v>
      </c>
      <c r="I1234">
        <v>16</v>
      </c>
    </row>
    <row r="1235" spans="1:9" x14ac:dyDescent="0.3">
      <c r="A1235" t="s">
        <v>684</v>
      </c>
      <c r="B1235">
        <v>62</v>
      </c>
      <c r="E1235">
        <v>200</v>
      </c>
      <c r="F1235">
        <v>200</v>
      </c>
      <c r="I1235">
        <v>200</v>
      </c>
    </row>
    <row r="1236" spans="1:9" x14ac:dyDescent="0.3">
      <c r="A1236" t="s">
        <v>685</v>
      </c>
      <c r="B1236">
        <v>62</v>
      </c>
      <c r="E1236">
        <v>1761</v>
      </c>
      <c r="F1236">
        <v>1761</v>
      </c>
      <c r="I1236">
        <v>1320</v>
      </c>
    </row>
    <row r="1237" spans="1:9" x14ac:dyDescent="0.3">
      <c r="A1237" t="s">
        <v>686</v>
      </c>
      <c r="B1237">
        <v>62</v>
      </c>
      <c r="E1237">
        <v>1174</v>
      </c>
      <c r="F1237">
        <v>1174</v>
      </c>
      <c r="I1237">
        <v>880</v>
      </c>
    </row>
    <row r="1238" spans="1:9" x14ac:dyDescent="0.3">
      <c r="A1238" t="s">
        <v>687</v>
      </c>
      <c r="B1238">
        <v>62</v>
      </c>
      <c r="E1238">
        <v>2348</v>
      </c>
      <c r="F1238">
        <v>2348</v>
      </c>
      <c r="I1238">
        <v>1760</v>
      </c>
    </row>
    <row r="1239" spans="1:9" x14ac:dyDescent="0.3">
      <c r="A1239" t="s">
        <v>688</v>
      </c>
      <c r="B1239">
        <v>62</v>
      </c>
    </row>
    <row r="1240" spans="1:9" x14ac:dyDescent="0.3">
      <c r="A1240" t="s">
        <v>689</v>
      </c>
      <c r="B1240">
        <v>62</v>
      </c>
    </row>
    <row r="1241" spans="1:9" x14ac:dyDescent="0.3">
      <c r="A1241" t="s">
        <v>690</v>
      </c>
      <c r="B1241">
        <v>62</v>
      </c>
    </row>
    <row r="1242" spans="1:9" x14ac:dyDescent="0.3">
      <c r="A1242" t="s">
        <v>691</v>
      </c>
      <c r="B1242">
        <v>62</v>
      </c>
      <c r="E1242" t="b">
        <v>0</v>
      </c>
      <c r="F1242" t="b">
        <v>0</v>
      </c>
      <c r="I1242" t="b">
        <v>0</v>
      </c>
    </row>
    <row r="1243" spans="1:9" x14ac:dyDescent="0.3">
      <c r="A1243" t="s">
        <v>692</v>
      </c>
      <c r="B1243">
        <v>62</v>
      </c>
      <c r="E1243" t="b">
        <v>0</v>
      </c>
      <c r="F1243" t="b">
        <v>0</v>
      </c>
      <c r="I1243" t="b">
        <v>0</v>
      </c>
    </row>
    <row r="1244" spans="1:9" x14ac:dyDescent="0.3">
      <c r="A1244" t="s">
        <v>678</v>
      </c>
      <c r="B1244">
        <v>63</v>
      </c>
      <c r="H1244">
        <v>62</v>
      </c>
      <c r="I1244">
        <v>61</v>
      </c>
    </row>
    <row r="1245" spans="1:9" x14ac:dyDescent="0.3">
      <c r="A1245" t="s">
        <v>36</v>
      </c>
      <c r="B1245">
        <v>63</v>
      </c>
      <c r="H1245">
        <v>1</v>
      </c>
      <c r="I1245">
        <v>0</v>
      </c>
    </row>
    <row r="1246" spans="1:9" x14ac:dyDescent="0.3">
      <c r="A1246" t="s">
        <v>503</v>
      </c>
      <c r="B1246">
        <v>63</v>
      </c>
    </row>
    <row r="1247" spans="1:9" x14ac:dyDescent="0.3">
      <c r="A1247" t="s">
        <v>679</v>
      </c>
      <c r="B1247">
        <v>63</v>
      </c>
      <c r="H1247">
        <v>110</v>
      </c>
      <c r="I1247">
        <v>224</v>
      </c>
    </row>
    <row r="1248" spans="1:9" x14ac:dyDescent="0.3">
      <c r="A1248" t="s">
        <v>42</v>
      </c>
      <c r="B1248">
        <v>63</v>
      </c>
      <c r="H1248">
        <v>30</v>
      </c>
      <c r="I1248">
        <v>30</v>
      </c>
    </row>
    <row r="1249" spans="1:9" x14ac:dyDescent="0.3">
      <c r="A1249" t="s">
        <v>680</v>
      </c>
      <c r="B1249">
        <v>63</v>
      </c>
      <c r="H1249">
        <v>2.5</v>
      </c>
      <c r="I1249">
        <v>5.0999999999999996</v>
      </c>
    </row>
    <row r="1250" spans="1:9" x14ac:dyDescent="0.3">
      <c r="A1250" t="s">
        <v>41</v>
      </c>
      <c r="B1250">
        <v>63</v>
      </c>
      <c r="H1250">
        <v>0</v>
      </c>
      <c r="I1250">
        <v>0</v>
      </c>
    </row>
    <row r="1251" spans="1:9" x14ac:dyDescent="0.3">
      <c r="A1251" t="s">
        <v>681</v>
      </c>
      <c r="B1251">
        <v>63</v>
      </c>
      <c r="H1251">
        <v>0</v>
      </c>
      <c r="I1251">
        <v>0</v>
      </c>
    </row>
    <row r="1252" spans="1:9" x14ac:dyDescent="0.3">
      <c r="A1252" t="s">
        <v>563</v>
      </c>
      <c r="B1252">
        <v>63</v>
      </c>
      <c r="H1252">
        <v>0</v>
      </c>
      <c r="I1252">
        <v>0</v>
      </c>
    </row>
    <row r="1253" spans="1:9" x14ac:dyDescent="0.3">
      <c r="A1253" t="s">
        <v>682</v>
      </c>
      <c r="B1253">
        <v>63</v>
      </c>
      <c r="H1253">
        <v>0</v>
      </c>
      <c r="I1253">
        <v>0</v>
      </c>
    </row>
    <row r="1254" spans="1:9" x14ac:dyDescent="0.3">
      <c r="A1254" t="s">
        <v>683</v>
      </c>
      <c r="B1254">
        <v>63</v>
      </c>
      <c r="H1254">
        <v>16</v>
      </c>
      <c r="I1254">
        <v>16</v>
      </c>
    </row>
    <row r="1255" spans="1:9" x14ac:dyDescent="0.3">
      <c r="A1255" t="s">
        <v>684</v>
      </c>
      <c r="B1255">
        <v>63</v>
      </c>
      <c r="H1255">
        <v>100</v>
      </c>
      <c r="I1255">
        <v>100</v>
      </c>
    </row>
    <row r="1256" spans="1:9" x14ac:dyDescent="0.3">
      <c r="A1256" t="s">
        <v>685</v>
      </c>
      <c r="B1256">
        <v>63</v>
      </c>
      <c r="H1256">
        <v>1320</v>
      </c>
      <c r="I1256">
        <v>1320</v>
      </c>
    </row>
    <row r="1257" spans="1:9" x14ac:dyDescent="0.3">
      <c r="A1257" t="s">
        <v>686</v>
      </c>
      <c r="B1257">
        <v>63</v>
      </c>
      <c r="H1257">
        <v>880</v>
      </c>
      <c r="I1257">
        <v>880</v>
      </c>
    </row>
    <row r="1258" spans="1:9" x14ac:dyDescent="0.3">
      <c r="A1258" t="s">
        <v>687</v>
      </c>
      <c r="B1258">
        <v>63</v>
      </c>
      <c r="H1258">
        <v>1760</v>
      </c>
      <c r="I1258">
        <v>1760</v>
      </c>
    </row>
    <row r="1259" spans="1:9" x14ac:dyDescent="0.3">
      <c r="A1259" t="s">
        <v>688</v>
      </c>
      <c r="B1259">
        <v>63</v>
      </c>
      <c r="I1259">
        <v>31235</v>
      </c>
    </row>
    <row r="1260" spans="1:9" x14ac:dyDescent="0.3">
      <c r="A1260" t="s">
        <v>689</v>
      </c>
      <c r="B1260">
        <v>63</v>
      </c>
      <c r="I1260">
        <v>-5</v>
      </c>
    </row>
    <row r="1261" spans="1:9" x14ac:dyDescent="0.3">
      <c r="A1261" t="s">
        <v>690</v>
      </c>
      <c r="B1261">
        <v>63</v>
      </c>
      <c r="I1261">
        <v>0</v>
      </c>
    </row>
    <row r="1262" spans="1:9" x14ac:dyDescent="0.3">
      <c r="A1262" t="s">
        <v>691</v>
      </c>
      <c r="B1262">
        <v>63</v>
      </c>
      <c r="H1262" t="b">
        <v>0</v>
      </c>
      <c r="I1262" t="b">
        <v>0</v>
      </c>
    </row>
    <row r="1263" spans="1:9" x14ac:dyDescent="0.3">
      <c r="A1263" t="s">
        <v>692</v>
      </c>
      <c r="B1263">
        <v>63</v>
      </c>
      <c r="H1263" t="b">
        <v>0</v>
      </c>
      <c r="I1263" t="b">
        <v>0</v>
      </c>
    </row>
    <row r="1264" spans="1:9" x14ac:dyDescent="0.3">
      <c r="A1264" t="s">
        <v>678</v>
      </c>
      <c r="B1264">
        <v>64</v>
      </c>
      <c r="C1264">
        <v>66</v>
      </c>
      <c r="D1264">
        <v>65</v>
      </c>
      <c r="E1264">
        <v>62</v>
      </c>
      <c r="F1264">
        <v>67</v>
      </c>
    </row>
    <row r="1265" spans="1:6" x14ac:dyDescent="0.3">
      <c r="A1265" t="s">
        <v>36</v>
      </c>
      <c r="B1265">
        <v>64</v>
      </c>
      <c r="C1265">
        <v>2</v>
      </c>
      <c r="D1265">
        <v>2</v>
      </c>
      <c r="E1265">
        <v>5</v>
      </c>
      <c r="F1265">
        <v>4</v>
      </c>
    </row>
    <row r="1266" spans="1:6" x14ac:dyDescent="0.3">
      <c r="A1266" t="s">
        <v>503</v>
      </c>
      <c r="B1266">
        <v>64</v>
      </c>
      <c r="C1266" t="s">
        <v>717</v>
      </c>
      <c r="D1266" t="s">
        <v>717</v>
      </c>
      <c r="E1266" t="s">
        <v>695</v>
      </c>
      <c r="F1266" t="s">
        <v>695</v>
      </c>
    </row>
    <row r="1267" spans="1:6" x14ac:dyDescent="0.3">
      <c r="A1267" t="s">
        <v>679</v>
      </c>
      <c r="B1267">
        <v>64</v>
      </c>
      <c r="C1267">
        <v>449</v>
      </c>
      <c r="D1267">
        <v>430</v>
      </c>
      <c r="E1267">
        <v>821</v>
      </c>
      <c r="F1267">
        <v>913</v>
      </c>
    </row>
    <row r="1268" spans="1:6" x14ac:dyDescent="0.3">
      <c r="A1268" t="s">
        <v>42</v>
      </c>
      <c r="B1268">
        <v>64</v>
      </c>
      <c r="C1268">
        <v>25</v>
      </c>
      <c r="D1268">
        <v>25</v>
      </c>
      <c r="E1268">
        <v>40</v>
      </c>
      <c r="F1268">
        <v>40</v>
      </c>
    </row>
    <row r="1269" spans="1:6" x14ac:dyDescent="0.3">
      <c r="A1269" t="s">
        <v>680</v>
      </c>
      <c r="B1269">
        <v>64</v>
      </c>
      <c r="C1269">
        <v>12.2</v>
      </c>
      <c r="D1269">
        <v>11.7</v>
      </c>
      <c r="E1269">
        <v>14</v>
      </c>
      <c r="F1269">
        <v>15.6</v>
      </c>
    </row>
    <row r="1270" spans="1:6" x14ac:dyDescent="0.3">
      <c r="A1270" t="s">
        <v>41</v>
      </c>
      <c r="B1270">
        <v>64</v>
      </c>
      <c r="C1270">
        <v>0</v>
      </c>
      <c r="D1270">
        <v>0</v>
      </c>
      <c r="E1270">
        <v>0</v>
      </c>
      <c r="F1270">
        <v>0</v>
      </c>
    </row>
    <row r="1271" spans="1:6" x14ac:dyDescent="0.3">
      <c r="A1271" t="s">
        <v>681</v>
      </c>
      <c r="B1271">
        <v>64</v>
      </c>
      <c r="C1271">
        <v>12</v>
      </c>
      <c r="D1271">
        <v>12</v>
      </c>
      <c r="E1271">
        <v>12</v>
      </c>
      <c r="F1271">
        <v>12</v>
      </c>
    </row>
    <row r="1272" spans="1:6" x14ac:dyDescent="0.3">
      <c r="A1272" t="s">
        <v>563</v>
      </c>
      <c r="B1272">
        <v>64</v>
      </c>
      <c r="C1272">
        <v>0</v>
      </c>
      <c r="D1272">
        <v>0</v>
      </c>
      <c r="E1272">
        <v>0</v>
      </c>
      <c r="F1272">
        <v>0</v>
      </c>
    </row>
    <row r="1273" spans="1:6" x14ac:dyDescent="0.3">
      <c r="A1273" t="s">
        <v>682</v>
      </c>
      <c r="B1273">
        <v>64</v>
      </c>
      <c r="C1273">
        <v>0</v>
      </c>
      <c r="D1273">
        <v>0</v>
      </c>
      <c r="E1273">
        <v>0</v>
      </c>
      <c r="F1273">
        <v>0</v>
      </c>
    </row>
    <row r="1274" spans="1:6" x14ac:dyDescent="0.3">
      <c r="A1274" t="s">
        <v>683</v>
      </c>
      <c r="B1274">
        <v>64</v>
      </c>
      <c r="C1274">
        <v>16</v>
      </c>
      <c r="D1274">
        <v>16</v>
      </c>
      <c r="E1274">
        <v>16</v>
      </c>
      <c r="F1274">
        <v>16</v>
      </c>
    </row>
    <row r="1275" spans="1:6" x14ac:dyDescent="0.3">
      <c r="A1275" t="s">
        <v>684</v>
      </c>
      <c r="B1275">
        <v>64</v>
      </c>
      <c r="C1275">
        <v>500</v>
      </c>
      <c r="D1275">
        <v>500</v>
      </c>
      <c r="E1275">
        <v>500</v>
      </c>
      <c r="F1275">
        <v>500</v>
      </c>
    </row>
    <row r="1276" spans="1:6" x14ac:dyDescent="0.3">
      <c r="A1276" t="s">
        <v>685</v>
      </c>
      <c r="B1276">
        <v>64</v>
      </c>
      <c r="C1276">
        <v>1101</v>
      </c>
      <c r="D1276">
        <v>1101</v>
      </c>
      <c r="E1276">
        <v>1761</v>
      </c>
      <c r="F1276">
        <v>1761</v>
      </c>
    </row>
    <row r="1277" spans="1:6" x14ac:dyDescent="0.3">
      <c r="A1277" t="s">
        <v>686</v>
      </c>
      <c r="B1277">
        <v>64</v>
      </c>
      <c r="C1277">
        <v>734</v>
      </c>
      <c r="D1277">
        <v>734</v>
      </c>
      <c r="E1277">
        <v>1174</v>
      </c>
      <c r="F1277">
        <v>1174</v>
      </c>
    </row>
    <row r="1278" spans="1:6" x14ac:dyDescent="0.3">
      <c r="A1278" t="s">
        <v>687</v>
      </c>
      <c r="B1278">
        <v>64</v>
      </c>
      <c r="C1278">
        <v>1468</v>
      </c>
      <c r="D1278">
        <v>1468</v>
      </c>
      <c r="E1278">
        <v>2348</v>
      </c>
      <c r="F1278">
        <v>2348</v>
      </c>
    </row>
    <row r="1279" spans="1:6" x14ac:dyDescent="0.3">
      <c r="A1279" t="s">
        <v>688</v>
      </c>
      <c r="B1279">
        <v>64</v>
      </c>
      <c r="C1279">
        <v>32181</v>
      </c>
    </row>
    <row r="1280" spans="1:6" x14ac:dyDescent="0.3">
      <c r="A1280" t="s">
        <v>689</v>
      </c>
      <c r="B1280">
        <v>64</v>
      </c>
      <c r="C1280">
        <v>-216</v>
      </c>
    </row>
    <row r="1281" spans="1:6" x14ac:dyDescent="0.3">
      <c r="A1281" t="s">
        <v>690</v>
      </c>
      <c r="B1281">
        <v>64</v>
      </c>
      <c r="C1281">
        <v>0</v>
      </c>
    </row>
    <row r="1282" spans="1:6" x14ac:dyDescent="0.3">
      <c r="A1282" t="s">
        <v>691</v>
      </c>
      <c r="B1282">
        <v>64</v>
      </c>
      <c r="C1282" t="b">
        <v>0</v>
      </c>
      <c r="D1282" t="b">
        <v>0</v>
      </c>
      <c r="E1282" t="b">
        <v>0</v>
      </c>
      <c r="F1282" t="b">
        <v>0</v>
      </c>
    </row>
    <row r="1283" spans="1:6" x14ac:dyDescent="0.3">
      <c r="A1283" t="s">
        <v>692</v>
      </c>
      <c r="B1283">
        <v>64</v>
      </c>
      <c r="C1283" t="b">
        <v>0</v>
      </c>
      <c r="D1283" t="b">
        <v>0</v>
      </c>
      <c r="E1283" t="b">
        <v>0</v>
      </c>
      <c r="F1283" t="b">
        <v>0</v>
      </c>
    </row>
    <row r="1284" spans="1:6" x14ac:dyDescent="0.3">
      <c r="A1284" t="s">
        <v>678</v>
      </c>
      <c r="B1284">
        <v>65</v>
      </c>
      <c r="C1284">
        <v>64</v>
      </c>
    </row>
    <row r="1285" spans="1:6" x14ac:dyDescent="0.3">
      <c r="A1285" t="s">
        <v>36</v>
      </c>
      <c r="B1285">
        <v>65</v>
      </c>
      <c r="C1285">
        <v>1</v>
      </c>
    </row>
    <row r="1286" spans="1:6" x14ac:dyDescent="0.3">
      <c r="A1286" t="s">
        <v>503</v>
      </c>
      <c r="B1286">
        <v>65</v>
      </c>
      <c r="C1286" t="s">
        <v>717</v>
      </c>
    </row>
    <row r="1287" spans="1:6" x14ac:dyDescent="0.3">
      <c r="A1287" t="s">
        <v>679</v>
      </c>
      <c r="B1287">
        <v>65</v>
      </c>
      <c r="C1287">
        <v>430</v>
      </c>
    </row>
    <row r="1288" spans="1:6" x14ac:dyDescent="0.3">
      <c r="A1288" t="s">
        <v>42</v>
      </c>
      <c r="B1288">
        <v>65</v>
      </c>
      <c r="C1288">
        <v>30</v>
      </c>
    </row>
    <row r="1289" spans="1:6" x14ac:dyDescent="0.3">
      <c r="A1289" t="s">
        <v>680</v>
      </c>
      <c r="B1289">
        <v>65</v>
      </c>
      <c r="C1289">
        <v>9.8000000000000007</v>
      </c>
    </row>
    <row r="1290" spans="1:6" x14ac:dyDescent="0.3">
      <c r="A1290" t="s">
        <v>41</v>
      </c>
      <c r="B1290">
        <v>65</v>
      </c>
      <c r="C1290">
        <v>0</v>
      </c>
    </row>
    <row r="1291" spans="1:6" x14ac:dyDescent="0.3">
      <c r="A1291" t="s">
        <v>681</v>
      </c>
      <c r="B1291">
        <v>65</v>
      </c>
      <c r="C1291">
        <v>0</v>
      </c>
    </row>
    <row r="1292" spans="1:6" x14ac:dyDescent="0.3">
      <c r="A1292" t="s">
        <v>563</v>
      </c>
      <c r="B1292">
        <v>65</v>
      </c>
      <c r="C1292">
        <v>0</v>
      </c>
    </row>
    <row r="1293" spans="1:6" x14ac:dyDescent="0.3">
      <c r="A1293" t="s">
        <v>682</v>
      </c>
      <c r="B1293">
        <v>65</v>
      </c>
      <c r="C1293">
        <v>0</v>
      </c>
    </row>
    <row r="1294" spans="1:6" x14ac:dyDescent="0.3">
      <c r="A1294" t="s">
        <v>683</v>
      </c>
      <c r="B1294">
        <v>65</v>
      </c>
      <c r="C1294">
        <v>16</v>
      </c>
    </row>
    <row r="1295" spans="1:6" x14ac:dyDescent="0.3">
      <c r="A1295" t="s">
        <v>684</v>
      </c>
      <c r="B1295">
        <v>65</v>
      </c>
      <c r="C1295">
        <v>200</v>
      </c>
    </row>
    <row r="1296" spans="1:6" x14ac:dyDescent="0.3">
      <c r="A1296" t="s">
        <v>685</v>
      </c>
      <c r="B1296">
        <v>65</v>
      </c>
      <c r="C1296">
        <v>1320</v>
      </c>
    </row>
    <row r="1297" spans="1:4" x14ac:dyDescent="0.3">
      <c r="A1297" t="s">
        <v>686</v>
      </c>
      <c r="B1297">
        <v>65</v>
      </c>
      <c r="C1297">
        <v>880</v>
      </c>
    </row>
    <row r="1298" spans="1:4" x14ac:dyDescent="0.3">
      <c r="A1298" t="s">
        <v>687</v>
      </c>
      <c r="B1298">
        <v>65</v>
      </c>
      <c r="C1298">
        <v>1760</v>
      </c>
    </row>
    <row r="1299" spans="1:4" x14ac:dyDescent="0.3">
      <c r="A1299" t="s">
        <v>688</v>
      </c>
      <c r="B1299">
        <v>65</v>
      </c>
    </row>
    <row r="1300" spans="1:4" x14ac:dyDescent="0.3">
      <c r="A1300" t="s">
        <v>689</v>
      </c>
      <c r="B1300">
        <v>65</v>
      </c>
    </row>
    <row r="1301" spans="1:4" x14ac:dyDescent="0.3">
      <c r="A1301" t="s">
        <v>690</v>
      </c>
      <c r="B1301">
        <v>65</v>
      </c>
    </row>
    <row r="1302" spans="1:4" x14ac:dyDescent="0.3">
      <c r="A1302" t="s">
        <v>691</v>
      </c>
      <c r="B1302">
        <v>65</v>
      </c>
      <c r="C1302" t="b">
        <v>0</v>
      </c>
    </row>
    <row r="1303" spans="1:4" x14ac:dyDescent="0.3">
      <c r="A1303" t="s">
        <v>692</v>
      </c>
      <c r="B1303">
        <v>65</v>
      </c>
      <c r="C1303" t="b">
        <v>0</v>
      </c>
    </row>
    <row r="1304" spans="1:4" x14ac:dyDescent="0.3">
      <c r="A1304" t="s">
        <v>678</v>
      </c>
      <c r="B1304">
        <v>66</v>
      </c>
      <c r="D1304">
        <v>64</v>
      </c>
    </row>
    <row r="1305" spans="1:4" x14ac:dyDescent="0.3">
      <c r="A1305" t="s">
        <v>36</v>
      </c>
      <c r="B1305">
        <v>66</v>
      </c>
      <c r="D1305">
        <v>1</v>
      </c>
    </row>
    <row r="1306" spans="1:4" x14ac:dyDescent="0.3">
      <c r="A1306" t="s">
        <v>503</v>
      </c>
      <c r="B1306">
        <v>66</v>
      </c>
      <c r="D1306" t="s">
        <v>717</v>
      </c>
    </row>
    <row r="1307" spans="1:4" x14ac:dyDescent="0.3">
      <c r="A1307" t="s">
        <v>679</v>
      </c>
      <c r="B1307">
        <v>66</v>
      </c>
      <c r="D1307">
        <v>449</v>
      </c>
    </row>
    <row r="1308" spans="1:4" x14ac:dyDescent="0.3">
      <c r="A1308" t="s">
        <v>42</v>
      </c>
      <c r="B1308">
        <v>66</v>
      </c>
      <c r="D1308">
        <v>30</v>
      </c>
    </row>
    <row r="1309" spans="1:4" x14ac:dyDescent="0.3">
      <c r="A1309" t="s">
        <v>680</v>
      </c>
      <c r="B1309">
        <v>66</v>
      </c>
      <c r="D1309">
        <v>10.199999999999999</v>
      </c>
    </row>
    <row r="1310" spans="1:4" x14ac:dyDescent="0.3">
      <c r="A1310" t="s">
        <v>41</v>
      </c>
      <c r="B1310">
        <v>66</v>
      </c>
      <c r="D1310">
        <v>0</v>
      </c>
    </row>
    <row r="1311" spans="1:4" x14ac:dyDescent="0.3">
      <c r="A1311" t="s">
        <v>681</v>
      </c>
      <c r="B1311">
        <v>66</v>
      </c>
      <c r="D1311">
        <v>0</v>
      </c>
    </row>
    <row r="1312" spans="1:4" x14ac:dyDescent="0.3">
      <c r="A1312" t="s">
        <v>563</v>
      </c>
      <c r="B1312">
        <v>66</v>
      </c>
      <c r="D1312">
        <v>0</v>
      </c>
    </row>
    <row r="1313" spans="1:6" x14ac:dyDescent="0.3">
      <c r="A1313" t="s">
        <v>682</v>
      </c>
      <c r="B1313">
        <v>66</v>
      </c>
      <c r="D1313">
        <v>0</v>
      </c>
    </row>
    <row r="1314" spans="1:6" x14ac:dyDescent="0.3">
      <c r="A1314" t="s">
        <v>683</v>
      </c>
      <c r="B1314">
        <v>66</v>
      </c>
      <c r="D1314">
        <v>16</v>
      </c>
    </row>
    <row r="1315" spans="1:6" x14ac:dyDescent="0.3">
      <c r="A1315" t="s">
        <v>684</v>
      </c>
      <c r="B1315">
        <v>66</v>
      </c>
      <c r="D1315">
        <v>200</v>
      </c>
    </row>
    <row r="1316" spans="1:6" x14ac:dyDescent="0.3">
      <c r="A1316" t="s">
        <v>685</v>
      </c>
      <c r="B1316">
        <v>66</v>
      </c>
      <c r="D1316">
        <v>1320</v>
      </c>
    </row>
    <row r="1317" spans="1:6" x14ac:dyDescent="0.3">
      <c r="A1317" t="s">
        <v>686</v>
      </c>
      <c r="B1317">
        <v>66</v>
      </c>
      <c r="D1317">
        <v>880</v>
      </c>
    </row>
    <row r="1318" spans="1:6" x14ac:dyDescent="0.3">
      <c r="A1318" t="s">
        <v>687</v>
      </c>
      <c r="B1318">
        <v>66</v>
      </c>
      <c r="D1318">
        <v>1760</v>
      </c>
    </row>
    <row r="1319" spans="1:6" x14ac:dyDescent="0.3">
      <c r="A1319" t="s">
        <v>688</v>
      </c>
      <c r="B1319">
        <v>66</v>
      </c>
      <c r="D1319">
        <v>32063</v>
      </c>
    </row>
    <row r="1320" spans="1:6" x14ac:dyDescent="0.3">
      <c r="A1320" t="s">
        <v>689</v>
      </c>
      <c r="B1320">
        <v>66</v>
      </c>
      <c r="D1320">
        <v>-426</v>
      </c>
    </row>
    <row r="1321" spans="1:6" x14ac:dyDescent="0.3">
      <c r="A1321" t="s">
        <v>690</v>
      </c>
      <c r="B1321">
        <v>66</v>
      </c>
      <c r="D1321">
        <v>0</v>
      </c>
    </row>
    <row r="1322" spans="1:6" x14ac:dyDescent="0.3">
      <c r="A1322" t="s">
        <v>691</v>
      </c>
      <c r="B1322">
        <v>66</v>
      </c>
      <c r="D1322" t="b">
        <v>0</v>
      </c>
    </row>
    <row r="1323" spans="1:6" x14ac:dyDescent="0.3">
      <c r="A1323" t="s">
        <v>692</v>
      </c>
      <c r="B1323">
        <v>66</v>
      </c>
      <c r="D1323" t="b">
        <v>0</v>
      </c>
    </row>
    <row r="1324" spans="1:6" x14ac:dyDescent="0.3">
      <c r="A1324" t="s">
        <v>678</v>
      </c>
      <c r="B1324">
        <v>67</v>
      </c>
      <c r="C1324">
        <v>69</v>
      </c>
      <c r="D1324">
        <v>68</v>
      </c>
      <c r="E1324">
        <v>64</v>
      </c>
      <c r="F1324">
        <v>70</v>
      </c>
    </row>
    <row r="1325" spans="1:6" x14ac:dyDescent="0.3">
      <c r="A1325" t="s">
        <v>36</v>
      </c>
      <c r="B1325">
        <v>67</v>
      </c>
      <c r="C1325">
        <v>3</v>
      </c>
      <c r="D1325">
        <v>3</v>
      </c>
      <c r="E1325">
        <v>4</v>
      </c>
      <c r="F1325">
        <v>4</v>
      </c>
    </row>
    <row r="1326" spans="1:6" x14ac:dyDescent="0.3">
      <c r="A1326" t="s">
        <v>503</v>
      </c>
      <c r="B1326">
        <v>67</v>
      </c>
      <c r="C1326" t="s">
        <v>718</v>
      </c>
      <c r="D1326" t="s">
        <v>718</v>
      </c>
      <c r="E1326" t="s">
        <v>695</v>
      </c>
      <c r="F1326" t="s">
        <v>695</v>
      </c>
    </row>
    <row r="1327" spans="1:6" x14ac:dyDescent="0.3">
      <c r="A1327" t="s">
        <v>679</v>
      </c>
      <c r="B1327">
        <v>67</v>
      </c>
      <c r="C1327">
        <v>766</v>
      </c>
      <c r="D1327">
        <v>638</v>
      </c>
      <c r="E1327">
        <v>913</v>
      </c>
      <c r="F1327">
        <v>2943</v>
      </c>
    </row>
    <row r="1328" spans="1:6" x14ac:dyDescent="0.3">
      <c r="A1328" t="s">
        <v>42</v>
      </c>
      <c r="B1328">
        <v>67</v>
      </c>
      <c r="C1328">
        <v>40</v>
      </c>
      <c r="D1328">
        <v>40</v>
      </c>
      <c r="E1328">
        <v>45</v>
      </c>
      <c r="F1328">
        <v>45</v>
      </c>
    </row>
    <row r="1329" spans="1:6" x14ac:dyDescent="0.3">
      <c r="A1329" t="s">
        <v>680</v>
      </c>
      <c r="B1329">
        <v>67</v>
      </c>
      <c r="C1329">
        <v>13.1</v>
      </c>
      <c r="D1329">
        <v>10.9</v>
      </c>
      <c r="E1329">
        <v>13.8</v>
      </c>
      <c r="F1329">
        <v>44.6</v>
      </c>
    </row>
    <row r="1330" spans="1:6" x14ac:dyDescent="0.3">
      <c r="A1330" t="s">
        <v>41</v>
      </c>
      <c r="B1330">
        <v>67</v>
      </c>
      <c r="C1330">
        <v>0</v>
      </c>
      <c r="D1330">
        <v>0</v>
      </c>
      <c r="E1330">
        <v>0</v>
      </c>
      <c r="F1330">
        <v>0</v>
      </c>
    </row>
    <row r="1331" spans="1:6" x14ac:dyDescent="0.3">
      <c r="A1331" t="s">
        <v>681</v>
      </c>
      <c r="B1331">
        <v>67</v>
      </c>
      <c r="C1331">
        <v>12</v>
      </c>
      <c r="D1331">
        <v>12</v>
      </c>
      <c r="E1331">
        <v>12</v>
      </c>
      <c r="F1331">
        <v>12</v>
      </c>
    </row>
    <row r="1332" spans="1:6" x14ac:dyDescent="0.3">
      <c r="A1332" t="s">
        <v>563</v>
      </c>
      <c r="B1332">
        <v>67</v>
      </c>
      <c r="C1332">
        <v>0</v>
      </c>
      <c r="D1332">
        <v>0</v>
      </c>
      <c r="E1332">
        <v>0</v>
      </c>
      <c r="F1332">
        <v>0</v>
      </c>
    </row>
    <row r="1333" spans="1:6" x14ac:dyDescent="0.3">
      <c r="A1333" t="s">
        <v>682</v>
      </c>
      <c r="B1333">
        <v>67</v>
      </c>
      <c r="C1333">
        <v>0</v>
      </c>
      <c r="D1333">
        <v>0</v>
      </c>
      <c r="E1333">
        <v>0</v>
      </c>
      <c r="F1333">
        <v>0</v>
      </c>
    </row>
    <row r="1334" spans="1:6" x14ac:dyDescent="0.3">
      <c r="A1334" t="s">
        <v>683</v>
      </c>
      <c r="B1334">
        <v>67</v>
      </c>
      <c r="C1334">
        <v>16</v>
      </c>
      <c r="D1334">
        <v>16</v>
      </c>
      <c r="E1334">
        <v>16</v>
      </c>
      <c r="F1334">
        <v>16</v>
      </c>
    </row>
    <row r="1335" spans="1:6" x14ac:dyDescent="0.3">
      <c r="A1335" t="s">
        <v>684</v>
      </c>
      <c r="B1335">
        <v>67</v>
      </c>
      <c r="C1335">
        <v>500</v>
      </c>
      <c r="D1335">
        <v>500</v>
      </c>
      <c r="E1335">
        <v>500</v>
      </c>
      <c r="F1335">
        <v>500</v>
      </c>
    </row>
    <row r="1336" spans="1:6" x14ac:dyDescent="0.3">
      <c r="A1336" t="s">
        <v>685</v>
      </c>
      <c r="B1336">
        <v>67</v>
      </c>
      <c r="C1336">
        <v>1761</v>
      </c>
      <c r="D1336">
        <v>1761</v>
      </c>
      <c r="E1336">
        <v>1980</v>
      </c>
      <c r="F1336">
        <v>1980</v>
      </c>
    </row>
    <row r="1337" spans="1:6" x14ac:dyDescent="0.3">
      <c r="A1337" t="s">
        <v>686</v>
      </c>
      <c r="B1337">
        <v>67</v>
      </c>
      <c r="C1337">
        <v>1174</v>
      </c>
      <c r="D1337">
        <v>1174</v>
      </c>
      <c r="E1337">
        <v>1320</v>
      </c>
      <c r="F1337">
        <v>1320</v>
      </c>
    </row>
    <row r="1338" spans="1:6" x14ac:dyDescent="0.3">
      <c r="A1338" t="s">
        <v>687</v>
      </c>
      <c r="B1338">
        <v>67</v>
      </c>
      <c r="C1338">
        <v>2348</v>
      </c>
      <c r="D1338">
        <v>2348</v>
      </c>
      <c r="E1338">
        <v>2640</v>
      </c>
      <c r="F1338">
        <v>2640</v>
      </c>
    </row>
    <row r="1339" spans="1:6" x14ac:dyDescent="0.3">
      <c r="A1339" t="s">
        <v>688</v>
      </c>
      <c r="B1339">
        <v>67</v>
      </c>
    </row>
    <row r="1340" spans="1:6" x14ac:dyDescent="0.3">
      <c r="A1340" t="s">
        <v>689</v>
      </c>
      <c r="B1340">
        <v>67</v>
      </c>
    </row>
    <row r="1341" spans="1:6" x14ac:dyDescent="0.3">
      <c r="A1341" t="s">
        <v>690</v>
      </c>
      <c r="B1341">
        <v>67</v>
      </c>
    </row>
    <row r="1342" spans="1:6" x14ac:dyDescent="0.3">
      <c r="A1342" t="s">
        <v>691</v>
      </c>
      <c r="B1342">
        <v>67</v>
      </c>
      <c r="C1342" t="b">
        <v>0</v>
      </c>
      <c r="D1342" t="b">
        <v>0</v>
      </c>
      <c r="E1342" t="b">
        <v>0</v>
      </c>
      <c r="F1342" t="b">
        <v>0</v>
      </c>
    </row>
    <row r="1343" spans="1:6" x14ac:dyDescent="0.3">
      <c r="A1343" t="s">
        <v>692</v>
      </c>
      <c r="B1343">
        <v>67</v>
      </c>
      <c r="C1343" t="b">
        <v>0</v>
      </c>
      <c r="D1343" t="b">
        <v>0</v>
      </c>
      <c r="E1343" t="b">
        <v>0</v>
      </c>
      <c r="F1343" t="b">
        <v>0</v>
      </c>
    </row>
    <row r="1344" spans="1:6" x14ac:dyDescent="0.3">
      <c r="A1344" t="s">
        <v>678</v>
      </c>
      <c r="B1344">
        <v>68</v>
      </c>
      <c r="C1344">
        <v>67</v>
      </c>
    </row>
    <row r="1345" spans="1:3" x14ac:dyDescent="0.3">
      <c r="A1345" t="s">
        <v>36</v>
      </c>
      <c r="B1345">
        <v>68</v>
      </c>
      <c r="C1345">
        <v>2</v>
      </c>
    </row>
    <row r="1346" spans="1:3" x14ac:dyDescent="0.3">
      <c r="A1346" t="s">
        <v>503</v>
      </c>
      <c r="B1346">
        <v>68</v>
      </c>
      <c r="C1346" t="s">
        <v>718</v>
      </c>
    </row>
    <row r="1347" spans="1:3" x14ac:dyDescent="0.3">
      <c r="A1347" t="s">
        <v>679</v>
      </c>
      <c r="B1347">
        <v>68</v>
      </c>
      <c r="C1347">
        <v>638</v>
      </c>
    </row>
    <row r="1348" spans="1:3" x14ac:dyDescent="0.3">
      <c r="A1348" t="s">
        <v>42</v>
      </c>
      <c r="B1348">
        <v>68</v>
      </c>
      <c r="C1348">
        <v>30</v>
      </c>
    </row>
    <row r="1349" spans="1:3" x14ac:dyDescent="0.3">
      <c r="A1349" t="s">
        <v>680</v>
      </c>
      <c r="B1349">
        <v>68</v>
      </c>
      <c r="C1349">
        <v>14.5</v>
      </c>
    </row>
    <row r="1350" spans="1:3" x14ac:dyDescent="0.3">
      <c r="A1350" t="s">
        <v>41</v>
      </c>
      <c r="B1350">
        <v>68</v>
      </c>
      <c r="C1350">
        <v>0</v>
      </c>
    </row>
    <row r="1351" spans="1:3" x14ac:dyDescent="0.3">
      <c r="A1351" t="s">
        <v>681</v>
      </c>
      <c r="B1351">
        <v>68</v>
      </c>
      <c r="C1351">
        <v>12</v>
      </c>
    </row>
    <row r="1352" spans="1:3" x14ac:dyDescent="0.3">
      <c r="A1352" t="s">
        <v>563</v>
      </c>
      <c r="B1352">
        <v>68</v>
      </c>
      <c r="C1352">
        <v>0</v>
      </c>
    </row>
    <row r="1353" spans="1:3" x14ac:dyDescent="0.3">
      <c r="A1353" t="s">
        <v>682</v>
      </c>
      <c r="B1353">
        <v>68</v>
      </c>
      <c r="C1353">
        <v>0</v>
      </c>
    </row>
    <row r="1354" spans="1:3" x14ac:dyDescent="0.3">
      <c r="A1354" t="s">
        <v>683</v>
      </c>
      <c r="B1354">
        <v>68</v>
      </c>
      <c r="C1354">
        <v>16</v>
      </c>
    </row>
    <row r="1355" spans="1:3" x14ac:dyDescent="0.3">
      <c r="A1355" t="s">
        <v>684</v>
      </c>
      <c r="B1355">
        <v>68</v>
      </c>
      <c r="C1355">
        <v>200</v>
      </c>
    </row>
    <row r="1356" spans="1:3" x14ac:dyDescent="0.3">
      <c r="A1356" t="s">
        <v>685</v>
      </c>
      <c r="B1356">
        <v>68</v>
      </c>
      <c r="C1356">
        <v>1320</v>
      </c>
    </row>
    <row r="1357" spans="1:3" x14ac:dyDescent="0.3">
      <c r="A1357" t="s">
        <v>686</v>
      </c>
      <c r="B1357">
        <v>68</v>
      </c>
      <c r="C1357">
        <v>880</v>
      </c>
    </row>
    <row r="1358" spans="1:3" x14ac:dyDescent="0.3">
      <c r="A1358" t="s">
        <v>687</v>
      </c>
      <c r="B1358">
        <v>68</v>
      </c>
      <c r="C1358">
        <v>1760</v>
      </c>
    </row>
    <row r="1359" spans="1:3" x14ac:dyDescent="0.3">
      <c r="A1359" t="s">
        <v>688</v>
      </c>
      <c r="B1359">
        <v>68</v>
      </c>
    </row>
    <row r="1360" spans="1:3" x14ac:dyDescent="0.3">
      <c r="A1360" t="s">
        <v>689</v>
      </c>
      <c r="B1360">
        <v>68</v>
      </c>
    </row>
    <row r="1361" spans="1:4" x14ac:dyDescent="0.3">
      <c r="A1361" t="s">
        <v>690</v>
      </c>
      <c r="B1361">
        <v>68</v>
      </c>
    </row>
    <row r="1362" spans="1:4" x14ac:dyDescent="0.3">
      <c r="A1362" t="s">
        <v>691</v>
      </c>
      <c r="B1362">
        <v>68</v>
      </c>
      <c r="C1362" t="b">
        <v>0</v>
      </c>
    </row>
    <row r="1363" spans="1:4" x14ac:dyDescent="0.3">
      <c r="A1363" t="s">
        <v>692</v>
      </c>
      <c r="B1363">
        <v>68</v>
      </c>
      <c r="C1363" t="b">
        <v>0</v>
      </c>
    </row>
    <row r="1364" spans="1:4" x14ac:dyDescent="0.3">
      <c r="A1364" t="s">
        <v>678</v>
      </c>
      <c r="B1364">
        <v>69</v>
      </c>
      <c r="D1364">
        <v>67</v>
      </c>
    </row>
    <row r="1365" spans="1:4" x14ac:dyDescent="0.3">
      <c r="A1365" t="s">
        <v>36</v>
      </c>
      <c r="B1365">
        <v>69</v>
      </c>
      <c r="D1365">
        <v>2</v>
      </c>
    </row>
    <row r="1366" spans="1:4" x14ac:dyDescent="0.3">
      <c r="A1366" t="s">
        <v>503</v>
      </c>
      <c r="B1366">
        <v>69</v>
      </c>
      <c r="D1366" t="s">
        <v>718</v>
      </c>
    </row>
    <row r="1367" spans="1:4" x14ac:dyDescent="0.3">
      <c r="A1367" t="s">
        <v>679</v>
      </c>
      <c r="B1367">
        <v>69</v>
      </c>
      <c r="D1367">
        <v>766</v>
      </c>
    </row>
    <row r="1368" spans="1:4" x14ac:dyDescent="0.3">
      <c r="A1368" t="s">
        <v>42</v>
      </c>
      <c r="B1368">
        <v>69</v>
      </c>
      <c r="D1368">
        <v>30</v>
      </c>
    </row>
    <row r="1369" spans="1:4" x14ac:dyDescent="0.3">
      <c r="A1369" t="s">
        <v>680</v>
      </c>
      <c r="B1369">
        <v>69</v>
      </c>
      <c r="D1369">
        <v>17.399999999999999</v>
      </c>
    </row>
    <row r="1370" spans="1:4" x14ac:dyDescent="0.3">
      <c r="A1370" t="s">
        <v>41</v>
      </c>
      <c r="B1370">
        <v>69</v>
      </c>
      <c r="D1370">
        <v>0</v>
      </c>
    </row>
    <row r="1371" spans="1:4" x14ac:dyDescent="0.3">
      <c r="A1371" t="s">
        <v>681</v>
      </c>
      <c r="B1371">
        <v>69</v>
      </c>
      <c r="D1371">
        <v>12</v>
      </c>
    </row>
    <row r="1372" spans="1:4" x14ac:dyDescent="0.3">
      <c r="A1372" t="s">
        <v>563</v>
      </c>
      <c r="B1372">
        <v>69</v>
      </c>
      <c r="D1372">
        <v>0</v>
      </c>
    </row>
    <row r="1373" spans="1:4" x14ac:dyDescent="0.3">
      <c r="A1373" t="s">
        <v>682</v>
      </c>
      <c r="B1373">
        <v>69</v>
      </c>
      <c r="D1373">
        <v>0</v>
      </c>
    </row>
    <row r="1374" spans="1:4" x14ac:dyDescent="0.3">
      <c r="A1374" t="s">
        <v>683</v>
      </c>
      <c r="B1374">
        <v>69</v>
      </c>
      <c r="D1374">
        <v>16</v>
      </c>
    </row>
    <row r="1375" spans="1:4" x14ac:dyDescent="0.3">
      <c r="A1375" t="s">
        <v>684</v>
      </c>
      <c r="B1375">
        <v>69</v>
      </c>
      <c r="D1375">
        <v>200</v>
      </c>
    </row>
    <row r="1376" spans="1:4" x14ac:dyDescent="0.3">
      <c r="A1376" t="s">
        <v>685</v>
      </c>
      <c r="B1376">
        <v>69</v>
      </c>
      <c r="D1376">
        <v>1320</v>
      </c>
    </row>
    <row r="1377" spans="1:6" x14ac:dyDescent="0.3">
      <c r="A1377" t="s">
        <v>686</v>
      </c>
      <c r="B1377">
        <v>69</v>
      </c>
      <c r="D1377">
        <v>880</v>
      </c>
    </row>
    <row r="1378" spans="1:6" x14ac:dyDescent="0.3">
      <c r="A1378" t="s">
        <v>687</v>
      </c>
      <c r="B1378">
        <v>69</v>
      </c>
      <c r="D1378">
        <v>1760</v>
      </c>
    </row>
    <row r="1379" spans="1:6" x14ac:dyDescent="0.3">
      <c r="A1379" t="s">
        <v>688</v>
      </c>
      <c r="B1379">
        <v>69</v>
      </c>
    </row>
    <row r="1380" spans="1:6" x14ac:dyDescent="0.3">
      <c r="A1380" t="s">
        <v>689</v>
      </c>
      <c r="B1380">
        <v>69</v>
      </c>
    </row>
    <row r="1381" spans="1:6" x14ac:dyDescent="0.3">
      <c r="A1381" t="s">
        <v>690</v>
      </c>
      <c r="B1381">
        <v>69</v>
      </c>
    </row>
    <row r="1382" spans="1:6" x14ac:dyDescent="0.3">
      <c r="A1382" t="s">
        <v>691</v>
      </c>
      <c r="B1382">
        <v>69</v>
      </c>
      <c r="D1382" t="b">
        <v>0</v>
      </c>
    </row>
    <row r="1383" spans="1:6" x14ac:dyDescent="0.3">
      <c r="A1383" t="s">
        <v>692</v>
      </c>
      <c r="B1383">
        <v>69</v>
      </c>
      <c r="D1383" t="b">
        <v>0</v>
      </c>
    </row>
    <row r="1384" spans="1:6" x14ac:dyDescent="0.3">
      <c r="A1384" t="s">
        <v>678</v>
      </c>
      <c r="B1384">
        <v>70</v>
      </c>
      <c r="C1384">
        <v>72</v>
      </c>
      <c r="D1384">
        <v>71</v>
      </c>
      <c r="E1384">
        <v>67</v>
      </c>
      <c r="F1384">
        <v>5</v>
      </c>
    </row>
    <row r="1385" spans="1:6" x14ac:dyDescent="0.3">
      <c r="A1385" t="s">
        <v>36</v>
      </c>
      <c r="B1385">
        <v>70</v>
      </c>
      <c r="C1385">
        <v>2</v>
      </c>
      <c r="D1385">
        <v>2</v>
      </c>
      <c r="E1385">
        <v>4</v>
      </c>
      <c r="F1385">
        <v>4</v>
      </c>
    </row>
    <row r="1386" spans="1:6" x14ac:dyDescent="0.3">
      <c r="A1386" t="s">
        <v>503</v>
      </c>
      <c r="B1386">
        <v>70</v>
      </c>
      <c r="C1386" t="s">
        <v>719</v>
      </c>
      <c r="D1386" t="s">
        <v>719</v>
      </c>
      <c r="E1386" t="s">
        <v>695</v>
      </c>
      <c r="F1386" t="s">
        <v>695</v>
      </c>
    </row>
    <row r="1387" spans="1:6" x14ac:dyDescent="0.3">
      <c r="A1387" t="s">
        <v>679</v>
      </c>
      <c r="B1387">
        <v>70</v>
      </c>
      <c r="C1387">
        <v>599</v>
      </c>
      <c r="D1387">
        <v>592</v>
      </c>
      <c r="E1387">
        <v>2943</v>
      </c>
      <c r="F1387">
        <v>1781</v>
      </c>
    </row>
    <row r="1388" spans="1:6" x14ac:dyDescent="0.3">
      <c r="A1388" t="s">
        <v>42</v>
      </c>
      <c r="B1388">
        <v>70</v>
      </c>
      <c r="C1388">
        <v>40</v>
      </c>
      <c r="D1388">
        <v>30</v>
      </c>
      <c r="E1388">
        <v>45</v>
      </c>
      <c r="F1388">
        <v>45</v>
      </c>
    </row>
    <row r="1389" spans="1:6" x14ac:dyDescent="0.3">
      <c r="A1389" t="s">
        <v>680</v>
      </c>
      <c r="B1389">
        <v>70</v>
      </c>
      <c r="C1389">
        <v>10.199999999999999</v>
      </c>
      <c r="D1389">
        <v>13.5</v>
      </c>
      <c r="E1389">
        <v>44.6</v>
      </c>
      <c r="F1389">
        <v>27</v>
      </c>
    </row>
    <row r="1390" spans="1:6" x14ac:dyDescent="0.3">
      <c r="A1390" t="s">
        <v>41</v>
      </c>
      <c r="B1390">
        <v>70</v>
      </c>
      <c r="C1390">
        <v>0</v>
      </c>
      <c r="D1390">
        <v>0</v>
      </c>
      <c r="E1390">
        <v>0</v>
      </c>
      <c r="F1390">
        <v>0</v>
      </c>
    </row>
    <row r="1391" spans="1:6" x14ac:dyDescent="0.3">
      <c r="A1391" t="s">
        <v>681</v>
      </c>
      <c r="B1391">
        <v>70</v>
      </c>
      <c r="C1391">
        <v>12</v>
      </c>
      <c r="D1391">
        <v>12</v>
      </c>
      <c r="E1391">
        <v>12</v>
      </c>
      <c r="F1391">
        <v>12</v>
      </c>
    </row>
    <row r="1392" spans="1:6" x14ac:dyDescent="0.3">
      <c r="A1392" t="s">
        <v>563</v>
      </c>
      <c r="B1392">
        <v>70</v>
      </c>
      <c r="C1392">
        <v>0</v>
      </c>
      <c r="D1392">
        <v>0</v>
      </c>
      <c r="E1392">
        <v>0</v>
      </c>
      <c r="F1392">
        <v>0</v>
      </c>
    </row>
    <row r="1393" spans="1:6" x14ac:dyDescent="0.3">
      <c r="A1393" t="s">
        <v>682</v>
      </c>
      <c r="B1393">
        <v>70</v>
      </c>
      <c r="C1393">
        <v>0</v>
      </c>
      <c r="D1393">
        <v>0</v>
      </c>
      <c r="E1393">
        <v>0</v>
      </c>
      <c r="F1393">
        <v>0</v>
      </c>
    </row>
    <row r="1394" spans="1:6" x14ac:dyDescent="0.3">
      <c r="A1394" t="s">
        <v>683</v>
      </c>
      <c r="B1394">
        <v>70</v>
      </c>
      <c r="C1394">
        <v>16</v>
      </c>
      <c r="D1394">
        <v>16</v>
      </c>
      <c r="E1394">
        <v>16</v>
      </c>
      <c r="F1394">
        <v>16</v>
      </c>
    </row>
    <row r="1395" spans="1:6" x14ac:dyDescent="0.3">
      <c r="A1395" t="s">
        <v>684</v>
      </c>
      <c r="B1395">
        <v>70</v>
      </c>
      <c r="C1395">
        <v>500</v>
      </c>
      <c r="D1395">
        <v>500</v>
      </c>
      <c r="E1395">
        <v>500</v>
      </c>
      <c r="F1395">
        <v>500</v>
      </c>
    </row>
    <row r="1396" spans="1:6" x14ac:dyDescent="0.3">
      <c r="A1396" t="s">
        <v>685</v>
      </c>
      <c r="B1396">
        <v>70</v>
      </c>
      <c r="C1396">
        <v>1761</v>
      </c>
      <c r="D1396">
        <v>1320</v>
      </c>
      <c r="E1396">
        <v>1980</v>
      </c>
      <c r="F1396">
        <v>1980</v>
      </c>
    </row>
    <row r="1397" spans="1:6" x14ac:dyDescent="0.3">
      <c r="A1397" t="s">
        <v>686</v>
      </c>
      <c r="B1397">
        <v>70</v>
      </c>
      <c r="C1397">
        <v>1174</v>
      </c>
      <c r="D1397">
        <v>880</v>
      </c>
      <c r="E1397">
        <v>1320</v>
      </c>
      <c r="F1397">
        <v>1320</v>
      </c>
    </row>
    <row r="1398" spans="1:6" x14ac:dyDescent="0.3">
      <c r="A1398" t="s">
        <v>687</v>
      </c>
      <c r="B1398">
        <v>70</v>
      </c>
      <c r="C1398">
        <v>2348</v>
      </c>
      <c r="D1398">
        <v>1760</v>
      </c>
      <c r="E1398">
        <v>2640</v>
      </c>
      <c r="F1398">
        <v>2640</v>
      </c>
    </row>
    <row r="1399" spans="1:6" x14ac:dyDescent="0.3">
      <c r="A1399" t="s">
        <v>688</v>
      </c>
      <c r="B1399">
        <v>70</v>
      </c>
      <c r="D1399">
        <v>35995</v>
      </c>
    </row>
    <row r="1400" spans="1:6" x14ac:dyDescent="0.3">
      <c r="A1400" t="s">
        <v>689</v>
      </c>
      <c r="B1400">
        <v>70</v>
      </c>
      <c r="D1400">
        <v>110</v>
      </c>
    </row>
    <row r="1401" spans="1:6" x14ac:dyDescent="0.3">
      <c r="A1401" t="s">
        <v>690</v>
      </c>
      <c r="B1401">
        <v>70</v>
      </c>
      <c r="D1401">
        <v>0</v>
      </c>
    </row>
    <row r="1402" spans="1:6" x14ac:dyDescent="0.3">
      <c r="A1402" t="s">
        <v>691</v>
      </c>
      <c r="B1402">
        <v>70</v>
      </c>
      <c r="C1402" t="b">
        <v>0</v>
      </c>
      <c r="D1402" t="b">
        <v>0</v>
      </c>
      <c r="E1402" t="b">
        <v>0</v>
      </c>
      <c r="F1402" t="b">
        <v>0</v>
      </c>
    </row>
    <row r="1403" spans="1:6" x14ac:dyDescent="0.3">
      <c r="A1403" t="s">
        <v>692</v>
      </c>
      <c r="B1403">
        <v>70</v>
      </c>
      <c r="C1403" t="b">
        <v>0</v>
      </c>
      <c r="D1403" t="b">
        <v>0</v>
      </c>
      <c r="E1403" t="b">
        <v>0</v>
      </c>
      <c r="F1403" t="b">
        <v>0</v>
      </c>
    </row>
    <row r="1404" spans="1:6" x14ac:dyDescent="0.3">
      <c r="A1404" t="s">
        <v>678</v>
      </c>
      <c r="B1404">
        <v>71</v>
      </c>
      <c r="C1404">
        <v>70</v>
      </c>
    </row>
    <row r="1405" spans="1:6" x14ac:dyDescent="0.3">
      <c r="A1405" t="s">
        <v>36</v>
      </c>
      <c r="B1405">
        <v>71</v>
      </c>
      <c r="C1405">
        <v>1</v>
      </c>
    </row>
    <row r="1406" spans="1:6" x14ac:dyDescent="0.3">
      <c r="A1406" t="s">
        <v>503</v>
      </c>
      <c r="B1406">
        <v>71</v>
      </c>
      <c r="C1406" t="s">
        <v>719</v>
      </c>
    </row>
    <row r="1407" spans="1:6" x14ac:dyDescent="0.3">
      <c r="A1407" t="s">
        <v>679</v>
      </c>
      <c r="B1407">
        <v>71</v>
      </c>
      <c r="C1407">
        <v>592</v>
      </c>
    </row>
    <row r="1408" spans="1:6" x14ac:dyDescent="0.3">
      <c r="A1408" t="s">
        <v>42</v>
      </c>
      <c r="B1408">
        <v>71</v>
      </c>
      <c r="C1408">
        <v>30</v>
      </c>
    </row>
    <row r="1409" spans="1:4" x14ac:dyDescent="0.3">
      <c r="A1409" t="s">
        <v>680</v>
      </c>
      <c r="B1409">
        <v>71</v>
      </c>
      <c r="C1409">
        <v>13.5</v>
      </c>
    </row>
    <row r="1410" spans="1:4" x14ac:dyDescent="0.3">
      <c r="A1410" t="s">
        <v>41</v>
      </c>
      <c r="B1410">
        <v>71</v>
      </c>
      <c r="C1410">
        <v>0</v>
      </c>
    </row>
    <row r="1411" spans="1:4" x14ac:dyDescent="0.3">
      <c r="A1411" t="s">
        <v>681</v>
      </c>
      <c r="B1411">
        <v>71</v>
      </c>
      <c r="C1411">
        <v>12</v>
      </c>
    </row>
    <row r="1412" spans="1:4" x14ac:dyDescent="0.3">
      <c r="A1412" t="s">
        <v>563</v>
      </c>
      <c r="B1412">
        <v>71</v>
      </c>
      <c r="C1412">
        <v>0</v>
      </c>
    </row>
    <row r="1413" spans="1:4" x14ac:dyDescent="0.3">
      <c r="A1413" t="s">
        <v>682</v>
      </c>
      <c r="B1413">
        <v>71</v>
      </c>
      <c r="C1413">
        <v>0</v>
      </c>
    </row>
    <row r="1414" spans="1:4" x14ac:dyDescent="0.3">
      <c r="A1414" t="s">
        <v>683</v>
      </c>
      <c r="B1414">
        <v>71</v>
      </c>
      <c r="C1414">
        <v>16</v>
      </c>
    </row>
    <row r="1415" spans="1:4" x14ac:dyDescent="0.3">
      <c r="A1415" t="s">
        <v>684</v>
      </c>
      <c r="B1415">
        <v>71</v>
      </c>
      <c r="C1415">
        <v>200</v>
      </c>
    </row>
    <row r="1416" spans="1:4" x14ac:dyDescent="0.3">
      <c r="A1416" t="s">
        <v>685</v>
      </c>
      <c r="B1416">
        <v>71</v>
      </c>
      <c r="C1416">
        <v>1320</v>
      </c>
    </row>
    <row r="1417" spans="1:4" x14ac:dyDescent="0.3">
      <c r="A1417" t="s">
        <v>686</v>
      </c>
      <c r="B1417">
        <v>71</v>
      </c>
      <c r="C1417">
        <v>880</v>
      </c>
    </row>
    <row r="1418" spans="1:4" x14ac:dyDescent="0.3">
      <c r="A1418" t="s">
        <v>687</v>
      </c>
      <c r="B1418">
        <v>71</v>
      </c>
      <c r="C1418">
        <v>1760</v>
      </c>
    </row>
    <row r="1419" spans="1:4" x14ac:dyDescent="0.3">
      <c r="A1419" t="s">
        <v>688</v>
      </c>
      <c r="B1419">
        <v>71</v>
      </c>
      <c r="C1419">
        <v>36097</v>
      </c>
    </row>
    <row r="1420" spans="1:4" x14ac:dyDescent="0.3">
      <c r="A1420" t="s">
        <v>689</v>
      </c>
      <c r="B1420">
        <v>71</v>
      </c>
      <c r="C1420">
        <v>276</v>
      </c>
    </row>
    <row r="1421" spans="1:4" x14ac:dyDescent="0.3">
      <c r="A1421" t="s">
        <v>690</v>
      </c>
      <c r="B1421">
        <v>71</v>
      </c>
      <c r="C1421">
        <v>0</v>
      </c>
    </row>
    <row r="1422" spans="1:4" x14ac:dyDescent="0.3">
      <c r="A1422" t="s">
        <v>691</v>
      </c>
      <c r="B1422">
        <v>71</v>
      </c>
      <c r="C1422" t="b">
        <v>0</v>
      </c>
    </row>
    <row r="1423" spans="1:4" x14ac:dyDescent="0.3">
      <c r="A1423" t="s">
        <v>692</v>
      </c>
      <c r="B1423">
        <v>71</v>
      </c>
      <c r="C1423" t="b">
        <v>0</v>
      </c>
    </row>
    <row r="1424" spans="1:4" x14ac:dyDescent="0.3">
      <c r="A1424" t="s">
        <v>678</v>
      </c>
      <c r="B1424">
        <v>72</v>
      </c>
      <c r="D1424">
        <v>70</v>
      </c>
    </row>
    <row r="1425" spans="1:4" x14ac:dyDescent="0.3">
      <c r="A1425" t="s">
        <v>36</v>
      </c>
      <c r="B1425">
        <v>72</v>
      </c>
      <c r="D1425">
        <v>1</v>
      </c>
    </row>
    <row r="1426" spans="1:4" x14ac:dyDescent="0.3">
      <c r="A1426" t="s">
        <v>503</v>
      </c>
      <c r="B1426">
        <v>72</v>
      </c>
      <c r="D1426" t="s">
        <v>719</v>
      </c>
    </row>
    <row r="1427" spans="1:4" x14ac:dyDescent="0.3">
      <c r="A1427" t="s">
        <v>679</v>
      </c>
      <c r="B1427">
        <v>72</v>
      </c>
      <c r="D1427">
        <v>599</v>
      </c>
    </row>
    <row r="1428" spans="1:4" x14ac:dyDescent="0.3">
      <c r="A1428" t="s">
        <v>42</v>
      </c>
      <c r="B1428">
        <v>72</v>
      </c>
      <c r="D1428">
        <v>30</v>
      </c>
    </row>
    <row r="1429" spans="1:4" x14ac:dyDescent="0.3">
      <c r="A1429" t="s">
        <v>680</v>
      </c>
      <c r="B1429">
        <v>72</v>
      </c>
      <c r="D1429">
        <v>13.6</v>
      </c>
    </row>
    <row r="1430" spans="1:4" x14ac:dyDescent="0.3">
      <c r="A1430" t="s">
        <v>41</v>
      </c>
      <c r="B1430">
        <v>72</v>
      </c>
      <c r="D1430">
        <v>0</v>
      </c>
    </row>
    <row r="1431" spans="1:4" x14ac:dyDescent="0.3">
      <c r="A1431" t="s">
        <v>681</v>
      </c>
      <c r="B1431">
        <v>72</v>
      </c>
      <c r="D1431" t="s">
        <v>699</v>
      </c>
    </row>
    <row r="1432" spans="1:4" x14ac:dyDescent="0.3">
      <c r="A1432" t="s">
        <v>563</v>
      </c>
      <c r="B1432">
        <v>72</v>
      </c>
      <c r="D1432">
        <v>0</v>
      </c>
    </row>
    <row r="1433" spans="1:4" x14ac:dyDescent="0.3">
      <c r="A1433" t="s">
        <v>682</v>
      </c>
      <c r="B1433">
        <v>72</v>
      </c>
      <c r="D1433">
        <v>0</v>
      </c>
    </row>
    <row r="1434" spans="1:4" x14ac:dyDescent="0.3">
      <c r="A1434" t="s">
        <v>683</v>
      </c>
      <c r="B1434">
        <v>72</v>
      </c>
      <c r="D1434">
        <v>16</v>
      </c>
    </row>
    <row r="1435" spans="1:4" x14ac:dyDescent="0.3">
      <c r="A1435" t="s">
        <v>684</v>
      </c>
      <c r="B1435">
        <v>72</v>
      </c>
      <c r="D1435">
        <v>200</v>
      </c>
    </row>
    <row r="1436" spans="1:4" x14ac:dyDescent="0.3">
      <c r="A1436" t="s">
        <v>685</v>
      </c>
      <c r="B1436">
        <v>72</v>
      </c>
      <c r="D1436">
        <v>1320</v>
      </c>
    </row>
    <row r="1437" spans="1:4" x14ac:dyDescent="0.3">
      <c r="A1437" t="s">
        <v>686</v>
      </c>
      <c r="B1437">
        <v>72</v>
      </c>
      <c r="D1437">
        <v>880</v>
      </c>
    </row>
    <row r="1438" spans="1:4" x14ac:dyDescent="0.3">
      <c r="A1438" t="s">
        <v>687</v>
      </c>
      <c r="B1438">
        <v>72</v>
      </c>
      <c r="D1438">
        <v>1760</v>
      </c>
    </row>
    <row r="1439" spans="1:4" x14ac:dyDescent="0.3">
      <c r="A1439" t="s">
        <v>688</v>
      </c>
      <c r="B1439">
        <v>72</v>
      </c>
    </row>
    <row r="1440" spans="1:4" x14ac:dyDescent="0.3">
      <c r="A1440" t="s">
        <v>689</v>
      </c>
      <c r="B1440">
        <v>72</v>
      </c>
    </row>
    <row r="1441" spans="1:6" x14ac:dyDescent="0.3">
      <c r="A1441" t="s">
        <v>690</v>
      </c>
      <c r="B1441">
        <v>72</v>
      </c>
    </row>
    <row r="1442" spans="1:6" x14ac:dyDescent="0.3">
      <c r="A1442" t="s">
        <v>691</v>
      </c>
      <c r="B1442">
        <v>72</v>
      </c>
      <c r="D1442" t="b">
        <v>0</v>
      </c>
    </row>
    <row r="1443" spans="1:6" x14ac:dyDescent="0.3">
      <c r="A1443" t="s">
        <v>692</v>
      </c>
      <c r="B1443">
        <v>72</v>
      </c>
      <c r="D1443" t="b">
        <v>0</v>
      </c>
    </row>
    <row r="1444" spans="1:6" x14ac:dyDescent="0.3">
      <c r="A1444" t="s">
        <v>678</v>
      </c>
      <c r="B1444">
        <v>73</v>
      </c>
      <c r="C1444">
        <v>74</v>
      </c>
      <c r="E1444">
        <v>27</v>
      </c>
      <c r="F1444">
        <v>32</v>
      </c>
    </row>
    <row r="1445" spans="1:6" x14ac:dyDescent="0.3">
      <c r="A1445" t="s">
        <v>36</v>
      </c>
      <c r="B1445">
        <v>73</v>
      </c>
      <c r="C1445">
        <v>2</v>
      </c>
      <c r="E1445">
        <v>3</v>
      </c>
      <c r="F1445">
        <v>4</v>
      </c>
    </row>
    <row r="1446" spans="1:6" x14ac:dyDescent="0.3">
      <c r="A1446" t="s">
        <v>503</v>
      </c>
      <c r="B1446">
        <v>73</v>
      </c>
      <c r="C1446" t="s">
        <v>720</v>
      </c>
      <c r="E1446" t="s">
        <v>695</v>
      </c>
      <c r="F1446" t="s">
        <v>695</v>
      </c>
    </row>
    <row r="1447" spans="1:6" x14ac:dyDescent="0.3">
      <c r="A1447" t="s">
        <v>679</v>
      </c>
      <c r="B1447">
        <v>73</v>
      </c>
      <c r="C1447">
        <v>616</v>
      </c>
      <c r="E1447">
        <v>1322</v>
      </c>
      <c r="F1447">
        <v>1302</v>
      </c>
    </row>
    <row r="1448" spans="1:6" x14ac:dyDescent="0.3">
      <c r="A1448" t="s">
        <v>42</v>
      </c>
      <c r="B1448">
        <v>73</v>
      </c>
      <c r="C1448">
        <v>30</v>
      </c>
      <c r="E1448">
        <v>45</v>
      </c>
      <c r="F1448">
        <v>40</v>
      </c>
    </row>
    <row r="1449" spans="1:6" x14ac:dyDescent="0.3">
      <c r="A1449" t="s">
        <v>680</v>
      </c>
      <c r="B1449">
        <v>73</v>
      </c>
      <c r="C1449">
        <v>14</v>
      </c>
      <c r="E1449">
        <v>20</v>
      </c>
      <c r="F1449">
        <v>22.2</v>
      </c>
    </row>
    <row r="1450" spans="1:6" x14ac:dyDescent="0.3">
      <c r="A1450" t="s">
        <v>41</v>
      </c>
      <c r="B1450">
        <v>73</v>
      </c>
      <c r="C1450">
        <v>0</v>
      </c>
      <c r="E1450">
        <v>0</v>
      </c>
      <c r="F1450">
        <v>0</v>
      </c>
    </row>
    <row r="1451" spans="1:6" x14ac:dyDescent="0.3">
      <c r="A1451" t="s">
        <v>681</v>
      </c>
      <c r="B1451">
        <v>73</v>
      </c>
      <c r="C1451">
        <v>12</v>
      </c>
      <c r="E1451">
        <v>12</v>
      </c>
      <c r="F1451">
        <v>12</v>
      </c>
    </row>
    <row r="1452" spans="1:6" x14ac:dyDescent="0.3">
      <c r="A1452" t="s">
        <v>563</v>
      </c>
      <c r="B1452">
        <v>73</v>
      </c>
      <c r="C1452">
        <v>0</v>
      </c>
      <c r="E1452">
        <v>0</v>
      </c>
      <c r="F1452">
        <v>0</v>
      </c>
    </row>
    <row r="1453" spans="1:6" x14ac:dyDescent="0.3">
      <c r="A1453" t="s">
        <v>682</v>
      </c>
      <c r="B1453">
        <v>73</v>
      </c>
      <c r="C1453">
        <v>0</v>
      </c>
      <c r="E1453">
        <v>0</v>
      </c>
      <c r="F1453">
        <v>0</v>
      </c>
    </row>
    <row r="1454" spans="1:6" x14ac:dyDescent="0.3">
      <c r="A1454" t="s">
        <v>683</v>
      </c>
      <c r="B1454">
        <v>73</v>
      </c>
      <c r="C1454">
        <v>16</v>
      </c>
      <c r="E1454">
        <v>16</v>
      </c>
      <c r="F1454">
        <v>16</v>
      </c>
    </row>
    <row r="1455" spans="1:6" x14ac:dyDescent="0.3">
      <c r="A1455" t="s">
        <v>684</v>
      </c>
      <c r="B1455">
        <v>73</v>
      </c>
      <c r="C1455">
        <v>500</v>
      </c>
      <c r="E1455">
        <v>500</v>
      </c>
      <c r="F1455">
        <v>500</v>
      </c>
    </row>
    <row r="1456" spans="1:6" x14ac:dyDescent="0.3">
      <c r="A1456" t="s">
        <v>685</v>
      </c>
      <c r="B1456">
        <v>73</v>
      </c>
      <c r="C1456">
        <v>1320</v>
      </c>
      <c r="E1456">
        <v>1980</v>
      </c>
      <c r="F1456">
        <v>1761</v>
      </c>
    </row>
    <row r="1457" spans="1:6" x14ac:dyDescent="0.3">
      <c r="A1457" t="s">
        <v>686</v>
      </c>
      <c r="B1457">
        <v>73</v>
      </c>
      <c r="C1457">
        <v>880</v>
      </c>
      <c r="E1457">
        <v>1320</v>
      </c>
      <c r="F1457">
        <v>1174</v>
      </c>
    </row>
    <row r="1458" spans="1:6" x14ac:dyDescent="0.3">
      <c r="A1458" t="s">
        <v>687</v>
      </c>
      <c r="B1458">
        <v>73</v>
      </c>
      <c r="C1458">
        <v>1760</v>
      </c>
      <c r="E1458">
        <v>2640</v>
      </c>
      <c r="F1458">
        <v>2348</v>
      </c>
    </row>
    <row r="1459" spans="1:6" x14ac:dyDescent="0.3">
      <c r="A1459" t="s">
        <v>688</v>
      </c>
      <c r="B1459">
        <v>73</v>
      </c>
    </row>
    <row r="1460" spans="1:6" x14ac:dyDescent="0.3">
      <c r="A1460" t="s">
        <v>689</v>
      </c>
      <c r="B1460">
        <v>73</v>
      </c>
    </row>
    <row r="1461" spans="1:6" x14ac:dyDescent="0.3">
      <c r="A1461" t="s">
        <v>690</v>
      </c>
      <c r="B1461">
        <v>73</v>
      </c>
    </row>
    <row r="1462" spans="1:6" x14ac:dyDescent="0.3">
      <c r="A1462" t="s">
        <v>691</v>
      </c>
      <c r="B1462">
        <v>73</v>
      </c>
      <c r="C1462" t="b">
        <v>0</v>
      </c>
      <c r="E1462" t="b">
        <v>0</v>
      </c>
      <c r="F1462" t="b">
        <v>0</v>
      </c>
    </row>
    <row r="1463" spans="1:6" x14ac:dyDescent="0.3">
      <c r="A1463" t="s">
        <v>692</v>
      </c>
      <c r="B1463">
        <v>73</v>
      </c>
      <c r="C1463" t="b">
        <v>0</v>
      </c>
      <c r="E1463" t="b">
        <v>0</v>
      </c>
      <c r="F1463" t="b">
        <v>0</v>
      </c>
    </row>
    <row r="1464" spans="1:6" x14ac:dyDescent="0.3">
      <c r="A1464" t="s">
        <v>678</v>
      </c>
      <c r="B1464">
        <v>74</v>
      </c>
      <c r="D1464">
        <v>73</v>
      </c>
    </row>
    <row r="1465" spans="1:6" x14ac:dyDescent="0.3">
      <c r="A1465" t="s">
        <v>36</v>
      </c>
      <c r="B1465">
        <v>74</v>
      </c>
      <c r="D1465">
        <v>1</v>
      </c>
    </row>
    <row r="1466" spans="1:6" x14ac:dyDescent="0.3">
      <c r="A1466" t="s">
        <v>503</v>
      </c>
      <c r="B1466">
        <v>74</v>
      </c>
      <c r="D1466" t="s">
        <v>720</v>
      </c>
    </row>
    <row r="1467" spans="1:6" x14ac:dyDescent="0.3">
      <c r="A1467" t="s">
        <v>679</v>
      </c>
      <c r="B1467">
        <v>74</v>
      </c>
      <c r="D1467">
        <v>616</v>
      </c>
    </row>
    <row r="1468" spans="1:6" x14ac:dyDescent="0.3">
      <c r="A1468" t="s">
        <v>42</v>
      </c>
      <c r="B1468">
        <v>74</v>
      </c>
      <c r="D1468">
        <v>30</v>
      </c>
    </row>
    <row r="1469" spans="1:6" x14ac:dyDescent="0.3">
      <c r="A1469" t="s">
        <v>680</v>
      </c>
      <c r="B1469">
        <v>74</v>
      </c>
      <c r="D1469">
        <v>14</v>
      </c>
    </row>
    <row r="1470" spans="1:6" x14ac:dyDescent="0.3">
      <c r="A1470" t="s">
        <v>41</v>
      </c>
      <c r="B1470">
        <v>74</v>
      </c>
      <c r="D1470">
        <v>0</v>
      </c>
    </row>
    <row r="1471" spans="1:6" x14ac:dyDescent="0.3">
      <c r="A1471" t="s">
        <v>681</v>
      </c>
      <c r="B1471">
        <v>74</v>
      </c>
      <c r="D1471">
        <v>0</v>
      </c>
    </row>
    <row r="1472" spans="1:6" x14ac:dyDescent="0.3">
      <c r="A1472" t="s">
        <v>563</v>
      </c>
      <c r="B1472">
        <v>74</v>
      </c>
      <c r="D1472">
        <v>0</v>
      </c>
    </row>
    <row r="1473" spans="1:4" x14ac:dyDescent="0.3">
      <c r="A1473" t="s">
        <v>682</v>
      </c>
      <c r="B1473">
        <v>74</v>
      </c>
      <c r="D1473">
        <v>0</v>
      </c>
    </row>
    <row r="1474" spans="1:4" x14ac:dyDescent="0.3">
      <c r="A1474" t="s">
        <v>683</v>
      </c>
      <c r="B1474">
        <v>74</v>
      </c>
      <c r="D1474">
        <v>16</v>
      </c>
    </row>
    <row r="1475" spans="1:4" x14ac:dyDescent="0.3">
      <c r="A1475" t="s">
        <v>684</v>
      </c>
      <c r="B1475">
        <v>74</v>
      </c>
      <c r="D1475">
        <v>200</v>
      </c>
    </row>
    <row r="1476" spans="1:4" x14ac:dyDescent="0.3">
      <c r="A1476" t="s">
        <v>685</v>
      </c>
      <c r="B1476">
        <v>74</v>
      </c>
      <c r="D1476">
        <v>1320</v>
      </c>
    </row>
    <row r="1477" spans="1:4" x14ac:dyDescent="0.3">
      <c r="A1477" t="s">
        <v>686</v>
      </c>
      <c r="B1477">
        <v>74</v>
      </c>
      <c r="D1477">
        <v>880</v>
      </c>
    </row>
    <row r="1478" spans="1:4" x14ac:dyDescent="0.3">
      <c r="A1478" t="s">
        <v>687</v>
      </c>
      <c r="B1478">
        <v>74</v>
      </c>
      <c r="D1478">
        <v>1760</v>
      </c>
    </row>
    <row r="1479" spans="1:4" x14ac:dyDescent="0.3">
      <c r="A1479" t="s">
        <v>688</v>
      </c>
      <c r="B1479">
        <v>74</v>
      </c>
    </row>
    <row r="1480" spans="1:4" x14ac:dyDescent="0.3">
      <c r="A1480" t="s">
        <v>689</v>
      </c>
      <c r="B1480">
        <v>74</v>
      </c>
    </row>
    <row r="1481" spans="1:4" x14ac:dyDescent="0.3">
      <c r="A1481" t="s">
        <v>690</v>
      </c>
      <c r="B1481">
        <v>74</v>
      </c>
    </row>
    <row r="1482" spans="1:4" x14ac:dyDescent="0.3">
      <c r="A1482" t="s">
        <v>691</v>
      </c>
      <c r="B1482">
        <v>74</v>
      </c>
      <c r="D1482" t="b">
        <v>0</v>
      </c>
    </row>
    <row r="1483" spans="1:4" x14ac:dyDescent="0.3">
      <c r="A1483" t="s">
        <v>692</v>
      </c>
      <c r="B1483">
        <v>74</v>
      </c>
      <c r="D1483" t="b">
        <v>0</v>
      </c>
    </row>
    <row r="1484" spans="1:4" x14ac:dyDescent="0.3">
      <c r="A1484" t="s">
        <v>678</v>
      </c>
      <c r="B1484">
        <v>96</v>
      </c>
      <c r="D1484">
        <v>98</v>
      </c>
    </row>
    <row r="1485" spans="1:4" x14ac:dyDescent="0.3">
      <c r="A1485" t="s">
        <v>36</v>
      </c>
      <c r="B1485">
        <v>96</v>
      </c>
      <c r="D1485" t="s">
        <v>699</v>
      </c>
    </row>
    <row r="1486" spans="1:4" x14ac:dyDescent="0.3">
      <c r="A1486" t="s">
        <v>503</v>
      </c>
      <c r="B1486">
        <v>96</v>
      </c>
    </row>
    <row r="1487" spans="1:4" x14ac:dyDescent="0.3">
      <c r="A1487" t="s">
        <v>679</v>
      </c>
      <c r="B1487">
        <v>96</v>
      </c>
      <c r="D1487">
        <v>523</v>
      </c>
    </row>
    <row r="1488" spans="1:4" x14ac:dyDescent="0.3">
      <c r="A1488" t="s">
        <v>42</v>
      </c>
      <c r="B1488">
        <v>96</v>
      </c>
      <c r="D1488">
        <v>30</v>
      </c>
    </row>
    <row r="1489" spans="1:10" x14ac:dyDescent="0.3">
      <c r="A1489" t="s">
        <v>680</v>
      </c>
      <c r="B1489">
        <v>96</v>
      </c>
      <c r="D1489">
        <v>11.9</v>
      </c>
    </row>
    <row r="1490" spans="1:10" x14ac:dyDescent="0.3">
      <c r="A1490" t="s">
        <v>41</v>
      </c>
      <c r="B1490">
        <v>96</v>
      </c>
      <c r="D1490">
        <v>0</v>
      </c>
    </row>
    <row r="1491" spans="1:10" x14ac:dyDescent="0.3">
      <c r="A1491" t="s">
        <v>681</v>
      </c>
      <c r="B1491">
        <v>96</v>
      </c>
      <c r="D1491">
        <v>0</v>
      </c>
    </row>
    <row r="1492" spans="1:10" x14ac:dyDescent="0.3">
      <c r="A1492" t="s">
        <v>563</v>
      </c>
      <c r="B1492">
        <v>96</v>
      </c>
      <c r="D1492">
        <v>0</v>
      </c>
    </row>
    <row r="1493" spans="1:10" x14ac:dyDescent="0.3">
      <c r="A1493" t="s">
        <v>682</v>
      </c>
      <c r="B1493">
        <v>96</v>
      </c>
      <c r="D1493">
        <v>0</v>
      </c>
    </row>
    <row r="1494" spans="1:10" x14ac:dyDescent="0.3">
      <c r="A1494" t="s">
        <v>683</v>
      </c>
      <c r="B1494">
        <v>96</v>
      </c>
      <c r="D1494">
        <v>16</v>
      </c>
    </row>
    <row r="1495" spans="1:10" x14ac:dyDescent="0.3">
      <c r="A1495" t="s">
        <v>684</v>
      </c>
      <c r="B1495">
        <v>96</v>
      </c>
      <c r="D1495">
        <v>200</v>
      </c>
    </row>
    <row r="1496" spans="1:10" x14ac:dyDescent="0.3">
      <c r="A1496" t="s">
        <v>685</v>
      </c>
      <c r="B1496">
        <v>96</v>
      </c>
      <c r="D1496">
        <v>1320</v>
      </c>
    </row>
    <row r="1497" spans="1:10" x14ac:dyDescent="0.3">
      <c r="A1497" t="s">
        <v>686</v>
      </c>
      <c r="B1497">
        <v>96</v>
      </c>
      <c r="D1497">
        <v>880</v>
      </c>
    </row>
    <row r="1498" spans="1:10" x14ac:dyDescent="0.3">
      <c r="A1498" t="s">
        <v>687</v>
      </c>
      <c r="B1498">
        <v>96</v>
      </c>
      <c r="D1498">
        <v>1760</v>
      </c>
    </row>
    <row r="1499" spans="1:10" x14ac:dyDescent="0.3">
      <c r="A1499" t="s">
        <v>688</v>
      </c>
      <c r="B1499">
        <v>96</v>
      </c>
    </row>
    <row r="1500" spans="1:10" x14ac:dyDescent="0.3">
      <c r="A1500" t="s">
        <v>689</v>
      </c>
      <c r="B1500">
        <v>96</v>
      </c>
    </row>
    <row r="1501" spans="1:10" x14ac:dyDescent="0.3">
      <c r="A1501" t="s">
        <v>690</v>
      </c>
      <c r="B1501">
        <v>96</v>
      </c>
    </row>
    <row r="1502" spans="1:10" x14ac:dyDescent="0.3">
      <c r="A1502" t="s">
        <v>691</v>
      </c>
      <c r="B1502">
        <v>96</v>
      </c>
      <c r="D1502" t="b">
        <v>0</v>
      </c>
    </row>
    <row r="1503" spans="1:10" x14ac:dyDescent="0.3">
      <c r="A1503" t="s">
        <v>692</v>
      </c>
      <c r="B1503">
        <v>96</v>
      </c>
      <c r="D1503" t="b">
        <v>0</v>
      </c>
    </row>
    <row r="1504" spans="1:10" x14ac:dyDescent="0.3">
      <c r="A1504" t="s">
        <v>678</v>
      </c>
      <c r="B1504">
        <v>97</v>
      </c>
      <c r="C1504">
        <v>99</v>
      </c>
      <c r="E1504">
        <v>53</v>
      </c>
      <c r="F1504">
        <v>56</v>
      </c>
      <c r="J1504">
        <v>60</v>
      </c>
    </row>
    <row r="1505" spans="1:10" x14ac:dyDescent="0.3">
      <c r="A1505" t="s">
        <v>36</v>
      </c>
      <c r="B1505">
        <v>97</v>
      </c>
      <c r="C1505">
        <v>0</v>
      </c>
      <c r="E1505">
        <v>4</v>
      </c>
      <c r="F1505">
        <v>3</v>
      </c>
      <c r="J1505">
        <v>1</v>
      </c>
    </row>
    <row r="1506" spans="1:10" x14ac:dyDescent="0.3">
      <c r="A1506" t="s">
        <v>503</v>
      </c>
      <c r="B1506">
        <v>97</v>
      </c>
      <c r="E1506" t="s">
        <v>695</v>
      </c>
    </row>
    <row r="1507" spans="1:10" x14ac:dyDescent="0.3">
      <c r="A1507" t="s">
        <v>679</v>
      </c>
      <c r="B1507">
        <v>97</v>
      </c>
      <c r="C1507">
        <v>233</v>
      </c>
      <c r="E1507">
        <v>1087</v>
      </c>
      <c r="F1507">
        <v>283</v>
      </c>
      <c r="J1507">
        <v>192</v>
      </c>
    </row>
    <row r="1508" spans="1:10" x14ac:dyDescent="0.3">
      <c r="A1508" t="s">
        <v>42</v>
      </c>
      <c r="B1508">
        <v>97</v>
      </c>
      <c r="C1508">
        <v>30</v>
      </c>
      <c r="E1508">
        <v>40</v>
      </c>
      <c r="F1508">
        <v>40</v>
      </c>
      <c r="J1508">
        <v>40</v>
      </c>
    </row>
    <row r="1509" spans="1:10" x14ac:dyDescent="0.3">
      <c r="A1509" t="s">
        <v>680</v>
      </c>
      <c r="B1509">
        <v>97</v>
      </c>
      <c r="C1509">
        <v>5.3</v>
      </c>
      <c r="E1509">
        <v>18.5</v>
      </c>
      <c r="F1509">
        <v>4.8</v>
      </c>
      <c r="J1509">
        <v>3.3</v>
      </c>
    </row>
    <row r="1510" spans="1:10" x14ac:dyDescent="0.3">
      <c r="A1510" t="s">
        <v>41</v>
      </c>
      <c r="B1510">
        <v>97</v>
      </c>
      <c r="C1510">
        <v>0</v>
      </c>
      <c r="E1510">
        <v>0</v>
      </c>
      <c r="F1510">
        <v>0</v>
      </c>
      <c r="J1510">
        <v>0</v>
      </c>
    </row>
    <row r="1511" spans="1:10" x14ac:dyDescent="0.3">
      <c r="A1511" t="s">
        <v>681</v>
      </c>
      <c r="B1511">
        <v>97</v>
      </c>
      <c r="C1511">
        <v>0</v>
      </c>
      <c r="E1511">
        <v>24</v>
      </c>
      <c r="F1511">
        <v>24</v>
      </c>
      <c r="J1511">
        <v>0</v>
      </c>
    </row>
    <row r="1512" spans="1:10" x14ac:dyDescent="0.3">
      <c r="A1512" t="s">
        <v>563</v>
      </c>
      <c r="B1512">
        <v>97</v>
      </c>
      <c r="C1512">
        <v>0</v>
      </c>
      <c r="E1512">
        <v>0</v>
      </c>
      <c r="F1512">
        <v>0</v>
      </c>
      <c r="J1512">
        <v>0</v>
      </c>
    </row>
    <row r="1513" spans="1:10" x14ac:dyDescent="0.3">
      <c r="A1513" t="s">
        <v>682</v>
      </c>
      <c r="B1513">
        <v>97</v>
      </c>
      <c r="C1513">
        <v>0</v>
      </c>
      <c r="E1513">
        <v>0</v>
      </c>
      <c r="F1513">
        <v>1</v>
      </c>
      <c r="J1513">
        <v>0</v>
      </c>
    </row>
    <row r="1514" spans="1:10" x14ac:dyDescent="0.3">
      <c r="A1514" t="s">
        <v>683</v>
      </c>
      <c r="B1514">
        <v>97</v>
      </c>
      <c r="C1514">
        <v>16</v>
      </c>
      <c r="E1514">
        <v>16</v>
      </c>
      <c r="F1514">
        <v>16</v>
      </c>
      <c r="J1514">
        <v>16</v>
      </c>
    </row>
    <row r="1515" spans="1:10" x14ac:dyDescent="0.3">
      <c r="A1515" t="s">
        <v>684</v>
      </c>
      <c r="B1515">
        <v>97</v>
      </c>
      <c r="C1515">
        <v>200</v>
      </c>
      <c r="E1515">
        <v>200</v>
      </c>
      <c r="F1515">
        <v>200</v>
      </c>
      <c r="J1515">
        <v>200</v>
      </c>
    </row>
    <row r="1516" spans="1:10" x14ac:dyDescent="0.3">
      <c r="A1516" t="s">
        <v>685</v>
      </c>
      <c r="B1516">
        <v>97</v>
      </c>
      <c r="C1516">
        <v>1320</v>
      </c>
      <c r="E1516">
        <v>1761</v>
      </c>
      <c r="F1516">
        <v>1761</v>
      </c>
      <c r="J1516">
        <v>1761</v>
      </c>
    </row>
    <row r="1517" spans="1:10" x14ac:dyDescent="0.3">
      <c r="A1517" t="s">
        <v>686</v>
      </c>
      <c r="B1517">
        <v>97</v>
      </c>
      <c r="C1517">
        <v>880</v>
      </c>
      <c r="E1517">
        <v>1174</v>
      </c>
      <c r="F1517">
        <v>1174</v>
      </c>
      <c r="J1517">
        <v>1174</v>
      </c>
    </row>
    <row r="1518" spans="1:10" x14ac:dyDescent="0.3">
      <c r="A1518" t="s">
        <v>687</v>
      </c>
      <c r="B1518">
        <v>97</v>
      </c>
      <c r="C1518">
        <v>1760</v>
      </c>
      <c r="E1518">
        <v>2348</v>
      </c>
      <c r="F1518">
        <v>2348</v>
      </c>
      <c r="J1518">
        <v>2348</v>
      </c>
    </row>
    <row r="1519" spans="1:10" x14ac:dyDescent="0.3">
      <c r="A1519" t="s">
        <v>688</v>
      </c>
      <c r="B1519">
        <v>97</v>
      </c>
    </row>
    <row r="1520" spans="1:10" x14ac:dyDescent="0.3">
      <c r="A1520" t="s">
        <v>689</v>
      </c>
      <c r="B1520">
        <v>97</v>
      </c>
    </row>
    <row r="1521" spans="1:10" x14ac:dyDescent="0.3">
      <c r="A1521" t="s">
        <v>690</v>
      </c>
      <c r="B1521">
        <v>97</v>
      </c>
    </row>
    <row r="1522" spans="1:10" x14ac:dyDescent="0.3">
      <c r="A1522" t="s">
        <v>691</v>
      </c>
      <c r="B1522">
        <v>97</v>
      </c>
      <c r="C1522" t="b">
        <v>0</v>
      </c>
      <c r="E1522" t="b">
        <v>0</v>
      </c>
      <c r="F1522" t="b">
        <v>0</v>
      </c>
      <c r="J1522" t="b">
        <v>0</v>
      </c>
    </row>
    <row r="1523" spans="1:10" x14ac:dyDescent="0.3">
      <c r="A1523" t="s">
        <v>692</v>
      </c>
      <c r="B1523">
        <v>97</v>
      </c>
      <c r="C1523" t="b">
        <v>0</v>
      </c>
      <c r="E1523" t="b">
        <v>0</v>
      </c>
      <c r="F1523" t="b">
        <v>0</v>
      </c>
      <c r="J1523" t="b">
        <v>0</v>
      </c>
    </row>
    <row r="1524" spans="1:10" x14ac:dyDescent="0.3">
      <c r="A1524" t="s">
        <v>678</v>
      </c>
      <c r="B1524">
        <v>98</v>
      </c>
      <c r="C1524">
        <v>96</v>
      </c>
      <c r="D1524">
        <v>56</v>
      </c>
    </row>
    <row r="1525" spans="1:10" x14ac:dyDescent="0.3">
      <c r="A1525" t="s">
        <v>36</v>
      </c>
      <c r="B1525">
        <v>98</v>
      </c>
      <c r="C1525" t="s">
        <v>721</v>
      </c>
      <c r="D1525" t="s">
        <v>699</v>
      </c>
    </row>
    <row r="1526" spans="1:10" x14ac:dyDescent="0.3">
      <c r="A1526" t="s">
        <v>503</v>
      </c>
      <c r="B1526">
        <v>98</v>
      </c>
    </row>
    <row r="1527" spans="1:10" x14ac:dyDescent="0.3">
      <c r="A1527" t="s">
        <v>679</v>
      </c>
      <c r="B1527">
        <v>98</v>
      </c>
      <c r="C1527">
        <v>523</v>
      </c>
      <c r="D1527">
        <v>295</v>
      </c>
    </row>
    <row r="1528" spans="1:10" x14ac:dyDescent="0.3">
      <c r="A1528" t="s">
        <v>42</v>
      </c>
      <c r="B1528">
        <v>98</v>
      </c>
      <c r="C1528">
        <v>30</v>
      </c>
      <c r="D1528">
        <v>30</v>
      </c>
    </row>
    <row r="1529" spans="1:10" x14ac:dyDescent="0.3">
      <c r="A1529" t="s">
        <v>680</v>
      </c>
      <c r="B1529">
        <v>98</v>
      </c>
      <c r="C1529">
        <v>11.9</v>
      </c>
      <c r="D1529">
        <v>6.7</v>
      </c>
    </row>
    <row r="1530" spans="1:10" x14ac:dyDescent="0.3">
      <c r="A1530" t="s">
        <v>41</v>
      </c>
      <c r="B1530">
        <v>98</v>
      </c>
      <c r="C1530">
        <v>0</v>
      </c>
      <c r="D1530">
        <v>0</v>
      </c>
    </row>
    <row r="1531" spans="1:10" x14ac:dyDescent="0.3">
      <c r="A1531" t="s">
        <v>681</v>
      </c>
      <c r="B1531">
        <v>98</v>
      </c>
      <c r="C1531">
        <v>0</v>
      </c>
      <c r="D1531">
        <v>0</v>
      </c>
    </row>
    <row r="1532" spans="1:10" x14ac:dyDescent="0.3">
      <c r="A1532" t="s">
        <v>563</v>
      </c>
      <c r="B1532">
        <v>98</v>
      </c>
      <c r="C1532">
        <v>0</v>
      </c>
      <c r="D1532">
        <v>0</v>
      </c>
    </row>
    <row r="1533" spans="1:10" x14ac:dyDescent="0.3">
      <c r="A1533" t="s">
        <v>682</v>
      </c>
      <c r="B1533">
        <v>98</v>
      </c>
      <c r="C1533">
        <v>0</v>
      </c>
      <c r="D1533">
        <v>0</v>
      </c>
    </row>
    <row r="1534" spans="1:10" x14ac:dyDescent="0.3">
      <c r="A1534" t="s">
        <v>683</v>
      </c>
      <c r="B1534">
        <v>98</v>
      </c>
      <c r="C1534">
        <v>16</v>
      </c>
      <c r="D1534">
        <v>16</v>
      </c>
    </row>
    <row r="1535" spans="1:10" x14ac:dyDescent="0.3">
      <c r="A1535" t="s">
        <v>684</v>
      </c>
      <c r="B1535">
        <v>98</v>
      </c>
      <c r="C1535">
        <v>100</v>
      </c>
      <c r="D1535">
        <v>100</v>
      </c>
    </row>
    <row r="1536" spans="1:10" x14ac:dyDescent="0.3">
      <c r="A1536" t="s">
        <v>685</v>
      </c>
      <c r="B1536">
        <v>98</v>
      </c>
      <c r="C1536">
        <v>1320</v>
      </c>
      <c r="D1536">
        <v>1320</v>
      </c>
    </row>
    <row r="1537" spans="1:9" x14ac:dyDescent="0.3">
      <c r="A1537" t="s">
        <v>686</v>
      </c>
      <c r="B1537">
        <v>98</v>
      </c>
      <c r="C1537">
        <v>880</v>
      </c>
      <c r="D1537">
        <v>880</v>
      </c>
    </row>
    <row r="1538" spans="1:9" x14ac:dyDescent="0.3">
      <c r="A1538" t="s">
        <v>687</v>
      </c>
      <c r="B1538">
        <v>98</v>
      </c>
      <c r="C1538">
        <v>1760</v>
      </c>
      <c r="D1538">
        <v>1760</v>
      </c>
    </row>
    <row r="1539" spans="1:9" x14ac:dyDescent="0.3">
      <c r="A1539" t="s">
        <v>688</v>
      </c>
      <c r="B1539">
        <v>98</v>
      </c>
    </row>
    <row r="1540" spans="1:9" x14ac:dyDescent="0.3">
      <c r="A1540" t="s">
        <v>689</v>
      </c>
      <c r="B1540">
        <v>98</v>
      </c>
    </row>
    <row r="1541" spans="1:9" x14ac:dyDescent="0.3">
      <c r="A1541" t="s">
        <v>690</v>
      </c>
      <c r="B1541">
        <v>98</v>
      </c>
    </row>
    <row r="1542" spans="1:9" x14ac:dyDescent="0.3">
      <c r="A1542" t="s">
        <v>691</v>
      </c>
      <c r="B1542">
        <v>98</v>
      </c>
      <c r="C1542" t="b">
        <v>0</v>
      </c>
      <c r="D1542" t="b">
        <v>0</v>
      </c>
    </row>
    <row r="1543" spans="1:9" x14ac:dyDescent="0.3">
      <c r="A1543" t="s">
        <v>692</v>
      </c>
      <c r="B1543">
        <v>98</v>
      </c>
      <c r="C1543" t="b">
        <v>0</v>
      </c>
      <c r="D1543" t="b">
        <v>0</v>
      </c>
    </row>
    <row r="1544" spans="1:9" x14ac:dyDescent="0.3">
      <c r="A1544" t="s">
        <v>678</v>
      </c>
      <c r="B1544">
        <v>99</v>
      </c>
      <c r="C1544">
        <v>59</v>
      </c>
      <c r="D1544">
        <v>56</v>
      </c>
      <c r="I1544">
        <v>97</v>
      </c>
    </row>
    <row r="1545" spans="1:9" x14ac:dyDescent="0.3">
      <c r="A1545" t="s">
        <v>36</v>
      </c>
      <c r="B1545">
        <v>99</v>
      </c>
      <c r="C1545">
        <v>0</v>
      </c>
      <c r="D1545">
        <v>2</v>
      </c>
      <c r="I1545">
        <v>1</v>
      </c>
    </row>
    <row r="1546" spans="1:9" x14ac:dyDescent="0.3">
      <c r="A1546" t="s">
        <v>503</v>
      </c>
      <c r="B1546">
        <v>99</v>
      </c>
      <c r="C1546" t="s">
        <v>715</v>
      </c>
    </row>
    <row r="1547" spans="1:9" x14ac:dyDescent="0.3">
      <c r="A1547" t="s">
        <v>679</v>
      </c>
      <c r="B1547">
        <v>99</v>
      </c>
      <c r="C1547">
        <v>383</v>
      </c>
      <c r="D1547">
        <v>289</v>
      </c>
      <c r="I1547">
        <v>233</v>
      </c>
    </row>
    <row r="1548" spans="1:9" x14ac:dyDescent="0.3">
      <c r="A1548" t="s">
        <v>42</v>
      </c>
      <c r="B1548">
        <v>99</v>
      </c>
      <c r="C1548">
        <v>30</v>
      </c>
      <c r="D1548">
        <v>30</v>
      </c>
      <c r="I1548">
        <v>30</v>
      </c>
    </row>
    <row r="1549" spans="1:9" x14ac:dyDescent="0.3">
      <c r="A1549" t="s">
        <v>680</v>
      </c>
      <c r="B1549">
        <v>99</v>
      </c>
      <c r="C1549">
        <v>8.6999999999999993</v>
      </c>
      <c r="D1549">
        <v>6.6</v>
      </c>
      <c r="I1549">
        <v>5.3</v>
      </c>
    </row>
    <row r="1550" spans="1:9" x14ac:dyDescent="0.3">
      <c r="A1550" t="s">
        <v>41</v>
      </c>
      <c r="B1550">
        <v>99</v>
      </c>
      <c r="C1550">
        <v>0</v>
      </c>
      <c r="D1550">
        <v>0</v>
      </c>
      <c r="I1550">
        <v>0</v>
      </c>
    </row>
    <row r="1551" spans="1:9" x14ac:dyDescent="0.3">
      <c r="A1551" t="s">
        <v>681</v>
      </c>
      <c r="B1551">
        <v>99</v>
      </c>
      <c r="C1551">
        <v>0</v>
      </c>
      <c r="D1551">
        <v>0</v>
      </c>
      <c r="I1551">
        <v>0</v>
      </c>
    </row>
    <row r="1552" spans="1:9" x14ac:dyDescent="0.3">
      <c r="A1552" t="s">
        <v>563</v>
      </c>
      <c r="B1552">
        <v>99</v>
      </c>
      <c r="C1552">
        <v>0</v>
      </c>
      <c r="D1552">
        <v>0</v>
      </c>
      <c r="I1552">
        <v>0</v>
      </c>
    </row>
    <row r="1553" spans="1:9" x14ac:dyDescent="0.3">
      <c r="A1553" t="s">
        <v>682</v>
      </c>
      <c r="B1553">
        <v>99</v>
      </c>
      <c r="C1553">
        <v>0</v>
      </c>
      <c r="D1553">
        <v>0</v>
      </c>
      <c r="I1553">
        <v>0</v>
      </c>
    </row>
    <row r="1554" spans="1:9" x14ac:dyDescent="0.3">
      <c r="A1554" t="s">
        <v>683</v>
      </c>
      <c r="B1554">
        <v>99</v>
      </c>
      <c r="C1554">
        <v>16</v>
      </c>
      <c r="D1554">
        <v>16</v>
      </c>
      <c r="I1554">
        <v>16</v>
      </c>
    </row>
    <row r="1555" spans="1:9" x14ac:dyDescent="0.3">
      <c r="A1555" t="s">
        <v>684</v>
      </c>
      <c r="B1555">
        <v>99</v>
      </c>
      <c r="C1555">
        <v>200</v>
      </c>
      <c r="D1555">
        <v>200</v>
      </c>
      <c r="I1555">
        <v>200</v>
      </c>
    </row>
    <row r="1556" spans="1:9" x14ac:dyDescent="0.3">
      <c r="A1556" t="s">
        <v>685</v>
      </c>
      <c r="B1556">
        <v>99</v>
      </c>
      <c r="C1556">
        <v>1320</v>
      </c>
      <c r="D1556">
        <v>1320</v>
      </c>
      <c r="I1556">
        <v>1320</v>
      </c>
    </row>
    <row r="1557" spans="1:9" x14ac:dyDescent="0.3">
      <c r="A1557" t="s">
        <v>686</v>
      </c>
      <c r="B1557">
        <v>99</v>
      </c>
      <c r="C1557">
        <v>880</v>
      </c>
      <c r="D1557">
        <v>880</v>
      </c>
      <c r="I1557">
        <v>880</v>
      </c>
    </row>
    <row r="1558" spans="1:9" x14ac:dyDescent="0.3">
      <c r="A1558" t="s">
        <v>687</v>
      </c>
      <c r="B1558">
        <v>99</v>
      </c>
      <c r="C1558">
        <v>1760</v>
      </c>
      <c r="D1558">
        <v>1760</v>
      </c>
      <c r="I1558">
        <v>1760</v>
      </c>
    </row>
    <row r="1559" spans="1:9" x14ac:dyDescent="0.3">
      <c r="A1559" t="s">
        <v>688</v>
      </c>
      <c r="B1559">
        <v>99</v>
      </c>
      <c r="D1559">
        <v>30843</v>
      </c>
    </row>
    <row r="1560" spans="1:9" x14ac:dyDescent="0.3">
      <c r="A1560" t="s">
        <v>689</v>
      </c>
      <c r="B1560">
        <v>99</v>
      </c>
      <c r="D1560">
        <v>-229</v>
      </c>
    </row>
    <row r="1561" spans="1:9" x14ac:dyDescent="0.3">
      <c r="A1561" t="s">
        <v>690</v>
      </c>
      <c r="B1561">
        <v>99</v>
      </c>
      <c r="D1561">
        <v>0</v>
      </c>
    </row>
    <row r="1562" spans="1:9" x14ac:dyDescent="0.3">
      <c r="A1562" t="s">
        <v>691</v>
      </c>
      <c r="B1562">
        <v>99</v>
      </c>
      <c r="C1562" t="b">
        <v>0</v>
      </c>
      <c r="D1562" t="b">
        <v>0</v>
      </c>
      <c r="I1562" t="b">
        <v>0</v>
      </c>
    </row>
    <row r="1563" spans="1:9" x14ac:dyDescent="0.3">
      <c r="A1563" t="s">
        <v>692</v>
      </c>
      <c r="B1563">
        <v>99</v>
      </c>
      <c r="C1563" t="b">
        <v>0</v>
      </c>
      <c r="D1563" t="b">
        <v>0</v>
      </c>
      <c r="I1563" t="b">
        <v>0</v>
      </c>
    </row>
    <row r="1564" spans="1:9" x14ac:dyDescent="0.3">
      <c r="A1564" t="s">
        <v>678</v>
      </c>
      <c r="B1564">
        <v>100</v>
      </c>
      <c r="D1564">
        <v>53</v>
      </c>
    </row>
    <row r="1565" spans="1:9" x14ac:dyDescent="0.3">
      <c r="A1565" t="s">
        <v>36</v>
      </c>
      <c r="B1565">
        <v>100</v>
      </c>
      <c r="D1565" t="s">
        <v>698</v>
      </c>
    </row>
    <row r="1566" spans="1:9" x14ac:dyDescent="0.3">
      <c r="A1566" t="s">
        <v>503</v>
      </c>
      <c r="B1566">
        <v>100</v>
      </c>
    </row>
    <row r="1567" spans="1:9" x14ac:dyDescent="0.3">
      <c r="A1567" t="s">
        <v>679</v>
      </c>
      <c r="B1567">
        <v>100</v>
      </c>
      <c r="D1567">
        <v>249</v>
      </c>
    </row>
    <row r="1568" spans="1:9" x14ac:dyDescent="0.3">
      <c r="A1568" t="s">
        <v>42</v>
      </c>
      <c r="B1568">
        <v>100</v>
      </c>
      <c r="D1568">
        <v>30</v>
      </c>
    </row>
    <row r="1569" spans="1:4" x14ac:dyDescent="0.3">
      <c r="A1569" t="s">
        <v>680</v>
      </c>
      <c r="B1569">
        <v>100</v>
      </c>
      <c r="D1569">
        <v>5.7</v>
      </c>
    </row>
    <row r="1570" spans="1:4" x14ac:dyDescent="0.3">
      <c r="A1570" t="s">
        <v>41</v>
      </c>
      <c r="B1570">
        <v>100</v>
      </c>
      <c r="D1570">
        <v>0</v>
      </c>
    </row>
    <row r="1571" spans="1:4" x14ac:dyDescent="0.3">
      <c r="A1571" t="s">
        <v>681</v>
      </c>
      <c r="B1571">
        <v>100</v>
      </c>
      <c r="D1571">
        <v>0</v>
      </c>
    </row>
    <row r="1572" spans="1:4" x14ac:dyDescent="0.3">
      <c r="A1572" t="s">
        <v>563</v>
      </c>
      <c r="B1572">
        <v>100</v>
      </c>
      <c r="D1572">
        <v>0</v>
      </c>
    </row>
    <row r="1573" spans="1:4" x14ac:dyDescent="0.3">
      <c r="A1573" t="s">
        <v>682</v>
      </c>
      <c r="B1573">
        <v>100</v>
      </c>
      <c r="D1573">
        <v>0</v>
      </c>
    </row>
    <row r="1574" spans="1:4" x14ac:dyDescent="0.3">
      <c r="A1574" t="s">
        <v>683</v>
      </c>
      <c r="B1574">
        <v>100</v>
      </c>
      <c r="D1574">
        <v>16</v>
      </c>
    </row>
    <row r="1575" spans="1:4" x14ac:dyDescent="0.3">
      <c r="A1575" t="s">
        <v>684</v>
      </c>
      <c r="B1575">
        <v>100</v>
      </c>
      <c r="D1575">
        <v>200</v>
      </c>
    </row>
    <row r="1576" spans="1:4" x14ac:dyDescent="0.3">
      <c r="A1576" t="s">
        <v>685</v>
      </c>
      <c r="B1576">
        <v>100</v>
      </c>
      <c r="D1576">
        <v>1320</v>
      </c>
    </row>
    <row r="1577" spans="1:4" x14ac:dyDescent="0.3">
      <c r="A1577" t="s">
        <v>686</v>
      </c>
      <c r="B1577">
        <v>100</v>
      </c>
      <c r="D1577">
        <v>880</v>
      </c>
    </row>
    <row r="1578" spans="1:4" x14ac:dyDescent="0.3">
      <c r="A1578" t="s">
        <v>687</v>
      </c>
      <c r="B1578">
        <v>100</v>
      </c>
      <c r="D1578">
        <v>1760</v>
      </c>
    </row>
    <row r="1579" spans="1:4" x14ac:dyDescent="0.3">
      <c r="A1579" t="s">
        <v>688</v>
      </c>
      <c r="B1579">
        <v>100</v>
      </c>
    </row>
    <row r="1580" spans="1:4" x14ac:dyDescent="0.3">
      <c r="A1580" t="s">
        <v>689</v>
      </c>
      <c r="B1580">
        <v>100</v>
      </c>
    </row>
    <row r="1581" spans="1:4" x14ac:dyDescent="0.3">
      <c r="A1581" t="s">
        <v>690</v>
      </c>
      <c r="B1581">
        <v>100</v>
      </c>
    </row>
    <row r="1582" spans="1:4" x14ac:dyDescent="0.3">
      <c r="A1582" t="s">
        <v>691</v>
      </c>
      <c r="B1582">
        <v>100</v>
      </c>
      <c r="D1582" t="b">
        <v>0</v>
      </c>
    </row>
    <row r="1583" spans="1:4" x14ac:dyDescent="0.3">
      <c r="A1583" t="s">
        <v>692</v>
      </c>
      <c r="B1583">
        <v>100</v>
      </c>
      <c r="D158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1295"/>
  <sheetViews>
    <sheetView workbookViewId="0"/>
  </sheetViews>
  <sheetFormatPr defaultRowHeight="14.4" x14ac:dyDescent="0.3"/>
  <sheetData>
    <row r="1" spans="1:24" x14ac:dyDescent="0.3">
      <c r="A1" t="s">
        <v>564</v>
      </c>
    </row>
    <row r="2" spans="1:24" x14ac:dyDescent="0.3">
      <c r="A2" t="s">
        <v>722</v>
      </c>
    </row>
    <row r="3" spans="1:24" x14ac:dyDescent="0.3">
      <c r="A3" t="s">
        <v>0</v>
      </c>
      <c r="B3" t="s">
        <v>1</v>
      </c>
      <c r="C3" t="s">
        <v>2</v>
      </c>
      <c r="D3" t="s">
        <v>3</v>
      </c>
      <c r="E3" t="s">
        <v>4</v>
      </c>
      <c r="F3" t="s">
        <v>5</v>
      </c>
      <c r="G3" t="s">
        <v>6</v>
      </c>
      <c r="H3" t="s">
        <v>8</v>
      </c>
      <c r="I3" t="s">
        <v>9</v>
      </c>
      <c r="J3" t="s">
        <v>10</v>
      </c>
      <c r="K3" t="s">
        <v>12</v>
      </c>
      <c r="L3" t="s">
        <v>13</v>
      </c>
      <c r="M3" t="s">
        <v>14</v>
      </c>
      <c r="N3" t="s">
        <v>15</v>
      </c>
      <c r="O3" t="s">
        <v>16</v>
      </c>
      <c r="P3" t="s">
        <v>723</v>
      </c>
      <c r="Q3" t="s">
        <v>17</v>
      </c>
      <c r="R3" t="s">
        <v>18</v>
      </c>
      <c r="S3" t="s">
        <v>19</v>
      </c>
      <c r="T3" t="s">
        <v>20</v>
      </c>
      <c r="U3" t="s">
        <v>21</v>
      </c>
      <c r="V3" t="s">
        <v>724</v>
      </c>
      <c r="W3" t="s">
        <v>22</v>
      </c>
      <c r="X3" t="s">
        <v>23</v>
      </c>
    </row>
    <row r="4" spans="1:24" x14ac:dyDescent="0.3">
      <c r="A4" t="s">
        <v>34</v>
      </c>
      <c r="B4">
        <v>3</v>
      </c>
      <c r="D4">
        <v>2</v>
      </c>
      <c r="E4">
        <v>2</v>
      </c>
      <c r="F4">
        <v>2</v>
      </c>
      <c r="H4">
        <v>1</v>
      </c>
      <c r="I4">
        <v>1</v>
      </c>
      <c r="J4">
        <v>1</v>
      </c>
      <c r="L4">
        <v>4</v>
      </c>
      <c r="M4">
        <v>4</v>
      </c>
      <c r="N4">
        <v>4</v>
      </c>
      <c r="P4">
        <v>6</v>
      </c>
      <c r="R4">
        <v>6</v>
      </c>
      <c r="S4">
        <v>6</v>
      </c>
      <c r="T4">
        <v>6</v>
      </c>
    </row>
    <row r="5" spans="1:24" x14ac:dyDescent="0.3">
      <c r="A5" t="s">
        <v>35</v>
      </c>
      <c r="B5">
        <v>3</v>
      </c>
      <c r="D5">
        <v>4</v>
      </c>
      <c r="E5">
        <v>1</v>
      </c>
      <c r="F5">
        <v>6</v>
      </c>
      <c r="H5">
        <v>6</v>
      </c>
      <c r="I5">
        <v>2</v>
      </c>
      <c r="J5">
        <v>4</v>
      </c>
      <c r="L5">
        <v>1</v>
      </c>
      <c r="M5">
        <v>6</v>
      </c>
      <c r="N5">
        <v>2</v>
      </c>
      <c r="P5">
        <v>6</v>
      </c>
      <c r="R5">
        <v>2</v>
      </c>
      <c r="S5">
        <v>4</v>
      </c>
      <c r="T5">
        <v>1</v>
      </c>
    </row>
    <row r="6" spans="1:24" x14ac:dyDescent="0.3">
      <c r="A6" t="s">
        <v>36</v>
      </c>
      <c r="B6">
        <v>3</v>
      </c>
      <c r="D6">
        <v>0</v>
      </c>
      <c r="E6">
        <v>1</v>
      </c>
      <c r="F6">
        <v>0</v>
      </c>
      <c r="H6">
        <v>0</v>
      </c>
      <c r="I6">
        <v>1</v>
      </c>
      <c r="J6">
        <v>0</v>
      </c>
      <c r="L6">
        <v>1</v>
      </c>
      <c r="M6">
        <v>3</v>
      </c>
      <c r="N6">
        <v>0</v>
      </c>
      <c r="P6">
        <v>0</v>
      </c>
      <c r="R6">
        <v>1</v>
      </c>
      <c r="S6">
        <v>3</v>
      </c>
      <c r="T6">
        <v>0</v>
      </c>
    </row>
    <row r="7" spans="1:24" x14ac:dyDescent="0.3">
      <c r="A7" t="s">
        <v>37</v>
      </c>
      <c r="B7">
        <v>3</v>
      </c>
      <c r="D7">
        <v>0</v>
      </c>
      <c r="E7">
        <v>3</v>
      </c>
      <c r="H7">
        <v>0</v>
      </c>
      <c r="I7">
        <v>3</v>
      </c>
      <c r="L7">
        <v>0</v>
      </c>
      <c r="M7">
        <v>2</v>
      </c>
      <c r="R7">
        <v>0</v>
      </c>
      <c r="S7">
        <v>2</v>
      </c>
    </row>
    <row r="8" spans="1:24" x14ac:dyDescent="0.3">
      <c r="A8" t="s">
        <v>38</v>
      </c>
      <c r="B8">
        <v>3</v>
      </c>
      <c r="D8">
        <v>12</v>
      </c>
      <c r="E8">
        <v>12</v>
      </c>
      <c r="F8">
        <v>12</v>
      </c>
      <c r="H8">
        <v>12</v>
      </c>
      <c r="I8">
        <v>12</v>
      </c>
      <c r="J8">
        <v>12</v>
      </c>
      <c r="L8">
        <v>12</v>
      </c>
      <c r="M8">
        <v>12</v>
      </c>
      <c r="N8">
        <v>12</v>
      </c>
      <c r="P8">
        <v>12</v>
      </c>
      <c r="R8">
        <v>12</v>
      </c>
      <c r="S8">
        <v>12</v>
      </c>
      <c r="T8">
        <v>12</v>
      </c>
    </row>
    <row r="9" spans="1:24" x14ac:dyDescent="0.3">
      <c r="A9" t="s">
        <v>39</v>
      </c>
      <c r="B9">
        <v>3</v>
      </c>
      <c r="L9">
        <v>105</v>
      </c>
      <c r="R9">
        <v>120</v>
      </c>
    </row>
    <row r="10" spans="1:24" x14ac:dyDescent="0.3">
      <c r="A10" t="s">
        <v>726</v>
      </c>
      <c r="B10">
        <v>3</v>
      </c>
      <c r="L10">
        <v>25</v>
      </c>
      <c r="R10">
        <v>25</v>
      </c>
    </row>
    <row r="11" spans="1:24" x14ac:dyDescent="0.3">
      <c r="A11" t="s">
        <v>40</v>
      </c>
      <c r="B11">
        <v>3</v>
      </c>
      <c r="L11">
        <v>1</v>
      </c>
      <c r="R11">
        <v>1</v>
      </c>
    </row>
    <row r="12" spans="1:24" x14ac:dyDescent="0.3">
      <c r="A12" t="s">
        <v>41</v>
      </c>
      <c r="B12">
        <v>3</v>
      </c>
    </row>
    <row r="13" spans="1:24" x14ac:dyDescent="0.3">
      <c r="A13" t="s">
        <v>42</v>
      </c>
      <c r="B13">
        <v>3</v>
      </c>
      <c r="E13">
        <v>30</v>
      </c>
      <c r="I13">
        <v>30</v>
      </c>
      <c r="M13">
        <v>40</v>
      </c>
      <c r="S13">
        <v>40</v>
      </c>
    </row>
    <row r="14" spans="1:24" x14ac:dyDescent="0.3">
      <c r="A14" t="s">
        <v>45</v>
      </c>
      <c r="B14">
        <v>3</v>
      </c>
      <c r="E14">
        <v>4</v>
      </c>
      <c r="I14">
        <v>8</v>
      </c>
      <c r="M14">
        <v>6</v>
      </c>
      <c r="S14">
        <v>2</v>
      </c>
    </row>
    <row r="15" spans="1:24" x14ac:dyDescent="0.3">
      <c r="A15" t="s">
        <v>46</v>
      </c>
      <c r="B15">
        <v>3</v>
      </c>
      <c r="D15">
        <v>4</v>
      </c>
      <c r="H15">
        <v>8</v>
      </c>
      <c r="L15">
        <v>6</v>
      </c>
      <c r="R15">
        <v>2</v>
      </c>
    </row>
    <row r="16" spans="1:24" x14ac:dyDescent="0.3">
      <c r="A16" t="s">
        <v>49</v>
      </c>
      <c r="B16">
        <v>3</v>
      </c>
      <c r="D16">
        <v>5.6</v>
      </c>
      <c r="E16">
        <v>5.6</v>
      </c>
      <c r="F16">
        <v>4</v>
      </c>
      <c r="H16">
        <v>5.6</v>
      </c>
      <c r="I16">
        <v>5.6</v>
      </c>
      <c r="J16">
        <v>4</v>
      </c>
      <c r="L16">
        <v>5</v>
      </c>
      <c r="M16">
        <v>5</v>
      </c>
      <c r="N16">
        <v>4</v>
      </c>
      <c r="P16">
        <v>4</v>
      </c>
      <c r="R16">
        <v>5</v>
      </c>
      <c r="S16">
        <v>5</v>
      </c>
      <c r="T16">
        <v>4</v>
      </c>
    </row>
    <row r="17" spans="1:20" x14ac:dyDescent="0.3">
      <c r="A17" t="s">
        <v>727</v>
      </c>
      <c r="B17">
        <v>3</v>
      </c>
      <c r="D17">
        <v>0</v>
      </c>
      <c r="E17">
        <v>0</v>
      </c>
      <c r="F17">
        <v>0</v>
      </c>
      <c r="H17">
        <v>0</v>
      </c>
      <c r="I17">
        <v>0</v>
      </c>
      <c r="J17">
        <v>0</v>
      </c>
      <c r="L17">
        <v>0</v>
      </c>
      <c r="M17">
        <v>0</v>
      </c>
      <c r="N17">
        <v>0</v>
      </c>
      <c r="P17">
        <v>0</v>
      </c>
      <c r="R17">
        <v>0</v>
      </c>
      <c r="S17">
        <v>0</v>
      </c>
      <c r="T17">
        <v>0</v>
      </c>
    </row>
    <row r="18" spans="1:20" x14ac:dyDescent="0.3">
      <c r="A18" t="s">
        <v>48</v>
      </c>
      <c r="B18">
        <v>3</v>
      </c>
      <c r="D18">
        <v>1900</v>
      </c>
      <c r="E18">
        <v>1900</v>
      </c>
      <c r="F18">
        <v>1900</v>
      </c>
      <c r="H18">
        <v>1900</v>
      </c>
      <c r="I18">
        <v>1900</v>
      </c>
      <c r="J18">
        <v>1900</v>
      </c>
      <c r="L18">
        <v>1900</v>
      </c>
      <c r="M18">
        <v>1900</v>
      </c>
      <c r="N18">
        <v>1900</v>
      </c>
      <c r="P18">
        <v>1900</v>
      </c>
      <c r="R18">
        <v>1900</v>
      </c>
      <c r="S18">
        <v>1900</v>
      </c>
      <c r="T18">
        <v>1900</v>
      </c>
    </row>
    <row r="19" spans="1:20" x14ac:dyDescent="0.3">
      <c r="A19" t="s">
        <v>728</v>
      </c>
      <c r="B19">
        <v>3</v>
      </c>
      <c r="D19">
        <v>0</v>
      </c>
      <c r="E19">
        <v>1716</v>
      </c>
      <c r="F19">
        <v>0</v>
      </c>
      <c r="H19">
        <v>0</v>
      </c>
      <c r="I19">
        <v>1705</v>
      </c>
      <c r="J19">
        <v>0</v>
      </c>
      <c r="L19">
        <v>1770</v>
      </c>
      <c r="M19">
        <v>5075</v>
      </c>
      <c r="N19">
        <v>0</v>
      </c>
      <c r="P19">
        <v>0</v>
      </c>
      <c r="R19">
        <v>1770</v>
      </c>
      <c r="S19">
        <v>5075</v>
      </c>
      <c r="T19">
        <v>0</v>
      </c>
    </row>
    <row r="20" spans="1:20" x14ac:dyDescent="0.3">
      <c r="A20" t="s">
        <v>50</v>
      </c>
      <c r="B20">
        <v>3</v>
      </c>
      <c r="D20">
        <v>0</v>
      </c>
      <c r="E20">
        <v>1398</v>
      </c>
      <c r="F20">
        <v>0</v>
      </c>
      <c r="H20">
        <v>0</v>
      </c>
      <c r="I20">
        <v>1463</v>
      </c>
      <c r="J20">
        <v>0</v>
      </c>
      <c r="L20">
        <v>296</v>
      </c>
      <c r="M20">
        <v>5075</v>
      </c>
      <c r="N20">
        <v>0</v>
      </c>
      <c r="P20">
        <v>0</v>
      </c>
      <c r="R20">
        <v>266</v>
      </c>
      <c r="S20">
        <v>5075</v>
      </c>
      <c r="T20">
        <v>0</v>
      </c>
    </row>
    <row r="21" spans="1:20" x14ac:dyDescent="0.3">
      <c r="A21" t="s">
        <v>729</v>
      </c>
      <c r="B21">
        <v>3</v>
      </c>
      <c r="D21">
        <v>1</v>
      </c>
      <c r="E21">
        <v>1</v>
      </c>
      <c r="F21">
        <v>1</v>
      </c>
      <c r="H21">
        <v>1</v>
      </c>
      <c r="I21">
        <v>1</v>
      </c>
      <c r="J21">
        <v>1</v>
      </c>
      <c r="L21">
        <v>1</v>
      </c>
      <c r="M21">
        <v>1</v>
      </c>
      <c r="N21">
        <v>1</v>
      </c>
      <c r="P21">
        <v>1</v>
      </c>
      <c r="R21">
        <v>1</v>
      </c>
      <c r="S21">
        <v>1</v>
      </c>
      <c r="T21">
        <v>1</v>
      </c>
    </row>
    <row r="22" spans="1:20" x14ac:dyDescent="0.3">
      <c r="A22" t="s">
        <v>51</v>
      </c>
      <c r="B22">
        <v>3</v>
      </c>
      <c r="D22">
        <v>0</v>
      </c>
      <c r="E22">
        <v>25</v>
      </c>
      <c r="F22">
        <v>0</v>
      </c>
      <c r="H22">
        <v>0</v>
      </c>
      <c r="I22">
        <v>39</v>
      </c>
      <c r="J22">
        <v>0</v>
      </c>
      <c r="L22">
        <v>0</v>
      </c>
      <c r="M22">
        <v>3</v>
      </c>
      <c r="N22">
        <v>0</v>
      </c>
      <c r="P22">
        <v>0</v>
      </c>
      <c r="R22">
        <v>0</v>
      </c>
      <c r="S22">
        <v>3</v>
      </c>
      <c r="T22">
        <v>0</v>
      </c>
    </row>
    <row r="23" spans="1:20" x14ac:dyDescent="0.3">
      <c r="A23" t="s">
        <v>53</v>
      </c>
      <c r="B23">
        <v>3</v>
      </c>
      <c r="D23">
        <v>82</v>
      </c>
      <c r="E23">
        <v>5</v>
      </c>
      <c r="F23">
        <v>52</v>
      </c>
      <c r="H23">
        <v>32</v>
      </c>
      <c r="I23">
        <v>7</v>
      </c>
      <c r="J23">
        <v>37</v>
      </c>
      <c r="L23">
        <v>34</v>
      </c>
      <c r="M23">
        <v>1303</v>
      </c>
      <c r="N23">
        <v>19</v>
      </c>
      <c r="P23">
        <v>0</v>
      </c>
      <c r="R23">
        <v>46</v>
      </c>
      <c r="S23">
        <v>1231</v>
      </c>
      <c r="T23">
        <v>18</v>
      </c>
    </row>
    <row r="24" spans="1:20" x14ac:dyDescent="0.3">
      <c r="A24" t="s">
        <v>54</v>
      </c>
      <c r="B24">
        <v>3</v>
      </c>
      <c r="D24">
        <v>0</v>
      </c>
      <c r="E24">
        <v>0</v>
      </c>
      <c r="F24">
        <v>0</v>
      </c>
      <c r="H24">
        <v>0</v>
      </c>
      <c r="I24">
        <v>0</v>
      </c>
      <c r="J24">
        <v>0</v>
      </c>
      <c r="L24">
        <v>0</v>
      </c>
      <c r="M24">
        <v>0</v>
      </c>
      <c r="N24">
        <v>0</v>
      </c>
      <c r="P24">
        <v>0</v>
      </c>
      <c r="R24">
        <v>0</v>
      </c>
      <c r="S24">
        <v>0</v>
      </c>
      <c r="T24">
        <v>0</v>
      </c>
    </row>
    <row r="25" spans="1:20" x14ac:dyDescent="0.3">
      <c r="A25" t="s">
        <v>55</v>
      </c>
      <c r="B25">
        <v>3</v>
      </c>
      <c r="D25">
        <v>0</v>
      </c>
      <c r="E25">
        <v>0</v>
      </c>
      <c r="F25">
        <v>0</v>
      </c>
      <c r="H25">
        <v>0</v>
      </c>
      <c r="I25">
        <v>0</v>
      </c>
      <c r="J25">
        <v>0</v>
      </c>
      <c r="L25">
        <v>0</v>
      </c>
      <c r="M25">
        <v>0</v>
      </c>
      <c r="N25">
        <v>0</v>
      </c>
      <c r="P25">
        <v>0</v>
      </c>
      <c r="R25">
        <v>0</v>
      </c>
      <c r="S25">
        <v>0</v>
      </c>
      <c r="T25">
        <v>0</v>
      </c>
    </row>
    <row r="26" spans="1:20" x14ac:dyDescent="0.3">
      <c r="A26" t="s">
        <v>56</v>
      </c>
      <c r="B26">
        <v>3</v>
      </c>
      <c r="D26">
        <v>0.92</v>
      </c>
      <c r="E26">
        <v>0.92</v>
      </c>
      <c r="F26">
        <v>0.92</v>
      </c>
      <c r="H26">
        <v>0.92</v>
      </c>
      <c r="I26">
        <v>0.92</v>
      </c>
      <c r="J26">
        <v>0.92</v>
      </c>
      <c r="L26">
        <v>0.92</v>
      </c>
      <c r="M26">
        <v>0.92</v>
      </c>
      <c r="N26">
        <v>0.92</v>
      </c>
      <c r="P26">
        <v>0.92</v>
      </c>
      <c r="R26">
        <v>0.92</v>
      </c>
      <c r="S26">
        <v>0.92</v>
      </c>
      <c r="T26">
        <v>0.92</v>
      </c>
    </row>
    <row r="27" spans="1:20" x14ac:dyDescent="0.3">
      <c r="A27" t="s">
        <v>57</v>
      </c>
      <c r="B27">
        <v>3</v>
      </c>
      <c r="D27">
        <v>100</v>
      </c>
      <c r="E27">
        <v>100</v>
      </c>
      <c r="F27">
        <v>100</v>
      </c>
      <c r="H27">
        <v>100</v>
      </c>
      <c r="I27">
        <v>100</v>
      </c>
      <c r="J27">
        <v>100</v>
      </c>
      <c r="L27">
        <v>100</v>
      </c>
      <c r="M27">
        <v>100</v>
      </c>
      <c r="N27">
        <v>100</v>
      </c>
      <c r="P27">
        <v>100</v>
      </c>
      <c r="R27">
        <v>100</v>
      </c>
      <c r="S27">
        <v>100</v>
      </c>
      <c r="T27">
        <v>100</v>
      </c>
    </row>
    <row r="28" spans="1:20" x14ac:dyDescent="0.3">
      <c r="A28" t="s">
        <v>58</v>
      </c>
      <c r="B28">
        <v>3</v>
      </c>
      <c r="D28">
        <v>2</v>
      </c>
      <c r="E28">
        <v>2</v>
      </c>
      <c r="F28">
        <v>2</v>
      </c>
      <c r="H28">
        <v>2</v>
      </c>
      <c r="I28">
        <v>2</v>
      </c>
      <c r="J28">
        <v>2</v>
      </c>
      <c r="L28">
        <v>2</v>
      </c>
      <c r="M28">
        <v>2</v>
      </c>
      <c r="N28">
        <v>2</v>
      </c>
      <c r="P28">
        <v>2</v>
      </c>
      <c r="R28">
        <v>2</v>
      </c>
      <c r="S28">
        <v>2</v>
      </c>
      <c r="T28">
        <v>2</v>
      </c>
    </row>
    <row r="29" spans="1:20" x14ac:dyDescent="0.3">
      <c r="A29" t="s">
        <v>59</v>
      </c>
      <c r="B29">
        <v>3</v>
      </c>
      <c r="D29">
        <v>0</v>
      </c>
      <c r="E29">
        <v>0</v>
      </c>
      <c r="F29">
        <v>0</v>
      </c>
      <c r="H29">
        <v>0</v>
      </c>
      <c r="I29">
        <v>0</v>
      </c>
      <c r="J29">
        <v>0</v>
      </c>
      <c r="L29">
        <v>0</v>
      </c>
      <c r="M29">
        <v>0</v>
      </c>
      <c r="N29">
        <v>0</v>
      </c>
      <c r="P29">
        <v>0</v>
      </c>
      <c r="R29">
        <v>0</v>
      </c>
      <c r="S29">
        <v>0</v>
      </c>
      <c r="T29">
        <v>0</v>
      </c>
    </row>
    <row r="30" spans="1:20" x14ac:dyDescent="0.3">
      <c r="A30" t="s">
        <v>730</v>
      </c>
      <c r="B30">
        <v>3</v>
      </c>
      <c r="E30">
        <v>0</v>
      </c>
      <c r="I30">
        <v>0</v>
      </c>
      <c r="M30">
        <v>0</v>
      </c>
      <c r="S30">
        <v>0</v>
      </c>
    </row>
    <row r="31" spans="1:20" x14ac:dyDescent="0.3">
      <c r="A31" t="s">
        <v>679</v>
      </c>
      <c r="B31">
        <v>3</v>
      </c>
      <c r="E31">
        <v>368</v>
      </c>
      <c r="I31">
        <v>738</v>
      </c>
      <c r="M31">
        <v>1111</v>
      </c>
      <c r="S31">
        <v>1297</v>
      </c>
    </row>
    <row r="32" spans="1:20" x14ac:dyDescent="0.3">
      <c r="A32" t="s">
        <v>78</v>
      </c>
      <c r="B32">
        <v>3</v>
      </c>
      <c r="E32">
        <v>8.4</v>
      </c>
      <c r="I32">
        <v>16.8</v>
      </c>
      <c r="M32">
        <v>18.899999999999999</v>
      </c>
      <c r="S32">
        <v>22.1</v>
      </c>
    </row>
    <row r="33" spans="1:20" x14ac:dyDescent="0.3">
      <c r="A33" t="s">
        <v>731</v>
      </c>
      <c r="B33">
        <v>3</v>
      </c>
      <c r="F33">
        <v>0</v>
      </c>
      <c r="J33">
        <v>0</v>
      </c>
      <c r="N33">
        <v>0</v>
      </c>
      <c r="T33">
        <v>0</v>
      </c>
    </row>
    <row r="34" spans="1:20" x14ac:dyDescent="0.3">
      <c r="A34" t="s">
        <v>732</v>
      </c>
      <c r="B34">
        <v>3</v>
      </c>
      <c r="D34">
        <v>0</v>
      </c>
      <c r="E34">
        <v>0</v>
      </c>
      <c r="F34">
        <v>1</v>
      </c>
      <c r="H34">
        <v>0</v>
      </c>
      <c r="I34">
        <v>0</v>
      </c>
      <c r="J34">
        <v>1</v>
      </c>
      <c r="L34">
        <v>0</v>
      </c>
      <c r="M34">
        <v>0</v>
      </c>
      <c r="N34">
        <v>1</v>
      </c>
      <c r="P34">
        <v>3</v>
      </c>
      <c r="R34">
        <v>0</v>
      </c>
      <c r="S34">
        <v>0</v>
      </c>
      <c r="T34">
        <v>1</v>
      </c>
    </row>
    <row r="35" spans="1:20" x14ac:dyDescent="0.3">
      <c r="A35" t="s">
        <v>733</v>
      </c>
      <c r="B35">
        <v>3</v>
      </c>
      <c r="D35">
        <v>0</v>
      </c>
      <c r="E35">
        <v>0</v>
      </c>
      <c r="F35">
        <v>0</v>
      </c>
      <c r="H35">
        <v>0</v>
      </c>
      <c r="I35">
        <v>0</v>
      </c>
      <c r="J35">
        <v>0</v>
      </c>
      <c r="L35">
        <v>0</v>
      </c>
      <c r="M35">
        <v>0</v>
      </c>
      <c r="N35">
        <v>0</v>
      </c>
      <c r="P35">
        <v>0</v>
      </c>
      <c r="R35">
        <v>0</v>
      </c>
      <c r="S35">
        <v>0</v>
      </c>
      <c r="T35">
        <v>0</v>
      </c>
    </row>
    <row r="36" spans="1:20" x14ac:dyDescent="0.3">
      <c r="A36" t="s">
        <v>52</v>
      </c>
      <c r="B36">
        <v>3</v>
      </c>
      <c r="D36">
        <v>1</v>
      </c>
      <c r="E36">
        <v>1</v>
      </c>
      <c r="F36">
        <v>1</v>
      </c>
      <c r="H36">
        <v>1</v>
      </c>
      <c r="I36">
        <v>1</v>
      </c>
      <c r="J36">
        <v>1</v>
      </c>
      <c r="L36">
        <v>1</v>
      </c>
      <c r="M36">
        <v>1</v>
      </c>
      <c r="N36">
        <v>1</v>
      </c>
      <c r="P36">
        <v>1</v>
      </c>
      <c r="R36">
        <v>1</v>
      </c>
      <c r="S36">
        <v>1</v>
      </c>
      <c r="T36">
        <v>1</v>
      </c>
    </row>
    <row r="37" spans="1:20" x14ac:dyDescent="0.3">
      <c r="A37" t="s">
        <v>734</v>
      </c>
      <c r="B37">
        <v>3</v>
      </c>
      <c r="D37">
        <v>15</v>
      </c>
      <c r="E37">
        <v>60</v>
      </c>
      <c r="F37">
        <v>9</v>
      </c>
      <c r="H37">
        <v>15</v>
      </c>
      <c r="I37">
        <v>60</v>
      </c>
      <c r="J37">
        <v>9</v>
      </c>
      <c r="L37">
        <v>15</v>
      </c>
      <c r="M37">
        <v>60</v>
      </c>
      <c r="N37">
        <v>9</v>
      </c>
      <c r="P37">
        <v>9</v>
      </c>
      <c r="R37">
        <v>15</v>
      </c>
      <c r="S37">
        <v>60</v>
      </c>
      <c r="T37">
        <v>9</v>
      </c>
    </row>
    <row r="38" spans="1:20" x14ac:dyDescent="0.3">
      <c r="A38" t="s">
        <v>43</v>
      </c>
      <c r="B38">
        <v>3</v>
      </c>
      <c r="D38">
        <v>20</v>
      </c>
      <c r="E38">
        <v>100</v>
      </c>
      <c r="H38">
        <v>20</v>
      </c>
      <c r="I38">
        <v>100</v>
      </c>
      <c r="L38">
        <v>20</v>
      </c>
      <c r="M38">
        <v>100</v>
      </c>
      <c r="R38">
        <v>20</v>
      </c>
      <c r="S38">
        <v>100</v>
      </c>
    </row>
    <row r="39" spans="1:20" x14ac:dyDescent="0.3">
      <c r="A39" t="s">
        <v>44</v>
      </c>
      <c r="B39">
        <v>3</v>
      </c>
      <c r="D39">
        <v>0</v>
      </c>
      <c r="E39">
        <v>0</v>
      </c>
      <c r="H39">
        <v>0</v>
      </c>
      <c r="I39">
        <v>0</v>
      </c>
      <c r="L39">
        <v>0</v>
      </c>
      <c r="M39">
        <v>0</v>
      </c>
      <c r="R39">
        <v>0</v>
      </c>
      <c r="S39">
        <v>0</v>
      </c>
    </row>
    <row r="40" spans="1:20" x14ac:dyDescent="0.3">
      <c r="A40" t="s">
        <v>47</v>
      </c>
      <c r="B40">
        <v>3</v>
      </c>
      <c r="D40">
        <v>4</v>
      </c>
      <c r="E40">
        <v>4</v>
      </c>
      <c r="H40">
        <v>8</v>
      </c>
      <c r="I40">
        <v>8</v>
      </c>
      <c r="L40">
        <v>6</v>
      </c>
      <c r="M40">
        <v>6</v>
      </c>
      <c r="R40">
        <v>2</v>
      </c>
      <c r="S40">
        <v>2</v>
      </c>
    </row>
    <row r="41" spans="1:20" x14ac:dyDescent="0.3">
      <c r="A41" t="s">
        <v>735</v>
      </c>
      <c r="B41">
        <v>3</v>
      </c>
      <c r="D41">
        <v>0</v>
      </c>
      <c r="E41">
        <v>0</v>
      </c>
      <c r="H41">
        <v>0</v>
      </c>
      <c r="I41">
        <v>0</v>
      </c>
      <c r="L41">
        <v>0</v>
      </c>
      <c r="M41">
        <v>0</v>
      </c>
      <c r="R41">
        <v>0</v>
      </c>
      <c r="S41">
        <v>0</v>
      </c>
    </row>
    <row r="42" spans="1:20" x14ac:dyDescent="0.3">
      <c r="A42" t="s">
        <v>736</v>
      </c>
      <c r="B42">
        <v>3</v>
      </c>
      <c r="D42">
        <v>0</v>
      </c>
      <c r="E42">
        <v>0</v>
      </c>
      <c r="H42">
        <v>0</v>
      </c>
      <c r="I42">
        <v>0</v>
      </c>
      <c r="L42">
        <v>0</v>
      </c>
      <c r="M42">
        <v>0</v>
      </c>
      <c r="R42">
        <v>0</v>
      </c>
      <c r="S42">
        <v>0</v>
      </c>
    </row>
    <row r="43" spans="1:20" x14ac:dyDescent="0.3">
      <c r="A43" t="s">
        <v>737</v>
      </c>
      <c r="B43">
        <v>3</v>
      </c>
      <c r="D43">
        <v>0</v>
      </c>
      <c r="E43">
        <v>0</v>
      </c>
      <c r="H43">
        <v>0</v>
      </c>
      <c r="I43">
        <v>0</v>
      </c>
      <c r="L43">
        <v>0</v>
      </c>
      <c r="M43">
        <v>0</v>
      </c>
      <c r="R43">
        <v>0</v>
      </c>
      <c r="S43">
        <v>0</v>
      </c>
    </row>
    <row r="44" spans="1:20" x14ac:dyDescent="0.3">
      <c r="A44" t="s">
        <v>738</v>
      </c>
      <c r="B44">
        <v>3</v>
      </c>
      <c r="D44">
        <v>0</v>
      </c>
      <c r="E44">
        <v>0</v>
      </c>
      <c r="H44">
        <v>0</v>
      </c>
      <c r="I44">
        <v>0</v>
      </c>
      <c r="L44">
        <v>0</v>
      </c>
      <c r="M44">
        <v>0</v>
      </c>
      <c r="R44">
        <v>0</v>
      </c>
      <c r="S44">
        <v>0</v>
      </c>
    </row>
    <row r="45" spans="1:20" x14ac:dyDescent="0.3">
      <c r="A45" t="s">
        <v>739</v>
      </c>
      <c r="B45">
        <v>3</v>
      </c>
      <c r="D45">
        <v>1</v>
      </c>
      <c r="E45">
        <v>2</v>
      </c>
      <c r="H45">
        <v>1</v>
      </c>
      <c r="I45">
        <v>2</v>
      </c>
      <c r="L45">
        <v>1</v>
      </c>
      <c r="M45">
        <v>2</v>
      </c>
      <c r="R45">
        <v>1</v>
      </c>
      <c r="S45">
        <v>2</v>
      </c>
    </row>
    <row r="46" spans="1:20" x14ac:dyDescent="0.3">
      <c r="A46" t="s">
        <v>740</v>
      </c>
      <c r="B46">
        <v>3</v>
      </c>
      <c r="D46">
        <v>0</v>
      </c>
      <c r="E46">
        <v>0</v>
      </c>
      <c r="H46">
        <v>0</v>
      </c>
      <c r="I46">
        <v>0</v>
      </c>
      <c r="L46">
        <v>0</v>
      </c>
      <c r="M46">
        <v>0</v>
      </c>
      <c r="R46">
        <v>0</v>
      </c>
      <c r="S46">
        <v>0</v>
      </c>
    </row>
    <row r="47" spans="1:20" x14ac:dyDescent="0.3">
      <c r="A47" t="s">
        <v>741</v>
      </c>
      <c r="B47">
        <v>3</v>
      </c>
      <c r="D47">
        <v>20</v>
      </c>
      <c r="E47">
        <v>6</v>
      </c>
      <c r="H47">
        <v>20</v>
      </c>
      <c r="I47">
        <v>6</v>
      </c>
      <c r="L47">
        <v>20</v>
      </c>
      <c r="M47">
        <v>6</v>
      </c>
      <c r="R47">
        <v>20</v>
      </c>
      <c r="S47">
        <v>6</v>
      </c>
    </row>
    <row r="48" spans="1:20" x14ac:dyDescent="0.3">
      <c r="A48" t="s">
        <v>742</v>
      </c>
      <c r="B48">
        <v>3</v>
      </c>
      <c r="D48">
        <v>3</v>
      </c>
      <c r="E48">
        <v>3</v>
      </c>
      <c r="H48">
        <v>3</v>
      </c>
      <c r="I48">
        <v>3</v>
      </c>
      <c r="L48">
        <v>3</v>
      </c>
      <c r="M48">
        <v>3</v>
      </c>
      <c r="R48">
        <v>3</v>
      </c>
      <c r="S48">
        <v>3</v>
      </c>
    </row>
    <row r="49" spans="1:20" x14ac:dyDescent="0.3">
      <c r="A49" t="s">
        <v>743</v>
      </c>
      <c r="B49">
        <v>3</v>
      </c>
      <c r="D49">
        <v>0</v>
      </c>
      <c r="E49">
        <v>0</v>
      </c>
      <c r="H49">
        <v>0</v>
      </c>
      <c r="I49">
        <v>0</v>
      </c>
      <c r="L49">
        <v>0</v>
      </c>
      <c r="M49">
        <v>0</v>
      </c>
      <c r="R49">
        <v>0</v>
      </c>
      <c r="S49">
        <v>0</v>
      </c>
    </row>
    <row r="50" spans="1:20" x14ac:dyDescent="0.3">
      <c r="A50" t="s">
        <v>744</v>
      </c>
      <c r="B50">
        <v>3</v>
      </c>
      <c r="D50">
        <v>0</v>
      </c>
      <c r="E50">
        <v>0</v>
      </c>
      <c r="H50">
        <v>0</v>
      </c>
      <c r="I50">
        <v>0</v>
      </c>
      <c r="L50">
        <v>0</v>
      </c>
      <c r="M50">
        <v>0</v>
      </c>
      <c r="R50">
        <v>0</v>
      </c>
      <c r="S50">
        <v>0</v>
      </c>
    </row>
    <row r="51" spans="1:20" x14ac:dyDescent="0.3">
      <c r="A51" t="s">
        <v>745</v>
      </c>
      <c r="B51">
        <v>3</v>
      </c>
      <c r="D51">
        <v>0</v>
      </c>
      <c r="E51">
        <v>0</v>
      </c>
      <c r="H51">
        <v>0</v>
      </c>
      <c r="I51">
        <v>0</v>
      </c>
      <c r="L51">
        <v>0</v>
      </c>
      <c r="M51">
        <v>0</v>
      </c>
      <c r="R51">
        <v>0</v>
      </c>
      <c r="S51">
        <v>0</v>
      </c>
    </row>
    <row r="52" spans="1:20" x14ac:dyDescent="0.3">
      <c r="A52" t="s">
        <v>746</v>
      </c>
      <c r="B52">
        <v>3</v>
      </c>
      <c r="E52">
        <v>94</v>
      </c>
      <c r="I52">
        <v>94</v>
      </c>
      <c r="M52">
        <v>94</v>
      </c>
      <c r="S52">
        <v>94</v>
      </c>
    </row>
    <row r="53" spans="1:20" x14ac:dyDescent="0.3">
      <c r="A53" t="s">
        <v>747</v>
      </c>
      <c r="B53">
        <v>3</v>
      </c>
      <c r="E53">
        <v>6</v>
      </c>
      <c r="I53">
        <v>6</v>
      </c>
      <c r="M53">
        <v>6</v>
      </c>
      <c r="S53">
        <v>6</v>
      </c>
    </row>
    <row r="54" spans="1:20" x14ac:dyDescent="0.3">
      <c r="A54" t="s">
        <v>748</v>
      </c>
      <c r="B54">
        <v>3</v>
      </c>
      <c r="E54">
        <v>3</v>
      </c>
      <c r="I54">
        <v>3</v>
      </c>
      <c r="M54">
        <v>3</v>
      </c>
      <c r="S54">
        <v>3</v>
      </c>
    </row>
    <row r="55" spans="1:20" x14ac:dyDescent="0.3">
      <c r="A55" t="s">
        <v>749</v>
      </c>
      <c r="B55">
        <v>3</v>
      </c>
      <c r="E55">
        <v>0</v>
      </c>
      <c r="I55">
        <v>0</v>
      </c>
      <c r="M55">
        <v>0</v>
      </c>
      <c r="S55">
        <v>0</v>
      </c>
    </row>
    <row r="56" spans="1:20" x14ac:dyDescent="0.3">
      <c r="A56" t="s">
        <v>750</v>
      </c>
      <c r="B56">
        <v>3</v>
      </c>
      <c r="E56">
        <v>0</v>
      </c>
      <c r="I56">
        <v>0</v>
      </c>
      <c r="M56">
        <v>0</v>
      </c>
      <c r="S56">
        <v>0</v>
      </c>
    </row>
    <row r="57" spans="1:20" x14ac:dyDescent="0.3">
      <c r="A57" t="s">
        <v>405</v>
      </c>
      <c r="B57">
        <v>3</v>
      </c>
      <c r="E57">
        <v>0</v>
      </c>
    </row>
    <row r="58" spans="1:20" x14ac:dyDescent="0.3">
      <c r="A58" t="s">
        <v>751</v>
      </c>
      <c r="B58">
        <v>3</v>
      </c>
      <c r="D58">
        <v>0</v>
      </c>
      <c r="E58">
        <v>151</v>
      </c>
      <c r="F58">
        <v>0</v>
      </c>
      <c r="H58">
        <v>0</v>
      </c>
      <c r="I58">
        <v>83</v>
      </c>
      <c r="J58">
        <v>0</v>
      </c>
      <c r="L58">
        <v>37</v>
      </c>
      <c r="M58">
        <v>1437</v>
      </c>
      <c r="N58">
        <v>0</v>
      </c>
      <c r="P58">
        <v>0</v>
      </c>
      <c r="R58">
        <v>50</v>
      </c>
      <c r="S58">
        <v>1358</v>
      </c>
      <c r="T58">
        <v>0</v>
      </c>
    </row>
    <row r="59" spans="1:20" x14ac:dyDescent="0.3">
      <c r="A59" t="s">
        <v>34</v>
      </c>
      <c r="B59">
        <v>6</v>
      </c>
      <c r="D59">
        <v>8</v>
      </c>
      <c r="E59">
        <v>8</v>
      </c>
      <c r="F59">
        <v>8</v>
      </c>
      <c r="H59">
        <v>9</v>
      </c>
      <c r="I59">
        <v>9</v>
      </c>
      <c r="J59">
        <v>9</v>
      </c>
      <c r="L59">
        <v>3</v>
      </c>
      <c r="M59">
        <v>3</v>
      </c>
      <c r="N59">
        <v>3</v>
      </c>
      <c r="P59">
        <v>10</v>
      </c>
      <c r="R59">
        <v>10</v>
      </c>
      <c r="S59">
        <v>10</v>
      </c>
      <c r="T59">
        <v>10</v>
      </c>
    </row>
    <row r="60" spans="1:20" x14ac:dyDescent="0.3">
      <c r="A60" t="s">
        <v>35</v>
      </c>
      <c r="B60">
        <v>6</v>
      </c>
      <c r="D60">
        <v>3</v>
      </c>
      <c r="E60">
        <v>9</v>
      </c>
      <c r="F60">
        <v>10</v>
      </c>
      <c r="H60">
        <v>10</v>
      </c>
      <c r="I60">
        <v>8</v>
      </c>
      <c r="J60">
        <v>3</v>
      </c>
      <c r="L60">
        <v>9</v>
      </c>
      <c r="M60">
        <v>10</v>
      </c>
      <c r="N60">
        <v>8</v>
      </c>
      <c r="P60">
        <v>10</v>
      </c>
      <c r="R60">
        <v>8</v>
      </c>
      <c r="S60">
        <v>3</v>
      </c>
      <c r="T60">
        <v>9</v>
      </c>
    </row>
    <row r="61" spans="1:20" x14ac:dyDescent="0.3">
      <c r="A61" t="s">
        <v>36</v>
      </c>
      <c r="B61">
        <v>6</v>
      </c>
      <c r="D61">
        <v>2</v>
      </c>
      <c r="E61">
        <v>0</v>
      </c>
      <c r="F61">
        <v>1</v>
      </c>
      <c r="H61">
        <v>1</v>
      </c>
      <c r="I61">
        <v>0</v>
      </c>
      <c r="J61">
        <v>1</v>
      </c>
      <c r="L61">
        <v>1</v>
      </c>
      <c r="M61">
        <v>3</v>
      </c>
      <c r="N61">
        <v>1</v>
      </c>
      <c r="P61">
        <v>0</v>
      </c>
      <c r="R61">
        <v>1</v>
      </c>
      <c r="S61">
        <v>3</v>
      </c>
      <c r="T61">
        <v>0</v>
      </c>
    </row>
    <row r="62" spans="1:20" x14ac:dyDescent="0.3">
      <c r="A62" t="s">
        <v>37</v>
      </c>
      <c r="B62">
        <v>6</v>
      </c>
      <c r="D62">
        <v>0</v>
      </c>
      <c r="E62">
        <v>0</v>
      </c>
      <c r="H62">
        <v>0</v>
      </c>
      <c r="I62">
        <v>0</v>
      </c>
      <c r="L62">
        <v>0</v>
      </c>
      <c r="M62">
        <v>0</v>
      </c>
      <c r="R62">
        <v>0</v>
      </c>
      <c r="S62">
        <v>2</v>
      </c>
    </row>
    <row r="63" spans="1:20" x14ac:dyDescent="0.3">
      <c r="A63" t="s">
        <v>38</v>
      </c>
      <c r="B63">
        <v>6</v>
      </c>
      <c r="D63">
        <v>12</v>
      </c>
      <c r="E63">
        <v>12</v>
      </c>
      <c r="F63">
        <v>12</v>
      </c>
      <c r="H63">
        <v>12</v>
      </c>
      <c r="I63">
        <v>12</v>
      </c>
      <c r="J63">
        <v>12</v>
      </c>
      <c r="L63">
        <v>12</v>
      </c>
      <c r="M63">
        <v>12</v>
      </c>
      <c r="N63">
        <v>12</v>
      </c>
      <c r="P63">
        <v>12</v>
      </c>
      <c r="R63">
        <v>12</v>
      </c>
      <c r="S63">
        <v>12</v>
      </c>
      <c r="T63">
        <v>12</v>
      </c>
    </row>
    <row r="64" spans="1:20" x14ac:dyDescent="0.3">
      <c r="A64" t="s">
        <v>39</v>
      </c>
      <c r="B64">
        <v>6</v>
      </c>
      <c r="L64">
        <v>100</v>
      </c>
      <c r="N64">
        <v>244</v>
      </c>
      <c r="R64">
        <v>244</v>
      </c>
    </row>
    <row r="65" spans="1:20" x14ac:dyDescent="0.3">
      <c r="A65" t="s">
        <v>726</v>
      </c>
      <c r="B65">
        <v>6</v>
      </c>
      <c r="L65">
        <v>25</v>
      </c>
      <c r="N65">
        <v>25</v>
      </c>
      <c r="R65">
        <v>25</v>
      </c>
    </row>
    <row r="66" spans="1:20" x14ac:dyDescent="0.3">
      <c r="A66" t="s">
        <v>40</v>
      </c>
      <c r="B66">
        <v>6</v>
      </c>
      <c r="L66">
        <v>1</v>
      </c>
      <c r="N66">
        <v>1</v>
      </c>
      <c r="R66">
        <v>1</v>
      </c>
    </row>
    <row r="67" spans="1:20" x14ac:dyDescent="0.3">
      <c r="A67" t="s">
        <v>41</v>
      </c>
      <c r="B67">
        <v>6</v>
      </c>
    </row>
    <row r="68" spans="1:20" x14ac:dyDescent="0.3">
      <c r="A68" t="s">
        <v>42</v>
      </c>
      <c r="B68">
        <v>6</v>
      </c>
      <c r="E68">
        <v>30</v>
      </c>
      <c r="I68">
        <v>30</v>
      </c>
      <c r="M68">
        <v>40</v>
      </c>
      <c r="S68">
        <v>40</v>
      </c>
    </row>
    <row r="69" spans="1:20" x14ac:dyDescent="0.3">
      <c r="A69" t="s">
        <v>45</v>
      </c>
      <c r="B69">
        <v>6</v>
      </c>
      <c r="D69">
        <v>4</v>
      </c>
      <c r="F69">
        <v>4</v>
      </c>
      <c r="H69">
        <v>8</v>
      </c>
      <c r="J69">
        <v>8</v>
      </c>
      <c r="L69">
        <v>1</v>
      </c>
      <c r="M69">
        <v>6</v>
      </c>
      <c r="R69">
        <v>5</v>
      </c>
      <c r="S69">
        <v>2</v>
      </c>
    </row>
    <row r="70" spans="1:20" x14ac:dyDescent="0.3">
      <c r="A70" t="s">
        <v>46</v>
      </c>
      <c r="B70">
        <v>6</v>
      </c>
      <c r="D70">
        <v>4</v>
      </c>
      <c r="F70">
        <v>4</v>
      </c>
      <c r="H70">
        <v>8</v>
      </c>
      <c r="J70">
        <v>8</v>
      </c>
      <c r="L70">
        <v>6</v>
      </c>
      <c r="N70">
        <v>6</v>
      </c>
      <c r="R70">
        <v>2</v>
      </c>
    </row>
    <row r="71" spans="1:20" x14ac:dyDescent="0.3">
      <c r="A71" t="s">
        <v>49</v>
      </c>
      <c r="B71">
        <v>6</v>
      </c>
      <c r="D71">
        <v>5.8</v>
      </c>
      <c r="E71">
        <v>4</v>
      </c>
      <c r="F71">
        <v>5.8</v>
      </c>
      <c r="H71">
        <v>5.8</v>
      </c>
      <c r="I71">
        <v>4</v>
      </c>
      <c r="J71">
        <v>5.8</v>
      </c>
      <c r="L71">
        <v>4</v>
      </c>
      <c r="M71">
        <v>5.3</v>
      </c>
      <c r="N71">
        <v>5.3</v>
      </c>
      <c r="P71">
        <v>4</v>
      </c>
      <c r="R71">
        <v>4</v>
      </c>
      <c r="S71">
        <v>5.3</v>
      </c>
      <c r="T71">
        <v>4</v>
      </c>
    </row>
    <row r="72" spans="1:20" x14ac:dyDescent="0.3">
      <c r="A72" t="s">
        <v>727</v>
      </c>
      <c r="B72">
        <v>6</v>
      </c>
      <c r="D72">
        <v>0</v>
      </c>
      <c r="E72">
        <v>0</v>
      </c>
      <c r="F72">
        <v>0</v>
      </c>
      <c r="H72">
        <v>0</v>
      </c>
      <c r="I72">
        <v>0</v>
      </c>
      <c r="J72">
        <v>0</v>
      </c>
      <c r="L72">
        <v>0</v>
      </c>
      <c r="M72">
        <v>0</v>
      </c>
      <c r="N72">
        <v>0</v>
      </c>
      <c r="P72">
        <v>0</v>
      </c>
      <c r="R72">
        <v>0</v>
      </c>
      <c r="S72">
        <v>0</v>
      </c>
      <c r="T72">
        <v>0</v>
      </c>
    </row>
    <row r="73" spans="1:20" x14ac:dyDescent="0.3">
      <c r="A73" t="s">
        <v>48</v>
      </c>
      <c r="B73">
        <v>6</v>
      </c>
      <c r="D73">
        <v>1900</v>
      </c>
      <c r="E73">
        <v>1900</v>
      </c>
      <c r="F73">
        <v>1900</v>
      </c>
      <c r="H73">
        <v>1900</v>
      </c>
      <c r="I73">
        <v>1900</v>
      </c>
      <c r="J73">
        <v>1900</v>
      </c>
      <c r="L73">
        <v>1900</v>
      </c>
      <c r="M73">
        <v>1900</v>
      </c>
      <c r="N73">
        <v>1900</v>
      </c>
      <c r="P73">
        <v>1900</v>
      </c>
      <c r="R73">
        <v>1900</v>
      </c>
      <c r="S73">
        <v>1900</v>
      </c>
      <c r="T73">
        <v>1900</v>
      </c>
    </row>
    <row r="74" spans="1:20" x14ac:dyDescent="0.3">
      <c r="A74" t="s">
        <v>728</v>
      </c>
      <c r="B74">
        <v>6</v>
      </c>
      <c r="D74">
        <v>3433</v>
      </c>
      <c r="E74">
        <v>0</v>
      </c>
      <c r="F74">
        <v>1583</v>
      </c>
      <c r="H74">
        <v>1770</v>
      </c>
      <c r="I74">
        <v>0</v>
      </c>
      <c r="J74">
        <v>1583</v>
      </c>
      <c r="L74">
        <v>1770</v>
      </c>
      <c r="M74">
        <v>5085</v>
      </c>
      <c r="N74">
        <v>1583</v>
      </c>
      <c r="P74">
        <v>0</v>
      </c>
      <c r="R74">
        <v>1770</v>
      </c>
      <c r="S74">
        <v>5055</v>
      </c>
      <c r="T74">
        <v>0</v>
      </c>
    </row>
    <row r="75" spans="1:20" x14ac:dyDescent="0.3">
      <c r="A75" t="s">
        <v>50</v>
      </c>
      <c r="B75">
        <v>6</v>
      </c>
      <c r="D75">
        <v>3433</v>
      </c>
      <c r="E75">
        <v>0</v>
      </c>
      <c r="F75">
        <v>1583</v>
      </c>
      <c r="H75">
        <v>1770</v>
      </c>
      <c r="I75">
        <v>0</v>
      </c>
      <c r="J75">
        <v>1583</v>
      </c>
      <c r="L75">
        <v>261</v>
      </c>
      <c r="M75">
        <v>5085</v>
      </c>
      <c r="N75">
        <v>1583</v>
      </c>
      <c r="P75">
        <v>0</v>
      </c>
      <c r="R75">
        <v>224</v>
      </c>
      <c r="S75">
        <v>5055</v>
      </c>
      <c r="T75">
        <v>0</v>
      </c>
    </row>
    <row r="76" spans="1:20" x14ac:dyDescent="0.3">
      <c r="A76" t="s">
        <v>729</v>
      </c>
      <c r="B76">
        <v>6</v>
      </c>
      <c r="D76">
        <v>1</v>
      </c>
      <c r="E76">
        <v>1</v>
      </c>
      <c r="F76">
        <v>1</v>
      </c>
      <c r="H76">
        <v>1</v>
      </c>
      <c r="I76">
        <v>1</v>
      </c>
      <c r="J76">
        <v>1</v>
      </c>
      <c r="L76">
        <v>1</v>
      </c>
      <c r="M76">
        <v>1</v>
      </c>
      <c r="N76">
        <v>1</v>
      </c>
      <c r="P76">
        <v>1</v>
      </c>
      <c r="R76">
        <v>1</v>
      </c>
      <c r="S76">
        <v>1</v>
      </c>
      <c r="T76">
        <v>1</v>
      </c>
    </row>
    <row r="77" spans="1:20" x14ac:dyDescent="0.3">
      <c r="A77" t="s">
        <v>51</v>
      </c>
      <c r="B77">
        <v>6</v>
      </c>
      <c r="D77">
        <v>0</v>
      </c>
      <c r="E77">
        <v>0</v>
      </c>
      <c r="F77">
        <v>110</v>
      </c>
      <c r="H77">
        <v>0</v>
      </c>
      <c r="I77">
        <v>0</v>
      </c>
      <c r="J77">
        <v>110</v>
      </c>
      <c r="L77">
        <v>0</v>
      </c>
      <c r="M77">
        <v>0</v>
      </c>
      <c r="N77">
        <v>115</v>
      </c>
      <c r="P77">
        <v>0</v>
      </c>
      <c r="R77">
        <v>0</v>
      </c>
      <c r="S77">
        <v>6</v>
      </c>
      <c r="T77">
        <v>0</v>
      </c>
    </row>
    <row r="78" spans="1:20" x14ac:dyDescent="0.3">
      <c r="A78" t="s">
        <v>53</v>
      </c>
      <c r="B78">
        <v>6</v>
      </c>
      <c r="D78">
        <v>66</v>
      </c>
      <c r="E78">
        <v>0</v>
      </c>
      <c r="F78">
        <v>61</v>
      </c>
      <c r="H78">
        <v>48</v>
      </c>
      <c r="I78">
        <v>0</v>
      </c>
      <c r="J78">
        <v>84</v>
      </c>
      <c r="L78">
        <v>54</v>
      </c>
      <c r="M78">
        <v>1187</v>
      </c>
      <c r="N78">
        <v>23</v>
      </c>
      <c r="P78">
        <v>0</v>
      </c>
      <c r="R78">
        <v>86</v>
      </c>
      <c r="S78">
        <v>1070</v>
      </c>
      <c r="T78">
        <v>42</v>
      </c>
    </row>
    <row r="79" spans="1:20" x14ac:dyDescent="0.3">
      <c r="A79" t="s">
        <v>54</v>
      </c>
      <c r="B79">
        <v>6</v>
      </c>
      <c r="D79">
        <v>0</v>
      </c>
      <c r="E79">
        <v>0</v>
      </c>
      <c r="F79">
        <v>0</v>
      </c>
      <c r="H79">
        <v>0</v>
      </c>
      <c r="I79">
        <v>0</v>
      </c>
      <c r="J79">
        <v>0</v>
      </c>
      <c r="L79">
        <v>0</v>
      </c>
      <c r="M79">
        <v>0</v>
      </c>
      <c r="N79">
        <v>0</v>
      </c>
      <c r="P79">
        <v>0</v>
      </c>
      <c r="R79">
        <v>0</v>
      </c>
      <c r="S79">
        <v>0</v>
      </c>
      <c r="T79">
        <v>0</v>
      </c>
    </row>
    <row r="80" spans="1:20" x14ac:dyDescent="0.3">
      <c r="A80" t="s">
        <v>55</v>
      </c>
      <c r="B80">
        <v>6</v>
      </c>
      <c r="D80">
        <v>0</v>
      </c>
      <c r="E80">
        <v>0</v>
      </c>
      <c r="F80">
        <v>0</v>
      </c>
      <c r="H80">
        <v>0</v>
      </c>
      <c r="I80">
        <v>0</v>
      </c>
      <c r="J80">
        <v>0</v>
      </c>
      <c r="L80">
        <v>0</v>
      </c>
      <c r="M80">
        <v>0</v>
      </c>
      <c r="N80">
        <v>0</v>
      </c>
      <c r="P80">
        <v>0</v>
      </c>
      <c r="R80">
        <v>0</v>
      </c>
      <c r="S80">
        <v>0</v>
      </c>
      <c r="T80">
        <v>0</v>
      </c>
    </row>
    <row r="81" spans="1:20" x14ac:dyDescent="0.3">
      <c r="A81" t="s">
        <v>56</v>
      </c>
      <c r="B81">
        <v>6</v>
      </c>
      <c r="D81">
        <v>0.92</v>
      </c>
      <c r="E81">
        <v>0.92</v>
      </c>
      <c r="F81">
        <v>0.92</v>
      </c>
      <c r="H81">
        <v>0.92</v>
      </c>
      <c r="I81">
        <v>0.92</v>
      </c>
      <c r="J81">
        <v>0.92</v>
      </c>
      <c r="L81">
        <v>0.92</v>
      </c>
      <c r="M81">
        <v>0.92</v>
      </c>
      <c r="N81">
        <v>0.92</v>
      </c>
      <c r="P81">
        <v>0.92</v>
      </c>
      <c r="R81">
        <v>0.92</v>
      </c>
      <c r="S81">
        <v>0.92</v>
      </c>
      <c r="T81">
        <v>0.92</v>
      </c>
    </row>
    <row r="82" spans="1:20" x14ac:dyDescent="0.3">
      <c r="A82" t="s">
        <v>57</v>
      </c>
      <c r="B82">
        <v>6</v>
      </c>
      <c r="D82">
        <v>100</v>
      </c>
      <c r="E82">
        <v>100</v>
      </c>
      <c r="F82">
        <v>100</v>
      </c>
      <c r="H82">
        <v>100</v>
      </c>
      <c r="I82">
        <v>100</v>
      </c>
      <c r="J82">
        <v>100</v>
      </c>
      <c r="L82">
        <v>100</v>
      </c>
      <c r="M82">
        <v>100</v>
      </c>
      <c r="N82">
        <v>100</v>
      </c>
      <c r="P82">
        <v>100</v>
      </c>
      <c r="R82">
        <v>100</v>
      </c>
      <c r="S82">
        <v>100</v>
      </c>
      <c r="T82">
        <v>100</v>
      </c>
    </row>
    <row r="83" spans="1:20" x14ac:dyDescent="0.3">
      <c r="A83" t="s">
        <v>58</v>
      </c>
      <c r="B83">
        <v>6</v>
      </c>
      <c r="D83">
        <v>2</v>
      </c>
      <c r="E83">
        <v>2</v>
      </c>
      <c r="F83">
        <v>2</v>
      </c>
      <c r="H83">
        <v>2</v>
      </c>
      <c r="I83">
        <v>2</v>
      </c>
      <c r="J83">
        <v>2</v>
      </c>
      <c r="L83">
        <v>2</v>
      </c>
      <c r="M83">
        <v>2</v>
      </c>
      <c r="N83">
        <v>2</v>
      </c>
      <c r="P83">
        <v>2</v>
      </c>
      <c r="R83">
        <v>2</v>
      </c>
      <c r="S83">
        <v>2</v>
      </c>
      <c r="T83">
        <v>2</v>
      </c>
    </row>
    <row r="84" spans="1:20" x14ac:dyDescent="0.3">
      <c r="A84" t="s">
        <v>59</v>
      </c>
      <c r="B84">
        <v>6</v>
      </c>
      <c r="D84">
        <v>0</v>
      </c>
      <c r="E84">
        <v>0</v>
      </c>
      <c r="F84">
        <v>0</v>
      </c>
      <c r="H84">
        <v>0</v>
      </c>
      <c r="I84">
        <v>0</v>
      </c>
      <c r="J84">
        <v>0</v>
      </c>
      <c r="L84">
        <v>0</v>
      </c>
      <c r="M84">
        <v>0</v>
      </c>
      <c r="N84">
        <v>0</v>
      </c>
      <c r="P84">
        <v>0</v>
      </c>
      <c r="R84">
        <v>0</v>
      </c>
      <c r="S84">
        <v>0</v>
      </c>
      <c r="T84">
        <v>0</v>
      </c>
    </row>
    <row r="85" spans="1:20" x14ac:dyDescent="0.3">
      <c r="A85" t="s">
        <v>730</v>
      </c>
      <c r="B85">
        <v>6</v>
      </c>
      <c r="E85">
        <v>0</v>
      </c>
      <c r="I85">
        <v>0</v>
      </c>
      <c r="M85">
        <v>0</v>
      </c>
      <c r="S85">
        <v>0</v>
      </c>
    </row>
    <row r="86" spans="1:20" x14ac:dyDescent="0.3">
      <c r="A86" t="s">
        <v>679</v>
      </c>
      <c r="B86">
        <v>6</v>
      </c>
      <c r="E86">
        <v>532</v>
      </c>
      <c r="I86">
        <v>345</v>
      </c>
      <c r="M86">
        <v>1297</v>
      </c>
      <c r="S86">
        <v>2616</v>
      </c>
    </row>
    <row r="87" spans="1:20" x14ac:dyDescent="0.3">
      <c r="A87" t="s">
        <v>78</v>
      </c>
      <c r="B87">
        <v>6</v>
      </c>
      <c r="E87">
        <v>12.1</v>
      </c>
      <c r="I87">
        <v>7.8</v>
      </c>
      <c r="M87">
        <v>22.1</v>
      </c>
      <c r="S87">
        <v>44.6</v>
      </c>
    </row>
    <row r="88" spans="1:20" x14ac:dyDescent="0.3">
      <c r="A88" t="s">
        <v>731</v>
      </c>
      <c r="B88">
        <v>6</v>
      </c>
      <c r="F88">
        <v>0</v>
      </c>
      <c r="J88">
        <v>0</v>
      </c>
      <c r="N88">
        <v>0</v>
      </c>
      <c r="T88">
        <v>0</v>
      </c>
    </row>
    <row r="89" spans="1:20" x14ac:dyDescent="0.3">
      <c r="A89" t="s">
        <v>732</v>
      </c>
      <c r="B89">
        <v>6</v>
      </c>
      <c r="D89">
        <v>0</v>
      </c>
      <c r="E89">
        <v>0</v>
      </c>
      <c r="F89">
        <v>1</v>
      </c>
      <c r="H89">
        <v>0</v>
      </c>
      <c r="I89">
        <v>0</v>
      </c>
      <c r="J89">
        <v>1</v>
      </c>
      <c r="L89">
        <v>0</v>
      </c>
      <c r="M89">
        <v>0</v>
      </c>
      <c r="N89">
        <v>1</v>
      </c>
      <c r="P89">
        <v>3</v>
      </c>
      <c r="R89">
        <v>0</v>
      </c>
      <c r="S89">
        <v>0</v>
      </c>
      <c r="T89">
        <v>1</v>
      </c>
    </row>
    <row r="90" spans="1:20" x14ac:dyDescent="0.3">
      <c r="A90" t="s">
        <v>733</v>
      </c>
      <c r="B90">
        <v>6</v>
      </c>
      <c r="D90">
        <v>0</v>
      </c>
      <c r="E90">
        <v>0</v>
      </c>
      <c r="F90">
        <v>0</v>
      </c>
      <c r="H90">
        <v>0</v>
      </c>
      <c r="I90">
        <v>0</v>
      </c>
      <c r="J90">
        <v>0</v>
      </c>
      <c r="L90">
        <v>0</v>
      </c>
      <c r="M90">
        <v>0</v>
      </c>
      <c r="N90">
        <v>0</v>
      </c>
      <c r="P90">
        <v>0</v>
      </c>
      <c r="R90">
        <v>0</v>
      </c>
      <c r="S90">
        <v>0</v>
      </c>
      <c r="T90">
        <v>0</v>
      </c>
    </row>
    <row r="91" spans="1:20" x14ac:dyDescent="0.3">
      <c r="A91" t="s">
        <v>52</v>
      </c>
      <c r="B91">
        <v>6</v>
      </c>
      <c r="D91">
        <v>1</v>
      </c>
      <c r="E91">
        <v>1</v>
      </c>
      <c r="F91">
        <v>1</v>
      </c>
      <c r="H91">
        <v>1</v>
      </c>
      <c r="I91">
        <v>1</v>
      </c>
      <c r="J91">
        <v>1</v>
      </c>
      <c r="L91">
        <v>1</v>
      </c>
      <c r="M91">
        <v>1</v>
      </c>
      <c r="N91">
        <v>1</v>
      </c>
      <c r="P91">
        <v>1</v>
      </c>
      <c r="R91">
        <v>1</v>
      </c>
      <c r="S91">
        <v>1</v>
      </c>
      <c r="T91">
        <v>1</v>
      </c>
    </row>
    <row r="92" spans="1:20" x14ac:dyDescent="0.3">
      <c r="A92" t="s">
        <v>734</v>
      </c>
      <c r="B92">
        <v>6</v>
      </c>
      <c r="D92">
        <v>15</v>
      </c>
      <c r="E92">
        <v>60</v>
      </c>
      <c r="F92">
        <v>9</v>
      </c>
      <c r="H92">
        <v>15</v>
      </c>
      <c r="I92">
        <v>60</v>
      </c>
      <c r="J92">
        <v>9</v>
      </c>
      <c r="L92">
        <v>15</v>
      </c>
      <c r="M92">
        <v>60</v>
      </c>
      <c r="N92">
        <v>9</v>
      </c>
      <c r="P92">
        <v>9</v>
      </c>
      <c r="R92">
        <v>15</v>
      </c>
      <c r="S92">
        <v>60</v>
      </c>
      <c r="T92">
        <v>9</v>
      </c>
    </row>
    <row r="93" spans="1:20" x14ac:dyDescent="0.3">
      <c r="A93" t="s">
        <v>43</v>
      </c>
      <c r="B93">
        <v>6</v>
      </c>
      <c r="D93">
        <v>20</v>
      </c>
      <c r="F93">
        <v>20</v>
      </c>
      <c r="H93">
        <v>20</v>
      </c>
      <c r="J93">
        <v>20</v>
      </c>
      <c r="L93">
        <v>20</v>
      </c>
      <c r="M93">
        <v>100</v>
      </c>
      <c r="N93">
        <v>20</v>
      </c>
      <c r="R93">
        <v>20</v>
      </c>
      <c r="S93">
        <v>100</v>
      </c>
    </row>
    <row r="94" spans="1:20" x14ac:dyDescent="0.3">
      <c r="A94" t="s">
        <v>44</v>
      </c>
      <c r="B94">
        <v>6</v>
      </c>
      <c r="D94">
        <v>0</v>
      </c>
      <c r="F94">
        <v>0</v>
      </c>
      <c r="H94">
        <v>0</v>
      </c>
      <c r="J94">
        <v>0</v>
      </c>
      <c r="L94">
        <v>0</v>
      </c>
      <c r="M94">
        <v>0</v>
      </c>
      <c r="N94">
        <v>0</v>
      </c>
      <c r="R94">
        <v>0</v>
      </c>
      <c r="S94">
        <v>0</v>
      </c>
    </row>
    <row r="95" spans="1:20" x14ac:dyDescent="0.3">
      <c r="A95" t="s">
        <v>47</v>
      </c>
      <c r="B95">
        <v>6</v>
      </c>
      <c r="D95">
        <v>4</v>
      </c>
      <c r="F95">
        <v>4</v>
      </c>
      <c r="H95">
        <v>8</v>
      </c>
      <c r="J95">
        <v>8</v>
      </c>
      <c r="L95">
        <v>1</v>
      </c>
      <c r="M95">
        <v>6</v>
      </c>
      <c r="N95">
        <v>6</v>
      </c>
      <c r="R95">
        <v>5</v>
      </c>
      <c r="S95">
        <v>2</v>
      </c>
    </row>
    <row r="96" spans="1:20" x14ac:dyDescent="0.3">
      <c r="A96" t="s">
        <v>735</v>
      </c>
      <c r="B96">
        <v>6</v>
      </c>
      <c r="D96">
        <v>0</v>
      </c>
      <c r="F96">
        <v>0</v>
      </c>
      <c r="H96">
        <v>0</v>
      </c>
      <c r="J96">
        <v>0</v>
      </c>
      <c r="L96">
        <v>0</v>
      </c>
      <c r="M96">
        <v>0</v>
      </c>
      <c r="N96">
        <v>0</v>
      </c>
      <c r="R96">
        <v>0</v>
      </c>
      <c r="S96">
        <v>0</v>
      </c>
    </row>
    <row r="97" spans="1:19" x14ac:dyDescent="0.3">
      <c r="A97" t="s">
        <v>736</v>
      </c>
      <c r="B97">
        <v>6</v>
      </c>
      <c r="D97">
        <v>0</v>
      </c>
      <c r="F97">
        <v>0</v>
      </c>
      <c r="H97">
        <v>0</v>
      </c>
      <c r="J97">
        <v>0</v>
      </c>
      <c r="L97">
        <v>0</v>
      </c>
      <c r="M97">
        <v>0</v>
      </c>
      <c r="N97">
        <v>0</v>
      </c>
      <c r="R97">
        <v>0</v>
      </c>
      <c r="S97">
        <v>0</v>
      </c>
    </row>
    <row r="98" spans="1:19" x14ac:dyDescent="0.3">
      <c r="A98" t="s">
        <v>737</v>
      </c>
      <c r="B98">
        <v>6</v>
      </c>
      <c r="D98">
        <v>0</v>
      </c>
      <c r="F98">
        <v>0</v>
      </c>
      <c r="H98">
        <v>0</v>
      </c>
      <c r="J98">
        <v>0</v>
      </c>
      <c r="L98">
        <v>0</v>
      </c>
      <c r="M98">
        <v>0</v>
      </c>
      <c r="N98">
        <v>0</v>
      </c>
      <c r="R98">
        <v>0</v>
      </c>
      <c r="S98">
        <v>0</v>
      </c>
    </row>
    <row r="99" spans="1:19" x14ac:dyDescent="0.3">
      <c r="A99" t="s">
        <v>738</v>
      </c>
      <c r="B99">
        <v>6</v>
      </c>
      <c r="D99">
        <v>0</v>
      </c>
      <c r="F99">
        <v>0</v>
      </c>
      <c r="H99">
        <v>0</v>
      </c>
      <c r="J99">
        <v>0</v>
      </c>
      <c r="L99">
        <v>0</v>
      </c>
      <c r="M99">
        <v>0</v>
      </c>
      <c r="N99">
        <v>0</v>
      </c>
      <c r="R99">
        <v>0</v>
      </c>
      <c r="S99">
        <v>0</v>
      </c>
    </row>
    <row r="100" spans="1:19" x14ac:dyDescent="0.3">
      <c r="A100" t="s">
        <v>739</v>
      </c>
      <c r="B100">
        <v>6</v>
      </c>
      <c r="D100">
        <v>1</v>
      </c>
      <c r="F100">
        <v>1</v>
      </c>
      <c r="H100">
        <v>1</v>
      </c>
      <c r="J100">
        <v>1</v>
      </c>
      <c r="L100">
        <v>1</v>
      </c>
      <c r="M100">
        <v>2</v>
      </c>
      <c r="N100">
        <v>1</v>
      </c>
      <c r="R100">
        <v>1</v>
      </c>
      <c r="S100">
        <v>2</v>
      </c>
    </row>
    <row r="101" spans="1:19" x14ac:dyDescent="0.3">
      <c r="A101" t="s">
        <v>740</v>
      </c>
      <c r="B101">
        <v>6</v>
      </c>
      <c r="D101">
        <v>0</v>
      </c>
      <c r="F101">
        <v>0</v>
      </c>
      <c r="H101">
        <v>0</v>
      </c>
      <c r="J101">
        <v>0</v>
      </c>
      <c r="L101">
        <v>0</v>
      </c>
      <c r="M101">
        <v>0</v>
      </c>
      <c r="N101">
        <v>0</v>
      </c>
      <c r="R101">
        <v>0</v>
      </c>
      <c r="S101">
        <v>0</v>
      </c>
    </row>
    <row r="102" spans="1:19" x14ac:dyDescent="0.3">
      <c r="A102" t="s">
        <v>741</v>
      </c>
      <c r="B102">
        <v>6</v>
      </c>
      <c r="D102">
        <v>20</v>
      </c>
      <c r="F102">
        <v>20</v>
      </c>
      <c r="H102">
        <v>20</v>
      </c>
      <c r="J102">
        <v>20</v>
      </c>
      <c r="L102">
        <v>20</v>
      </c>
      <c r="M102">
        <v>6</v>
      </c>
      <c r="N102">
        <v>20</v>
      </c>
      <c r="R102">
        <v>20</v>
      </c>
      <c r="S102">
        <v>6</v>
      </c>
    </row>
    <row r="103" spans="1:19" x14ac:dyDescent="0.3">
      <c r="A103" t="s">
        <v>742</v>
      </c>
      <c r="B103">
        <v>6</v>
      </c>
      <c r="D103">
        <v>3</v>
      </c>
      <c r="F103">
        <v>3</v>
      </c>
      <c r="H103">
        <v>3</v>
      </c>
      <c r="J103">
        <v>3</v>
      </c>
      <c r="L103">
        <v>3</v>
      </c>
      <c r="M103">
        <v>3</v>
      </c>
      <c r="N103">
        <v>3</v>
      </c>
      <c r="R103">
        <v>3</v>
      </c>
      <c r="S103">
        <v>3</v>
      </c>
    </row>
    <row r="104" spans="1:19" x14ac:dyDescent="0.3">
      <c r="A104" t="s">
        <v>743</v>
      </c>
      <c r="B104">
        <v>6</v>
      </c>
      <c r="D104">
        <v>0</v>
      </c>
      <c r="F104">
        <v>0</v>
      </c>
      <c r="H104">
        <v>0</v>
      </c>
      <c r="J104">
        <v>0</v>
      </c>
      <c r="L104">
        <v>0</v>
      </c>
      <c r="M104">
        <v>0</v>
      </c>
      <c r="N104">
        <v>0</v>
      </c>
      <c r="R104">
        <v>0</v>
      </c>
      <c r="S104">
        <v>0</v>
      </c>
    </row>
    <row r="105" spans="1:19" x14ac:dyDescent="0.3">
      <c r="A105" t="s">
        <v>744</v>
      </c>
      <c r="B105">
        <v>6</v>
      </c>
      <c r="D105">
        <v>0</v>
      </c>
      <c r="F105">
        <v>0</v>
      </c>
      <c r="H105">
        <v>0</v>
      </c>
      <c r="J105">
        <v>0</v>
      </c>
      <c r="L105">
        <v>0</v>
      </c>
      <c r="M105">
        <v>0</v>
      </c>
      <c r="N105">
        <v>0</v>
      </c>
      <c r="R105">
        <v>0</v>
      </c>
      <c r="S105">
        <v>0</v>
      </c>
    </row>
    <row r="106" spans="1:19" x14ac:dyDescent="0.3">
      <c r="A106" t="s">
        <v>745</v>
      </c>
      <c r="B106">
        <v>6</v>
      </c>
      <c r="D106">
        <v>0</v>
      </c>
      <c r="F106">
        <v>0</v>
      </c>
      <c r="H106">
        <v>0</v>
      </c>
      <c r="J106">
        <v>0</v>
      </c>
      <c r="L106">
        <v>0</v>
      </c>
      <c r="M106">
        <v>0</v>
      </c>
      <c r="N106">
        <v>0</v>
      </c>
      <c r="R106">
        <v>0</v>
      </c>
      <c r="S106">
        <v>0</v>
      </c>
    </row>
    <row r="107" spans="1:19" x14ac:dyDescent="0.3">
      <c r="A107" t="s">
        <v>746</v>
      </c>
      <c r="B107">
        <v>6</v>
      </c>
      <c r="M107">
        <v>94</v>
      </c>
      <c r="S107">
        <v>94</v>
      </c>
    </row>
    <row r="108" spans="1:19" x14ac:dyDescent="0.3">
      <c r="A108" t="s">
        <v>747</v>
      </c>
      <c r="B108">
        <v>6</v>
      </c>
      <c r="M108">
        <v>6</v>
      </c>
      <c r="S108">
        <v>6</v>
      </c>
    </row>
    <row r="109" spans="1:19" x14ac:dyDescent="0.3">
      <c r="A109" t="s">
        <v>748</v>
      </c>
      <c r="B109">
        <v>6</v>
      </c>
      <c r="M109">
        <v>3</v>
      </c>
      <c r="S109">
        <v>3</v>
      </c>
    </row>
    <row r="110" spans="1:19" x14ac:dyDescent="0.3">
      <c r="A110" t="s">
        <v>749</v>
      </c>
      <c r="B110">
        <v>6</v>
      </c>
      <c r="M110">
        <v>0</v>
      </c>
      <c r="S110">
        <v>0</v>
      </c>
    </row>
    <row r="111" spans="1:19" x14ac:dyDescent="0.3">
      <c r="A111" t="s">
        <v>750</v>
      </c>
      <c r="B111">
        <v>6</v>
      </c>
      <c r="E111">
        <v>0</v>
      </c>
      <c r="I111">
        <v>0</v>
      </c>
      <c r="M111">
        <v>0</v>
      </c>
      <c r="S111">
        <v>0</v>
      </c>
    </row>
    <row r="112" spans="1:19" x14ac:dyDescent="0.3">
      <c r="A112" t="s">
        <v>405</v>
      </c>
      <c r="B112">
        <v>6</v>
      </c>
      <c r="E112">
        <v>0</v>
      </c>
    </row>
    <row r="113" spans="1:20" x14ac:dyDescent="0.3">
      <c r="A113" t="s">
        <v>751</v>
      </c>
      <c r="B113">
        <v>6</v>
      </c>
      <c r="D113">
        <v>72</v>
      </c>
      <c r="E113">
        <v>0</v>
      </c>
      <c r="F113">
        <v>66</v>
      </c>
      <c r="H113">
        <v>52</v>
      </c>
      <c r="I113">
        <v>0</v>
      </c>
      <c r="J113">
        <v>91</v>
      </c>
      <c r="L113">
        <v>59</v>
      </c>
      <c r="M113">
        <v>1290</v>
      </c>
      <c r="N113">
        <v>25</v>
      </c>
      <c r="P113">
        <v>0</v>
      </c>
      <c r="R113">
        <v>93</v>
      </c>
      <c r="S113">
        <v>1209</v>
      </c>
      <c r="T113">
        <v>0</v>
      </c>
    </row>
    <row r="114" spans="1:20" x14ac:dyDescent="0.3">
      <c r="A114" t="s">
        <v>34</v>
      </c>
      <c r="B114">
        <v>10</v>
      </c>
      <c r="D114">
        <v>12</v>
      </c>
      <c r="E114">
        <v>12</v>
      </c>
      <c r="F114">
        <v>12</v>
      </c>
      <c r="H114">
        <v>11</v>
      </c>
      <c r="I114">
        <v>11</v>
      </c>
      <c r="J114">
        <v>11</v>
      </c>
      <c r="L114">
        <v>6</v>
      </c>
      <c r="M114">
        <v>6</v>
      </c>
      <c r="N114">
        <v>6</v>
      </c>
      <c r="P114">
        <v>13</v>
      </c>
      <c r="R114">
        <v>13</v>
      </c>
      <c r="S114">
        <v>13</v>
      </c>
      <c r="T114">
        <v>13</v>
      </c>
    </row>
    <row r="115" spans="1:20" x14ac:dyDescent="0.3">
      <c r="A115" t="s">
        <v>35</v>
      </c>
      <c r="B115">
        <v>10</v>
      </c>
      <c r="D115">
        <v>6</v>
      </c>
      <c r="E115">
        <v>11</v>
      </c>
      <c r="F115">
        <v>13</v>
      </c>
      <c r="H115">
        <v>13</v>
      </c>
      <c r="I115">
        <v>12</v>
      </c>
      <c r="J115">
        <v>6</v>
      </c>
      <c r="L115">
        <v>11</v>
      </c>
      <c r="M115">
        <v>13</v>
      </c>
      <c r="N115">
        <v>12</v>
      </c>
      <c r="P115">
        <v>13</v>
      </c>
      <c r="R115">
        <v>12</v>
      </c>
      <c r="S115">
        <v>6</v>
      </c>
      <c r="T115">
        <v>11</v>
      </c>
    </row>
    <row r="116" spans="1:20" x14ac:dyDescent="0.3">
      <c r="A116" t="s">
        <v>36</v>
      </c>
      <c r="B116">
        <v>10</v>
      </c>
      <c r="D116">
        <v>1</v>
      </c>
      <c r="E116">
        <v>2</v>
      </c>
      <c r="F116">
        <v>0</v>
      </c>
      <c r="H116">
        <v>1</v>
      </c>
      <c r="I116">
        <v>2</v>
      </c>
      <c r="J116">
        <v>0</v>
      </c>
      <c r="L116">
        <v>1</v>
      </c>
      <c r="M116">
        <v>3</v>
      </c>
      <c r="N116">
        <v>1</v>
      </c>
      <c r="P116">
        <v>0</v>
      </c>
      <c r="R116">
        <v>1</v>
      </c>
      <c r="S116">
        <v>3</v>
      </c>
      <c r="T116">
        <v>0</v>
      </c>
    </row>
    <row r="117" spans="1:20" x14ac:dyDescent="0.3">
      <c r="A117" t="s">
        <v>37</v>
      </c>
      <c r="B117">
        <v>10</v>
      </c>
      <c r="D117">
        <v>0</v>
      </c>
      <c r="E117">
        <v>2</v>
      </c>
      <c r="H117">
        <v>0</v>
      </c>
      <c r="I117">
        <v>2</v>
      </c>
      <c r="L117">
        <v>0</v>
      </c>
      <c r="M117">
        <v>0</v>
      </c>
      <c r="R117">
        <v>0</v>
      </c>
      <c r="S117">
        <v>2</v>
      </c>
    </row>
    <row r="118" spans="1:20" x14ac:dyDescent="0.3">
      <c r="A118" t="s">
        <v>38</v>
      </c>
      <c r="B118">
        <v>10</v>
      </c>
      <c r="D118">
        <v>12</v>
      </c>
      <c r="E118">
        <v>12</v>
      </c>
      <c r="F118">
        <v>12</v>
      </c>
      <c r="H118">
        <v>12</v>
      </c>
      <c r="I118">
        <v>12</v>
      </c>
      <c r="J118">
        <v>12</v>
      </c>
      <c r="L118">
        <v>12</v>
      </c>
      <c r="M118">
        <v>12</v>
      </c>
      <c r="N118">
        <v>12</v>
      </c>
      <c r="P118">
        <v>12</v>
      </c>
      <c r="R118">
        <v>12</v>
      </c>
      <c r="S118">
        <v>12</v>
      </c>
      <c r="T118">
        <v>12</v>
      </c>
    </row>
    <row r="119" spans="1:20" x14ac:dyDescent="0.3">
      <c r="A119" t="s">
        <v>39</v>
      </c>
      <c r="B119">
        <v>10</v>
      </c>
      <c r="D119">
        <v>170</v>
      </c>
      <c r="H119">
        <v>200</v>
      </c>
      <c r="L119">
        <v>235</v>
      </c>
      <c r="N119">
        <v>235</v>
      </c>
      <c r="R119">
        <v>235</v>
      </c>
    </row>
    <row r="120" spans="1:20" x14ac:dyDescent="0.3">
      <c r="A120" t="s">
        <v>726</v>
      </c>
      <c r="B120">
        <v>10</v>
      </c>
      <c r="D120">
        <v>25</v>
      </c>
      <c r="H120">
        <v>25</v>
      </c>
      <c r="L120">
        <v>25</v>
      </c>
      <c r="N120">
        <v>25</v>
      </c>
      <c r="R120">
        <v>25</v>
      </c>
    </row>
    <row r="121" spans="1:20" x14ac:dyDescent="0.3">
      <c r="A121" t="s">
        <v>40</v>
      </c>
      <c r="B121">
        <v>10</v>
      </c>
      <c r="D121">
        <v>1</v>
      </c>
      <c r="H121">
        <v>1</v>
      </c>
      <c r="L121">
        <v>1</v>
      </c>
      <c r="N121">
        <v>1</v>
      </c>
      <c r="R121">
        <v>1</v>
      </c>
    </row>
    <row r="122" spans="1:20" x14ac:dyDescent="0.3">
      <c r="A122" t="s">
        <v>41</v>
      </c>
      <c r="B122">
        <v>10</v>
      </c>
    </row>
    <row r="123" spans="1:20" x14ac:dyDescent="0.3">
      <c r="A123" t="s">
        <v>42</v>
      </c>
      <c r="B123">
        <v>10</v>
      </c>
      <c r="E123">
        <v>40</v>
      </c>
      <c r="I123">
        <v>35</v>
      </c>
      <c r="M123">
        <v>40</v>
      </c>
      <c r="S123">
        <v>40</v>
      </c>
    </row>
    <row r="124" spans="1:20" x14ac:dyDescent="0.3">
      <c r="A124" t="s">
        <v>45</v>
      </c>
      <c r="B124">
        <v>10</v>
      </c>
      <c r="D124">
        <v>7</v>
      </c>
      <c r="E124">
        <v>4</v>
      </c>
      <c r="H124">
        <v>3</v>
      </c>
      <c r="I124">
        <v>8</v>
      </c>
      <c r="L124">
        <v>1</v>
      </c>
      <c r="M124">
        <v>6</v>
      </c>
      <c r="R124">
        <v>5</v>
      </c>
      <c r="S124">
        <v>2</v>
      </c>
    </row>
    <row r="125" spans="1:20" x14ac:dyDescent="0.3">
      <c r="A125" t="s">
        <v>46</v>
      </c>
      <c r="B125">
        <v>10</v>
      </c>
      <c r="D125">
        <v>4</v>
      </c>
      <c r="H125">
        <v>8</v>
      </c>
      <c r="L125">
        <v>6</v>
      </c>
      <c r="N125">
        <v>6</v>
      </c>
      <c r="R125">
        <v>2</v>
      </c>
    </row>
    <row r="126" spans="1:20" x14ac:dyDescent="0.3">
      <c r="A126" t="s">
        <v>49</v>
      </c>
      <c r="B126">
        <v>10</v>
      </c>
      <c r="D126">
        <v>4</v>
      </c>
      <c r="E126">
        <v>6.1</v>
      </c>
      <c r="F126">
        <v>4</v>
      </c>
      <c r="H126">
        <v>4</v>
      </c>
      <c r="I126">
        <v>6.1</v>
      </c>
      <c r="J126">
        <v>4</v>
      </c>
      <c r="L126">
        <v>4</v>
      </c>
      <c r="M126">
        <v>5.3</v>
      </c>
      <c r="N126">
        <v>5.3</v>
      </c>
      <c r="P126">
        <v>4</v>
      </c>
      <c r="R126">
        <v>4</v>
      </c>
      <c r="S126">
        <v>5.3</v>
      </c>
      <c r="T126">
        <v>4</v>
      </c>
    </row>
    <row r="127" spans="1:20" x14ac:dyDescent="0.3">
      <c r="A127" t="s">
        <v>727</v>
      </c>
      <c r="B127">
        <v>10</v>
      </c>
      <c r="D127">
        <v>0</v>
      </c>
      <c r="E127">
        <v>0</v>
      </c>
      <c r="F127">
        <v>0</v>
      </c>
      <c r="H127">
        <v>0</v>
      </c>
      <c r="I127">
        <v>0</v>
      </c>
      <c r="J127">
        <v>0</v>
      </c>
      <c r="L127">
        <v>0</v>
      </c>
      <c r="M127">
        <v>0</v>
      </c>
      <c r="N127">
        <v>0</v>
      </c>
      <c r="P127">
        <v>0</v>
      </c>
      <c r="R127">
        <v>0</v>
      </c>
      <c r="S127">
        <v>0</v>
      </c>
      <c r="T127">
        <v>0</v>
      </c>
    </row>
    <row r="128" spans="1:20" x14ac:dyDescent="0.3">
      <c r="A128" t="s">
        <v>48</v>
      </c>
      <c r="B128">
        <v>10</v>
      </c>
      <c r="D128">
        <v>1900</v>
      </c>
      <c r="E128">
        <v>1900</v>
      </c>
      <c r="F128">
        <v>1900</v>
      </c>
      <c r="H128">
        <v>1900</v>
      </c>
      <c r="I128">
        <v>1900</v>
      </c>
      <c r="J128">
        <v>1900</v>
      </c>
      <c r="L128">
        <v>1900</v>
      </c>
      <c r="M128">
        <v>1900</v>
      </c>
      <c r="N128">
        <v>1900</v>
      </c>
      <c r="P128">
        <v>1900</v>
      </c>
      <c r="R128">
        <v>1900</v>
      </c>
      <c r="S128">
        <v>1900</v>
      </c>
      <c r="T128">
        <v>1900</v>
      </c>
    </row>
    <row r="129" spans="1:20" x14ac:dyDescent="0.3">
      <c r="A129" t="s">
        <v>728</v>
      </c>
      <c r="B129">
        <v>10</v>
      </c>
      <c r="D129">
        <v>1770</v>
      </c>
      <c r="E129">
        <v>3383</v>
      </c>
      <c r="F129">
        <v>0</v>
      </c>
      <c r="H129">
        <v>1770</v>
      </c>
      <c r="I129">
        <v>3362</v>
      </c>
      <c r="J129">
        <v>0</v>
      </c>
      <c r="L129">
        <v>1770</v>
      </c>
      <c r="M129">
        <v>5085</v>
      </c>
      <c r="N129">
        <v>1583</v>
      </c>
      <c r="P129">
        <v>0</v>
      </c>
      <c r="R129">
        <v>1770</v>
      </c>
      <c r="S129">
        <v>5029</v>
      </c>
      <c r="T129">
        <v>0</v>
      </c>
    </row>
    <row r="130" spans="1:20" x14ac:dyDescent="0.3">
      <c r="A130" t="s">
        <v>50</v>
      </c>
      <c r="B130">
        <v>10</v>
      </c>
      <c r="D130">
        <v>879</v>
      </c>
      <c r="E130">
        <v>3383</v>
      </c>
      <c r="F130">
        <v>0</v>
      </c>
      <c r="H130">
        <v>1090</v>
      </c>
      <c r="I130">
        <v>3362</v>
      </c>
      <c r="J130">
        <v>0</v>
      </c>
      <c r="L130">
        <v>214</v>
      </c>
      <c r="M130">
        <v>5085</v>
      </c>
      <c r="N130">
        <v>1583</v>
      </c>
      <c r="P130">
        <v>0</v>
      </c>
      <c r="R130">
        <v>330</v>
      </c>
      <c r="S130">
        <v>5029</v>
      </c>
      <c r="T130">
        <v>0</v>
      </c>
    </row>
    <row r="131" spans="1:20" x14ac:dyDescent="0.3">
      <c r="A131" t="s">
        <v>729</v>
      </c>
      <c r="B131">
        <v>10</v>
      </c>
      <c r="D131">
        <v>1</v>
      </c>
      <c r="E131">
        <v>1</v>
      </c>
      <c r="F131">
        <v>1</v>
      </c>
      <c r="H131">
        <v>1</v>
      </c>
      <c r="I131">
        <v>1</v>
      </c>
      <c r="J131">
        <v>1</v>
      </c>
      <c r="L131">
        <v>1</v>
      </c>
      <c r="M131">
        <v>1</v>
      </c>
      <c r="N131">
        <v>1</v>
      </c>
      <c r="P131">
        <v>1</v>
      </c>
      <c r="R131">
        <v>1</v>
      </c>
      <c r="S131">
        <v>1</v>
      </c>
      <c r="T131">
        <v>1</v>
      </c>
    </row>
    <row r="132" spans="1:20" x14ac:dyDescent="0.3">
      <c r="A132" t="s">
        <v>51</v>
      </c>
      <c r="B132">
        <v>10</v>
      </c>
      <c r="D132">
        <v>0</v>
      </c>
      <c r="E132">
        <v>52</v>
      </c>
      <c r="F132">
        <v>0</v>
      </c>
      <c r="H132">
        <v>0</v>
      </c>
      <c r="I132">
        <v>72</v>
      </c>
      <c r="J132">
        <v>0</v>
      </c>
      <c r="L132">
        <v>0</v>
      </c>
      <c r="M132">
        <v>0</v>
      </c>
      <c r="N132">
        <v>101</v>
      </c>
      <c r="P132">
        <v>0</v>
      </c>
      <c r="R132">
        <v>0</v>
      </c>
      <c r="S132">
        <v>10</v>
      </c>
      <c r="T132">
        <v>0</v>
      </c>
    </row>
    <row r="133" spans="1:20" x14ac:dyDescent="0.3">
      <c r="A133" t="s">
        <v>53</v>
      </c>
      <c r="B133">
        <v>10</v>
      </c>
      <c r="D133">
        <v>103</v>
      </c>
      <c r="E133">
        <v>177</v>
      </c>
      <c r="F133">
        <v>73</v>
      </c>
      <c r="H133">
        <v>293</v>
      </c>
      <c r="I133">
        <v>198</v>
      </c>
      <c r="J133">
        <v>100</v>
      </c>
      <c r="L133">
        <v>131</v>
      </c>
      <c r="M133">
        <v>1032</v>
      </c>
      <c r="N133">
        <v>93</v>
      </c>
      <c r="P133">
        <v>0</v>
      </c>
      <c r="R133">
        <v>69</v>
      </c>
      <c r="S133">
        <v>920</v>
      </c>
      <c r="T133">
        <v>73</v>
      </c>
    </row>
    <row r="134" spans="1:20" x14ac:dyDescent="0.3">
      <c r="A134" t="s">
        <v>54</v>
      </c>
      <c r="B134">
        <v>10</v>
      </c>
      <c r="D134">
        <v>0</v>
      </c>
      <c r="E134">
        <v>0</v>
      </c>
      <c r="F134">
        <v>0</v>
      </c>
      <c r="H134">
        <v>0</v>
      </c>
      <c r="I134">
        <v>0</v>
      </c>
      <c r="J134">
        <v>0</v>
      </c>
      <c r="L134">
        <v>0</v>
      </c>
      <c r="M134">
        <v>0</v>
      </c>
      <c r="N134">
        <v>0</v>
      </c>
      <c r="P134">
        <v>0</v>
      </c>
      <c r="R134">
        <v>0</v>
      </c>
      <c r="S134">
        <v>0</v>
      </c>
      <c r="T134">
        <v>0</v>
      </c>
    </row>
    <row r="135" spans="1:20" x14ac:dyDescent="0.3">
      <c r="A135" t="s">
        <v>55</v>
      </c>
      <c r="B135">
        <v>10</v>
      </c>
      <c r="D135">
        <v>0</v>
      </c>
      <c r="E135">
        <v>0</v>
      </c>
      <c r="F135">
        <v>0</v>
      </c>
      <c r="H135">
        <v>0</v>
      </c>
      <c r="I135">
        <v>0</v>
      </c>
      <c r="J135">
        <v>0</v>
      </c>
      <c r="L135">
        <v>0</v>
      </c>
      <c r="M135">
        <v>0</v>
      </c>
      <c r="N135">
        <v>0</v>
      </c>
      <c r="P135">
        <v>0</v>
      </c>
      <c r="R135">
        <v>0</v>
      </c>
      <c r="S135">
        <v>0</v>
      </c>
      <c r="T135">
        <v>0</v>
      </c>
    </row>
    <row r="136" spans="1:20" x14ac:dyDescent="0.3">
      <c r="A136" t="s">
        <v>56</v>
      </c>
      <c r="B136">
        <v>10</v>
      </c>
      <c r="D136">
        <v>0.92</v>
      </c>
      <c r="E136">
        <v>0.92</v>
      </c>
      <c r="F136">
        <v>0.92</v>
      </c>
      <c r="H136">
        <v>0.92</v>
      </c>
      <c r="I136">
        <v>0.92</v>
      </c>
      <c r="J136">
        <v>0.92</v>
      </c>
      <c r="L136">
        <v>0.92</v>
      </c>
      <c r="M136">
        <v>0.92</v>
      </c>
      <c r="N136">
        <v>0.92</v>
      </c>
      <c r="P136">
        <v>0.92</v>
      </c>
      <c r="R136">
        <v>0.92</v>
      </c>
      <c r="S136">
        <v>0.92</v>
      </c>
      <c r="T136">
        <v>0.92</v>
      </c>
    </row>
    <row r="137" spans="1:20" x14ac:dyDescent="0.3">
      <c r="A137" t="s">
        <v>57</v>
      </c>
      <c r="B137">
        <v>10</v>
      </c>
      <c r="D137">
        <v>100</v>
      </c>
      <c r="E137">
        <v>100</v>
      </c>
      <c r="F137">
        <v>100</v>
      </c>
      <c r="H137">
        <v>100</v>
      </c>
      <c r="I137">
        <v>100</v>
      </c>
      <c r="J137">
        <v>100</v>
      </c>
      <c r="L137">
        <v>100</v>
      </c>
      <c r="M137">
        <v>100</v>
      </c>
      <c r="N137">
        <v>100</v>
      </c>
      <c r="P137">
        <v>100</v>
      </c>
      <c r="R137">
        <v>100</v>
      </c>
      <c r="S137">
        <v>100</v>
      </c>
      <c r="T137">
        <v>100</v>
      </c>
    </row>
    <row r="138" spans="1:20" x14ac:dyDescent="0.3">
      <c r="A138" t="s">
        <v>58</v>
      </c>
      <c r="B138">
        <v>10</v>
      </c>
      <c r="D138">
        <v>2</v>
      </c>
      <c r="E138">
        <v>2</v>
      </c>
      <c r="F138">
        <v>2</v>
      </c>
      <c r="H138">
        <v>2</v>
      </c>
      <c r="I138">
        <v>2</v>
      </c>
      <c r="J138">
        <v>2</v>
      </c>
      <c r="L138">
        <v>2</v>
      </c>
      <c r="M138">
        <v>2</v>
      </c>
      <c r="N138">
        <v>2</v>
      </c>
      <c r="P138">
        <v>2</v>
      </c>
      <c r="R138">
        <v>2</v>
      </c>
      <c r="S138">
        <v>2</v>
      </c>
      <c r="T138">
        <v>2</v>
      </c>
    </row>
    <row r="139" spans="1:20" x14ac:dyDescent="0.3">
      <c r="A139" t="s">
        <v>59</v>
      </c>
      <c r="B139">
        <v>10</v>
      </c>
      <c r="D139">
        <v>0</v>
      </c>
      <c r="E139">
        <v>0</v>
      </c>
      <c r="F139">
        <v>0</v>
      </c>
      <c r="H139">
        <v>0</v>
      </c>
      <c r="I139">
        <v>0</v>
      </c>
      <c r="J139">
        <v>0</v>
      </c>
      <c r="L139">
        <v>0</v>
      </c>
      <c r="M139">
        <v>0</v>
      </c>
      <c r="N139">
        <v>0</v>
      </c>
      <c r="P139">
        <v>0</v>
      </c>
      <c r="R139">
        <v>0</v>
      </c>
      <c r="S139">
        <v>0</v>
      </c>
      <c r="T139">
        <v>0</v>
      </c>
    </row>
    <row r="140" spans="1:20" x14ac:dyDescent="0.3">
      <c r="A140" t="s">
        <v>730</v>
      </c>
      <c r="B140">
        <v>10</v>
      </c>
      <c r="E140">
        <v>0</v>
      </c>
      <c r="I140">
        <v>0</v>
      </c>
      <c r="M140">
        <v>0</v>
      </c>
      <c r="S140">
        <v>0</v>
      </c>
    </row>
    <row r="141" spans="1:20" x14ac:dyDescent="0.3">
      <c r="A141" t="s">
        <v>679</v>
      </c>
      <c r="B141">
        <v>10</v>
      </c>
      <c r="E141">
        <v>652</v>
      </c>
      <c r="I141">
        <v>536</v>
      </c>
      <c r="M141">
        <v>2616</v>
      </c>
      <c r="S141">
        <v>2633</v>
      </c>
    </row>
    <row r="142" spans="1:20" x14ac:dyDescent="0.3">
      <c r="A142" t="s">
        <v>78</v>
      </c>
      <c r="B142">
        <v>10</v>
      </c>
      <c r="E142">
        <v>11.1</v>
      </c>
      <c r="I142">
        <v>10.4</v>
      </c>
      <c r="M142">
        <v>44.6</v>
      </c>
      <c r="S142">
        <v>44.9</v>
      </c>
    </row>
    <row r="143" spans="1:20" x14ac:dyDescent="0.3">
      <c r="A143" t="s">
        <v>731</v>
      </c>
      <c r="B143">
        <v>10</v>
      </c>
      <c r="F143">
        <v>0</v>
      </c>
      <c r="J143">
        <v>0</v>
      </c>
      <c r="N143">
        <v>0</v>
      </c>
      <c r="T143">
        <v>0</v>
      </c>
    </row>
    <row r="144" spans="1:20" x14ac:dyDescent="0.3">
      <c r="A144" t="s">
        <v>732</v>
      </c>
      <c r="B144">
        <v>10</v>
      </c>
      <c r="D144">
        <v>0</v>
      </c>
      <c r="E144">
        <v>0</v>
      </c>
      <c r="F144">
        <v>1</v>
      </c>
      <c r="H144">
        <v>0</v>
      </c>
      <c r="I144">
        <v>0</v>
      </c>
      <c r="J144">
        <v>1</v>
      </c>
      <c r="L144">
        <v>0</v>
      </c>
      <c r="M144">
        <v>0</v>
      </c>
      <c r="N144">
        <v>1</v>
      </c>
      <c r="P144">
        <v>3</v>
      </c>
      <c r="R144">
        <v>0</v>
      </c>
      <c r="S144">
        <v>0</v>
      </c>
      <c r="T144">
        <v>1</v>
      </c>
    </row>
    <row r="145" spans="1:20" x14ac:dyDescent="0.3">
      <c r="A145" t="s">
        <v>733</v>
      </c>
      <c r="B145">
        <v>10</v>
      </c>
      <c r="D145">
        <v>0</v>
      </c>
      <c r="E145">
        <v>0</v>
      </c>
      <c r="F145">
        <v>0</v>
      </c>
      <c r="H145">
        <v>0</v>
      </c>
      <c r="I145">
        <v>0</v>
      </c>
      <c r="J145">
        <v>0</v>
      </c>
      <c r="L145">
        <v>0</v>
      </c>
      <c r="M145">
        <v>0</v>
      </c>
      <c r="N145">
        <v>0</v>
      </c>
      <c r="P145">
        <v>0</v>
      </c>
      <c r="R145">
        <v>0</v>
      </c>
      <c r="S145">
        <v>0</v>
      </c>
      <c r="T145">
        <v>0</v>
      </c>
    </row>
    <row r="146" spans="1:20" x14ac:dyDescent="0.3">
      <c r="A146" t="s">
        <v>52</v>
      </c>
      <c r="B146">
        <v>10</v>
      </c>
      <c r="D146">
        <v>1</v>
      </c>
      <c r="E146">
        <v>1</v>
      </c>
      <c r="F146">
        <v>1</v>
      </c>
      <c r="H146">
        <v>1</v>
      </c>
      <c r="I146">
        <v>1</v>
      </c>
      <c r="J146">
        <v>1</v>
      </c>
      <c r="L146">
        <v>1</v>
      </c>
      <c r="M146">
        <v>1</v>
      </c>
      <c r="N146">
        <v>1</v>
      </c>
      <c r="P146">
        <v>1</v>
      </c>
      <c r="R146">
        <v>1</v>
      </c>
      <c r="S146">
        <v>1</v>
      </c>
      <c r="T146">
        <v>1</v>
      </c>
    </row>
    <row r="147" spans="1:20" x14ac:dyDescent="0.3">
      <c r="A147" t="s">
        <v>734</v>
      </c>
      <c r="B147">
        <v>10</v>
      </c>
      <c r="D147">
        <v>15</v>
      </c>
      <c r="E147">
        <v>60</v>
      </c>
      <c r="F147">
        <v>9</v>
      </c>
      <c r="H147">
        <v>15</v>
      </c>
      <c r="I147">
        <v>60</v>
      </c>
      <c r="J147">
        <v>9</v>
      </c>
      <c r="L147">
        <v>15</v>
      </c>
      <c r="M147">
        <v>60</v>
      </c>
      <c r="N147">
        <v>9</v>
      </c>
      <c r="P147">
        <v>9</v>
      </c>
      <c r="R147">
        <v>15</v>
      </c>
      <c r="S147">
        <v>60</v>
      </c>
      <c r="T147">
        <v>9</v>
      </c>
    </row>
    <row r="148" spans="1:20" x14ac:dyDescent="0.3">
      <c r="A148" t="s">
        <v>43</v>
      </c>
      <c r="B148">
        <v>10</v>
      </c>
      <c r="D148">
        <v>20</v>
      </c>
      <c r="E148">
        <v>100</v>
      </c>
      <c r="H148">
        <v>20</v>
      </c>
      <c r="I148">
        <v>100</v>
      </c>
      <c r="L148">
        <v>20</v>
      </c>
      <c r="M148">
        <v>100</v>
      </c>
      <c r="N148">
        <v>20</v>
      </c>
      <c r="R148">
        <v>20</v>
      </c>
      <c r="S148">
        <v>100</v>
      </c>
    </row>
    <row r="149" spans="1:20" x14ac:dyDescent="0.3">
      <c r="A149" t="s">
        <v>44</v>
      </c>
      <c r="B149">
        <v>10</v>
      </c>
      <c r="D149">
        <v>0</v>
      </c>
      <c r="E149">
        <v>0</v>
      </c>
      <c r="H149">
        <v>0</v>
      </c>
      <c r="I149">
        <v>0</v>
      </c>
      <c r="L149">
        <v>0</v>
      </c>
      <c r="M149">
        <v>0</v>
      </c>
      <c r="N149">
        <v>0</v>
      </c>
      <c r="R149">
        <v>0</v>
      </c>
      <c r="S149">
        <v>0</v>
      </c>
    </row>
    <row r="150" spans="1:20" x14ac:dyDescent="0.3">
      <c r="A150" t="s">
        <v>47</v>
      </c>
      <c r="B150">
        <v>10</v>
      </c>
      <c r="D150">
        <v>7</v>
      </c>
      <c r="E150">
        <v>4</v>
      </c>
      <c r="H150">
        <v>3</v>
      </c>
      <c r="I150">
        <v>8</v>
      </c>
      <c r="L150">
        <v>1</v>
      </c>
      <c r="M150">
        <v>6</v>
      </c>
      <c r="N150">
        <v>6</v>
      </c>
      <c r="R150">
        <v>5</v>
      </c>
      <c r="S150">
        <v>2</v>
      </c>
    </row>
    <row r="151" spans="1:20" x14ac:dyDescent="0.3">
      <c r="A151" t="s">
        <v>735</v>
      </c>
      <c r="B151">
        <v>10</v>
      </c>
      <c r="D151">
        <v>0</v>
      </c>
      <c r="E151">
        <v>0</v>
      </c>
      <c r="H151">
        <v>0</v>
      </c>
      <c r="I151">
        <v>0</v>
      </c>
      <c r="L151">
        <v>0</v>
      </c>
      <c r="M151">
        <v>0</v>
      </c>
      <c r="N151">
        <v>0</v>
      </c>
      <c r="R151">
        <v>0</v>
      </c>
      <c r="S151">
        <v>0</v>
      </c>
    </row>
    <row r="152" spans="1:20" x14ac:dyDescent="0.3">
      <c r="A152" t="s">
        <v>736</v>
      </c>
      <c r="B152">
        <v>10</v>
      </c>
      <c r="D152">
        <v>0</v>
      </c>
      <c r="E152">
        <v>0</v>
      </c>
      <c r="H152">
        <v>0</v>
      </c>
      <c r="I152">
        <v>0</v>
      </c>
      <c r="L152">
        <v>0</v>
      </c>
      <c r="M152">
        <v>0</v>
      </c>
      <c r="N152">
        <v>0</v>
      </c>
      <c r="R152">
        <v>0</v>
      </c>
      <c r="S152">
        <v>0</v>
      </c>
    </row>
    <row r="153" spans="1:20" x14ac:dyDescent="0.3">
      <c r="A153" t="s">
        <v>737</v>
      </c>
      <c r="B153">
        <v>10</v>
      </c>
      <c r="D153">
        <v>0</v>
      </c>
      <c r="E153">
        <v>0</v>
      </c>
      <c r="H153">
        <v>0</v>
      </c>
      <c r="I153">
        <v>0</v>
      </c>
      <c r="L153">
        <v>0</v>
      </c>
      <c r="M153">
        <v>0</v>
      </c>
      <c r="N153">
        <v>0</v>
      </c>
      <c r="R153">
        <v>0</v>
      </c>
      <c r="S153">
        <v>0</v>
      </c>
    </row>
    <row r="154" spans="1:20" x14ac:dyDescent="0.3">
      <c r="A154" t="s">
        <v>738</v>
      </c>
      <c r="B154">
        <v>10</v>
      </c>
      <c r="D154">
        <v>0</v>
      </c>
      <c r="E154">
        <v>0</v>
      </c>
      <c r="H154">
        <v>0</v>
      </c>
      <c r="I154">
        <v>0</v>
      </c>
      <c r="L154">
        <v>0</v>
      </c>
      <c r="M154">
        <v>0</v>
      </c>
      <c r="N154">
        <v>0</v>
      </c>
      <c r="R154">
        <v>0</v>
      </c>
      <c r="S154">
        <v>0</v>
      </c>
    </row>
    <row r="155" spans="1:20" x14ac:dyDescent="0.3">
      <c r="A155" t="s">
        <v>739</v>
      </c>
      <c r="B155">
        <v>10</v>
      </c>
      <c r="D155">
        <v>1</v>
      </c>
      <c r="E155">
        <v>2</v>
      </c>
      <c r="H155">
        <v>1</v>
      </c>
      <c r="I155">
        <v>2</v>
      </c>
      <c r="L155">
        <v>1</v>
      </c>
      <c r="M155">
        <v>2</v>
      </c>
      <c r="N155">
        <v>1</v>
      </c>
      <c r="R155">
        <v>1</v>
      </c>
      <c r="S155">
        <v>2</v>
      </c>
    </row>
    <row r="156" spans="1:20" x14ac:dyDescent="0.3">
      <c r="A156" t="s">
        <v>740</v>
      </c>
      <c r="B156">
        <v>10</v>
      </c>
      <c r="D156">
        <v>0</v>
      </c>
      <c r="E156">
        <v>0</v>
      </c>
      <c r="H156">
        <v>0</v>
      </c>
      <c r="I156">
        <v>0</v>
      </c>
      <c r="L156">
        <v>0</v>
      </c>
      <c r="M156">
        <v>0</v>
      </c>
      <c r="N156">
        <v>0</v>
      </c>
      <c r="R156">
        <v>0</v>
      </c>
      <c r="S156">
        <v>0</v>
      </c>
    </row>
    <row r="157" spans="1:20" x14ac:dyDescent="0.3">
      <c r="A157" t="s">
        <v>741</v>
      </c>
      <c r="B157">
        <v>10</v>
      </c>
      <c r="D157">
        <v>20</v>
      </c>
      <c r="E157">
        <v>6</v>
      </c>
      <c r="H157">
        <v>20</v>
      </c>
      <c r="I157">
        <v>6</v>
      </c>
      <c r="L157">
        <v>20</v>
      </c>
      <c r="M157">
        <v>6</v>
      </c>
      <c r="N157">
        <v>20</v>
      </c>
      <c r="R157">
        <v>20</v>
      </c>
      <c r="S157">
        <v>6</v>
      </c>
    </row>
    <row r="158" spans="1:20" x14ac:dyDescent="0.3">
      <c r="A158" t="s">
        <v>742</v>
      </c>
      <c r="B158">
        <v>10</v>
      </c>
      <c r="D158">
        <v>3</v>
      </c>
      <c r="E158">
        <v>3</v>
      </c>
      <c r="H158">
        <v>3</v>
      </c>
      <c r="I158">
        <v>3</v>
      </c>
      <c r="L158">
        <v>3</v>
      </c>
      <c r="M158">
        <v>3</v>
      </c>
      <c r="N158">
        <v>3</v>
      </c>
      <c r="R158">
        <v>3</v>
      </c>
      <c r="S158">
        <v>3</v>
      </c>
    </row>
    <row r="159" spans="1:20" x14ac:dyDescent="0.3">
      <c r="A159" t="s">
        <v>743</v>
      </c>
      <c r="B159">
        <v>10</v>
      </c>
      <c r="D159">
        <v>0</v>
      </c>
      <c r="E159">
        <v>0</v>
      </c>
      <c r="H159">
        <v>0</v>
      </c>
      <c r="I159">
        <v>0</v>
      </c>
      <c r="L159">
        <v>0</v>
      </c>
      <c r="M159">
        <v>0</v>
      </c>
      <c r="N159">
        <v>0</v>
      </c>
      <c r="R159">
        <v>0</v>
      </c>
      <c r="S159">
        <v>0</v>
      </c>
    </row>
    <row r="160" spans="1:20" x14ac:dyDescent="0.3">
      <c r="A160" t="s">
        <v>744</v>
      </c>
      <c r="B160">
        <v>10</v>
      </c>
      <c r="D160">
        <v>0</v>
      </c>
      <c r="E160">
        <v>0</v>
      </c>
      <c r="H160">
        <v>0</v>
      </c>
      <c r="I160">
        <v>0</v>
      </c>
      <c r="L160">
        <v>0</v>
      </c>
      <c r="M160">
        <v>0</v>
      </c>
      <c r="N160">
        <v>0</v>
      </c>
      <c r="R160">
        <v>0</v>
      </c>
      <c r="S160">
        <v>0</v>
      </c>
    </row>
    <row r="161" spans="1:20" x14ac:dyDescent="0.3">
      <c r="A161" t="s">
        <v>745</v>
      </c>
      <c r="B161">
        <v>10</v>
      </c>
      <c r="D161">
        <v>0</v>
      </c>
      <c r="E161">
        <v>0</v>
      </c>
      <c r="H161">
        <v>0</v>
      </c>
      <c r="I161">
        <v>0</v>
      </c>
      <c r="L161">
        <v>0</v>
      </c>
      <c r="M161">
        <v>0</v>
      </c>
      <c r="N161">
        <v>0</v>
      </c>
      <c r="R161">
        <v>0</v>
      </c>
      <c r="S161">
        <v>0</v>
      </c>
    </row>
    <row r="162" spans="1:20" x14ac:dyDescent="0.3">
      <c r="A162" t="s">
        <v>746</v>
      </c>
      <c r="B162">
        <v>10</v>
      </c>
      <c r="E162">
        <v>94</v>
      </c>
      <c r="I162">
        <v>94</v>
      </c>
      <c r="M162">
        <v>94</v>
      </c>
      <c r="S162">
        <v>94</v>
      </c>
    </row>
    <row r="163" spans="1:20" x14ac:dyDescent="0.3">
      <c r="A163" t="s">
        <v>747</v>
      </c>
      <c r="B163">
        <v>10</v>
      </c>
      <c r="E163">
        <v>6</v>
      </c>
      <c r="I163">
        <v>6</v>
      </c>
      <c r="M163">
        <v>6</v>
      </c>
      <c r="S163">
        <v>6</v>
      </c>
    </row>
    <row r="164" spans="1:20" x14ac:dyDescent="0.3">
      <c r="A164" t="s">
        <v>748</v>
      </c>
      <c r="B164">
        <v>10</v>
      </c>
      <c r="E164">
        <v>3</v>
      </c>
      <c r="I164">
        <v>3</v>
      </c>
      <c r="M164">
        <v>3</v>
      </c>
      <c r="S164">
        <v>3</v>
      </c>
    </row>
    <row r="165" spans="1:20" x14ac:dyDescent="0.3">
      <c r="A165" t="s">
        <v>749</v>
      </c>
      <c r="B165">
        <v>10</v>
      </c>
      <c r="E165">
        <v>0</v>
      </c>
      <c r="I165">
        <v>0</v>
      </c>
      <c r="M165">
        <v>0</v>
      </c>
      <c r="S165">
        <v>0</v>
      </c>
    </row>
    <row r="166" spans="1:20" x14ac:dyDescent="0.3">
      <c r="A166" t="s">
        <v>750</v>
      </c>
      <c r="B166">
        <v>10</v>
      </c>
      <c r="E166">
        <v>0</v>
      </c>
      <c r="I166">
        <v>0</v>
      </c>
      <c r="M166">
        <v>0</v>
      </c>
      <c r="S166">
        <v>0</v>
      </c>
    </row>
    <row r="167" spans="1:20" x14ac:dyDescent="0.3">
      <c r="A167" t="s">
        <v>405</v>
      </c>
      <c r="B167">
        <v>10</v>
      </c>
      <c r="E167">
        <v>0</v>
      </c>
    </row>
    <row r="168" spans="1:20" x14ac:dyDescent="0.3">
      <c r="A168" t="s">
        <v>751</v>
      </c>
      <c r="B168">
        <v>10</v>
      </c>
      <c r="D168">
        <v>112</v>
      </c>
      <c r="E168">
        <v>271</v>
      </c>
      <c r="F168">
        <v>0</v>
      </c>
      <c r="H168">
        <v>318</v>
      </c>
      <c r="I168">
        <v>324</v>
      </c>
      <c r="J168">
        <v>0</v>
      </c>
      <c r="L168">
        <v>142</v>
      </c>
      <c r="M168">
        <v>1122</v>
      </c>
      <c r="N168">
        <v>101</v>
      </c>
      <c r="P168">
        <v>0</v>
      </c>
      <c r="R168">
        <v>75</v>
      </c>
      <c r="S168">
        <v>1079</v>
      </c>
      <c r="T168">
        <v>0</v>
      </c>
    </row>
    <row r="169" spans="1:20" x14ac:dyDescent="0.3">
      <c r="A169" t="s">
        <v>34</v>
      </c>
      <c r="B169">
        <v>13</v>
      </c>
      <c r="H169">
        <v>15</v>
      </c>
      <c r="J169">
        <v>15</v>
      </c>
      <c r="L169">
        <v>10</v>
      </c>
      <c r="M169">
        <v>10</v>
      </c>
      <c r="P169">
        <v>16</v>
      </c>
      <c r="S169">
        <v>16</v>
      </c>
      <c r="T169">
        <v>16</v>
      </c>
    </row>
    <row r="170" spans="1:20" x14ac:dyDescent="0.3">
      <c r="A170" t="s">
        <v>35</v>
      </c>
      <c r="B170">
        <v>13</v>
      </c>
      <c r="H170">
        <v>16</v>
      </c>
      <c r="J170">
        <v>10</v>
      </c>
      <c r="L170">
        <v>15</v>
      </c>
      <c r="M170">
        <v>16</v>
      </c>
      <c r="P170">
        <v>16</v>
      </c>
      <c r="S170">
        <v>10</v>
      </c>
      <c r="T170">
        <v>15</v>
      </c>
    </row>
    <row r="171" spans="1:20" x14ac:dyDescent="0.3">
      <c r="A171" t="s">
        <v>36</v>
      </c>
      <c r="B171">
        <v>13</v>
      </c>
      <c r="H171">
        <v>1</v>
      </c>
      <c r="J171">
        <v>1</v>
      </c>
      <c r="L171">
        <v>1</v>
      </c>
      <c r="M171">
        <v>3</v>
      </c>
      <c r="P171">
        <v>1</v>
      </c>
      <c r="S171">
        <v>3</v>
      </c>
      <c r="T171">
        <v>0</v>
      </c>
    </row>
    <row r="172" spans="1:20" x14ac:dyDescent="0.3">
      <c r="A172" t="s">
        <v>37</v>
      </c>
      <c r="B172">
        <v>13</v>
      </c>
      <c r="H172">
        <v>0</v>
      </c>
      <c r="L172">
        <v>0</v>
      </c>
      <c r="M172">
        <v>0</v>
      </c>
      <c r="S172">
        <v>2</v>
      </c>
    </row>
    <row r="173" spans="1:20" x14ac:dyDescent="0.3">
      <c r="A173" t="s">
        <v>38</v>
      </c>
      <c r="B173">
        <v>13</v>
      </c>
      <c r="H173">
        <v>12</v>
      </c>
      <c r="J173">
        <v>12</v>
      </c>
      <c r="L173">
        <v>12</v>
      </c>
      <c r="M173">
        <v>12</v>
      </c>
      <c r="P173">
        <v>12</v>
      </c>
      <c r="S173">
        <v>12</v>
      </c>
      <c r="T173">
        <v>12</v>
      </c>
    </row>
    <row r="174" spans="1:20" x14ac:dyDescent="0.3">
      <c r="A174" t="s">
        <v>39</v>
      </c>
      <c r="B174">
        <v>13</v>
      </c>
      <c r="L174">
        <v>150</v>
      </c>
      <c r="P174">
        <v>120</v>
      </c>
    </row>
    <row r="175" spans="1:20" x14ac:dyDescent="0.3">
      <c r="A175" t="s">
        <v>726</v>
      </c>
      <c r="B175">
        <v>13</v>
      </c>
      <c r="L175">
        <v>25</v>
      </c>
      <c r="P175">
        <v>25</v>
      </c>
    </row>
    <row r="176" spans="1:20" x14ac:dyDescent="0.3">
      <c r="A176" t="s">
        <v>40</v>
      </c>
      <c r="B176">
        <v>13</v>
      </c>
      <c r="L176">
        <v>1</v>
      </c>
      <c r="P176">
        <v>1</v>
      </c>
    </row>
    <row r="177" spans="1:20" x14ac:dyDescent="0.3">
      <c r="A177" t="s">
        <v>41</v>
      </c>
      <c r="B177">
        <v>13</v>
      </c>
    </row>
    <row r="178" spans="1:20" x14ac:dyDescent="0.3">
      <c r="A178" t="s">
        <v>42</v>
      </c>
      <c r="B178">
        <v>13</v>
      </c>
      <c r="H178">
        <v>25</v>
      </c>
      <c r="M178">
        <v>40</v>
      </c>
      <c r="S178">
        <v>40</v>
      </c>
    </row>
    <row r="179" spans="1:20" x14ac:dyDescent="0.3">
      <c r="A179" t="s">
        <v>45</v>
      </c>
      <c r="B179">
        <v>13</v>
      </c>
      <c r="H179">
        <v>2</v>
      </c>
      <c r="J179">
        <v>2</v>
      </c>
      <c r="M179">
        <v>1</v>
      </c>
      <c r="S179">
        <v>1</v>
      </c>
    </row>
    <row r="180" spans="1:20" x14ac:dyDescent="0.3">
      <c r="A180" t="s">
        <v>46</v>
      </c>
      <c r="B180">
        <v>13</v>
      </c>
      <c r="J180">
        <v>2</v>
      </c>
      <c r="L180">
        <v>1</v>
      </c>
      <c r="P180">
        <v>1</v>
      </c>
    </row>
    <row r="181" spans="1:20" x14ac:dyDescent="0.3">
      <c r="A181" t="s">
        <v>49</v>
      </c>
      <c r="B181">
        <v>13</v>
      </c>
      <c r="H181">
        <v>5.6</v>
      </c>
      <c r="J181">
        <v>5.6</v>
      </c>
      <c r="L181">
        <v>5</v>
      </c>
      <c r="M181">
        <v>5</v>
      </c>
      <c r="P181">
        <v>5</v>
      </c>
      <c r="S181">
        <v>5</v>
      </c>
      <c r="T181">
        <v>4</v>
      </c>
    </row>
    <row r="182" spans="1:20" x14ac:dyDescent="0.3">
      <c r="A182" t="s">
        <v>727</v>
      </c>
      <c r="B182">
        <v>13</v>
      </c>
      <c r="H182">
        <v>0</v>
      </c>
      <c r="J182">
        <v>0</v>
      </c>
      <c r="L182">
        <v>0</v>
      </c>
      <c r="M182">
        <v>0</v>
      </c>
      <c r="P182">
        <v>0</v>
      </c>
      <c r="S182">
        <v>0</v>
      </c>
      <c r="T182">
        <v>0</v>
      </c>
    </row>
    <row r="183" spans="1:20" x14ac:dyDescent="0.3">
      <c r="A183" t="s">
        <v>48</v>
      </c>
      <c r="B183">
        <v>13</v>
      </c>
      <c r="H183">
        <v>1900</v>
      </c>
      <c r="J183">
        <v>1900</v>
      </c>
      <c r="L183">
        <v>1900</v>
      </c>
      <c r="M183">
        <v>1900</v>
      </c>
      <c r="P183">
        <v>1900</v>
      </c>
      <c r="S183">
        <v>1900</v>
      </c>
      <c r="T183">
        <v>1900</v>
      </c>
    </row>
    <row r="184" spans="1:20" x14ac:dyDescent="0.3">
      <c r="A184" t="s">
        <v>728</v>
      </c>
      <c r="B184">
        <v>13</v>
      </c>
      <c r="H184">
        <v>1770</v>
      </c>
      <c r="J184">
        <v>1583</v>
      </c>
      <c r="L184">
        <v>1770</v>
      </c>
      <c r="M184">
        <v>5085</v>
      </c>
      <c r="P184">
        <v>1863</v>
      </c>
      <c r="S184">
        <v>5060</v>
      </c>
      <c r="T184">
        <v>0</v>
      </c>
    </row>
    <row r="185" spans="1:20" x14ac:dyDescent="0.3">
      <c r="A185" t="s">
        <v>50</v>
      </c>
      <c r="B185">
        <v>13</v>
      </c>
      <c r="H185">
        <v>1770</v>
      </c>
      <c r="J185">
        <v>1583</v>
      </c>
      <c r="L185">
        <v>281</v>
      </c>
      <c r="M185">
        <v>5085</v>
      </c>
      <c r="P185">
        <v>1863</v>
      </c>
      <c r="S185">
        <v>5060</v>
      </c>
      <c r="T185">
        <v>0</v>
      </c>
    </row>
    <row r="186" spans="1:20" x14ac:dyDescent="0.3">
      <c r="A186" t="s">
        <v>729</v>
      </c>
      <c r="B186">
        <v>13</v>
      </c>
      <c r="H186">
        <v>1</v>
      </c>
      <c r="J186">
        <v>1</v>
      </c>
      <c r="L186">
        <v>1</v>
      </c>
      <c r="M186">
        <v>1</v>
      </c>
      <c r="P186">
        <v>1</v>
      </c>
      <c r="S186">
        <v>1</v>
      </c>
      <c r="T186">
        <v>1</v>
      </c>
    </row>
    <row r="187" spans="1:20" x14ac:dyDescent="0.3">
      <c r="A187" t="s">
        <v>51</v>
      </c>
      <c r="B187">
        <v>13</v>
      </c>
      <c r="H187">
        <v>0</v>
      </c>
      <c r="J187">
        <v>63</v>
      </c>
      <c r="L187">
        <v>0</v>
      </c>
      <c r="M187">
        <v>0</v>
      </c>
      <c r="P187">
        <v>0</v>
      </c>
      <c r="S187">
        <v>8</v>
      </c>
      <c r="T187">
        <v>0</v>
      </c>
    </row>
    <row r="188" spans="1:20" x14ac:dyDescent="0.3">
      <c r="A188" t="s">
        <v>53</v>
      </c>
      <c r="B188">
        <v>13</v>
      </c>
      <c r="H188">
        <v>47</v>
      </c>
      <c r="J188">
        <v>60</v>
      </c>
      <c r="L188">
        <v>51</v>
      </c>
      <c r="M188">
        <v>1426</v>
      </c>
      <c r="P188">
        <v>0</v>
      </c>
      <c r="S188">
        <v>1246</v>
      </c>
      <c r="T188">
        <v>40</v>
      </c>
    </row>
    <row r="189" spans="1:20" x14ac:dyDescent="0.3">
      <c r="A189" t="s">
        <v>54</v>
      </c>
      <c r="B189">
        <v>13</v>
      </c>
      <c r="H189">
        <v>0</v>
      </c>
      <c r="J189">
        <v>0</v>
      </c>
      <c r="L189">
        <v>0</v>
      </c>
      <c r="M189">
        <v>0</v>
      </c>
      <c r="P189">
        <v>0</v>
      </c>
      <c r="S189">
        <v>0</v>
      </c>
      <c r="T189">
        <v>0</v>
      </c>
    </row>
    <row r="190" spans="1:20" x14ac:dyDescent="0.3">
      <c r="A190" t="s">
        <v>55</v>
      </c>
      <c r="B190">
        <v>13</v>
      </c>
      <c r="H190">
        <v>0</v>
      </c>
      <c r="J190">
        <v>0</v>
      </c>
      <c r="L190">
        <v>0</v>
      </c>
      <c r="M190">
        <v>0</v>
      </c>
      <c r="P190">
        <v>0</v>
      </c>
      <c r="S190">
        <v>0</v>
      </c>
      <c r="T190">
        <v>0</v>
      </c>
    </row>
    <row r="191" spans="1:20" x14ac:dyDescent="0.3">
      <c r="A191" t="s">
        <v>56</v>
      </c>
      <c r="B191">
        <v>13</v>
      </c>
      <c r="H191">
        <v>0.92</v>
      </c>
      <c r="J191">
        <v>0.92</v>
      </c>
      <c r="L191">
        <v>0.92</v>
      </c>
      <c r="M191">
        <v>0.92</v>
      </c>
      <c r="P191">
        <v>0.92</v>
      </c>
      <c r="S191">
        <v>0.92</v>
      </c>
      <c r="T191">
        <v>0.92</v>
      </c>
    </row>
    <row r="192" spans="1:20" x14ac:dyDescent="0.3">
      <c r="A192" t="s">
        <v>57</v>
      </c>
      <c r="B192">
        <v>13</v>
      </c>
      <c r="H192">
        <v>100</v>
      </c>
      <c r="J192">
        <v>100</v>
      </c>
      <c r="L192">
        <v>100</v>
      </c>
      <c r="M192">
        <v>100</v>
      </c>
      <c r="P192">
        <v>100</v>
      </c>
      <c r="S192">
        <v>100</v>
      </c>
      <c r="T192">
        <v>100</v>
      </c>
    </row>
    <row r="193" spans="1:20" x14ac:dyDescent="0.3">
      <c r="A193" t="s">
        <v>58</v>
      </c>
      <c r="B193">
        <v>13</v>
      </c>
      <c r="H193">
        <v>2</v>
      </c>
      <c r="J193">
        <v>2</v>
      </c>
      <c r="L193">
        <v>2</v>
      </c>
      <c r="M193">
        <v>2</v>
      </c>
      <c r="P193">
        <v>2</v>
      </c>
      <c r="S193">
        <v>2</v>
      </c>
      <c r="T193">
        <v>2</v>
      </c>
    </row>
    <row r="194" spans="1:20" x14ac:dyDescent="0.3">
      <c r="A194" t="s">
        <v>59</v>
      </c>
      <c r="B194">
        <v>13</v>
      </c>
      <c r="H194">
        <v>0</v>
      </c>
      <c r="J194">
        <v>0</v>
      </c>
      <c r="L194">
        <v>0</v>
      </c>
      <c r="M194">
        <v>0</v>
      </c>
      <c r="P194">
        <v>0</v>
      </c>
      <c r="S194">
        <v>0</v>
      </c>
      <c r="T194">
        <v>0</v>
      </c>
    </row>
    <row r="195" spans="1:20" x14ac:dyDescent="0.3">
      <c r="A195" t="s">
        <v>730</v>
      </c>
      <c r="B195">
        <v>13</v>
      </c>
      <c r="H195">
        <v>0</v>
      </c>
      <c r="M195">
        <v>0</v>
      </c>
      <c r="S195">
        <v>0</v>
      </c>
    </row>
    <row r="196" spans="1:20" x14ac:dyDescent="0.3">
      <c r="A196" t="s">
        <v>679</v>
      </c>
      <c r="B196">
        <v>13</v>
      </c>
      <c r="H196">
        <v>265</v>
      </c>
      <c r="M196">
        <v>2633</v>
      </c>
      <c r="S196">
        <v>1317</v>
      </c>
    </row>
    <row r="197" spans="1:20" x14ac:dyDescent="0.3">
      <c r="A197" t="s">
        <v>78</v>
      </c>
      <c r="B197">
        <v>13</v>
      </c>
      <c r="H197">
        <v>7.2</v>
      </c>
      <c r="M197">
        <v>44.9</v>
      </c>
      <c r="S197">
        <v>22.4</v>
      </c>
    </row>
    <row r="198" spans="1:20" x14ac:dyDescent="0.3">
      <c r="A198" t="s">
        <v>731</v>
      </c>
      <c r="B198">
        <v>13</v>
      </c>
      <c r="J198">
        <v>0</v>
      </c>
      <c r="M198">
        <v>0</v>
      </c>
      <c r="T198">
        <v>0</v>
      </c>
    </row>
    <row r="199" spans="1:20" x14ac:dyDescent="0.3">
      <c r="A199" t="s">
        <v>732</v>
      </c>
      <c r="B199">
        <v>13</v>
      </c>
      <c r="H199">
        <v>0</v>
      </c>
      <c r="J199">
        <v>1</v>
      </c>
      <c r="L199">
        <v>0</v>
      </c>
      <c r="M199">
        <v>0</v>
      </c>
      <c r="P199">
        <v>3</v>
      </c>
      <c r="S199">
        <v>0</v>
      </c>
      <c r="T199">
        <v>1</v>
      </c>
    </row>
    <row r="200" spans="1:20" x14ac:dyDescent="0.3">
      <c r="A200" t="s">
        <v>733</v>
      </c>
      <c r="B200">
        <v>13</v>
      </c>
      <c r="H200">
        <v>0</v>
      </c>
      <c r="J200">
        <v>0</v>
      </c>
      <c r="L200">
        <v>0</v>
      </c>
      <c r="M200">
        <v>0</v>
      </c>
      <c r="P200">
        <v>0</v>
      </c>
      <c r="S200">
        <v>0</v>
      </c>
      <c r="T200">
        <v>0</v>
      </c>
    </row>
    <row r="201" spans="1:20" x14ac:dyDescent="0.3">
      <c r="A201" t="s">
        <v>52</v>
      </c>
      <c r="B201">
        <v>13</v>
      </c>
      <c r="H201">
        <v>1</v>
      </c>
      <c r="J201">
        <v>1</v>
      </c>
      <c r="L201">
        <v>1</v>
      </c>
      <c r="M201">
        <v>1</v>
      </c>
      <c r="P201">
        <v>1</v>
      </c>
      <c r="S201">
        <v>1</v>
      </c>
      <c r="T201">
        <v>1</v>
      </c>
    </row>
    <row r="202" spans="1:20" x14ac:dyDescent="0.3">
      <c r="A202" t="s">
        <v>734</v>
      </c>
      <c r="B202">
        <v>13</v>
      </c>
      <c r="H202">
        <v>15</v>
      </c>
      <c r="J202">
        <v>9</v>
      </c>
      <c r="L202">
        <v>15</v>
      </c>
      <c r="M202">
        <v>60</v>
      </c>
      <c r="P202">
        <v>9</v>
      </c>
      <c r="S202">
        <v>60</v>
      </c>
      <c r="T202">
        <v>9</v>
      </c>
    </row>
    <row r="203" spans="1:20" x14ac:dyDescent="0.3">
      <c r="A203" t="s">
        <v>43</v>
      </c>
      <c r="B203">
        <v>13</v>
      </c>
      <c r="H203">
        <v>20</v>
      </c>
      <c r="J203">
        <v>20</v>
      </c>
      <c r="L203">
        <v>20</v>
      </c>
      <c r="M203">
        <v>100</v>
      </c>
      <c r="P203">
        <v>20</v>
      </c>
      <c r="S203">
        <v>100</v>
      </c>
    </row>
    <row r="204" spans="1:20" x14ac:dyDescent="0.3">
      <c r="A204" t="s">
        <v>44</v>
      </c>
      <c r="B204">
        <v>13</v>
      </c>
      <c r="H204">
        <v>0</v>
      </c>
      <c r="J204">
        <v>0</v>
      </c>
      <c r="L204">
        <v>0</v>
      </c>
      <c r="M204">
        <v>0</v>
      </c>
      <c r="P204">
        <v>0</v>
      </c>
      <c r="S204">
        <v>0</v>
      </c>
    </row>
    <row r="205" spans="1:20" x14ac:dyDescent="0.3">
      <c r="A205" t="s">
        <v>47</v>
      </c>
      <c r="B205">
        <v>13</v>
      </c>
      <c r="H205">
        <v>2</v>
      </c>
      <c r="J205">
        <v>2</v>
      </c>
      <c r="L205">
        <v>1</v>
      </c>
      <c r="M205">
        <v>1</v>
      </c>
      <c r="P205">
        <v>1</v>
      </c>
      <c r="S205">
        <v>1</v>
      </c>
    </row>
    <row r="206" spans="1:20" x14ac:dyDescent="0.3">
      <c r="A206" t="s">
        <v>735</v>
      </c>
      <c r="B206">
        <v>13</v>
      </c>
      <c r="H206">
        <v>0</v>
      </c>
      <c r="J206">
        <v>0</v>
      </c>
      <c r="L206">
        <v>0</v>
      </c>
      <c r="M206">
        <v>0</v>
      </c>
      <c r="P206">
        <v>0</v>
      </c>
      <c r="S206">
        <v>0</v>
      </c>
    </row>
    <row r="207" spans="1:20" x14ac:dyDescent="0.3">
      <c r="A207" t="s">
        <v>736</v>
      </c>
      <c r="B207">
        <v>13</v>
      </c>
      <c r="H207">
        <v>0</v>
      </c>
      <c r="J207">
        <v>0</v>
      </c>
      <c r="L207">
        <v>0</v>
      </c>
      <c r="M207">
        <v>0</v>
      </c>
      <c r="P207">
        <v>0</v>
      </c>
      <c r="S207">
        <v>0</v>
      </c>
    </row>
    <row r="208" spans="1:20" x14ac:dyDescent="0.3">
      <c r="A208" t="s">
        <v>737</v>
      </c>
      <c r="B208">
        <v>13</v>
      </c>
      <c r="H208">
        <v>0</v>
      </c>
      <c r="J208">
        <v>0</v>
      </c>
      <c r="L208">
        <v>0</v>
      </c>
      <c r="M208">
        <v>0</v>
      </c>
      <c r="P208">
        <v>0</v>
      </c>
      <c r="S208">
        <v>0</v>
      </c>
    </row>
    <row r="209" spans="1:20" x14ac:dyDescent="0.3">
      <c r="A209" t="s">
        <v>738</v>
      </c>
      <c r="B209">
        <v>13</v>
      </c>
      <c r="H209">
        <v>0</v>
      </c>
      <c r="J209">
        <v>0</v>
      </c>
      <c r="L209">
        <v>0</v>
      </c>
      <c r="M209">
        <v>0</v>
      </c>
      <c r="P209">
        <v>0</v>
      </c>
      <c r="S209">
        <v>0</v>
      </c>
    </row>
    <row r="210" spans="1:20" x14ac:dyDescent="0.3">
      <c r="A210" t="s">
        <v>739</v>
      </c>
      <c r="B210">
        <v>13</v>
      </c>
      <c r="H210">
        <v>1</v>
      </c>
      <c r="J210">
        <v>1</v>
      </c>
      <c r="L210">
        <v>1</v>
      </c>
      <c r="M210">
        <v>2</v>
      </c>
      <c r="P210">
        <v>1</v>
      </c>
      <c r="S210">
        <v>2</v>
      </c>
    </row>
    <row r="211" spans="1:20" x14ac:dyDescent="0.3">
      <c r="A211" t="s">
        <v>740</v>
      </c>
      <c r="B211">
        <v>13</v>
      </c>
      <c r="H211">
        <v>0</v>
      </c>
      <c r="J211">
        <v>0</v>
      </c>
      <c r="L211">
        <v>0</v>
      </c>
      <c r="M211">
        <v>0</v>
      </c>
      <c r="P211">
        <v>0</v>
      </c>
      <c r="S211">
        <v>0</v>
      </c>
    </row>
    <row r="212" spans="1:20" x14ac:dyDescent="0.3">
      <c r="A212" t="s">
        <v>741</v>
      </c>
      <c r="B212">
        <v>13</v>
      </c>
      <c r="H212">
        <v>20</v>
      </c>
      <c r="J212">
        <v>20</v>
      </c>
      <c r="L212">
        <v>20</v>
      </c>
      <c r="M212">
        <v>6</v>
      </c>
      <c r="P212">
        <v>20</v>
      </c>
      <c r="S212">
        <v>6</v>
      </c>
    </row>
    <row r="213" spans="1:20" x14ac:dyDescent="0.3">
      <c r="A213" t="s">
        <v>742</v>
      </c>
      <c r="B213">
        <v>13</v>
      </c>
      <c r="H213">
        <v>3</v>
      </c>
      <c r="J213">
        <v>3</v>
      </c>
      <c r="L213">
        <v>3</v>
      </c>
      <c r="M213">
        <v>3</v>
      </c>
      <c r="P213">
        <v>3</v>
      </c>
      <c r="S213">
        <v>3</v>
      </c>
    </row>
    <row r="214" spans="1:20" x14ac:dyDescent="0.3">
      <c r="A214" t="s">
        <v>743</v>
      </c>
      <c r="B214">
        <v>13</v>
      </c>
      <c r="H214">
        <v>0</v>
      </c>
      <c r="J214">
        <v>0</v>
      </c>
      <c r="L214">
        <v>0</v>
      </c>
      <c r="M214">
        <v>0</v>
      </c>
      <c r="P214">
        <v>0</v>
      </c>
      <c r="S214">
        <v>0</v>
      </c>
    </row>
    <row r="215" spans="1:20" x14ac:dyDescent="0.3">
      <c r="A215" t="s">
        <v>744</v>
      </c>
      <c r="B215">
        <v>13</v>
      </c>
      <c r="H215">
        <v>0</v>
      </c>
      <c r="J215">
        <v>0</v>
      </c>
      <c r="L215">
        <v>0</v>
      </c>
      <c r="M215">
        <v>0</v>
      </c>
      <c r="P215">
        <v>0</v>
      </c>
      <c r="S215">
        <v>0</v>
      </c>
    </row>
    <row r="216" spans="1:20" x14ac:dyDescent="0.3">
      <c r="A216" t="s">
        <v>745</v>
      </c>
      <c r="B216">
        <v>13</v>
      </c>
      <c r="H216">
        <v>0</v>
      </c>
      <c r="J216">
        <v>0</v>
      </c>
      <c r="L216">
        <v>0</v>
      </c>
      <c r="M216">
        <v>0</v>
      </c>
      <c r="P216">
        <v>0</v>
      </c>
      <c r="S216">
        <v>0</v>
      </c>
    </row>
    <row r="217" spans="1:20" x14ac:dyDescent="0.3">
      <c r="A217" t="s">
        <v>746</v>
      </c>
      <c r="B217">
        <v>13</v>
      </c>
      <c r="M217">
        <v>94</v>
      </c>
      <c r="S217">
        <v>94</v>
      </c>
    </row>
    <row r="218" spans="1:20" x14ac:dyDescent="0.3">
      <c r="A218" t="s">
        <v>747</v>
      </c>
      <c r="B218">
        <v>13</v>
      </c>
      <c r="M218">
        <v>6</v>
      </c>
      <c r="S218">
        <v>6</v>
      </c>
    </row>
    <row r="219" spans="1:20" x14ac:dyDescent="0.3">
      <c r="A219" t="s">
        <v>748</v>
      </c>
      <c r="B219">
        <v>13</v>
      </c>
      <c r="M219">
        <v>3</v>
      </c>
      <c r="S219">
        <v>3</v>
      </c>
    </row>
    <row r="220" spans="1:20" x14ac:dyDescent="0.3">
      <c r="A220" t="s">
        <v>749</v>
      </c>
      <c r="B220">
        <v>13</v>
      </c>
      <c r="M220">
        <v>0</v>
      </c>
      <c r="S220">
        <v>0</v>
      </c>
    </row>
    <row r="221" spans="1:20" x14ac:dyDescent="0.3">
      <c r="A221" t="s">
        <v>750</v>
      </c>
      <c r="B221">
        <v>13</v>
      </c>
      <c r="H221">
        <v>0</v>
      </c>
      <c r="M221">
        <v>0</v>
      </c>
      <c r="S221">
        <v>0</v>
      </c>
    </row>
    <row r="222" spans="1:20" x14ac:dyDescent="0.3">
      <c r="A222" t="s">
        <v>405</v>
      </c>
      <c r="B222">
        <v>13</v>
      </c>
      <c r="M222">
        <v>0</v>
      </c>
    </row>
    <row r="223" spans="1:20" x14ac:dyDescent="0.3">
      <c r="A223" t="s">
        <v>751</v>
      </c>
      <c r="B223">
        <v>13</v>
      </c>
      <c r="H223">
        <v>51</v>
      </c>
      <c r="J223">
        <v>65</v>
      </c>
      <c r="L223">
        <v>55</v>
      </c>
      <c r="M223">
        <v>1550</v>
      </c>
      <c r="P223">
        <v>0</v>
      </c>
      <c r="S223">
        <v>1397</v>
      </c>
      <c r="T223">
        <v>0</v>
      </c>
    </row>
    <row r="224" spans="1:20" x14ac:dyDescent="0.3">
      <c r="A224" t="s">
        <v>34</v>
      </c>
      <c r="B224">
        <v>16</v>
      </c>
      <c r="D224">
        <v>20</v>
      </c>
      <c r="E224">
        <v>20</v>
      </c>
      <c r="F224">
        <v>20</v>
      </c>
      <c r="H224">
        <v>19</v>
      </c>
      <c r="I224">
        <v>19</v>
      </c>
      <c r="J224">
        <v>19</v>
      </c>
      <c r="L224">
        <v>13</v>
      </c>
      <c r="M224">
        <v>13</v>
      </c>
      <c r="N224">
        <v>13</v>
      </c>
      <c r="P224">
        <v>21</v>
      </c>
      <c r="R224">
        <v>21</v>
      </c>
      <c r="S224">
        <v>21</v>
      </c>
      <c r="T224">
        <v>21</v>
      </c>
    </row>
    <row r="225" spans="1:20" x14ac:dyDescent="0.3">
      <c r="A225" t="s">
        <v>35</v>
      </c>
      <c r="B225">
        <v>16</v>
      </c>
      <c r="D225">
        <v>13</v>
      </c>
      <c r="E225">
        <v>19</v>
      </c>
      <c r="F225">
        <v>21</v>
      </c>
      <c r="H225">
        <v>21</v>
      </c>
      <c r="I225">
        <v>20</v>
      </c>
      <c r="J225">
        <v>13</v>
      </c>
      <c r="L225">
        <v>19</v>
      </c>
      <c r="M225">
        <v>21</v>
      </c>
      <c r="N225">
        <v>20</v>
      </c>
      <c r="P225">
        <v>21</v>
      </c>
      <c r="R225">
        <v>20</v>
      </c>
      <c r="S225">
        <v>13</v>
      </c>
      <c r="T225">
        <v>19</v>
      </c>
    </row>
    <row r="226" spans="1:20" x14ac:dyDescent="0.3">
      <c r="A226" t="s">
        <v>36</v>
      </c>
      <c r="B226">
        <v>16</v>
      </c>
      <c r="D226">
        <v>1</v>
      </c>
      <c r="E226">
        <v>1</v>
      </c>
      <c r="F226">
        <v>1</v>
      </c>
      <c r="H226">
        <v>1</v>
      </c>
      <c r="I226">
        <v>1</v>
      </c>
      <c r="J226">
        <v>0</v>
      </c>
      <c r="L226">
        <v>1</v>
      </c>
      <c r="M226">
        <v>3</v>
      </c>
      <c r="N226">
        <v>1</v>
      </c>
      <c r="P226">
        <v>0</v>
      </c>
      <c r="R226">
        <v>1</v>
      </c>
      <c r="S226">
        <v>3</v>
      </c>
      <c r="T226">
        <v>1</v>
      </c>
    </row>
    <row r="227" spans="1:20" x14ac:dyDescent="0.3">
      <c r="A227" t="s">
        <v>37</v>
      </c>
      <c r="B227">
        <v>16</v>
      </c>
      <c r="D227">
        <v>0</v>
      </c>
      <c r="E227">
        <v>0</v>
      </c>
      <c r="H227">
        <v>0</v>
      </c>
      <c r="I227">
        <v>2</v>
      </c>
      <c r="L227">
        <v>0</v>
      </c>
      <c r="M227">
        <v>0</v>
      </c>
      <c r="R227">
        <v>0</v>
      </c>
      <c r="S227">
        <v>0</v>
      </c>
    </row>
    <row r="228" spans="1:20" x14ac:dyDescent="0.3">
      <c r="A228" t="s">
        <v>38</v>
      </c>
      <c r="B228">
        <v>16</v>
      </c>
      <c r="D228">
        <v>12</v>
      </c>
      <c r="E228">
        <v>12</v>
      </c>
      <c r="F228">
        <v>12</v>
      </c>
      <c r="H228">
        <v>12</v>
      </c>
      <c r="I228">
        <v>12</v>
      </c>
      <c r="J228">
        <v>12</v>
      </c>
      <c r="L228">
        <v>12</v>
      </c>
      <c r="M228">
        <v>12</v>
      </c>
      <c r="N228">
        <v>12</v>
      </c>
      <c r="P228">
        <v>12</v>
      </c>
      <c r="R228">
        <v>12</v>
      </c>
      <c r="S228">
        <v>12</v>
      </c>
      <c r="T228">
        <v>12</v>
      </c>
    </row>
    <row r="229" spans="1:20" x14ac:dyDescent="0.3">
      <c r="A229" t="s">
        <v>39</v>
      </c>
      <c r="B229">
        <v>16</v>
      </c>
      <c r="D229">
        <v>120</v>
      </c>
      <c r="F229">
        <v>120</v>
      </c>
      <c r="L229">
        <v>125</v>
      </c>
      <c r="N229">
        <v>130</v>
      </c>
      <c r="R229">
        <v>125</v>
      </c>
      <c r="T229">
        <v>115</v>
      </c>
    </row>
    <row r="230" spans="1:20" x14ac:dyDescent="0.3">
      <c r="A230" t="s">
        <v>726</v>
      </c>
      <c r="B230">
        <v>16</v>
      </c>
      <c r="D230">
        <v>25</v>
      </c>
      <c r="F230">
        <v>25</v>
      </c>
      <c r="L230">
        <v>25</v>
      </c>
      <c r="N230">
        <v>25</v>
      </c>
      <c r="R230">
        <v>25</v>
      </c>
      <c r="T230">
        <v>25</v>
      </c>
    </row>
    <row r="231" spans="1:20" x14ac:dyDescent="0.3">
      <c r="A231" t="s">
        <v>40</v>
      </c>
      <c r="B231">
        <v>16</v>
      </c>
      <c r="D231">
        <v>1</v>
      </c>
      <c r="F231">
        <v>1</v>
      </c>
      <c r="L231">
        <v>1</v>
      </c>
      <c r="N231">
        <v>1</v>
      </c>
      <c r="R231">
        <v>1</v>
      </c>
      <c r="T231">
        <v>1</v>
      </c>
    </row>
    <row r="232" spans="1:20" x14ac:dyDescent="0.3">
      <c r="A232" t="s">
        <v>41</v>
      </c>
      <c r="B232">
        <v>16</v>
      </c>
    </row>
    <row r="233" spans="1:20" x14ac:dyDescent="0.3">
      <c r="A233" t="s">
        <v>42</v>
      </c>
      <c r="B233">
        <v>16</v>
      </c>
      <c r="E233">
        <v>25</v>
      </c>
      <c r="I233">
        <v>25</v>
      </c>
      <c r="M233">
        <v>40</v>
      </c>
      <c r="S233">
        <v>40</v>
      </c>
    </row>
    <row r="234" spans="1:20" x14ac:dyDescent="0.3">
      <c r="A234" t="s">
        <v>45</v>
      </c>
      <c r="B234">
        <v>16</v>
      </c>
      <c r="E234">
        <v>2</v>
      </c>
      <c r="I234">
        <v>2</v>
      </c>
      <c r="M234">
        <v>1</v>
      </c>
      <c r="N234">
        <v>1</v>
      </c>
      <c r="S234">
        <v>1</v>
      </c>
      <c r="T234">
        <v>1</v>
      </c>
    </row>
    <row r="235" spans="1:20" x14ac:dyDescent="0.3">
      <c r="A235" t="s">
        <v>46</v>
      </c>
      <c r="B235">
        <v>16</v>
      </c>
      <c r="D235">
        <v>2</v>
      </c>
      <c r="F235">
        <v>2</v>
      </c>
      <c r="H235">
        <v>2</v>
      </c>
      <c r="L235">
        <v>1</v>
      </c>
      <c r="N235">
        <v>1</v>
      </c>
      <c r="R235">
        <v>1</v>
      </c>
      <c r="T235">
        <v>1</v>
      </c>
    </row>
    <row r="236" spans="1:20" x14ac:dyDescent="0.3">
      <c r="A236" t="s">
        <v>49</v>
      </c>
      <c r="B236">
        <v>16</v>
      </c>
      <c r="D236">
        <v>6.2</v>
      </c>
      <c r="E236">
        <v>6.2</v>
      </c>
      <c r="F236">
        <v>6.2</v>
      </c>
      <c r="H236">
        <v>6.2</v>
      </c>
      <c r="I236">
        <v>6.2</v>
      </c>
      <c r="J236">
        <v>4</v>
      </c>
      <c r="L236">
        <v>5</v>
      </c>
      <c r="M236">
        <v>5</v>
      </c>
      <c r="N236">
        <v>5</v>
      </c>
      <c r="P236">
        <v>4</v>
      </c>
      <c r="R236">
        <v>5</v>
      </c>
      <c r="S236">
        <v>5</v>
      </c>
      <c r="T236">
        <v>5</v>
      </c>
    </row>
    <row r="237" spans="1:20" x14ac:dyDescent="0.3">
      <c r="A237" t="s">
        <v>727</v>
      </c>
      <c r="B237">
        <v>16</v>
      </c>
      <c r="D237">
        <v>0</v>
      </c>
      <c r="E237">
        <v>0</v>
      </c>
      <c r="F237">
        <v>0</v>
      </c>
      <c r="H237">
        <v>0</v>
      </c>
      <c r="I237">
        <v>0</v>
      </c>
      <c r="J237">
        <v>0</v>
      </c>
      <c r="L237">
        <v>0</v>
      </c>
      <c r="M237">
        <v>0</v>
      </c>
      <c r="N237">
        <v>0</v>
      </c>
      <c r="P237">
        <v>0</v>
      </c>
      <c r="R237">
        <v>0</v>
      </c>
      <c r="S237">
        <v>0</v>
      </c>
      <c r="T237">
        <v>0</v>
      </c>
    </row>
    <row r="238" spans="1:20" x14ac:dyDescent="0.3">
      <c r="A238" t="s">
        <v>48</v>
      </c>
      <c r="B238">
        <v>16</v>
      </c>
      <c r="D238">
        <v>1900</v>
      </c>
      <c r="E238">
        <v>1900</v>
      </c>
      <c r="F238">
        <v>1900</v>
      </c>
      <c r="H238">
        <v>1900</v>
      </c>
      <c r="I238">
        <v>1900</v>
      </c>
      <c r="J238">
        <v>1900</v>
      </c>
      <c r="L238">
        <v>1900</v>
      </c>
      <c r="M238">
        <v>1900</v>
      </c>
      <c r="N238">
        <v>1900</v>
      </c>
      <c r="P238">
        <v>1900</v>
      </c>
      <c r="R238">
        <v>1900</v>
      </c>
      <c r="S238">
        <v>1900</v>
      </c>
      <c r="T238">
        <v>1900</v>
      </c>
    </row>
    <row r="239" spans="1:20" x14ac:dyDescent="0.3">
      <c r="A239" t="s">
        <v>728</v>
      </c>
      <c r="B239">
        <v>16</v>
      </c>
      <c r="D239">
        <v>1770</v>
      </c>
      <c r="E239">
        <v>1863</v>
      </c>
      <c r="F239">
        <v>1583</v>
      </c>
      <c r="H239">
        <v>1770</v>
      </c>
      <c r="I239">
        <v>1742</v>
      </c>
      <c r="J239">
        <v>0</v>
      </c>
      <c r="L239">
        <v>1770</v>
      </c>
      <c r="M239">
        <v>5085</v>
      </c>
      <c r="N239">
        <v>1583</v>
      </c>
      <c r="P239">
        <v>0</v>
      </c>
      <c r="R239">
        <v>1770</v>
      </c>
      <c r="S239">
        <v>5085</v>
      </c>
      <c r="T239">
        <v>1583</v>
      </c>
    </row>
    <row r="240" spans="1:20" x14ac:dyDescent="0.3">
      <c r="A240" t="s">
        <v>50</v>
      </c>
      <c r="B240">
        <v>16</v>
      </c>
      <c r="D240">
        <v>1188</v>
      </c>
      <c r="E240">
        <v>1863</v>
      </c>
      <c r="F240">
        <v>1583</v>
      </c>
      <c r="H240">
        <v>1259</v>
      </c>
      <c r="I240">
        <v>1742</v>
      </c>
      <c r="J240">
        <v>0</v>
      </c>
      <c r="L240">
        <v>153</v>
      </c>
      <c r="M240">
        <v>5085</v>
      </c>
      <c r="N240">
        <v>1583</v>
      </c>
      <c r="P240">
        <v>0</v>
      </c>
      <c r="R240">
        <v>309</v>
      </c>
      <c r="S240">
        <v>5085</v>
      </c>
      <c r="T240">
        <v>1583</v>
      </c>
    </row>
    <row r="241" spans="1:20" x14ac:dyDescent="0.3">
      <c r="A241" t="s">
        <v>729</v>
      </c>
      <c r="B241">
        <v>16</v>
      </c>
      <c r="D241">
        <v>1</v>
      </c>
      <c r="E241">
        <v>1</v>
      </c>
      <c r="F241">
        <v>1</v>
      </c>
      <c r="H241">
        <v>1</v>
      </c>
      <c r="I241">
        <v>1</v>
      </c>
      <c r="J241">
        <v>1</v>
      </c>
      <c r="L241">
        <v>1</v>
      </c>
      <c r="M241">
        <v>1</v>
      </c>
      <c r="N241">
        <v>1</v>
      </c>
      <c r="P241">
        <v>1</v>
      </c>
      <c r="R241">
        <v>1</v>
      </c>
      <c r="S241">
        <v>1</v>
      </c>
      <c r="T241">
        <v>1</v>
      </c>
    </row>
    <row r="242" spans="1:20" x14ac:dyDescent="0.3">
      <c r="A242" t="s">
        <v>51</v>
      </c>
      <c r="B242">
        <v>16</v>
      </c>
      <c r="D242">
        <v>0</v>
      </c>
      <c r="E242">
        <v>0</v>
      </c>
      <c r="F242">
        <v>65</v>
      </c>
      <c r="H242">
        <v>0</v>
      </c>
      <c r="I242">
        <v>21</v>
      </c>
      <c r="J242">
        <v>0</v>
      </c>
      <c r="L242">
        <v>0</v>
      </c>
      <c r="M242">
        <v>0</v>
      </c>
      <c r="N242">
        <v>73</v>
      </c>
      <c r="P242">
        <v>0</v>
      </c>
      <c r="R242">
        <v>0</v>
      </c>
      <c r="S242">
        <v>0</v>
      </c>
      <c r="T242">
        <v>50</v>
      </c>
    </row>
    <row r="243" spans="1:20" x14ac:dyDescent="0.3">
      <c r="A243" t="s">
        <v>53</v>
      </c>
      <c r="B243">
        <v>16</v>
      </c>
      <c r="D243">
        <v>154</v>
      </c>
      <c r="E243">
        <v>113</v>
      </c>
      <c r="F243">
        <v>96</v>
      </c>
      <c r="H243">
        <v>107</v>
      </c>
      <c r="I243">
        <v>75</v>
      </c>
      <c r="J243">
        <v>58</v>
      </c>
      <c r="L243">
        <v>97</v>
      </c>
      <c r="M243">
        <v>1213</v>
      </c>
      <c r="N243">
        <v>67</v>
      </c>
      <c r="P243">
        <v>0</v>
      </c>
      <c r="R243">
        <v>100</v>
      </c>
      <c r="S243">
        <v>1674</v>
      </c>
      <c r="T243">
        <v>68</v>
      </c>
    </row>
    <row r="244" spans="1:20" x14ac:dyDescent="0.3">
      <c r="A244" t="s">
        <v>54</v>
      </c>
      <c r="B244">
        <v>16</v>
      </c>
      <c r="D244">
        <v>0</v>
      </c>
      <c r="E244">
        <v>0</v>
      </c>
      <c r="F244">
        <v>0</v>
      </c>
      <c r="H244">
        <v>0</v>
      </c>
      <c r="I244">
        <v>0</v>
      </c>
      <c r="J244">
        <v>0</v>
      </c>
      <c r="L244">
        <v>0</v>
      </c>
      <c r="M244">
        <v>0</v>
      </c>
      <c r="N244">
        <v>0</v>
      </c>
      <c r="P244">
        <v>0</v>
      </c>
      <c r="R244">
        <v>0</v>
      </c>
      <c r="S244">
        <v>0</v>
      </c>
      <c r="T244">
        <v>0</v>
      </c>
    </row>
    <row r="245" spans="1:20" x14ac:dyDescent="0.3">
      <c r="A245" t="s">
        <v>55</v>
      </c>
      <c r="B245">
        <v>16</v>
      </c>
      <c r="D245">
        <v>0</v>
      </c>
      <c r="E245">
        <v>0</v>
      </c>
      <c r="F245">
        <v>0</v>
      </c>
      <c r="H245">
        <v>0</v>
      </c>
      <c r="I245">
        <v>0</v>
      </c>
      <c r="J245">
        <v>0</v>
      </c>
      <c r="L245">
        <v>0</v>
      </c>
      <c r="M245">
        <v>0</v>
      </c>
      <c r="N245">
        <v>0</v>
      </c>
      <c r="P245">
        <v>0</v>
      </c>
      <c r="R245">
        <v>0</v>
      </c>
      <c r="S245">
        <v>0</v>
      </c>
      <c r="T245">
        <v>0</v>
      </c>
    </row>
    <row r="246" spans="1:20" x14ac:dyDescent="0.3">
      <c r="A246" t="s">
        <v>56</v>
      </c>
      <c r="B246">
        <v>16</v>
      </c>
      <c r="D246">
        <v>0.92</v>
      </c>
      <c r="E246">
        <v>0.92</v>
      </c>
      <c r="F246">
        <v>0.92</v>
      </c>
      <c r="H246">
        <v>0.92</v>
      </c>
      <c r="I246">
        <v>0.92</v>
      </c>
      <c r="J246">
        <v>0.92</v>
      </c>
      <c r="L246">
        <v>0.92</v>
      </c>
      <c r="M246">
        <v>0.92</v>
      </c>
      <c r="N246">
        <v>0.92</v>
      </c>
      <c r="P246">
        <v>0.92</v>
      </c>
      <c r="R246">
        <v>0.92</v>
      </c>
      <c r="S246">
        <v>0.92</v>
      </c>
      <c r="T246">
        <v>0.92</v>
      </c>
    </row>
    <row r="247" spans="1:20" x14ac:dyDescent="0.3">
      <c r="A247" t="s">
        <v>57</v>
      </c>
      <c r="B247">
        <v>16</v>
      </c>
      <c r="D247">
        <v>100</v>
      </c>
      <c r="E247">
        <v>100</v>
      </c>
      <c r="F247">
        <v>100</v>
      </c>
      <c r="H247">
        <v>100</v>
      </c>
      <c r="I247">
        <v>100</v>
      </c>
      <c r="J247">
        <v>100</v>
      </c>
      <c r="L247">
        <v>100</v>
      </c>
      <c r="M247">
        <v>100</v>
      </c>
      <c r="N247">
        <v>100</v>
      </c>
      <c r="P247">
        <v>100</v>
      </c>
      <c r="R247">
        <v>100</v>
      </c>
      <c r="S247">
        <v>100</v>
      </c>
      <c r="T247">
        <v>100</v>
      </c>
    </row>
    <row r="248" spans="1:20" x14ac:dyDescent="0.3">
      <c r="A248" t="s">
        <v>58</v>
      </c>
      <c r="B248">
        <v>16</v>
      </c>
      <c r="D248">
        <v>2</v>
      </c>
      <c r="E248">
        <v>2</v>
      </c>
      <c r="F248">
        <v>2</v>
      </c>
      <c r="H248">
        <v>2</v>
      </c>
      <c r="I248">
        <v>2</v>
      </c>
      <c r="J248">
        <v>2</v>
      </c>
      <c r="L248">
        <v>2</v>
      </c>
      <c r="M248">
        <v>2</v>
      </c>
      <c r="N248">
        <v>2</v>
      </c>
      <c r="P248">
        <v>2</v>
      </c>
      <c r="R248">
        <v>2</v>
      </c>
      <c r="S248">
        <v>2</v>
      </c>
      <c r="T248">
        <v>2</v>
      </c>
    </row>
    <row r="249" spans="1:20" x14ac:dyDescent="0.3">
      <c r="A249" t="s">
        <v>59</v>
      </c>
      <c r="B249">
        <v>16</v>
      </c>
      <c r="D249">
        <v>0</v>
      </c>
      <c r="E249">
        <v>0</v>
      </c>
      <c r="F249">
        <v>0</v>
      </c>
      <c r="H249">
        <v>0</v>
      </c>
      <c r="I249">
        <v>0</v>
      </c>
      <c r="J249">
        <v>0</v>
      </c>
      <c r="L249">
        <v>0</v>
      </c>
      <c r="M249">
        <v>0</v>
      </c>
      <c r="N249">
        <v>0</v>
      </c>
      <c r="P249">
        <v>0</v>
      </c>
      <c r="R249">
        <v>0</v>
      </c>
      <c r="S249">
        <v>0</v>
      </c>
      <c r="T249">
        <v>0</v>
      </c>
    </row>
    <row r="250" spans="1:20" x14ac:dyDescent="0.3">
      <c r="A250" t="s">
        <v>730</v>
      </c>
      <c r="B250">
        <v>16</v>
      </c>
      <c r="E250">
        <v>0</v>
      </c>
      <c r="I250">
        <v>0</v>
      </c>
      <c r="M250">
        <v>0</v>
      </c>
      <c r="S250">
        <v>0</v>
      </c>
    </row>
    <row r="251" spans="1:20" x14ac:dyDescent="0.3">
      <c r="A251" t="s">
        <v>679</v>
      </c>
      <c r="B251">
        <v>16</v>
      </c>
      <c r="E251">
        <v>276</v>
      </c>
      <c r="I251">
        <v>361</v>
      </c>
      <c r="M251">
        <v>1317</v>
      </c>
      <c r="S251">
        <v>1275</v>
      </c>
    </row>
    <row r="252" spans="1:20" x14ac:dyDescent="0.3">
      <c r="A252" t="s">
        <v>78</v>
      </c>
      <c r="B252">
        <v>16</v>
      </c>
      <c r="E252">
        <v>7.5</v>
      </c>
      <c r="I252">
        <v>9.8000000000000007</v>
      </c>
      <c r="M252">
        <v>22.4</v>
      </c>
      <c r="S252">
        <v>21.7</v>
      </c>
    </row>
    <row r="253" spans="1:20" x14ac:dyDescent="0.3">
      <c r="A253" t="s">
        <v>731</v>
      </c>
      <c r="B253">
        <v>16</v>
      </c>
      <c r="F253">
        <v>0</v>
      </c>
      <c r="J253">
        <v>0</v>
      </c>
      <c r="N253">
        <v>0</v>
      </c>
      <c r="T253">
        <v>0</v>
      </c>
    </row>
    <row r="254" spans="1:20" x14ac:dyDescent="0.3">
      <c r="A254" t="s">
        <v>732</v>
      </c>
      <c r="B254">
        <v>16</v>
      </c>
      <c r="D254">
        <v>0</v>
      </c>
      <c r="E254">
        <v>0</v>
      </c>
      <c r="F254">
        <v>1</v>
      </c>
      <c r="H254">
        <v>0</v>
      </c>
      <c r="I254">
        <v>0</v>
      </c>
      <c r="J254">
        <v>1</v>
      </c>
      <c r="L254">
        <v>0</v>
      </c>
      <c r="M254">
        <v>0</v>
      </c>
      <c r="N254">
        <v>1</v>
      </c>
      <c r="P254">
        <v>3</v>
      </c>
      <c r="R254">
        <v>0</v>
      </c>
      <c r="S254">
        <v>0</v>
      </c>
      <c r="T254">
        <v>1</v>
      </c>
    </row>
    <row r="255" spans="1:20" x14ac:dyDescent="0.3">
      <c r="A255" t="s">
        <v>733</v>
      </c>
      <c r="B255">
        <v>16</v>
      </c>
      <c r="D255">
        <v>0</v>
      </c>
      <c r="E255">
        <v>0</v>
      </c>
      <c r="F255">
        <v>0</v>
      </c>
      <c r="H255">
        <v>0</v>
      </c>
      <c r="I255">
        <v>0</v>
      </c>
      <c r="J255">
        <v>0</v>
      </c>
      <c r="L255">
        <v>0</v>
      </c>
      <c r="M255">
        <v>0</v>
      </c>
      <c r="N255">
        <v>0</v>
      </c>
      <c r="P255">
        <v>0</v>
      </c>
      <c r="R255">
        <v>0</v>
      </c>
      <c r="S255">
        <v>0</v>
      </c>
      <c r="T255">
        <v>0</v>
      </c>
    </row>
    <row r="256" spans="1:20" x14ac:dyDescent="0.3">
      <c r="A256" t="s">
        <v>52</v>
      </c>
      <c r="B256">
        <v>16</v>
      </c>
      <c r="D256">
        <v>1</v>
      </c>
      <c r="E256">
        <v>1</v>
      </c>
      <c r="F256">
        <v>1</v>
      </c>
      <c r="H256">
        <v>1</v>
      </c>
      <c r="I256">
        <v>1</v>
      </c>
      <c r="J256">
        <v>1</v>
      </c>
      <c r="L256">
        <v>1</v>
      </c>
      <c r="M256">
        <v>1</v>
      </c>
      <c r="N256">
        <v>1</v>
      </c>
      <c r="P256">
        <v>1</v>
      </c>
      <c r="R256">
        <v>1</v>
      </c>
      <c r="S256">
        <v>1</v>
      </c>
      <c r="T256">
        <v>1</v>
      </c>
    </row>
    <row r="257" spans="1:20" x14ac:dyDescent="0.3">
      <c r="A257" t="s">
        <v>734</v>
      </c>
      <c r="B257">
        <v>16</v>
      </c>
      <c r="D257">
        <v>15</v>
      </c>
      <c r="E257">
        <v>60</v>
      </c>
      <c r="F257">
        <v>9</v>
      </c>
      <c r="H257">
        <v>15</v>
      </c>
      <c r="I257">
        <v>60</v>
      </c>
      <c r="J257">
        <v>9</v>
      </c>
      <c r="L257">
        <v>15</v>
      </c>
      <c r="M257">
        <v>60</v>
      </c>
      <c r="N257">
        <v>9</v>
      </c>
      <c r="P257">
        <v>9</v>
      </c>
      <c r="R257">
        <v>15</v>
      </c>
      <c r="S257">
        <v>60</v>
      </c>
      <c r="T257">
        <v>9</v>
      </c>
    </row>
    <row r="258" spans="1:20" x14ac:dyDescent="0.3">
      <c r="A258" t="s">
        <v>43</v>
      </c>
      <c r="B258">
        <v>16</v>
      </c>
      <c r="D258">
        <v>20</v>
      </c>
      <c r="E258">
        <v>100</v>
      </c>
      <c r="F258">
        <v>20</v>
      </c>
      <c r="H258">
        <v>20</v>
      </c>
      <c r="I258">
        <v>100</v>
      </c>
      <c r="L258">
        <v>20</v>
      </c>
      <c r="M258">
        <v>100</v>
      </c>
      <c r="N258">
        <v>20</v>
      </c>
      <c r="R258">
        <v>20</v>
      </c>
      <c r="S258">
        <v>100</v>
      </c>
      <c r="T258">
        <v>20</v>
      </c>
    </row>
    <row r="259" spans="1:20" x14ac:dyDescent="0.3">
      <c r="A259" t="s">
        <v>44</v>
      </c>
      <c r="B259">
        <v>16</v>
      </c>
      <c r="D259">
        <v>0</v>
      </c>
      <c r="E259">
        <v>0</v>
      </c>
      <c r="F259">
        <v>0</v>
      </c>
      <c r="H259">
        <v>0</v>
      </c>
      <c r="I259">
        <v>0</v>
      </c>
      <c r="L259">
        <v>0</v>
      </c>
      <c r="M259">
        <v>0</v>
      </c>
      <c r="N259">
        <v>0</v>
      </c>
      <c r="R259">
        <v>0</v>
      </c>
      <c r="S259">
        <v>0</v>
      </c>
      <c r="T259">
        <v>0</v>
      </c>
    </row>
    <row r="260" spans="1:20" x14ac:dyDescent="0.3">
      <c r="A260" t="s">
        <v>47</v>
      </c>
      <c r="B260">
        <v>16</v>
      </c>
      <c r="D260">
        <v>2</v>
      </c>
      <c r="E260">
        <v>2</v>
      </c>
      <c r="F260">
        <v>2</v>
      </c>
      <c r="H260">
        <v>2</v>
      </c>
      <c r="I260">
        <v>2</v>
      </c>
      <c r="L260">
        <v>1</v>
      </c>
      <c r="M260">
        <v>1</v>
      </c>
      <c r="N260">
        <v>1</v>
      </c>
      <c r="R260">
        <v>1</v>
      </c>
      <c r="S260">
        <v>1</v>
      </c>
      <c r="T260">
        <v>1</v>
      </c>
    </row>
    <row r="261" spans="1:20" x14ac:dyDescent="0.3">
      <c r="A261" t="s">
        <v>735</v>
      </c>
      <c r="B261">
        <v>16</v>
      </c>
      <c r="D261">
        <v>0</v>
      </c>
      <c r="E261">
        <v>0</v>
      </c>
      <c r="F261">
        <v>0</v>
      </c>
      <c r="H261">
        <v>0</v>
      </c>
      <c r="I261">
        <v>0</v>
      </c>
      <c r="L261">
        <v>0</v>
      </c>
      <c r="M261">
        <v>0</v>
      </c>
      <c r="N261">
        <v>0</v>
      </c>
      <c r="R261">
        <v>0</v>
      </c>
      <c r="S261">
        <v>0</v>
      </c>
      <c r="T261">
        <v>0</v>
      </c>
    </row>
    <row r="262" spans="1:20" x14ac:dyDescent="0.3">
      <c r="A262" t="s">
        <v>736</v>
      </c>
      <c r="B262">
        <v>16</v>
      </c>
      <c r="D262">
        <v>0</v>
      </c>
      <c r="E262">
        <v>0</v>
      </c>
      <c r="F262">
        <v>0</v>
      </c>
      <c r="H262">
        <v>0</v>
      </c>
      <c r="I262">
        <v>0</v>
      </c>
      <c r="L262">
        <v>0</v>
      </c>
      <c r="M262">
        <v>0</v>
      </c>
      <c r="N262">
        <v>0</v>
      </c>
      <c r="R262">
        <v>0</v>
      </c>
      <c r="S262">
        <v>0</v>
      </c>
      <c r="T262">
        <v>0</v>
      </c>
    </row>
    <row r="263" spans="1:20" x14ac:dyDescent="0.3">
      <c r="A263" t="s">
        <v>737</v>
      </c>
      <c r="B263">
        <v>16</v>
      </c>
      <c r="D263">
        <v>0</v>
      </c>
      <c r="E263">
        <v>0</v>
      </c>
      <c r="F263">
        <v>0</v>
      </c>
      <c r="H263">
        <v>0</v>
      </c>
      <c r="I263">
        <v>0</v>
      </c>
      <c r="L263">
        <v>0</v>
      </c>
      <c r="M263">
        <v>0</v>
      </c>
      <c r="N263">
        <v>0</v>
      </c>
      <c r="R263">
        <v>0</v>
      </c>
      <c r="S263">
        <v>0</v>
      </c>
      <c r="T263">
        <v>0</v>
      </c>
    </row>
    <row r="264" spans="1:20" x14ac:dyDescent="0.3">
      <c r="A264" t="s">
        <v>738</v>
      </c>
      <c r="B264">
        <v>16</v>
      </c>
      <c r="D264">
        <v>0</v>
      </c>
      <c r="E264">
        <v>0</v>
      </c>
      <c r="F264">
        <v>0</v>
      </c>
      <c r="H264">
        <v>0</v>
      </c>
      <c r="I264">
        <v>0</v>
      </c>
      <c r="L264">
        <v>0</v>
      </c>
      <c r="M264">
        <v>0</v>
      </c>
      <c r="N264">
        <v>0</v>
      </c>
      <c r="R264">
        <v>0</v>
      </c>
      <c r="S264">
        <v>0</v>
      </c>
      <c r="T264">
        <v>0</v>
      </c>
    </row>
    <row r="265" spans="1:20" x14ac:dyDescent="0.3">
      <c r="A265" t="s">
        <v>739</v>
      </c>
      <c r="B265">
        <v>16</v>
      </c>
      <c r="D265">
        <v>1</v>
      </c>
      <c r="E265">
        <v>2</v>
      </c>
      <c r="F265">
        <v>1</v>
      </c>
      <c r="H265">
        <v>1</v>
      </c>
      <c r="I265">
        <v>2</v>
      </c>
      <c r="L265">
        <v>1</v>
      </c>
      <c r="M265">
        <v>2</v>
      </c>
      <c r="N265">
        <v>1</v>
      </c>
      <c r="R265">
        <v>1</v>
      </c>
      <c r="S265">
        <v>2</v>
      </c>
      <c r="T265">
        <v>1</v>
      </c>
    </row>
    <row r="266" spans="1:20" x14ac:dyDescent="0.3">
      <c r="A266" t="s">
        <v>740</v>
      </c>
      <c r="B266">
        <v>16</v>
      </c>
      <c r="D266">
        <v>0</v>
      </c>
      <c r="E266">
        <v>0</v>
      </c>
      <c r="F266">
        <v>0</v>
      </c>
      <c r="H266">
        <v>0</v>
      </c>
      <c r="I266">
        <v>0</v>
      </c>
      <c r="L266">
        <v>0</v>
      </c>
      <c r="M266">
        <v>0</v>
      </c>
      <c r="N266">
        <v>0</v>
      </c>
      <c r="R266">
        <v>0</v>
      </c>
      <c r="S266">
        <v>0</v>
      </c>
      <c r="T266">
        <v>0</v>
      </c>
    </row>
    <row r="267" spans="1:20" x14ac:dyDescent="0.3">
      <c r="A267" t="s">
        <v>741</v>
      </c>
      <c r="B267">
        <v>16</v>
      </c>
      <c r="D267">
        <v>20</v>
      </c>
      <c r="E267">
        <v>6</v>
      </c>
      <c r="F267">
        <v>20</v>
      </c>
      <c r="H267">
        <v>20</v>
      </c>
      <c r="I267">
        <v>6</v>
      </c>
      <c r="L267">
        <v>20</v>
      </c>
      <c r="M267">
        <v>6</v>
      </c>
      <c r="N267">
        <v>20</v>
      </c>
      <c r="R267">
        <v>20</v>
      </c>
      <c r="S267">
        <v>6</v>
      </c>
      <c r="T267">
        <v>20</v>
      </c>
    </row>
    <row r="268" spans="1:20" x14ac:dyDescent="0.3">
      <c r="A268" t="s">
        <v>742</v>
      </c>
      <c r="B268">
        <v>16</v>
      </c>
      <c r="D268">
        <v>3</v>
      </c>
      <c r="E268">
        <v>3</v>
      </c>
      <c r="F268">
        <v>3</v>
      </c>
      <c r="H268">
        <v>3</v>
      </c>
      <c r="I268">
        <v>3</v>
      </c>
      <c r="L268">
        <v>3</v>
      </c>
      <c r="M268">
        <v>3</v>
      </c>
      <c r="N268">
        <v>3</v>
      </c>
      <c r="R268">
        <v>3</v>
      </c>
      <c r="S268">
        <v>3</v>
      </c>
      <c r="T268">
        <v>3</v>
      </c>
    </row>
    <row r="269" spans="1:20" x14ac:dyDescent="0.3">
      <c r="A269" t="s">
        <v>743</v>
      </c>
      <c r="B269">
        <v>16</v>
      </c>
      <c r="D269">
        <v>0</v>
      </c>
      <c r="E269">
        <v>0</v>
      </c>
      <c r="F269">
        <v>0</v>
      </c>
      <c r="H269">
        <v>0</v>
      </c>
      <c r="I269">
        <v>0</v>
      </c>
      <c r="L269">
        <v>0</v>
      </c>
      <c r="M269">
        <v>0</v>
      </c>
      <c r="N269">
        <v>0</v>
      </c>
      <c r="R269">
        <v>0</v>
      </c>
      <c r="S269">
        <v>0</v>
      </c>
      <c r="T269">
        <v>0</v>
      </c>
    </row>
    <row r="270" spans="1:20" x14ac:dyDescent="0.3">
      <c r="A270" t="s">
        <v>744</v>
      </c>
      <c r="B270">
        <v>16</v>
      </c>
      <c r="D270">
        <v>0</v>
      </c>
      <c r="E270">
        <v>0</v>
      </c>
      <c r="F270">
        <v>0</v>
      </c>
      <c r="H270">
        <v>0</v>
      </c>
      <c r="I270">
        <v>0</v>
      </c>
      <c r="L270">
        <v>0</v>
      </c>
      <c r="M270">
        <v>0</v>
      </c>
      <c r="N270">
        <v>0</v>
      </c>
      <c r="R270">
        <v>0</v>
      </c>
      <c r="S270">
        <v>0</v>
      </c>
      <c r="T270">
        <v>0</v>
      </c>
    </row>
    <row r="271" spans="1:20" x14ac:dyDescent="0.3">
      <c r="A271" t="s">
        <v>745</v>
      </c>
      <c r="B271">
        <v>16</v>
      </c>
      <c r="D271">
        <v>0</v>
      </c>
      <c r="E271">
        <v>0</v>
      </c>
      <c r="F271">
        <v>0</v>
      </c>
      <c r="H271">
        <v>0</v>
      </c>
      <c r="I271">
        <v>0</v>
      </c>
      <c r="L271">
        <v>0</v>
      </c>
      <c r="M271">
        <v>0</v>
      </c>
      <c r="N271">
        <v>0</v>
      </c>
      <c r="R271">
        <v>0</v>
      </c>
      <c r="S271">
        <v>0</v>
      </c>
      <c r="T271">
        <v>0</v>
      </c>
    </row>
    <row r="272" spans="1:20" x14ac:dyDescent="0.3">
      <c r="A272" t="s">
        <v>746</v>
      </c>
      <c r="B272">
        <v>16</v>
      </c>
      <c r="E272">
        <v>94</v>
      </c>
      <c r="I272">
        <v>94</v>
      </c>
      <c r="M272">
        <v>94</v>
      </c>
      <c r="S272">
        <v>94</v>
      </c>
    </row>
    <row r="273" spans="1:20" x14ac:dyDescent="0.3">
      <c r="A273" t="s">
        <v>747</v>
      </c>
      <c r="B273">
        <v>16</v>
      </c>
      <c r="E273">
        <v>6</v>
      </c>
      <c r="I273">
        <v>6</v>
      </c>
      <c r="M273">
        <v>6</v>
      </c>
      <c r="S273">
        <v>6</v>
      </c>
    </row>
    <row r="274" spans="1:20" x14ac:dyDescent="0.3">
      <c r="A274" t="s">
        <v>748</v>
      </c>
      <c r="B274">
        <v>16</v>
      </c>
      <c r="E274">
        <v>3</v>
      </c>
      <c r="I274">
        <v>3</v>
      </c>
      <c r="M274">
        <v>3</v>
      </c>
      <c r="S274">
        <v>3</v>
      </c>
    </row>
    <row r="275" spans="1:20" x14ac:dyDescent="0.3">
      <c r="A275" t="s">
        <v>749</v>
      </c>
      <c r="B275">
        <v>16</v>
      </c>
      <c r="E275">
        <v>0</v>
      </c>
      <c r="I275">
        <v>0</v>
      </c>
      <c r="M275">
        <v>0</v>
      </c>
      <c r="S275">
        <v>0</v>
      </c>
    </row>
    <row r="276" spans="1:20" x14ac:dyDescent="0.3">
      <c r="A276" t="s">
        <v>750</v>
      </c>
      <c r="B276">
        <v>16</v>
      </c>
      <c r="E276">
        <v>0</v>
      </c>
      <c r="I276">
        <v>0</v>
      </c>
      <c r="M276">
        <v>0</v>
      </c>
      <c r="S276">
        <v>0</v>
      </c>
    </row>
    <row r="277" spans="1:20" x14ac:dyDescent="0.3">
      <c r="A277" t="s">
        <v>405</v>
      </c>
      <c r="B277">
        <v>16</v>
      </c>
      <c r="E277">
        <v>0</v>
      </c>
    </row>
    <row r="278" spans="1:20" x14ac:dyDescent="0.3">
      <c r="A278" t="s">
        <v>751</v>
      </c>
      <c r="B278">
        <v>16</v>
      </c>
      <c r="D278">
        <v>167</v>
      </c>
      <c r="E278">
        <v>123</v>
      </c>
      <c r="F278">
        <v>104</v>
      </c>
      <c r="H278">
        <v>116</v>
      </c>
      <c r="I278">
        <v>145</v>
      </c>
      <c r="J278">
        <v>0</v>
      </c>
      <c r="L278">
        <v>105</v>
      </c>
      <c r="M278">
        <v>1318</v>
      </c>
      <c r="N278">
        <v>73</v>
      </c>
      <c r="P278">
        <v>0</v>
      </c>
      <c r="R278">
        <v>109</v>
      </c>
      <c r="S278">
        <v>1820</v>
      </c>
      <c r="T278">
        <v>74</v>
      </c>
    </row>
    <row r="279" spans="1:20" x14ac:dyDescent="0.3">
      <c r="A279" t="s">
        <v>34</v>
      </c>
      <c r="B279">
        <v>21</v>
      </c>
      <c r="D279">
        <v>23</v>
      </c>
      <c r="E279">
        <v>23</v>
      </c>
      <c r="F279">
        <v>23</v>
      </c>
      <c r="H279">
        <v>22</v>
      </c>
      <c r="I279">
        <v>22</v>
      </c>
      <c r="J279">
        <v>22</v>
      </c>
      <c r="L279">
        <v>16</v>
      </c>
      <c r="M279">
        <v>16</v>
      </c>
      <c r="N279">
        <v>16</v>
      </c>
      <c r="P279">
        <v>24</v>
      </c>
      <c r="R279">
        <v>24</v>
      </c>
      <c r="S279">
        <v>24</v>
      </c>
      <c r="T279">
        <v>24</v>
      </c>
    </row>
    <row r="280" spans="1:20" x14ac:dyDescent="0.3">
      <c r="A280" t="s">
        <v>35</v>
      </c>
      <c r="B280">
        <v>21</v>
      </c>
      <c r="D280">
        <v>16</v>
      </c>
      <c r="E280">
        <v>22</v>
      </c>
      <c r="F280">
        <v>24</v>
      </c>
      <c r="H280">
        <v>24</v>
      </c>
      <c r="I280">
        <v>23</v>
      </c>
      <c r="J280">
        <v>16</v>
      </c>
      <c r="L280">
        <v>22</v>
      </c>
      <c r="M280">
        <v>24</v>
      </c>
      <c r="N280">
        <v>23</v>
      </c>
      <c r="P280">
        <v>24</v>
      </c>
      <c r="R280">
        <v>23</v>
      </c>
      <c r="S280">
        <v>16</v>
      </c>
      <c r="T280">
        <v>22</v>
      </c>
    </row>
    <row r="281" spans="1:20" x14ac:dyDescent="0.3">
      <c r="A281" t="s">
        <v>36</v>
      </c>
      <c r="B281">
        <v>21</v>
      </c>
      <c r="D281">
        <v>2</v>
      </c>
      <c r="E281">
        <v>3</v>
      </c>
      <c r="F281">
        <v>0</v>
      </c>
      <c r="H281">
        <v>2</v>
      </c>
      <c r="I281">
        <v>3</v>
      </c>
      <c r="J281">
        <v>0</v>
      </c>
      <c r="L281">
        <v>2</v>
      </c>
      <c r="M281">
        <v>3</v>
      </c>
      <c r="N281">
        <v>1</v>
      </c>
      <c r="P281">
        <v>0</v>
      </c>
      <c r="R281">
        <v>2</v>
      </c>
      <c r="S281">
        <v>3</v>
      </c>
      <c r="T281">
        <v>0</v>
      </c>
    </row>
    <row r="282" spans="1:20" x14ac:dyDescent="0.3">
      <c r="A282" t="s">
        <v>37</v>
      </c>
      <c r="B282">
        <v>21</v>
      </c>
      <c r="D282">
        <v>0</v>
      </c>
      <c r="E282">
        <v>2</v>
      </c>
      <c r="H282">
        <v>0</v>
      </c>
      <c r="I282">
        <v>2</v>
      </c>
      <c r="L282">
        <v>0</v>
      </c>
      <c r="M282">
        <v>0</v>
      </c>
      <c r="R282">
        <v>0</v>
      </c>
      <c r="S282">
        <v>0</v>
      </c>
    </row>
    <row r="283" spans="1:20" x14ac:dyDescent="0.3">
      <c r="A283" t="s">
        <v>38</v>
      </c>
      <c r="B283">
        <v>21</v>
      </c>
      <c r="D283">
        <v>12</v>
      </c>
      <c r="E283">
        <v>12</v>
      </c>
      <c r="F283">
        <v>12</v>
      </c>
      <c r="H283">
        <v>12</v>
      </c>
      <c r="I283">
        <v>12</v>
      </c>
      <c r="J283">
        <v>12</v>
      </c>
      <c r="L283">
        <v>12</v>
      </c>
      <c r="M283">
        <v>12</v>
      </c>
      <c r="N283">
        <v>12</v>
      </c>
      <c r="P283">
        <v>12</v>
      </c>
      <c r="R283">
        <v>12</v>
      </c>
      <c r="S283">
        <v>12</v>
      </c>
      <c r="T283">
        <v>12</v>
      </c>
    </row>
    <row r="284" spans="1:20" x14ac:dyDescent="0.3">
      <c r="A284" t="s">
        <v>39</v>
      </c>
      <c r="B284">
        <v>21</v>
      </c>
      <c r="D284">
        <v>250</v>
      </c>
      <c r="H284">
        <v>235</v>
      </c>
      <c r="L284">
        <v>245</v>
      </c>
      <c r="N284">
        <v>215</v>
      </c>
      <c r="R284">
        <v>250</v>
      </c>
    </row>
    <row r="285" spans="1:20" x14ac:dyDescent="0.3">
      <c r="A285" t="s">
        <v>726</v>
      </c>
      <c r="B285">
        <v>21</v>
      </c>
      <c r="D285">
        <v>25</v>
      </c>
      <c r="H285">
        <v>25</v>
      </c>
      <c r="L285">
        <v>25</v>
      </c>
      <c r="N285">
        <v>25</v>
      </c>
      <c r="R285">
        <v>25</v>
      </c>
    </row>
    <row r="286" spans="1:20" x14ac:dyDescent="0.3">
      <c r="A286" t="s">
        <v>40</v>
      </c>
      <c r="B286">
        <v>21</v>
      </c>
      <c r="D286">
        <v>2</v>
      </c>
      <c r="H286">
        <v>2</v>
      </c>
      <c r="L286">
        <v>2</v>
      </c>
      <c r="N286">
        <v>1</v>
      </c>
      <c r="R286">
        <v>2</v>
      </c>
    </row>
    <row r="287" spans="1:20" x14ac:dyDescent="0.3">
      <c r="A287" t="s">
        <v>41</v>
      </c>
      <c r="B287">
        <v>21</v>
      </c>
    </row>
    <row r="288" spans="1:20" x14ac:dyDescent="0.3">
      <c r="A288" t="s">
        <v>42</v>
      </c>
      <c r="B288">
        <v>21</v>
      </c>
      <c r="E288">
        <v>40</v>
      </c>
      <c r="I288">
        <v>40</v>
      </c>
      <c r="M288">
        <v>40</v>
      </c>
      <c r="S288">
        <v>40</v>
      </c>
    </row>
    <row r="289" spans="1:20" x14ac:dyDescent="0.3">
      <c r="A289" t="s">
        <v>45</v>
      </c>
      <c r="B289">
        <v>21</v>
      </c>
      <c r="D289">
        <v>7</v>
      </c>
      <c r="E289">
        <v>4</v>
      </c>
      <c r="H289">
        <v>3</v>
      </c>
      <c r="I289">
        <v>8</v>
      </c>
      <c r="L289">
        <v>1</v>
      </c>
      <c r="M289">
        <v>6</v>
      </c>
      <c r="R289">
        <v>5</v>
      </c>
      <c r="S289">
        <v>2</v>
      </c>
    </row>
    <row r="290" spans="1:20" x14ac:dyDescent="0.3">
      <c r="A290" t="s">
        <v>46</v>
      </c>
      <c r="B290">
        <v>21</v>
      </c>
      <c r="D290">
        <v>4</v>
      </c>
      <c r="H290">
        <v>8</v>
      </c>
      <c r="L290">
        <v>6</v>
      </c>
      <c r="N290">
        <v>6</v>
      </c>
      <c r="R290">
        <v>2</v>
      </c>
    </row>
    <row r="291" spans="1:20" x14ac:dyDescent="0.3">
      <c r="A291" t="s">
        <v>49</v>
      </c>
      <c r="B291">
        <v>21</v>
      </c>
      <c r="D291">
        <v>5</v>
      </c>
      <c r="E291">
        <v>6.1</v>
      </c>
      <c r="F291">
        <v>4</v>
      </c>
      <c r="H291">
        <v>5</v>
      </c>
      <c r="I291">
        <v>6.1</v>
      </c>
      <c r="J291">
        <v>4</v>
      </c>
      <c r="L291">
        <v>5</v>
      </c>
      <c r="M291">
        <v>5.6</v>
      </c>
      <c r="N291">
        <v>5.6</v>
      </c>
      <c r="P291">
        <v>4</v>
      </c>
      <c r="R291">
        <v>5</v>
      </c>
      <c r="S291">
        <v>5.6</v>
      </c>
      <c r="T291">
        <v>4</v>
      </c>
    </row>
    <row r="292" spans="1:20" x14ac:dyDescent="0.3">
      <c r="A292" t="s">
        <v>727</v>
      </c>
      <c r="B292">
        <v>21</v>
      </c>
      <c r="D292">
        <v>0</v>
      </c>
      <c r="E292">
        <v>0</v>
      </c>
      <c r="F292">
        <v>0</v>
      </c>
      <c r="H292">
        <v>0</v>
      </c>
      <c r="I292">
        <v>0</v>
      </c>
      <c r="J292">
        <v>0</v>
      </c>
      <c r="L292">
        <v>0</v>
      </c>
      <c r="M292">
        <v>0</v>
      </c>
      <c r="N292">
        <v>0</v>
      </c>
      <c r="P292">
        <v>0</v>
      </c>
      <c r="R292">
        <v>0</v>
      </c>
      <c r="S292">
        <v>0</v>
      </c>
      <c r="T292">
        <v>0</v>
      </c>
    </row>
    <row r="293" spans="1:20" x14ac:dyDescent="0.3">
      <c r="A293" t="s">
        <v>48</v>
      </c>
      <c r="B293">
        <v>21</v>
      </c>
      <c r="D293">
        <v>1900</v>
      </c>
      <c r="E293">
        <v>1900</v>
      </c>
      <c r="F293">
        <v>1900</v>
      </c>
      <c r="H293">
        <v>1900</v>
      </c>
      <c r="I293">
        <v>1900</v>
      </c>
      <c r="J293">
        <v>1900</v>
      </c>
      <c r="L293">
        <v>1900</v>
      </c>
      <c r="M293">
        <v>1900</v>
      </c>
      <c r="N293">
        <v>1900</v>
      </c>
      <c r="P293">
        <v>1900</v>
      </c>
      <c r="R293">
        <v>1900</v>
      </c>
      <c r="S293">
        <v>1900</v>
      </c>
      <c r="T293">
        <v>1900</v>
      </c>
    </row>
    <row r="294" spans="1:20" x14ac:dyDescent="0.3">
      <c r="A294" t="s">
        <v>728</v>
      </c>
      <c r="B294">
        <v>21</v>
      </c>
      <c r="D294">
        <v>3433</v>
      </c>
      <c r="E294">
        <v>4902</v>
      </c>
      <c r="F294">
        <v>0</v>
      </c>
      <c r="H294">
        <v>3433</v>
      </c>
      <c r="I294">
        <v>4862</v>
      </c>
      <c r="J294">
        <v>0</v>
      </c>
      <c r="L294">
        <v>3433</v>
      </c>
      <c r="M294">
        <v>5085</v>
      </c>
      <c r="N294">
        <v>1583</v>
      </c>
      <c r="P294">
        <v>0</v>
      </c>
      <c r="R294">
        <v>3433</v>
      </c>
      <c r="S294">
        <v>5045</v>
      </c>
      <c r="T294">
        <v>0</v>
      </c>
    </row>
    <row r="295" spans="1:20" x14ac:dyDescent="0.3">
      <c r="A295" t="s">
        <v>50</v>
      </c>
      <c r="B295">
        <v>21</v>
      </c>
      <c r="D295">
        <v>1980</v>
      </c>
      <c r="E295">
        <v>4902</v>
      </c>
      <c r="F295">
        <v>0</v>
      </c>
      <c r="H295">
        <v>1619</v>
      </c>
      <c r="I295">
        <v>4862</v>
      </c>
      <c r="J295">
        <v>0</v>
      </c>
      <c r="L295">
        <v>452</v>
      </c>
      <c r="M295">
        <v>5085</v>
      </c>
      <c r="N295">
        <v>1583</v>
      </c>
      <c r="P295">
        <v>0</v>
      </c>
      <c r="R295">
        <v>643</v>
      </c>
      <c r="S295">
        <v>5045</v>
      </c>
      <c r="T295">
        <v>0</v>
      </c>
    </row>
    <row r="296" spans="1:20" x14ac:dyDescent="0.3">
      <c r="A296" t="s">
        <v>729</v>
      </c>
      <c r="B296">
        <v>21</v>
      </c>
      <c r="D296">
        <v>1</v>
      </c>
      <c r="E296">
        <v>1</v>
      </c>
      <c r="F296">
        <v>1</v>
      </c>
      <c r="H296">
        <v>1</v>
      </c>
      <c r="I296">
        <v>1</v>
      </c>
      <c r="J296">
        <v>1</v>
      </c>
      <c r="L296">
        <v>1</v>
      </c>
      <c r="M296">
        <v>1</v>
      </c>
      <c r="N296">
        <v>1</v>
      </c>
      <c r="P296">
        <v>1</v>
      </c>
      <c r="R296">
        <v>1</v>
      </c>
      <c r="S296">
        <v>1</v>
      </c>
      <c r="T296">
        <v>1</v>
      </c>
    </row>
    <row r="297" spans="1:20" x14ac:dyDescent="0.3">
      <c r="A297" t="s">
        <v>51</v>
      </c>
      <c r="B297">
        <v>21</v>
      </c>
      <c r="D297">
        <v>0</v>
      </c>
      <c r="E297">
        <v>63</v>
      </c>
      <c r="F297">
        <v>0</v>
      </c>
      <c r="H297">
        <v>0</v>
      </c>
      <c r="I297">
        <v>83</v>
      </c>
      <c r="J297">
        <v>0</v>
      </c>
      <c r="L297">
        <v>0</v>
      </c>
      <c r="M297">
        <v>0</v>
      </c>
      <c r="N297">
        <v>175</v>
      </c>
      <c r="P297">
        <v>0</v>
      </c>
      <c r="R297">
        <v>0</v>
      </c>
      <c r="S297">
        <v>8</v>
      </c>
      <c r="T297">
        <v>0</v>
      </c>
    </row>
    <row r="298" spans="1:20" x14ac:dyDescent="0.3">
      <c r="A298" t="s">
        <v>53</v>
      </c>
      <c r="B298">
        <v>21</v>
      </c>
      <c r="D298">
        <v>86</v>
      </c>
      <c r="E298">
        <v>195</v>
      </c>
      <c r="F298">
        <v>63</v>
      </c>
      <c r="H298">
        <v>196</v>
      </c>
      <c r="I298">
        <v>210</v>
      </c>
      <c r="J298">
        <v>88</v>
      </c>
      <c r="L298">
        <v>106</v>
      </c>
      <c r="M298">
        <v>1230</v>
      </c>
      <c r="N298">
        <v>74</v>
      </c>
      <c r="P298">
        <v>0</v>
      </c>
      <c r="R298">
        <v>65</v>
      </c>
      <c r="S298">
        <v>1045</v>
      </c>
      <c r="T298">
        <v>59</v>
      </c>
    </row>
    <row r="299" spans="1:20" x14ac:dyDescent="0.3">
      <c r="A299" t="s">
        <v>54</v>
      </c>
      <c r="B299">
        <v>21</v>
      </c>
      <c r="D299">
        <v>0</v>
      </c>
      <c r="E299">
        <v>0</v>
      </c>
      <c r="F299">
        <v>0</v>
      </c>
      <c r="H299">
        <v>0</v>
      </c>
      <c r="I299">
        <v>0</v>
      </c>
      <c r="J299">
        <v>0</v>
      </c>
      <c r="L299">
        <v>0</v>
      </c>
      <c r="M299">
        <v>0</v>
      </c>
      <c r="N299">
        <v>0</v>
      </c>
      <c r="P299">
        <v>0</v>
      </c>
      <c r="R299">
        <v>0</v>
      </c>
      <c r="S299">
        <v>0</v>
      </c>
      <c r="T299">
        <v>0</v>
      </c>
    </row>
    <row r="300" spans="1:20" x14ac:dyDescent="0.3">
      <c r="A300" t="s">
        <v>55</v>
      </c>
      <c r="B300">
        <v>21</v>
      </c>
      <c r="D300">
        <v>0</v>
      </c>
      <c r="E300">
        <v>0</v>
      </c>
      <c r="F300">
        <v>0</v>
      </c>
      <c r="H300">
        <v>0</v>
      </c>
      <c r="I300">
        <v>0</v>
      </c>
      <c r="J300">
        <v>0</v>
      </c>
      <c r="L300">
        <v>0</v>
      </c>
      <c r="M300">
        <v>0</v>
      </c>
      <c r="N300">
        <v>0</v>
      </c>
      <c r="P300">
        <v>0</v>
      </c>
      <c r="R300">
        <v>0</v>
      </c>
      <c r="S300">
        <v>0</v>
      </c>
      <c r="T300">
        <v>0</v>
      </c>
    </row>
    <row r="301" spans="1:20" x14ac:dyDescent="0.3">
      <c r="A301" t="s">
        <v>56</v>
      </c>
      <c r="B301">
        <v>21</v>
      </c>
      <c r="D301">
        <v>0.92</v>
      </c>
      <c r="E301">
        <v>0.92</v>
      </c>
      <c r="F301">
        <v>0.92</v>
      </c>
      <c r="H301">
        <v>0.92</v>
      </c>
      <c r="I301">
        <v>0.92</v>
      </c>
      <c r="J301">
        <v>0.92</v>
      </c>
      <c r="L301">
        <v>0.92</v>
      </c>
      <c r="M301">
        <v>0.92</v>
      </c>
      <c r="N301">
        <v>0.92</v>
      </c>
      <c r="P301">
        <v>0.92</v>
      </c>
      <c r="R301">
        <v>0.92</v>
      </c>
      <c r="S301">
        <v>0.92</v>
      </c>
      <c r="T301">
        <v>0.92</v>
      </c>
    </row>
    <row r="302" spans="1:20" x14ac:dyDescent="0.3">
      <c r="A302" t="s">
        <v>57</v>
      </c>
      <c r="B302">
        <v>21</v>
      </c>
      <c r="D302">
        <v>100</v>
      </c>
      <c r="E302">
        <v>100</v>
      </c>
      <c r="F302">
        <v>100</v>
      </c>
      <c r="H302">
        <v>100</v>
      </c>
      <c r="I302">
        <v>100</v>
      </c>
      <c r="J302">
        <v>100</v>
      </c>
      <c r="L302">
        <v>100</v>
      </c>
      <c r="M302">
        <v>100</v>
      </c>
      <c r="N302">
        <v>100</v>
      </c>
      <c r="P302">
        <v>100</v>
      </c>
      <c r="R302">
        <v>100</v>
      </c>
      <c r="S302">
        <v>100</v>
      </c>
      <c r="T302">
        <v>100</v>
      </c>
    </row>
    <row r="303" spans="1:20" x14ac:dyDescent="0.3">
      <c r="A303" t="s">
        <v>58</v>
      </c>
      <c r="B303">
        <v>21</v>
      </c>
      <c r="D303">
        <v>2</v>
      </c>
      <c r="E303">
        <v>2</v>
      </c>
      <c r="F303">
        <v>2</v>
      </c>
      <c r="H303">
        <v>2</v>
      </c>
      <c r="I303">
        <v>2</v>
      </c>
      <c r="J303">
        <v>2</v>
      </c>
      <c r="L303">
        <v>2</v>
      </c>
      <c r="M303">
        <v>2</v>
      </c>
      <c r="N303">
        <v>2</v>
      </c>
      <c r="P303">
        <v>2</v>
      </c>
      <c r="R303">
        <v>2</v>
      </c>
      <c r="S303">
        <v>2</v>
      </c>
      <c r="T303">
        <v>2</v>
      </c>
    </row>
    <row r="304" spans="1:20" x14ac:dyDescent="0.3">
      <c r="A304" t="s">
        <v>59</v>
      </c>
      <c r="B304">
        <v>21</v>
      </c>
      <c r="D304">
        <v>0</v>
      </c>
      <c r="E304">
        <v>0</v>
      </c>
      <c r="F304">
        <v>0</v>
      </c>
      <c r="H304">
        <v>0</v>
      </c>
      <c r="I304">
        <v>0</v>
      </c>
      <c r="J304">
        <v>0</v>
      </c>
      <c r="L304">
        <v>0</v>
      </c>
      <c r="M304">
        <v>0</v>
      </c>
      <c r="N304">
        <v>0</v>
      </c>
      <c r="P304">
        <v>0</v>
      </c>
      <c r="R304">
        <v>0</v>
      </c>
      <c r="S304">
        <v>0</v>
      </c>
      <c r="T304">
        <v>0</v>
      </c>
    </row>
    <row r="305" spans="1:20" x14ac:dyDescent="0.3">
      <c r="A305" t="s">
        <v>730</v>
      </c>
      <c r="B305">
        <v>21</v>
      </c>
      <c r="E305">
        <v>0</v>
      </c>
      <c r="I305">
        <v>0</v>
      </c>
      <c r="M305">
        <v>0</v>
      </c>
      <c r="S305">
        <v>0</v>
      </c>
    </row>
    <row r="306" spans="1:20" x14ac:dyDescent="0.3">
      <c r="A306" t="s">
        <v>679</v>
      </c>
      <c r="B306">
        <v>21</v>
      </c>
      <c r="E306">
        <v>473</v>
      </c>
      <c r="I306">
        <v>742</v>
      </c>
      <c r="M306">
        <v>1275</v>
      </c>
      <c r="S306">
        <v>1358</v>
      </c>
    </row>
    <row r="307" spans="1:20" x14ac:dyDescent="0.3">
      <c r="A307" t="s">
        <v>78</v>
      </c>
      <c r="B307">
        <v>21</v>
      </c>
      <c r="E307">
        <v>8.1</v>
      </c>
      <c r="I307">
        <v>12.6</v>
      </c>
      <c r="M307">
        <v>21.7</v>
      </c>
      <c r="S307">
        <v>23.1</v>
      </c>
    </row>
    <row r="308" spans="1:20" x14ac:dyDescent="0.3">
      <c r="A308" t="s">
        <v>731</v>
      </c>
      <c r="B308">
        <v>21</v>
      </c>
      <c r="F308">
        <v>0</v>
      </c>
      <c r="J308">
        <v>0</v>
      </c>
      <c r="N308">
        <v>0</v>
      </c>
      <c r="T308">
        <v>0</v>
      </c>
    </row>
    <row r="309" spans="1:20" x14ac:dyDescent="0.3">
      <c r="A309" t="s">
        <v>732</v>
      </c>
      <c r="B309">
        <v>21</v>
      </c>
      <c r="D309">
        <v>0</v>
      </c>
      <c r="E309">
        <v>0</v>
      </c>
      <c r="F309">
        <v>1</v>
      </c>
      <c r="H309">
        <v>0</v>
      </c>
      <c r="I309">
        <v>0</v>
      </c>
      <c r="J309">
        <v>1</v>
      </c>
      <c r="L309">
        <v>0</v>
      </c>
      <c r="M309">
        <v>0</v>
      </c>
      <c r="N309">
        <v>1</v>
      </c>
      <c r="P309">
        <v>3</v>
      </c>
      <c r="R309">
        <v>0</v>
      </c>
      <c r="S309">
        <v>0</v>
      </c>
      <c r="T309">
        <v>1</v>
      </c>
    </row>
    <row r="310" spans="1:20" x14ac:dyDescent="0.3">
      <c r="A310" t="s">
        <v>733</v>
      </c>
      <c r="B310">
        <v>21</v>
      </c>
      <c r="D310">
        <v>0</v>
      </c>
      <c r="E310">
        <v>0</v>
      </c>
      <c r="F310">
        <v>0</v>
      </c>
      <c r="H310">
        <v>0</v>
      </c>
      <c r="I310">
        <v>0</v>
      </c>
      <c r="J310">
        <v>0</v>
      </c>
      <c r="L310">
        <v>0</v>
      </c>
      <c r="M310">
        <v>0</v>
      </c>
      <c r="N310">
        <v>0</v>
      </c>
      <c r="P310">
        <v>0</v>
      </c>
      <c r="R310">
        <v>0</v>
      </c>
      <c r="S310">
        <v>0</v>
      </c>
      <c r="T310">
        <v>0</v>
      </c>
    </row>
    <row r="311" spans="1:20" x14ac:dyDescent="0.3">
      <c r="A311" t="s">
        <v>52</v>
      </c>
      <c r="B311">
        <v>21</v>
      </c>
      <c r="D311">
        <v>1</v>
      </c>
      <c r="E311">
        <v>1</v>
      </c>
      <c r="F311">
        <v>1</v>
      </c>
      <c r="H311">
        <v>1</v>
      </c>
      <c r="I311">
        <v>1</v>
      </c>
      <c r="J311">
        <v>1</v>
      </c>
      <c r="L311">
        <v>1</v>
      </c>
      <c r="M311">
        <v>1</v>
      </c>
      <c r="N311">
        <v>1</v>
      </c>
      <c r="P311">
        <v>1</v>
      </c>
      <c r="R311">
        <v>1</v>
      </c>
      <c r="S311">
        <v>1</v>
      </c>
      <c r="T311">
        <v>1</v>
      </c>
    </row>
    <row r="312" spans="1:20" x14ac:dyDescent="0.3">
      <c r="A312" t="s">
        <v>734</v>
      </c>
      <c r="B312">
        <v>21</v>
      </c>
      <c r="D312">
        <v>15</v>
      </c>
      <c r="E312">
        <v>60</v>
      </c>
      <c r="F312">
        <v>9</v>
      </c>
      <c r="H312">
        <v>15</v>
      </c>
      <c r="I312">
        <v>60</v>
      </c>
      <c r="J312">
        <v>9</v>
      </c>
      <c r="L312">
        <v>15</v>
      </c>
      <c r="M312">
        <v>60</v>
      </c>
      <c r="N312">
        <v>9</v>
      </c>
      <c r="P312">
        <v>9</v>
      </c>
      <c r="R312">
        <v>15</v>
      </c>
      <c r="S312">
        <v>60</v>
      </c>
      <c r="T312">
        <v>9</v>
      </c>
    </row>
    <row r="313" spans="1:20" x14ac:dyDescent="0.3">
      <c r="A313" t="s">
        <v>43</v>
      </c>
      <c r="B313">
        <v>21</v>
      </c>
      <c r="D313">
        <v>20</v>
      </c>
      <c r="E313">
        <v>100</v>
      </c>
      <c r="H313">
        <v>20</v>
      </c>
      <c r="I313">
        <v>100</v>
      </c>
      <c r="L313">
        <v>20</v>
      </c>
      <c r="M313">
        <v>100</v>
      </c>
      <c r="N313">
        <v>20</v>
      </c>
      <c r="R313">
        <v>20</v>
      </c>
      <c r="S313">
        <v>100</v>
      </c>
    </row>
    <row r="314" spans="1:20" x14ac:dyDescent="0.3">
      <c r="A314" t="s">
        <v>44</v>
      </c>
      <c r="B314">
        <v>21</v>
      </c>
      <c r="D314">
        <v>0</v>
      </c>
      <c r="E314">
        <v>0</v>
      </c>
      <c r="H314">
        <v>0</v>
      </c>
      <c r="I314">
        <v>0</v>
      </c>
      <c r="L314">
        <v>0</v>
      </c>
      <c r="M314">
        <v>0</v>
      </c>
      <c r="N314">
        <v>0</v>
      </c>
      <c r="R314">
        <v>0</v>
      </c>
      <c r="S314">
        <v>0</v>
      </c>
    </row>
    <row r="315" spans="1:20" x14ac:dyDescent="0.3">
      <c r="A315" t="s">
        <v>47</v>
      </c>
      <c r="B315">
        <v>21</v>
      </c>
      <c r="D315">
        <v>7</v>
      </c>
      <c r="E315">
        <v>4</v>
      </c>
      <c r="H315">
        <v>3</v>
      </c>
      <c r="I315">
        <v>8</v>
      </c>
      <c r="L315">
        <v>1</v>
      </c>
      <c r="M315">
        <v>6</v>
      </c>
      <c r="N315">
        <v>6</v>
      </c>
      <c r="R315">
        <v>5</v>
      </c>
      <c r="S315">
        <v>2</v>
      </c>
    </row>
    <row r="316" spans="1:20" x14ac:dyDescent="0.3">
      <c r="A316" t="s">
        <v>735</v>
      </c>
      <c r="B316">
        <v>21</v>
      </c>
      <c r="D316">
        <v>0</v>
      </c>
      <c r="E316">
        <v>0</v>
      </c>
      <c r="H316">
        <v>0</v>
      </c>
      <c r="I316">
        <v>0</v>
      </c>
      <c r="L316">
        <v>0</v>
      </c>
      <c r="M316">
        <v>0</v>
      </c>
      <c r="N316">
        <v>0</v>
      </c>
      <c r="R316">
        <v>0</v>
      </c>
      <c r="S316">
        <v>0</v>
      </c>
    </row>
    <row r="317" spans="1:20" x14ac:dyDescent="0.3">
      <c r="A317" t="s">
        <v>736</v>
      </c>
      <c r="B317">
        <v>21</v>
      </c>
      <c r="D317">
        <v>0</v>
      </c>
      <c r="E317">
        <v>0</v>
      </c>
      <c r="H317">
        <v>0</v>
      </c>
      <c r="I317">
        <v>0</v>
      </c>
      <c r="L317">
        <v>0</v>
      </c>
      <c r="M317">
        <v>0</v>
      </c>
      <c r="N317">
        <v>0</v>
      </c>
      <c r="R317">
        <v>0</v>
      </c>
      <c r="S317">
        <v>0</v>
      </c>
    </row>
    <row r="318" spans="1:20" x14ac:dyDescent="0.3">
      <c r="A318" t="s">
        <v>737</v>
      </c>
      <c r="B318">
        <v>21</v>
      </c>
      <c r="D318">
        <v>0</v>
      </c>
      <c r="E318">
        <v>0</v>
      </c>
      <c r="H318">
        <v>0</v>
      </c>
      <c r="I318">
        <v>0</v>
      </c>
      <c r="L318">
        <v>0</v>
      </c>
      <c r="M318">
        <v>0</v>
      </c>
      <c r="N318">
        <v>0</v>
      </c>
      <c r="R318">
        <v>0</v>
      </c>
      <c r="S318">
        <v>0</v>
      </c>
    </row>
    <row r="319" spans="1:20" x14ac:dyDescent="0.3">
      <c r="A319" t="s">
        <v>738</v>
      </c>
      <c r="B319">
        <v>21</v>
      </c>
      <c r="D319">
        <v>0</v>
      </c>
      <c r="E319">
        <v>0</v>
      </c>
      <c r="H319">
        <v>0</v>
      </c>
      <c r="I319">
        <v>0</v>
      </c>
      <c r="L319">
        <v>0</v>
      </c>
      <c r="M319">
        <v>0</v>
      </c>
      <c r="N319">
        <v>0</v>
      </c>
      <c r="R319">
        <v>0</v>
      </c>
      <c r="S319">
        <v>0</v>
      </c>
    </row>
    <row r="320" spans="1:20" x14ac:dyDescent="0.3">
      <c r="A320" t="s">
        <v>739</v>
      </c>
      <c r="B320">
        <v>21</v>
      </c>
      <c r="D320">
        <v>1</v>
      </c>
      <c r="E320">
        <v>2</v>
      </c>
      <c r="H320">
        <v>1</v>
      </c>
      <c r="I320">
        <v>2</v>
      </c>
      <c r="L320">
        <v>1</v>
      </c>
      <c r="M320">
        <v>2</v>
      </c>
      <c r="N320">
        <v>1</v>
      </c>
      <c r="R320">
        <v>1</v>
      </c>
      <c r="S320">
        <v>2</v>
      </c>
    </row>
    <row r="321" spans="1:20" x14ac:dyDescent="0.3">
      <c r="A321" t="s">
        <v>740</v>
      </c>
      <c r="B321">
        <v>21</v>
      </c>
      <c r="D321">
        <v>0</v>
      </c>
      <c r="E321">
        <v>0</v>
      </c>
      <c r="H321">
        <v>0</v>
      </c>
      <c r="I321">
        <v>0</v>
      </c>
      <c r="L321">
        <v>0</v>
      </c>
      <c r="M321">
        <v>0</v>
      </c>
      <c r="N321">
        <v>0</v>
      </c>
      <c r="R321">
        <v>0</v>
      </c>
      <c r="S321">
        <v>0</v>
      </c>
    </row>
    <row r="322" spans="1:20" x14ac:dyDescent="0.3">
      <c r="A322" t="s">
        <v>741</v>
      </c>
      <c r="B322">
        <v>21</v>
      </c>
      <c r="D322">
        <v>20</v>
      </c>
      <c r="E322">
        <v>6</v>
      </c>
      <c r="H322">
        <v>20</v>
      </c>
      <c r="I322">
        <v>6</v>
      </c>
      <c r="L322">
        <v>20</v>
      </c>
      <c r="M322">
        <v>6</v>
      </c>
      <c r="N322">
        <v>20</v>
      </c>
      <c r="R322">
        <v>20</v>
      </c>
      <c r="S322">
        <v>6</v>
      </c>
    </row>
    <row r="323" spans="1:20" x14ac:dyDescent="0.3">
      <c r="A323" t="s">
        <v>742</v>
      </c>
      <c r="B323">
        <v>21</v>
      </c>
      <c r="D323">
        <v>3</v>
      </c>
      <c r="E323">
        <v>3</v>
      </c>
      <c r="H323">
        <v>3</v>
      </c>
      <c r="I323">
        <v>3</v>
      </c>
      <c r="L323">
        <v>3</v>
      </c>
      <c r="M323">
        <v>3</v>
      </c>
      <c r="N323">
        <v>3</v>
      </c>
      <c r="R323">
        <v>3</v>
      </c>
      <c r="S323">
        <v>3</v>
      </c>
    </row>
    <row r="324" spans="1:20" x14ac:dyDescent="0.3">
      <c r="A324" t="s">
        <v>743</v>
      </c>
      <c r="B324">
        <v>21</v>
      </c>
      <c r="D324">
        <v>0</v>
      </c>
      <c r="E324">
        <v>0</v>
      </c>
      <c r="H324">
        <v>0</v>
      </c>
      <c r="I324">
        <v>0</v>
      </c>
      <c r="L324">
        <v>0</v>
      </c>
      <c r="M324">
        <v>0</v>
      </c>
      <c r="N324">
        <v>0</v>
      </c>
      <c r="R324">
        <v>0</v>
      </c>
      <c r="S324">
        <v>0</v>
      </c>
    </row>
    <row r="325" spans="1:20" x14ac:dyDescent="0.3">
      <c r="A325" t="s">
        <v>744</v>
      </c>
      <c r="B325">
        <v>21</v>
      </c>
      <c r="D325">
        <v>0</v>
      </c>
      <c r="E325">
        <v>0</v>
      </c>
      <c r="H325">
        <v>0</v>
      </c>
      <c r="I325">
        <v>0</v>
      </c>
      <c r="L325">
        <v>0</v>
      </c>
      <c r="M325">
        <v>0</v>
      </c>
      <c r="N325">
        <v>0</v>
      </c>
      <c r="R325">
        <v>0</v>
      </c>
      <c r="S325">
        <v>0</v>
      </c>
    </row>
    <row r="326" spans="1:20" x14ac:dyDescent="0.3">
      <c r="A326" t="s">
        <v>745</v>
      </c>
      <c r="B326">
        <v>21</v>
      </c>
      <c r="D326">
        <v>0</v>
      </c>
      <c r="E326">
        <v>0</v>
      </c>
      <c r="H326">
        <v>0</v>
      </c>
      <c r="I326">
        <v>0</v>
      </c>
      <c r="L326">
        <v>0</v>
      </c>
      <c r="M326">
        <v>0</v>
      </c>
      <c r="N326">
        <v>0</v>
      </c>
      <c r="R326">
        <v>0</v>
      </c>
      <c r="S326">
        <v>0</v>
      </c>
    </row>
    <row r="327" spans="1:20" x14ac:dyDescent="0.3">
      <c r="A327" t="s">
        <v>746</v>
      </c>
      <c r="B327">
        <v>21</v>
      </c>
      <c r="E327">
        <v>94</v>
      </c>
      <c r="I327">
        <v>94</v>
      </c>
      <c r="M327">
        <v>94</v>
      </c>
      <c r="S327">
        <v>94</v>
      </c>
    </row>
    <row r="328" spans="1:20" x14ac:dyDescent="0.3">
      <c r="A328" t="s">
        <v>747</v>
      </c>
      <c r="B328">
        <v>21</v>
      </c>
      <c r="E328">
        <v>6</v>
      </c>
      <c r="I328">
        <v>6</v>
      </c>
      <c r="M328">
        <v>6</v>
      </c>
      <c r="S328">
        <v>6</v>
      </c>
    </row>
    <row r="329" spans="1:20" x14ac:dyDescent="0.3">
      <c r="A329" t="s">
        <v>748</v>
      </c>
      <c r="B329">
        <v>21</v>
      </c>
      <c r="E329">
        <v>3</v>
      </c>
      <c r="I329">
        <v>3</v>
      </c>
      <c r="M329">
        <v>3</v>
      </c>
      <c r="S329">
        <v>3</v>
      </c>
    </row>
    <row r="330" spans="1:20" x14ac:dyDescent="0.3">
      <c r="A330" t="s">
        <v>749</v>
      </c>
      <c r="B330">
        <v>21</v>
      </c>
      <c r="E330">
        <v>0</v>
      </c>
      <c r="I330">
        <v>0</v>
      </c>
      <c r="M330">
        <v>0</v>
      </c>
      <c r="S330">
        <v>0</v>
      </c>
    </row>
    <row r="331" spans="1:20" x14ac:dyDescent="0.3">
      <c r="A331" t="s">
        <v>750</v>
      </c>
      <c r="B331">
        <v>21</v>
      </c>
      <c r="E331">
        <v>0</v>
      </c>
      <c r="I331">
        <v>0</v>
      </c>
      <c r="M331">
        <v>0</v>
      </c>
      <c r="S331">
        <v>0</v>
      </c>
    </row>
    <row r="332" spans="1:20" x14ac:dyDescent="0.3">
      <c r="A332" t="s">
        <v>405</v>
      </c>
      <c r="B332">
        <v>21</v>
      </c>
      <c r="E332">
        <v>0</v>
      </c>
    </row>
    <row r="333" spans="1:20" x14ac:dyDescent="0.3">
      <c r="A333" t="s">
        <v>751</v>
      </c>
      <c r="B333">
        <v>21</v>
      </c>
      <c r="D333">
        <v>93</v>
      </c>
      <c r="E333">
        <v>280</v>
      </c>
      <c r="F333">
        <v>0</v>
      </c>
      <c r="H333">
        <v>213</v>
      </c>
      <c r="I333">
        <v>324</v>
      </c>
      <c r="J333">
        <v>0</v>
      </c>
      <c r="L333">
        <v>115</v>
      </c>
      <c r="M333">
        <v>1337</v>
      </c>
      <c r="N333">
        <v>80</v>
      </c>
      <c r="P333">
        <v>0</v>
      </c>
      <c r="R333">
        <v>71</v>
      </c>
      <c r="S333">
        <v>1200</v>
      </c>
      <c r="T333">
        <v>0</v>
      </c>
    </row>
    <row r="334" spans="1:20" x14ac:dyDescent="0.3">
      <c r="A334" t="s">
        <v>34</v>
      </c>
      <c r="B334">
        <v>24</v>
      </c>
      <c r="D334">
        <v>26</v>
      </c>
      <c r="E334">
        <v>26</v>
      </c>
      <c r="F334">
        <v>26</v>
      </c>
      <c r="H334">
        <v>25</v>
      </c>
      <c r="I334">
        <v>25</v>
      </c>
      <c r="J334">
        <v>25</v>
      </c>
      <c r="L334">
        <v>21</v>
      </c>
      <c r="M334">
        <v>21</v>
      </c>
      <c r="N334">
        <v>21</v>
      </c>
      <c r="P334">
        <v>27</v>
      </c>
      <c r="R334">
        <v>27</v>
      </c>
      <c r="S334">
        <v>27</v>
      </c>
      <c r="T334">
        <v>27</v>
      </c>
    </row>
    <row r="335" spans="1:20" x14ac:dyDescent="0.3">
      <c r="A335" t="s">
        <v>35</v>
      </c>
      <c r="B335">
        <v>24</v>
      </c>
      <c r="D335">
        <v>21</v>
      </c>
      <c r="E335">
        <v>25</v>
      </c>
      <c r="F335">
        <v>27</v>
      </c>
      <c r="H335">
        <v>27</v>
      </c>
      <c r="I335">
        <v>26</v>
      </c>
      <c r="J335">
        <v>21</v>
      </c>
      <c r="L335">
        <v>25</v>
      </c>
      <c r="M335">
        <v>27</v>
      </c>
      <c r="N335">
        <v>26</v>
      </c>
      <c r="P335">
        <v>27</v>
      </c>
      <c r="R335">
        <v>26</v>
      </c>
      <c r="S335">
        <v>21</v>
      </c>
      <c r="T335">
        <v>25</v>
      </c>
    </row>
    <row r="336" spans="1:20" x14ac:dyDescent="0.3">
      <c r="A336" t="s">
        <v>36</v>
      </c>
      <c r="B336">
        <v>24</v>
      </c>
      <c r="D336">
        <v>0</v>
      </c>
      <c r="E336">
        <v>1</v>
      </c>
      <c r="F336">
        <v>0</v>
      </c>
      <c r="H336">
        <v>0</v>
      </c>
      <c r="I336">
        <v>1</v>
      </c>
      <c r="J336">
        <v>0</v>
      </c>
      <c r="L336">
        <v>1</v>
      </c>
      <c r="M336">
        <v>3</v>
      </c>
      <c r="N336">
        <v>0</v>
      </c>
      <c r="P336">
        <v>0</v>
      </c>
      <c r="R336">
        <v>1</v>
      </c>
      <c r="S336">
        <v>3</v>
      </c>
      <c r="T336">
        <v>0</v>
      </c>
    </row>
    <row r="337" spans="1:20" x14ac:dyDescent="0.3">
      <c r="A337" t="s">
        <v>37</v>
      </c>
      <c r="B337">
        <v>24</v>
      </c>
      <c r="D337">
        <v>0</v>
      </c>
      <c r="E337">
        <v>3</v>
      </c>
      <c r="H337">
        <v>0</v>
      </c>
      <c r="I337">
        <v>3</v>
      </c>
      <c r="L337">
        <v>0</v>
      </c>
      <c r="M337">
        <v>2</v>
      </c>
      <c r="R337">
        <v>0</v>
      </c>
      <c r="S337">
        <v>2</v>
      </c>
    </row>
    <row r="338" spans="1:20" x14ac:dyDescent="0.3">
      <c r="A338" t="s">
        <v>38</v>
      </c>
      <c r="B338">
        <v>24</v>
      </c>
      <c r="D338">
        <v>12</v>
      </c>
      <c r="E338">
        <v>12</v>
      </c>
      <c r="F338">
        <v>12</v>
      </c>
      <c r="H338">
        <v>12</v>
      </c>
      <c r="I338">
        <v>12</v>
      </c>
      <c r="J338">
        <v>12</v>
      </c>
      <c r="L338">
        <v>12</v>
      </c>
      <c r="M338">
        <v>12</v>
      </c>
      <c r="N338">
        <v>12</v>
      </c>
      <c r="P338">
        <v>12</v>
      </c>
      <c r="R338">
        <v>12</v>
      </c>
      <c r="S338">
        <v>12</v>
      </c>
      <c r="T338">
        <v>12</v>
      </c>
    </row>
    <row r="339" spans="1:20" x14ac:dyDescent="0.3">
      <c r="A339" t="s">
        <v>39</v>
      </c>
      <c r="B339">
        <v>24</v>
      </c>
      <c r="L339">
        <v>110</v>
      </c>
      <c r="R339">
        <v>100</v>
      </c>
    </row>
    <row r="340" spans="1:20" x14ac:dyDescent="0.3">
      <c r="A340" t="s">
        <v>726</v>
      </c>
      <c r="B340">
        <v>24</v>
      </c>
      <c r="L340">
        <v>25</v>
      </c>
      <c r="R340">
        <v>25</v>
      </c>
    </row>
    <row r="341" spans="1:20" x14ac:dyDescent="0.3">
      <c r="A341" t="s">
        <v>40</v>
      </c>
      <c r="B341">
        <v>24</v>
      </c>
      <c r="L341">
        <v>1</v>
      </c>
      <c r="R341">
        <v>1</v>
      </c>
    </row>
    <row r="342" spans="1:20" x14ac:dyDescent="0.3">
      <c r="A342" t="s">
        <v>41</v>
      </c>
      <c r="B342">
        <v>24</v>
      </c>
    </row>
    <row r="343" spans="1:20" x14ac:dyDescent="0.3">
      <c r="A343" t="s">
        <v>42</v>
      </c>
      <c r="B343">
        <v>24</v>
      </c>
      <c r="E343">
        <v>25</v>
      </c>
      <c r="I343">
        <v>25</v>
      </c>
      <c r="M343">
        <v>40</v>
      </c>
      <c r="S343">
        <v>40</v>
      </c>
    </row>
    <row r="344" spans="1:20" x14ac:dyDescent="0.3">
      <c r="A344" t="s">
        <v>45</v>
      </c>
      <c r="B344">
        <v>24</v>
      </c>
      <c r="E344">
        <v>2</v>
      </c>
      <c r="I344">
        <v>2</v>
      </c>
      <c r="M344">
        <v>1</v>
      </c>
      <c r="S344">
        <v>1</v>
      </c>
    </row>
    <row r="345" spans="1:20" x14ac:dyDescent="0.3">
      <c r="A345" t="s">
        <v>46</v>
      </c>
      <c r="B345">
        <v>24</v>
      </c>
      <c r="D345">
        <v>2</v>
      </c>
      <c r="H345">
        <v>2</v>
      </c>
      <c r="L345">
        <v>1</v>
      </c>
      <c r="R345">
        <v>1</v>
      </c>
    </row>
    <row r="346" spans="1:20" x14ac:dyDescent="0.3">
      <c r="A346" t="s">
        <v>49</v>
      </c>
      <c r="B346">
        <v>24</v>
      </c>
      <c r="D346">
        <v>5.6</v>
      </c>
      <c r="E346">
        <v>5.6</v>
      </c>
      <c r="F346">
        <v>4</v>
      </c>
      <c r="H346">
        <v>5.6</v>
      </c>
      <c r="I346">
        <v>5.6</v>
      </c>
      <c r="J346">
        <v>4</v>
      </c>
      <c r="L346">
        <v>5</v>
      </c>
      <c r="M346">
        <v>5</v>
      </c>
      <c r="N346">
        <v>4</v>
      </c>
      <c r="P346">
        <v>4</v>
      </c>
      <c r="R346">
        <v>5</v>
      </c>
      <c r="S346">
        <v>5</v>
      </c>
      <c r="T346">
        <v>4</v>
      </c>
    </row>
    <row r="347" spans="1:20" x14ac:dyDescent="0.3">
      <c r="A347" t="s">
        <v>727</v>
      </c>
      <c r="B347">
        <v>24</v>
      </c>
      <c r="D347">
        <v>0</v>
      </c>
      <c r="E347">
        <v>0</v>
      </c>
      <c r="F347">
        <v>0</v>
      </c>
      <c r="H347">
        <v>0</v>
      </c>
      <c r="I347">
        <v>0</v>
      </c>
      <c r="J347">
        <v>0</v>
      </c>
      <c r="L347">
        <v>0</v>
      </c>
      <c r="M347">
        <v>0</v>
      </c>
      <c r="N347">
        <v>0</v>
      </c>
      <c r="P347">
        <v>0</v>
      </c>
      <c r="R347">
        <v>0</v>
      </c>
      <c r="S347">
        <v>0</v>
      </c>
      <c r="T347">
        <v>0</v>
      </c>
    </row>
    <row r="348" spans="1:20" x14ac:dyDescent="0.3">
      <c r="A348" t="s">
        <v>48</v>
      </c>
      <c r="B348">
        <v>24</v>
      </c>
      <c r="D348">
        <v>1900</v>
      </c>
      <c r="E348">
        <v>1900</v>
      </c>
      <c r="F348">
        <v>1900</v>
      </c>
      <c r="H348">
        <v>1900</v>
      </c>
      <c r="I348">
        <v>1900</v>
      </c>
      <c r="J348">
        <v>1900</v>
      </c>
      <c r="L348">
        <v>1900</v>
      </c>
      <c r="M348">
        <v>1900</v>
      </c>
      <c r="N348">
        <v>1900</v>
      </c>
      <c r="P348">
        <v>1900</v>
      </c>
      <c r="R348">
        <v>1900</v>
      </c>
      <c r="S348">
        <v>1900</v>
      </c>
      <c r="T348">
        <v>1900</v>
      </c>
    </row>
    <row r="349" spans="1:20" x14ac:dyDescent="0.3">
      <c r="A349" t="s">
        <v>728</v>
      </c>
      <c r="B349">
        <v>24</v>
      </c>
      <c r="D349">
        <v>0</v>
      </c>
      <c r="E349">
        <v>1754</v>
      </c>
      <c r="F349">
        <v>0</v>
      </c>
      <c r="H349">
        <v>0</v>
      </c>
      <c r="I349">
        <v>1732</v>
      </c>
      <c r="J349">
        <v>0</v>
      </c>
      <c r="L349">
        <v>1770</v>
      </c>
      <c r="M349">
        <v>5060</v>
      </c>
      <c r="N349">
        <v>0</v>
      </c>
      <c r="P349">
        <v>0</v>
      </c>
      <c r="R349">
        <v>1770</v>
      </c>
      <c r="S349">
        <v>5045</v>
      </c>
      <c r="T349">
        <v>0</v>
      </c>
    </row>
    <row r="350" spans="1:20" x14ac:dyDescent="0.3">
      <c r="A350" t="s">
        <v>50</v>
      </c>
      <c r="B350">
        <v>24</v>
      </c>
      <c r="D350">
        <v>0</v>
      </c>
      <c r="E350">
        <v>1518</v>
      </c>
      <c r="F350">
        <v>0</v>
      </c>
      <c r="H350">
        <v>0</v>
      </c>
      <c r="I350">
        <v>1563</v>
      </c>
      <c r="J350">
        <v>0</v>
      </c>
      <c r="L350">
        <v>319</v>
      </c>
      <c r="M350">
        <v>5060</v>
      </c>
      <c r="N350">
        <v>0</v>
      </c>
      <c r="P350">
        <v>0</v>
      </c>
      <c r="R350">
        <v>319</v>
      </c>
      <c r="S350">
        <v>5045</v>
      </c>
      <c r="T350">
        <v>0</v>
      </c>
    </row>
    <row r="351" spans="1:20" x14ac:dyDescent="0.3">
      <c r="A351" t="s">
        <v>729</v>
      </c>
      <c r="B351">
        <v>24</v>
      </c>
      <c r="D351">
        <v>1</v>
      </c>
      <c r="E351">
        <v>1</v>
      </c>
      <c r="F351">
        <v>1</v>
      </c>
      <c r="H351">
        <v>1</v>
      </c>
      <c r="I351">
        <v>1</v>
      </c>
      <c r="J351">
        <v>1</v>
      </c>
      <c r="L351">
        <v>1</v>
      </c>
      <c r="M351">
        <v>1</v>
      </c>
      <c r="N351">
        <v>1</v>
      </c>
      <c r="P351">
        <v>1</v>
      </c>
      <c r="R351">
        <v>1</v>
      </c>
      <c r="S351">
        <v>1</v>
      </c>
      <c r="T351">
        <v>1</v>
      </c>
    </row>
    <row r="352" spans="1:20" x14ac:dyDescent="0.3">
      <c r="A352" t="s">
        <v>51</v>
      </c>
      <c r="B352">
        <v>24</v>
      </c>
      <c r="D352">
        <v>0</v>
      </c>
      <c r="E352">
        <v>9</v>
      </c>
      <c r="F352">
        <v>0</v>
      </c>
      <c r="H352">
        <v>0</v>
      </c>
      <c r="I352">
        <v>18</v>
      </c>
      <c r="J352">
        <v>0</v>
      </c>
      <c r="L352">
        <v>0</v>
      </c>
      <c r="M352">
        <v>10</v>
      </c>
      <c r="N352">
        <v>0</v>
      </c>
      <c r="P352">
        <v>0</v>
      </c>
      <c r="R352">
        <v>0</v>
      </c>
      <c r="S352">
        <v>16</v>
      </c>
      <c r="T352">
        <v>0</v>
      </c>
    </row>
    <row r="353" spans="1:20" x14ac:dyDescent="0.3">
      <c r="A353" t="s">
        <v>53</v>
      </c>
      <c r="B353">
        <v>24</v>
      </c>
      <c r="D353">
        <v>48</v>
      </c>
      <c r="E353">
        <v>37</v>
      </c>
      <c r="F353">
        <v>35</v>
      </c>
      <c r="H353">
        <v>44</v>
      </c>
      <c r="I353">
        <v>41</v>
      </c>
      <c r="J353">
        <v>60</v>
      </c>
      <c r="L353">
        <v>35</v>
      </c>
      <c r="M353">
        <v>1253</v>
      </c>
      <c r="N353">
        <v>44</v>
      </c>
      <c r="P353">
        <v>0</v>
      </c>
      <c r="R353">
        <v>61</v>
      </c>
      <c r="S353">
        <v>1079</v>
      </c>
      <c r="T353">
        <v>60</v>
      </c>
    </row>
    <row r="354" spans="1:20" x14ac:dyDescent="0.3">
      <c r="A354" t="s">
        <v>54</v>
      </c>
      <c r="B354">
        <v>24</v>
      </c>
      <c r="D354">
        <v>0</v>
      </c>
      <c r="E354">
        <v>0</v>
      </c>
      <c r="F354">
        <v>0</v>
      </c>
      <c r="H354">
        <v>0</v>
      </c>
      <c r="I354">
        <v>0</v>
      </c>
      <c r="J354">
        <v>0</v>
      </c>
      <c r="L354">
        <v>0</v>
      </c>
      <c r="M354">
        <v>0</v>
      </c>
      <c r="N354">
        <v>0</v>
      </c>
      <c r="P354">
        <v>0</v>
      </c>
      <c r="R354">
        <v>0</v>
      </c>
      <c r="S354">
        <v>0</v>
      </c>
      <c r="T354">
        <v>0</v>
      </c>
    </row>
    <row r="355" spans="1:20" x14ac:dyDescent="0.3">
      <c r="A355" t="s">
        <v>55</v>
      </c>
      <c r="B355">
        <v>24</v>
      </c>
      <c r="D355">
        <v>0</v>
      </c>
      <c r="E355">
        <v>0</v>
      </c>
      <c r="F355">
        <v>0</v>
      </c>
      <c r="H355">
        <v>0</v>
      </c>
      <c r="I355">
        <v>0</v>
      </c>
      <c r="J355">
        <v>0</v>
      </c>
      <c r="L355">
        <v>0</v>
      </c>
      <c r="M355">
        <v>0</v>
      </c>
      <c r="N355">
        <v>0</v>
      </c>
      <c r="P355">
        <v>0</v>
      </c>
      <c r="R355">
        <v>0</v>
      </c>
      <c r="S355">
        <v>0</v>
      </c>
      <c r="T355">
        <v>0</v>
      </c>
    </row>
    <row r="356" spans="1:20" x14ac:dyDescent="0.3">
      <c r="A356" t="s">
        <v>56</v>
      </c>
      <c r="B356">
        <v>24</v>
      </c>
      <c r="D356">
        <v>0.92</v>
      </c>
      <c r="E356">
        <v>0.92</v>
      </c>
      <c r="F356">
        <v>0.92</v>
      </c>
      <c r="H356">
        <v>0.92</v>
      </c>
      <c r="I356">
        <v>0.92</v>
      </c>
      <c r="J356">
        <v>0.92</v>
      </c>
      <c r="L356">
        <v>0.92</v>
      </c>
      <c r="M356">
        <v>0.92</v>
      </c>
      <c r="N356">
        <v>0.92</v>
      </c>
      <c r="P356">
        <v>0.92</v>
      </c>
      <c r="R356">
        <v>0.92</v>
      </c>
      <c r="S356">
        <v>0.92</v>
      </c>
      <c r="T356">
        <v>0.92</v>
      </c>
    </row>
    <row r="357" spans="1:20" x14ac:dyDescent="0.3">
      <c r="A357" t="s">
        <v>57</v>
      </c>
      <c r="B357">
        <v>24</v>
      </c>
      <c r="D357">
        <v>100</v>
      </c>
      <c r="E357">
        <v>100</v>
      </c>
      <c r="F357">
        <v>100</v>
      </c>
      <c r="H357">
        <v>100</v>
      </c>
      <c r="I357">
        <v>100</v>
      </c>
      <c r="J357">
        <v>100</v>
      </c>
      <c r="L357">
        <v>100</v>
      </c>
      <c r="M357">
        <v>100</v>
      </c>
      <c r="N357">
        <v>100</v>
      </c>
      <c r="P357">
        <v>100</v>
      </c>
      <c r="R357">
        <v>100</v>
      </c>
      <c r="S357">
        <v>100</v>
      </c>
      <c r="T357">
        <v>100</v>
      </c>
    </row>
    <row r="358" spans="1:20" x14ac:dyDescent="0.3">
      <c r="A358" t="s">
        <v>58</v>
      </c>
      <c r="B358">
        <v>24</v>
      </c>
      <c r="D358">
        <v>2</v>
      </c>
      <c r="E358">
        <v>2</v>
      </c>
      <c r="F358">
        <v>2</v>
      </c>
      <c r="H358">
        <v>2</v>
      </c>
      <c r="I358">
        <v>2</v>
      </c>
      <c r="J358">
        <v>2</v>
      </c>
      <c r="L358">
        <v>2</v>
      </c>
      <c r="M358">
        <v>2</v>
      </c>
      <c r="N358">
        <v>2</v>
      </c>
      <c r="P358">
        <v>2</v>
      </c>
      <c r="R358">
        <v>2</v>
      </c>
      <c r="S358">
        <v>2</v>
      </c>
      <c r="T358">
        <v>2</v>
      </c>
    </row>
    <row r="359" spans="1:20" x14ac:dyDescent="0.3">
      <c r="A359" t="s">
        <v>59</v>
      </c>
      <c r="B359">
        <v>24</v>
      </c>
      <c r="D359">
        <v>0</v>
      </c>
      <c r="E359">
        <v>0</v>
      </c>
      <c r="F359">
        <v>0</v>
      </c>
      <c r="H359">
        <v>0</v>
      </c>
      <c r="I359">
        <v>0</v>
      </c>
      <c r="J359">
        <v>0</v>
      </c>
      <c r="L359">
        <v>0</v>
      </c>
      <c r="M359">
        <v>0</v>
      </c>
      <c r="N359">
        <v>0</v>
      </c>
      <c r="P359">
        <v>0</v>
      </c>
      <c r="R359">
        <v>0</v>
      </c>
      <c r="S359">
        <v>0</v>
      </c>
      <c r="T359">
        <v>0</v>
      </c>
    </row>
    <row r="360" spans="1:20" x14ac:dyDescent="0.3">
      <c r="A360" t="s">
        <v>730</v>
      </c>
      <c r="B360">
        <v>24</v>
      </c>
      <c r="E360">
        <v>0</v>
      </c>
      <c r="I360">
        <v>0</v>
      </c>
      <c r="M360">
        <v>0</v>
      </c>
      <c r="S360">
        <v>0</v>
      </c>
    </row>
    <row r="361" spans="1:20" x14ac:dyDescent="0.3">
      <c r="A361" t="s">
        <v>679</v>
      </c>
      <c r="B361">
        <v>24</v>
      </c>
      <c r="E361">
        <v>527</v>
      </c>
      <c r="I361">
        <v>551</v>
      </c>
      <c r="M361">
        <v>1358</v>
      </c>
      <c r="S361">
        <v>1300</v>
      </c>
    </row>
    <row r="362" spans="1:20" x14ac:dyDescent="0.3">
      <c r="A362" t="s">
        <v>78</v>
      </c>
      <c r="B362">
        <v>24</v>
      </c>
      <c r="E362">
        <v>14.4</v>
      </c>
      <c r="I362">
        <v>15</v>
      </c>
      <c r="M362">
        <v>23.1</v>
      </c>
      <c r="S362">
        <v>22.2</v>
      </c>
    </row>
    <row r="363" spans="1:20" x14ac:dyDescent="0.3">
      <c r="A363" t="s">
        <v>731</v>
      </c>
      <c r="B363">
        <v>24</v>
      </c>
      <c r="F363">
        <v>0</v>
      </c>
      <c r="J363">
        <v>0</v>
      </c>
      <c r="N363">
        <v>0</v>
      </c>
      <c r="T363">
        <v>0</v>
      </c>
    </row>
    <row r="364" spans="1:20" x14ac:dyDescent="0.3">
      <c r="A364" t="s">
        <v>732</v>
      </c>
      <c r="B364">
        <v>24</v>
      </c>
      <c r="D364">
        <v>0</v>
      </c>
      <c r="E364">
        <v>0</v>
      </c>
      <c r="F364">
        <v>1</v>
      </c>
      <c r="H364">
        <v>0</v>
      </c>
      <c r="I364">
        <v>0</v>
      </c>
      <c r="J364">
        <v>1</v>
      </c>
      <c r="L364">
        <v>0</v>
      </c>
      <c r="M364">
        <v>0</v>
      </c>
      <c r="N364">
        <v>1</v>
      </c>
      <c r="P364">
        <v>3</v>
      </c>
      <c r="R364">
        <v>0</v>
      </c>
      <c r="S364">
        <v>0</v>
      </c>
      <c r="T364">
        <v>1</v>
      </c>
    </row>
    <row r="365" spans="1:20" x14ac:dyDescent="0.3">
      <c r="A365" t="s">
        <v>733</v>
      </c>
      <c r="B365">
        <v>24</v>
      </c>
      <c r="D365">
        <v>0</v>
      </c>
      <c r="E365">
        <v>0</v>
      </c>
      <c r="F365">
        <v>0</v>
      </c>
      <c r="H365">
        <v>0</v>
      </c>
      <c r="I365">
        <v>0</v>
      </c>
      <c r="J365">
        <v>0</v>
      </c>
      <c r="L365">
        <v>0</v>
      </c>
      <c r="M365">
        <v>0</v>
      </c>
      <c r="N365">
        <v>0</v>
      </c>
      <c r="P365">
        <v>0</v>
      </c>
      <c r="R365">
        <v>0</v>
      </c>
      <c r="S365">
        <v>0</v>
      </c>
      <c r="T365">
        <v>0</v>
      </c>
    </row>
    <row r="366" spans="1:20" x14ac:dyDescent="0.3">
      <c r="A366" t="s">
        <v>52</v>
      </c>
      <c r="B366">
        <v>24</v>
      </c>
      <c r="D366">
        <v>1</v>
      </c>
      <c r="E366">
        <v>1</v>
      </c>
      <c r="F366">
        <v>1</v>
      </c>
      <c r="H366">
        <v>1</v>
      </c>
      <c r="I366">
        <v>1</v>
      </c>
      <c r="J366">
        <v>1</v>
      </c>
      <c r="L366">
        <v>1</v>
      </c>
      <c r="M366">
        <v>1</v>
      </c>
      <c r="N366">
        <v>1</v>
      </c>
      <c r="P366">
        <v>1</v>
      </c>
      <c r="R366">
        <v>1</v>
      </c>
      <c r="S366">
        <v>1</v>
      </c>
      <c r="T366">
        <v>1</v>
      </c>
    </row>
    <row r="367" spans="1:20" x14ac:dyDescent="0.3">
      <c r="A367" t="s">
        <v>734</v>
      </c>
      <c r="B367">
        <v>24</v>
      </c>
      <c r="D367">
        <v>15</v>
      </c>
      <c r="E367">
        <v>60</v>
      </c>
      <c r="F367">
        <v>9</v>
      </c>
      <c r="H367">
        <v>15</v>
      </c>
      <c r="I367">
        <v>60</v>
      </c>
      <c r="J367">
        <v>9</v>
      </c>
      <c r="L367">
        <v>15</v>
      </c>
      <c r="M367">
        <v>60</v>
      </c>
      <c r="N367">
        <v>9</v>
      </c>
      <c r="P367">
        <v>9</v>
      </c>
      <c r="R367">
        <v>15</v>
      </c>
      <c r="S367">
        <v>60</v>
      </c>
      <c r="T367">
        <v>9</v>
      </c>
    </row>
    <row r="368" spans="1:20" x14ac:dyDescent="0.3">
      <c r="A368" t="s">
        <v>43</v>
      </c>
      <c r="B368">
        <v>24</v>
      </c>
      <c r="D368">
        <v>20</v>
      </c>
      <c r="E368">
        <v>100</v>
      </c>
      <c r="H368">
        <v>20</v>
      </c>
      <c r="I368">
        <v>100</v>
      </c>
      <c r="L368">
        <v>20</v>
      </c>
      <c r="M368">
        <v>100</v>
      </c>
      <c r="R368">
        <v>20</v>
      </c>
      <c r="S368">
        <v>100</v>
      </c>
    </row>
    <row r="369" spans="1:19" x14ac:dyDescent="0.3">
      <c r="A369" t="s">
        <v>44</v>
      </c>
      <c r="B369">
        <v>24</v>
      </c>
      <c r="D369">
        <v>0</v>
      </c>
      <c r="E369">
        <v>0</v>
      </c>
      <c r="H369">
        <v>0</v>
      </c>
      <c r="I369">
        <v>0</v>
      </c>
      <c r="L369">
        <v>0</v>
      </c>
      <c r="M369">
        <v>0</v>
      </c>
      <c r="R369">
        <v>0</v>
      </c>
      <c r="S369">
        <v>0</v>
      </c>
    </row>
    <row r="370" spans="1:19" x14ac:dyDescent="0.3">
      <c r="A370" t="s">
        <v>47</v>
      </c>
      <c r="B370">
        <v>24</v>
      </c>
      <c r="D370">
        <v>2</v>
      </c>
      <c r="E370">
        <v>2</v>
      </c>
      <c r="H370">
        <v>2</v>
      </c>
      <c r="I370">
        <v>2</v>
      </c>
      <c r="L370">
        <v>1</v>
      </c>
      <c r="M370">
        <v>1</v>
      </c>
      <c r="R370">
        <v>1</v>
      </c>
      <c r="S370">
        <v>1</v>
      </c>
    </row>
    <row r="371" spans="1:19" x14ac:dyDescent="0.3">
      <c r="A371" t="s">
        <v>735</v>
      </c>
      <c r="B371">
        <v>24</v>
      </c>
      <c r="D371">
        <v>0</v>
      </c>
      <c r="E371">
        <v>0</v>
      </c>
      <c r="H371">
        <v>0</v>
      </c>
      <c r="I371">
        <v>0</v>
      </c>
      <c r="L371">
        <v>0</v>
      </c>
      <c r="M371">
        <v>0</v>
      </c>
      <c r="R371">
        <v>0</v>
      </c>
      <c r="S371">
        <v>0</v>
      </c>
    </row>
    <row r="372" spans="1:19" x14ac:dyDescent="0.3">
      <c r="A372" t="s">
        <v>736</v>
      </c>
      <c r="B372">
        <v>24</v>
      </c>
      <c r="D372">
        <v>0</v>
      </c>
      <c r="E372">
        <v>0</v>
      </c>
      <c r="H372">
        <v>0</v>
      </c>
      <c r="I372">
        <v>0</v>
      </c>
      <c r="L372">
        <v>0</v>
      </c>
      <c r="M372">
        <v>0</v>
      </c>
      <c r="R372">
        <v>0</v>
      </c>
      <c r="S372">
        <v>0</v>
      </c>
    </row>
    <row r="373" spans="1:19" x14ac:dyDescent="0.3">
      <c r="A373" t="s">
        <v>737</v>
      </c>
      <c r="B373">
        <v>24</v>
      </c>
      <c r="D373">
        <v>0</v>
      </c>
      <c r="E373">
        <v>0</v>
      </c>
      <c r="H373">
        <v>0</v>
      </c>
      <c r="I373">
        <v>0</v>
      </c>
      <c r="L373">
        <v>0</v>
      </c>
      <c r="M373">
        <v>0</v>
      </c>
      <c r="R373">
        <v>0</v>
      </c>
      <c r="S373">
        <v>0</v>
      </c>
    </row>
    <row r="374" spans="1:19" x14ac:dyDescent="0.3">
      <c r="A374" t="s">
        <v>738</v>
      </c>
      <c r="B374">
        <v>24</v>
      </c>
      <c r="D374">
        <v>0</v>
      </c>
      <c r="E374">
        <v>0</v>
      </c>
      <c r="H374">
        <v>0</v>
      </c>
      <c r="I374">
        <v>0</v>
      </c>
      <c r="L374">
        <v>0</v>
      </c>
      <c r="M374">
        <v>0</v>
      </c>
      <c r="R374">
        <v>0</v>
      </c>
      <c r="S374">
        <v>0</v>
      </c>
    </row>
    <row r="375" spans="1:19" x14ac:dyDescent="0.3">
      <c r="A375" t="s">
        <v>739</v>
      </c>
      <c r="B375">
        <v>24</v>
      </c>
      <c r="D375">
        <v>1</v>
      </c>
      <c r="E375">
        <v>2</v>
      </c>
      <c r="H375">
        <v>1</v>
      </c>
      <c r="I375">
        <v>2</v>
      </c>
      <c r="L375">
        <v>1</v>
      </c>
      <c r="M375">
        <v>2</v>
      </c>
      <c r="R375">
        <v>1</v>
      </c>
      <c r="S375">
        <v>2</v>
      </c>
    </row>
    <row r="376" spans="1:19" x14ac:dyDescent="0.3">
      <c r="A376" t="s">
        <v>740</v>
      </c>
      <c r="B376">
        <v>24</v>
      </c>
      <c r="D376">
        <v>0</v>
      </c>
      <c r="E376">
        <v>0</v>
      </c>
      <c r="H376">
        <v>0</v>
      </c>
      <c r="I376">
        <v>0</v>
      </c>
      <c r="L376">
        <v>0</v>
      </c>
      <c r="M376">
        <v>0</v>
      </c>
      <c r="R376">
        <v>0</v>
      </c>
      <c r="S376">
        <v>0</v>
      </c>
    </row>
    <row r="377" spans="1:19" x14ac:dyDescent="0.3">
      <c r="A377" t="s">
        <v>741</v>
      </c>
      <c r="B377">
        <v>24</v>
      </c>
      <c r="D377">
        <v>20</v>
      </c>
      <c r="E377">
        <v>6</v>
      </c>
      <c r="H377">
        <v>20</v>
      </c>
      <c r="I377">
        <v>6</v>
      </c>
      <c r="L377">
        <v>20</v>
      </c>
      <c r="M377">
        <v>6</v>
      </c>
      <c r="R377">
        <v>20</v>
      </c>
      <c r="S377">
        <v>6</v>
      </c>
    </row>
    <row r="378" spans="1:19" x14ac:dyDescent="0.3">
      <c r="A378" t="s">
        <v>742</v>
      </c>
      <c r="B378">
        <v>24</v>
      </c>
      <c r="D378">
        <v>3</v>
      </c>
      <c r="E378">
        <v>3</v>
      </c>
      <c r="H378">
        <v>3</v>
      </c>
      <c r="I378">
        <v>3</v>
      </c>
      <c r="L378">
        <v>3</v>
      </c>
      <c r="M378">
        <v>3</v>
      </c>
      <c r="R378">
        <v>3</v>
      </c>
      <c r="S378">
        <v>3</v>
      </c>
    </row>
    <row r="379" spans="1:19" x14ac:dyDescent="0.3">
      <c r="A379" t="s">
        <v>743</v>
      </c>
      <c r="B379">
        <v>24</v>
      </c>
      <c r="D379">
        <v>0</v>
      </c>
      <c r="E379">
        <v>0</v>
      </c>
      <c r="H379">
        <v>0</v>
      </c>
      <c r="I379">
        <v>0</v>
      </c>
      <c r="L379">
        <v>0</v>
      </c>
      <c r="M379">
        <v>0</v>
      </c>
      <c r="R379">
        <v>0</v>
      </c>
      <c r="S379">
        <v>0</v>
      </c>
    </row>
    <row r="380" spans="1:19" x14ac:dyDescent="0.3">
      <c r="A380" t="s">
        <v>744</v>
      </c>
      <c r="B380">
        <v>24</v>
      </c>
      <c r="D380">
        <v>0</v>
      </c>
      <c r="E380">
        <v>0</v>
      </c>
      <c r="H380">
        <v>0</v>
      </c>
      <c r="I380">
        <v>0</v>
      </c>
      <c r="L380">
        <v>0</v>
      </c>
      <c r="M380">
        <v>0</v>
      </c>
      <c r="R380">
        <v>0</v>
      </c>
      <c r="S380">
        <v>0</v>
      </c>
    </row>
    <row r="381" spans="1:19" x14ac:dyDescent="0.3">
      <c r="A381" t="s">
        <v>745</v>
      </c>
      <c r="B381">
        <v>24</v>
      </c>
      <c r="D381">
        <v>0</v>
      </c>
      <c r="E381">
        <v>0</v>
      </c>
      <c r="H381">
        <v>0</v>
      </c>
      <c r="I381">
        <v>0</v>
      </c>
      <c r="L381">
        <v>0</v>
      </c>
      <c r="M381">
        <v>0</v>
      </c>
      <c r="R381">
        <v>0</v>
      </c>
      <c r="S381">
        <v>0</v>
      </c>
    </row>
    <row r="382" spans="1:19" x14ac:dyDescent="0.3">
      <c r="A382" t="s">
        <v>746</v>
      </c>
      <c r="B382">
        <v>24</v>
      </c>
      <c r="E382">
        <v>94</v>
      </c>
      <c r="I382">
        <v>94</v>
      </c>
      <c r="M382">
        <v>94</v>
      </c>
      <c r="S382">
        <v>94</v>
      </c>
    </row>
    <row r="383" spans="1:19" x14ac:dyDescent="0.3">
      <c r="A383" t="s">
        <v>747</v>
      </c>
      <c r="B383">
        <v>24</v>
      </c>
      <c r="E383">
        <v>6</v>
      </c>
      <c r="I383">
        <v>6</v>
      </c>
      <c r="M383">
        <v>6</v>
      </c>
      <c r="S383">
        <v>6</v>
      </c>
    </row>
    <row r="384" spans="1:19" x14ac:dyDescent="0.3">
      <c r="A384" t="s">
        <v>748</v>
      </c>
      <c r="B384">
        <v>24</v>
      </c>
      <c r="E384">
        <v>3</v>
      </c>
      <c r="I384">
        <v>3</v>
      </c>
      <c r="M384">
        <v>3</v>
      </c>
      <c r="S384">
        <v>3</v>
      </c>
    </row>
    <row r="385" spans="1:20" x14ac:dyDescent="0.3">
      <c r="A385" t="s">
        <v>749</v>
      </c>
      <c r="B385">
        <v>24</v>
      </c>
      <c r="E385">
        <v>0</v>
      </c>
      <c r="I385">
        <v>0</v>
      </c>
      <c r="M385">
        <v>0</v>
      </c>
      <c r="S385">
        <v>0</v>
      </c>
    </row>
    <row r="386" spans="1:20" x14ac:dyDescent="0.3">
      <c r="A386" t="s">
        <v>750</v>
      </c>
      <c r="B386">
        <v>24</v>
      </c>
      <c r="E386">
        <v>0</v>
      </c>
      <c r="I386">
        <v>0</v>
      </c>
      <c r="M386">
        <v>0</v>
      </c>
      <c r="S386">
        <v>0</v>
      </c>
    </row>
    <row r="387" spans="1:20" x14ac:dyDescent="0.3">
      <c r="A387" t="s">
        <v>405</v>
      </c>
      <c r="B387">
        <v>24</v>
      </c>
      <c r="E387">
        <v>0</v>
      </c>
    </row>
    <row r="388" spans="1:20" x14ac:dyDescent="0.3">
      <c r="A388" t="s">
        <v>751</v>
      </c>
      <c r="B388">
        <v>24</v>
      </c>
      <c r="D388">
        <v>0</v>
      </c>
      <c r="E388">
        <v>130</v>
      </c>
      <c r="F388">
        <v>0</v>
      </c>
      <c r="H388">
        <v>0</v>
      </c>
      <c r="I388">
        <v>158</v>
      </c>
      <c r="J388">
        <v>0</v>
      </c>
      <c r="L388">
        <v>38</v>
      </c>
      <c r="M388">
        <v>1410</v>
      </c>
      <c r="N388">
        <v>0</v>
      </c>
      <c r="P388">
        <v>0</v>
      </c>
      <c r="R388">
        <v>66</v>
      </c>
      <c r="S388">
        <v>1238</v>
      </c>
      <c r="T388">
        <v>0</v>
      </c>
    </row>
    <row r="389" spans="1:20" x14ac:dyDescent="0.3">
      <c r="A389" t="s">
        <v>34</v>
      </c>
      <c r="B389">
        <v>27</v>
      </c>
      <c r="D389">
        <v>30</v>
      </c>
      <c r="E389">
        <v>30</v>
      </c>
      <c r="F389">
        <v>30</v>
      </c>
      <c r="H389">
        <v>31</v>
      </c>
      <c r="I389">
        <v>31</v>
      </c>
      <c r="J389">
        <v>31</v>
      </c>
      <c r="L389">
        <v>24</v>
      </c>
      <c r="M389">
        <v>24</v>
      </c>
      <c r="N389">
        <v>24</v>
      </c>
      <c r="P389">
        <v>73</v>
      </c>
      <c r="R389">
        <v>73</v>
      </c>
      <c r="S389">
        <v>73</v>
      </c>
      <c r="T389">
        <v>73</v>
      </c>
    </row>
    <row r="390" spans="1:20" x14ac:dyDescent="0.3">
      <c r="A390" t="s">
        <v>35</v>
      </c>
      <c r="B390">
        <v>27</v>
      </c>
      <c r="D390">
        <v>24</v>
      </c>
      <c r="E390">
        <v>31</v>
      </c>
      <c r="F390">
        <v>73</v>
      </c>
      <c r="H390">
        <v>73</v>
      </c>
      <c r="I390">
        <v>30</v>
      </c>
      <c r="J390">
        <v>24</v>
      </c>
      <c r="L390">
        <v>31</v>
      </c>
      <c r="M390">
        <v>73</v>
      </c>
      <c r="N390">
        <v>30</v>
      </c>
      <c r="P390">
        <v>73</v>
      </c>
      <c r="R390">
        <v>30</v>
      </c>
      <c r="S390">
        <v>24</v>
      </c>
      <c r="T390">
        <v>31</v>
      </c>
    </row>
    <row r="391" spans="1:20" x14ac:dyDescent="0.3">
      <c r="A391" t="s">
        <v>36</v>
      </c>
      <c r="B391">
        <v>27</v>
      </c>
      <c r="D391">
        <v>1</v>
      </c>
      <c r="E391">
        <v>1</v>
      </c>
      <c r="F391">
        <v>1</v>
      </c>
      <c r="H391">
        <v>1</v>
      </c>
      <c r="I391">
        <v>1</v>
      </c>
      <c r="J391">
        <v>0</v>
      </c>
      <c r="L391">
        <v>1</v>
      </c>
      <c r="M391">
        <v>3</v>
      </c>
      <c r="N391">
        <v>0</v>
      </c>
      <c r="P391">
        <v>0</v>
      </c>
      <c r="R391">
        <v>1</v>
      </c>
      <c r="S391">
        <v>3</v>
      </c>
      <c r="T391">
        <v>0</v>
      </c>
    </row>
    <row r="392" spans="1:20" x14ac:dyDescent="0.3">
      <c r="A392" t="s">
        <v>37</v>
      </c>
      <c r="B392">
        <v>27</v>
      </c>
      <c r="D392">
        <v>0</v>
      </c>
      <c r="E392">
        <v>0</v>
      </c>
      <c r="H392">
        <v>0</v>
      </c>
      <c r="I392">
        <v>2</v>
      </c>
      <c r="L392">
        <v>0</v>
      </c>
      <c r="M392">
        <v>2</v>
      </c>
      <c r="R392">
        <v>0</v>
      </c>
      <c r="S392">
        <v>2</v>
      </c>
    </row>
    <row r="393" spans="1:20" x14ac:dyDescent="0.3">
      <c r="A393" t="s">
        <v>38</v>
      </c>
      <c r="B393">
        <v>27</v>
      </c>
      <c r="D393">
        <v>12</v>
      </c>
      <c r="E393">
        <v>12</v>
      </c>
      <c r="F393">
        <v>12</v>
      </c>
      <c r="H393">
        <v>12</v>
      </c>
      <c r="I393">
        <v>12</v>
      </c>
      <c r="J393">
        <v>12</v>
      </c>
      <c r="L393">
        <v>12</v>
      </c>
      <c r="M393">
        <v>12</v>
      </c>
      <c r="N393">
        <v>12</v>
      </c>
      <c r="P393">
        <v>12</v>
      </c>
      <c r="R393">
        <v>12</v>
      </c>
      <c r="S393">
        <v>12</v>
      </c>
      <c r="T393">
        <v>12</v>
      </c>
    </row>
    <row r="394" spans="1:20" x14ac:dyDescent="0.3">
      <c r="A394" t="s">
        <v>39</v>
      </c>
      <c r="B394">
        <v>27</v>
      </c>
      <c r="D394">
        <v>100</v>
      </c>
      <c r="F394">
        <v>100</v>
      </c>
      <c r="H394">
        <v>160</v>
      </c>
      <c r="L394">
        <v>160</v>
      </c>
      <c r="R394">
        <v>150</v>
      </c>
    </row>
    <row r="395" spans="1:20" x14ac:dyDescent="0.3">
      <c r="A395" t="s">
        <v>726</v>
      </c>
      <c r="B395">
        <v>27</v>
      </c>
      <c r="D395">
        <v>25</v>
      </c>
      <c r="F395">
        <v>25</v>
      </c>
      <c r="H395">
        <v>25</v>
      </c>
      <c r="L395">
        <v>25</v>
      </c>
      <c r="R395">
        <v>25</v>
      </c>
    </row>
    <row r="396" spans="1:20" x14ac:dyDescent="0.3">
      <c r="A396" t="s">
        <v>40</v>
      </c>
      <c r="B396">
        <v>27</v>
      </c>
      <c r="D396">
        <v>1</v>
      </c>
      <c r="F396">
        <v>1</v>
      </c>
      <c r="H396">
        <v>1</v>
      </c>
      <c r="L396">
        <v>1</v>
      </c>
      <c r="R396">
        <v>1</v>
      </c>
    </row>
    <row r="397" spans="1:20" x14ac:dyDescent="0.3">
      <c r="A397" t="s">
        <v>41</v>
      </c>
      <c r="B397">
        <v>27</v>
      </c>
    </row>
    <row r="398" spans="1:20" x14ac:dyDescent="0.3">
      <c r="A398" t="s">
        <v>42</v>
      </c>
      <c r="B398">
        <v>27</v>
      </c>
      <c r="E398">
        <v>30</v>
      </c>
      <c r="I398">
        <v>25</v>
      </c>
      <c r="M398">
        <v>45</v>
      </c>
      <c r="S398">
        <v>40</v>
      </c>
    </row>
    <row r="399" spans="1:20" x14ac:dyDescent="0.3">
      <c r="A399" t="s">
        <v>45</v>
      </c>
      <c r="B399">
        <v>27</v>
      </c>
      <c r="E399">
        <v>2</v>
      </c>
      <c r="I399">
        <v>2</v>
      </c>
      <c r="M399">
        <v>1</v>
      </c>
      <c r="S399">
        <v>1</v>
      </c>
    </row>
    <row r="400" spans="1:20" x14ac:dyDescent="0.3">
      <c r="A400" t="s">
        <v>46</v>
      </c>
      <c r="B400">
        <v>27</v>
      </c>
      <c r="D400">
        <v>2</v>
      </c>
      <c r="F400">
        <v>2</v>
      </c>
      <c r="H400">
        <v>2</v>
      </c>
      <c r="L400">
        <v>1</v>
      </c>
      <c r="R400">
        <v>1</v>
      </c>
    </row>
    <row r="401" spans="1:20" x14ac:dyDescent="0.3">
      <c r="A401" t="s">
        <v>49</v>
      </c>
      <c r="B401">
        <v>27</v>
      </c>
      <c r="D401">
        <v>5.8</v>
      </c>
      <c r="E401">
        <v>5.8</v>
      </c>
      <c r="F401">
        <v>5.8</v>
      </c>
      <c r="H401">
        <v>5.8</v>
      </c>
      <c r="I401">
        <v>5.8</v>
      </c>
      <c r="J401">
        <v>4</v>
      </c>
      <c r="L401">
        <v>5.3</v>
      </c>
      <c r="M401">
        <v>5.3</v>
      </c>
      <c r="N401">
        <v>4</v>
      </c>
      <c r="P401">
        <v>4</v>
      </c>
      <c r="R401">
        <v>5.3</v>
      </c>
      <c r="S401">
        <v>5.3</v>
      </c>
      <c r="T401">
        <v>4</v>
      </c>
    </row>
    <row r="402" spans="1:20" x14ac:dyDescent="0.3">
      <c r="A402" t="s">
        <v>727</v>
      </c>
      <c r="B402">
        <v>27</v>
      </c>
      <c r="D402">
        <v>0</v>
      </c>
      <c r="E402">
        <v>0</v>
      </c>
      <c r="F402">
        <v>0</v>
      </c>
      <c r="H402">
        <v>0</v>
      </c>
      <c r="I402">
        <v>0</v>
      </c>
      <c r="J402">
        <v>0</v>
      </c>
      <c r="L402">
        <v>0</v>
      </c>
      <c r="M402">
        <v>0</v>
      </c>
      <c r="N402">
        <v>0</v>
      </c>
      <c r="P402">
        <v>0</v>
      </c>
      <c r="R402">
        <v>0</v>
      </c>
      <c r="S402">
        <v>0</v>
      </c>
      <c r="T402">
        <v>0</v>
      </c>
    </row>
    <row r="403" spans="1:20" x14ac:dyDescent="0.3">
      <c r="A403" t="s">
        <v>48</v>
      </c>
      <c r="B403">
        <v>27</v>
      </c>
      <c r="D403">
        <v>1900</v>
      </c>
      <c r="E403">
        <v>1900</v>
      </c>
      <c r="F403">
        <v>1900</v>
      </c>
      <c r="H403">
        <v>1900</v>
      </c>
      <c r="I403">
        <v>1900</v>
      </c>
      <c r="J403">
        <v>1900</v>
      </c>
      <c r="L403">
        <v>1900</v>
      </c>
      <c r="M403">
        <v>1900</v>
      </c>
      <c r="N403">
        <v>1900</v>
      </c>
      <c r="P403">
        <v>1900</v>
      </c>
      <c r="R403">
        <v>1900</v>
      </c>
      <c r="S403">
        <v>1900</v>
      </c>
      <c r="T403">
        <v>1900</v>
      </c>
    </row>
    <row r="404" spans="1:20" x14ac:dyDescent="0.3">
      <c r="A404" t="s">
        <v>728</v>
      </c>
      <c r="B404">
        <v>27</v>
      </c>
      <c r="D404">
        <v>1770</v>
      </c>
      <c r="E404">
        <v>1863</v>
      </c>
      <c r="F404">
        <v>1583</v>
      </c>
      <c r="H404">
        <v>1770</v>
      </c>
      <c r="I404">
        <v>1697</v>
      </c>
      <c r="J404">
        <v>0</v>
      </c>
      <c r="L404">
        <v>1770</v>
      </c>
      <c r="M404">
        <v>5070</v>
      </c>
      <c r="N404">
        <v>0</v>
      </c>
      <c r="P404">
        <v>0</v>
      </c>
      <c r="R404">
        <v>1770</v>
      </c>
      <c r="S404">
        <v>5060</v>
      </c>
      <c r="T404">
        <v>0</v>
      </c>
    </row>
    <row r="405" spans="1:20" x14ac:dyDescent="0.3">
      <c r="A405" t="s">
        <v>50</v>
      </c>
      <c r="B405">
        <v>27</v>
      </c>
      <c r="D405">
        <v>1289</v>
      </c>
      <c r="E405">
        <v>1863</v>
      </c>
      <c r="F405">
        <v>1583</v>
      </c>
      <c r="H405">
        <v>1367</v>
      </c>
      <c r="I405">
        <v>1697</v>
      </c>
      <c r="J405">
        <v>0</v>
      </c>
      <c r="L405">
        <v>376</v>
      </c>
      <c r="M405">
        <v>5070</v>
      </c>
      <c r="N405">
        <v>0</v>
      </c>
      <c r="P405">
        <v>0</v>
      </c>
      <c r="R405">
        <v>328</v>
      </c>
      <c r="S405">
        <v>5060</v>
      </c>
      <c r="T405">
        <v>0</v>
      </c>
    </row>
    <row r="406" spans="1:20" x14ac:dyDescent="0.3">
      <c r="A406" t="s">
        <v>729</v>
      </c>
      <c r="B406">
        <v>27</v>
      </c>
      <c r="D406">
        <v>1</v>
      </c>
      <c r="E406">
        <v>1</v>
      </c>
      <c r="F406">
        <v>1</v>
      </c>
      <c r="H406">
        <v>1</v>
      </c>
      <c r="I406">
        <v>1</v>
      </c>
      <c r="J406">
        <v>1</v>
      </c>
      <c r="L406">
        <v>1</v>
      </c>
      <c r="M406">
        <v>1</v>
      </c>
      <c r="N406">
        <v>1</v>
      </c>
      <c r="P406">
        <v>1</v>
      </c>
      <c r="R406">
        <v>1</v>
      </c>
      <c r="S406">
        <v>1</v>
      </c>
      <c r="T406">
        <v>1</v>
      </c>
    </row>
    <row r="407" spans="1:20" x14ac:dyDescent="0.3">
      <c r="A407" t="s">
        <v>51</v>
      </c>
      <c r="B407">
        <v>27</v>
      </c>
      <c r="D407">
        <v>0</v>
      </c>
      <c r="E407">
        <v>0</v>
      </c>
      <c r="F407">
        <v>42</v>
      </c>
      <c r="H407">
        <v>0</v>
      </c>
      <c r="I407">
        <v>57</v>
      </c>
      <c r="J407">
        <v>0</v>
      </c>
      <c r="L407">
        <v>0</v>
      </c>
      <c r="M407">
        <v>4</v>
      </c>
      <c r="N407">
        <v>0</v>
      </c>
      <c r="P407">
        <v>0</v>
      </c>
      <c r="R407">
        <v>0</v>
      </c>
      <c r="S407">
        <v>10</v>
      </c>
      <c r="T407">
        <v>0</v>
      </c>
    </row>
    <row r="408" spans="1:20" x14ac:dyDescent="0.3">
      <c r="A408" t="s">
        <v>53</v>
      </c>
      <c r="B408">
        <v>27</v>
      </c>
      <c r="D408">
        <v>33</v>
      </c>
      <c r="E408">
        <v>32</v>
      </c>
      <c r="F408">
        <v>39</v>
      </c>
      <c r="H408">
        <v>56</v>
      </c>
      <c r="I408">
        <v>38</v>
      </c>
      <c r="J408">
        <v>55</v>
      </c>
      <c r="L408">
        <v>44</v>
      </c>
      <c r="M408">
        <v>1186</v>
      </c>
      <c r="N408">
        <v>20</v>
      </c>
      <c r="P408">
        <v>0</v>
      </c>
      <c r="R408">
        <v>27</v>
      </c>
      <c r="S408">
        <v>1064</v>
      </c>
      <c r="T408">
        <v>40</v>
      </c>
    </row>
    <row r="409" spans="1:20" x14ac:dyDescent="0.3">
      <c r="A409" t="s">
        <v>54</v>
      </c>
      <c r="B409">
        <v>27</v>
      </c>
      <c r="D409">
        <v>0</v>
      </c>
      <c r="E409">
        <v>0</v>
      </c>
      <c r="F409">
        <v>0</v>
      </c>
      <c r="H409">
        <v>0</v>
      </c>
      <c r="I409">
        <v>0</v>
      </c>
      <c r="J409">
        <v>0</v>
      </c>
      <c r="L409">
        <v>0</v>
      </c>
      <c r="M409">
        <v>0</v>
      </c>
      <c r="N409">
        <v>0</v>
      </c>
      <c r="P409">
        <v>0</v>
      </c>
      <c r="R409">
        <v>0</v>
      </c>
      <c r="S409">
        <v>0</v>
      </c>
      <c r="T409">
        <v>0</v>
      </c>
    </row>
    <row r="410" spans="1:20" x14ac:dyDescent="0.3">
      <c r="A410" t="s">
        <v>55</v>
      </c>
      <c r="B410">
        <v>27</v>
      </c>
      <c r="D410">
        <v>0</v>
      </c>
      <c r="E410">
        <v>0</v>
      </c>
      <c r="F410">
        <v>0</v>
      </c>
      <c r="H410">
        <v>0</v>
      </c>
      <c r="I410">
        <v>0</v>
      </c>
      <c r="J410">
        <v>0</v>
      </c>
      <c r="L410">
        <v>0</v>
      </c>
      <c r="M410">
        <v>0</v>
      </c>
      <c r="N410">
        <v>0</v>
      </c>
      <c r="P410">
        <v>0</v>
      </c>
      <c r="R410">
        <v>0</v>
      </c>
      <c r="S410">
        <v>0</v>
      </c>
      <c r="T410">
        <v>0</v>
      </c>
    </row>
    <row r="411" spans="1:20" x14ac:dyDescent="0.3">
      <c r="A411" t="s">
        <v>56</v>
      </c>
      <c r="B411">
        <v>27</v>
      </c>
      <c r="D411">
        <v>0.92</v>
      </c>
      <c r="E411">
        <v>0.92</v>
      </c>
      <c r="F411">
        <v>0.92</v>
      </c>
      <c r="H411">
        <v>0.92</v>
      </c>
      <c r="I411">
        <v>0.92</v>
      </c>
      <c r="J411">
        <v>0.92</v>
      </c>
      <c r="L411">
        <v>0.92</v>
      </c>
      <c r="M411">
        <v>0.92</v>
      </c>
      <c r="N411">
        <v>0.92</v>
      </c>
      <c r="P411">
        <v>0.92</v>
      </c>
      <c r="R411">
        <v>0.92</v>
      </c>
      <c r="S411">
        <v>0.92</v>
      </c>
      <c r="T411">
        <v>0.92</v>
      </c>
    </row>
    <row r="412" spans="1:20" x14ac:dyDescent="0.3">
      <c r="A412" t="s">
        <v>57</v>
      </c>
      <c r="B412">
        <v>27</v>
      </c>
      <c r="D412">
        <v>100</v>
      </c>
      <c r="E412">
        <v>100</v>
      </c>
      <c r="F412">
        <v>100</v>
      </c>
      <c r="H412">
        <v>100</v>
      </c>
      <c r="I412">
        <v>100</v>
      </c>
      <c r="J412">
        <v>100</v>
      </c>
      <c r="L412">
        <v>100</v>
      </c>
      <c r="M412">
        <v>100</v>
      </c>
      <c r="N412">
        <v>100</v>
      </c>
      <c r="P412">
        <v>100</v>
      </c>
      <c r="R412">
        <v>100</v>
      </c>
      <c r="S412">
        <v>100</v>
      </c>
      <c r="T412">
        <v>100</v>
      </c>
    </row>
    <row r="413" spans="1:20" x14ac:dyDescent="0.3">
      <c r="A413" t="s">
        <v>58</v>
      </c>
      <c r="B413">
        <v>27</v>
      </c>
      <c r="D413">
        <v>2</v>
      </c>
      <c r="E413">
        <v>2</v>
      </c>
      <c r="F413">
        <v>2</v>
      </c>
      <c r="H413">
        <v>2</v>
      </c>
      <c r="I413">
        <v>2</v>
      </c>
      <c r="J413">
        <v>2</v>
      </c>
      <c r="L413">
        <v>2</v>
      </c>
      <c r="M413">
        <v>2</v>
      </c>
      <c r="N413">
        <v>2</v>
      </c>
      <c r="P413">
        <v>2</v>
      </c>
      <c r="R413">
        <v>2</v>
      </c>
      <c r="S413">
        <v>2</v>
      </c>
      <c r="T413">
        <v>2</v>
      </c>
    </row>
    <row r="414" spans="1:20" x14ac:dyDescent="0.3">
      <c r="A414" t="s">
        <v>59</v>
      </c>
      <c r="B414">
        <v>27</v>
      </c>
      <c r="D414">
        <v>0</v>
      </c>
      <c r="E414">
        <v>0</v>
      </c>
      <c r="F414">
        <v>0</v>
      </c>
      <c r="H414">
        <v>0</v>
      </c>
      <c r="I414">
        <v>0</v>
      </c>
      <c r="J414">
        <v>0</v>
      </c>
      <c r="L414">
        <v>0</v>
      </c>
      <c r="M414">
        <v>0</v>
      </c>
      <c r="N414">
        <v>0</v>
      </c>
      <c r="P414">
        <v>0</v>
      </c>
      <c r="R414">
        <v>0</v>
      </c>
      <c r="S414">
        <v>0</v>
      </c>
      <c r="T414">
        <v>0</v>
      </c>
    </row>
    <row r="415" spans="1:20" x14ac:dyDescent="0.3">
      <c r="A415" t="s">
        <v>730</v>
      </c>
      <c r="B415">
        <v>27</v>
      </c>
      <c r="E415">
        <v>0</v>
      </c>
      <c r="I415">
        <v>0</v>
      </c>
      <c r="M415">
        <v>0</v>
      </c>
      <c r="S415">
        <v>0</v>
      </c>
    </row>
    <row r="416" spans="1:20" x14ac:dyDescent="0.3">
      <c r="A416" t="s">
        <v>679</v>
      </c>
      <c r="B416">
        <v>27</v>
      </c>
      <c r="E416">
        <v>403</v>
      </c>
      <c r="I416">
        <v>311</v>
      </c>
      <c r="M416">
        <v>1300</v>
      </c>
      <c r="S416">
        <v>1322</v>
      </c>
    </row>
    <row r="417" spans="1:20" x14ac:dyDescent="0.3">
      <c r="A417" t="s">
        <v>78</v>
      </c>
      <c r="B417">
        <v>27</v>
      </c>
      <c r="E417">
        <v>9.1999999999999993</v>
      </c>
      <c r="I417">
        <v>8.5</v>
      </c>
      <c r="M417">
        <v>19.7</v>
      </c>
      <c r="S417">
        <v>22.5</v>
      </c>
    </row>
    <row r="418" spans="1:20" x14ac:dyDescent="0.3">
      <c r="A418" t="s">
        <v>731</v>
      </c>
      <c r="B418">
        <v>27</v>
      </c>
      <c r="F418">
        <v>0</v>
      </c>
      <c r="J418">
        <v>0</v>
      </c>
      <c r="N418">
        <v>0</v>
      </c>
      <c r="T418">
        <v>0</v>
      </c>
    </row>
    <row r="419" spans="1:20" x14ac:dyDescent="0.3">
      <c r="A419" t="s">
        <v>732</v>
      </c>
      <c r="B419">
        <v>27</v>
      </c>
      <c r="D419">
        <v>0</v>
      </c>
      <c r="E419">
        <v>0</v>
      </c>
      <c r="F419">
        <v>1</v>
      </c>
      <c r="H419">
        <v>0</v>
      </c>
      <c r="I419">
        <v>0</v>
      </c>
      <c r="J419">
        <v>1</v>
      </c>
      <c r="L419">
        <v>0</v>
      </c>
      <c r="M419">
        <v>0</v>
      </c>
      <c r="N419">
        <v>1</v>
      </c>
      <c r="P419">
        <v>3</v>
      </c>
      <c r="R419">
        <v>0</v>
      </c>
      <c r="S419">
        <v>0</v>
      </c>
      <c r="T419">
        <v>1</v>
      </c>
    </row>
    <row r="420" spans="1:20" x14ac:dyDescent="0.3">
      <c r="A420" t="s">
        <v>733</v>
      </c>
      <c r="B420">
        <v>27</v>
      </c>
      <c r="D420">
        <v>0</v>
      </c>
      <c r="E420">
        <v>0</v>
      </c>
      <c r="F420">
        <v>0</v>
      </c>
      <c r="H420">
        <v>0</v>
      </c>
      <c r="I420">
        <v>0</v>
      </c>
      <c r="J420">
        <v>0</v>
      </c>
      <c r="L420">
        <v>0</v>
      </c>
      <c r="M420">
        <v>0</v>
      </c>
      <c r="N420">
        <v>0</v>
      </c>
      <c r="P420">
        <v>0</v>
      </c>
      <c r="R420">
        <v>0</v>
      </c>
      <c r="S420">
        <v>0</v>
      </c>
      <c r="T420">
        <v>0</v>
      </c>
    </row>
    <row r="421" spans="1:20" x14ac:dyDescent="0.3">
      <c r="A421" t="s">
        <v>52</v>
      </c>
      <c r="B421">
        <v>27</v>
      </c>
      <c r="D421">
        <v>1</v>
      </c>
      <c r="E421">
        <v>1</v>
      </c>
      <c r="F421">
        <v>1</v>
      </c>
      <c r="H421">
        <v>1</v>
      </c>
      <c r="I421">
        <v>1</v>
      </c>
      <c r="J421">
        <v>1</v>
      </c>
      <c r="L421">
        <v>1</v>
      </c>
      <c r="M421">
        <v>1</v>
      </c>
      <c r="N421">
        <v>1</v>
      </c>
      <c r="P421">
        <v>1</v>
      </c>
      <c r="R421">
        <v>1</v>
      </c>
      <c r="S421">
        <v>1</v>
      </c>
      <c r="T421">
        <v>1</v>
      </c>
    </row>
    <row r="422" spans="1:20" x14ac:dyDescent="0.3">
      <c r="A422" t="s">
        <v>734</v>
      </c>
      <c r="B422">
        <v>27</v>
      </c>
      <c r="D422">
        <v>15</v>
      </c>
      <c r="E422">
        <v>60</v>
      </c>
      <c r="F422">
        <v>9</v>
      </c>
      <c r="H422">
        <v>15</v>
      </c>
      <c r="I422">
        <v>60</v>
      </c>
      <c r="J422">
        <v>9</v>
      </c>
      <c r="L422">
        <v>15</v>
      </c>
      <c r="M422">
        <v>60</v>
      </c>
      <c r="N422">
        <v>9</v>
      </c>
      <c r="P422">
        <v>9</v>
      </c>
      <c r="R422">
        <v>15</v>
      </c>
      <c r="S422">
        <v>60</v>
      </c>
      <c r="T422">
        <v>9</v>
      </c>
    </row>
    <row r="423" spans="1:20" x14ac:dyDescent="0.3">
      <c r="A423" t="s">
        <v>43</v>
      </c>
      <c r="B423">
        <v>27</v>
      </c>
      <c r="D423">
        <v>20</v>
      </c>
      <c r="E423">
        <v>100</v>
      </c>
      <c r="F423">
        <v>20</v>
      </c>
      <c r="H423">
        <v>20</v>
      </c>
      <c r="I423">
        <v>100</v>
      </c>
      <c r="L423">
        <v>20</v>
      </c>
      <c r="M423">
        <v>100</v>
      </c>
      <c r="R423">
        <v>20</v>
      </c>
      <c r="S423">
        <v>100</v>
      </c>
    </row>
    <row r="424" spans="1:20" x14ac:dyDescent="0.3">
      <c r="A424" t="s">
        <v>44</v>
      </c>
      <c r="B424">
        <v>27</v>
      </c>
      <c r="D424">
        <v>0</v>
      </c>
      <c r="E424">
        <v>0</v>
      </c>
      <c r="F424">
        <v>0</v>
      </c>
      <c r="H424">
        <v>0</v>
      </c>
      <c r="I424">
        <v>0</v>
      </c>
      <c r="L424">
        <v>0</v>
      </c>
      <c r="M424">
        <v>0</v>
      </c>
      <c r="R424">
        <v>0</v>
      </c>
      <c r="S424">
        <v>0</v>
      </c>
    </row>
    <row r="425" spans="1:20" x14ac:dyDescent="0.3">
      <c r="A425" t="s">
        <v>47</v>
      </c>
      <c r="B425">
        <v>27</v>
      </c>
      <c r="D425">
        <v>2</v>
      </c>
      <c r="E425">
        <v>2</v>
      </c>
      <c r="F425">
        <v>2</v>
      </c>
      <c r="H425">
        <v>2</v>
      </c>
      <c r="I425">
        <v>2</v>
      </c>
      <c r="L425">
        <v>1</v>
      </c>
      <c r="M425">
        <v>1</v>
      </c>
      <c r="R425">
        <v>1</v>
      </c>
      <c r="S425">
        <v>1</v>
      </c>
    </row>
    <row r="426" spans="1:20" x14ac:dyDescent="0.3">
      <c r="A426" t="s">
        <v>735</v>
      </c>
      <c r="B426">
        <v>27</v>
      </c>
      <c r="D426">
        <v>0</v>
      </c>
      <c r="E426">
        <v>0</v>
      </c>
      <c r="F426">
        <v>0</v>
      </c>
      <c r="H426">
        <v>0</v>
      </c>
      <c r="I426">
        <v>0</v>
      </c>
      <c r="L426">
        <v>0</v>
      </c>
      <c r="M426">
        <v>0</v>
      </c>
      <c r="R426">
        <v>0</v>
      </c>
      <c r="S426">
        <v>0</v>
      </c>
    </row>
    <row r="427" spans="1:20" x14ac:dyDescent="0.3">
      <c r="A427" t="s">
        <v>736</v>
      </c>
      <c r="B427">
        <v>27</v>
      </c>
      <c r="D427">
        <v>0</v>
      </c>
      <c r="E427">
        <v>0</v>
      </c>
      <c r="F427">
        <v>0</v>
      </c>
      <c r="H427">
        <v>0</v>
      </c>
      <c r="I427">
        <v>0</v>
      </c>
      <c r="L427">
        <v>0</v>
      </c>
      <c r="M427">
        <v>0</v>
      </c>
      <c r="R427">
        <v>0</v>
      </c>
      <c r="S427">
        <v>0</v>
      </c>
    </row>
    <row r="428" spans="1:20" x14ac:dyDescent="0.3">
      <c r="A428" t="s">
        <v>737</v>
      </c>
      <c r="B428">
        <v>27</v>
      </c>
      <c r="D428">
        <v>0</v>
      </c>
      <c r="E428">
        <v>0</v>
      </c>
      <c r="F428">
        <v>0</v>
      </c>
      <c r="H428">
        <v>0</v>
      </c>
      <c r="I428">
        <v>0</v>
      </c>
      <c r="L428">
        <v>0</v>
      </c>
      <c r="M428">
        <v>0</v>
      </c>
      <c r="R428">
        <v>0</v>
      </c>
      <c r="S428">
        <v>0</v>
      </c>
    </row>
    <row r="429" spans="1:20" x14ac:dyDescent="0.3">
      <c r="A429" t="s">
        <v>738</v>
      </c>
      <c r="B429">
        <v>27</v>
      </c>
      <c r="D429">
        <v>0</v>
      </c>
      <c r="E429">
        <v>0</v>
      </c>
      <c r="F429">
        <v>0</v>
      </c>
      <c r="H429">
        <v>0</v>
      </c>
      <c r="I429">
        <v>0</v>
      </c>
      <c r="L429">
        <v>0</v>
      </c>
      <c r="M429">
        <v>0</v>
      </c>
      <c r="R429">
        <v>0</v>
      </c>
      <c r="S429">
        <v>0</v>
      </c>
    </row>
    <row r="430" spans="1:20" x14ac:dyDescent="0.3">
      <c r="A430" t="s">
        <v>739</v>
      </c>
      <c r="B430">
        <v>27</v>
      </c>
      <c r="D430">
        <v>1</v>
      </c>
      <c r="E430">
        <v>2</v>
      </c>
      <c r="F430">
        <v>1</v>
      </c>
      <c r="H430">
        <v>1</v>
      </c>
      <c r="I430">
        <v>2</v>
      </c>
      <c r="L430">
        <v>1</v>
      </c>
      <c r="M430">
        <v>2</v>
      </c>
      <c r="R430">
        <v>1</v>
      </c>
      <c r="S430">
        <v>2</v>
      </c>
    </row>
    <row r="431" spans="1:20" x14ac:dyDescent="0.3">
      <c r="A431" t="s">
        <v>740</v>
      </c>
      <c r="B431">
        <v>27</v>
      </c>
      <c r="D431">
        <v>0</v>
      </c>
      <c r="E431">
        <v>0</v>
      </c>
      <c r="F431">
        <v>0</v>
      </c>
      <c r="H431">
        <v>0</v>
      </c>
      <c r="I431">
        <v>0</v>
      </c>
      <c r="L431">
        <v>0</v>
      </c>
      <c r="M431">
        <v>0</v>
      </c>
      <c r="R431">
        <v>0</v>
      </c>
      <c r="S431">
        <v>0</v>
      </c>
    </row>
    <row r="432" spans="1:20" x14ac:dyDescent="0.3">
      <c r="A432" t="s">
        <v>741</v>
      </c>
      <c r="B432">
        <v>27</v>
      </c>
      <c r="D432">
        <v>20</v>
      </c>
      <c r="E432">
        <v>6</v>
      </c>
      <c r="F432">
        <v>20</v>
      </c>
      <c r="H432">
        <v>20</v>
      </c>
      <c r="I432">
        <v>6</v>
      </c>
      <c r="L432">
        <v>20</v>
      </c>
      <c r="M432">
        <v>6</v>
      </c>
      <c r="R432">
        <v>20</v>
      </c>
      <c r="S432">
        <v>6</v>
      </c>
    </row>
    <row r="433" spans="1:20" x14ac:dyDescent="0.3">
      <c r="A433" t="s">
        <v>742</v>
      </c>
      <c r="B433">
        <v>27</v>
      </c>
      <c r="D433">
        <v>3</v>
      </c>
      <c r="E433">
        <v>3</v>
      </c>
      <c r="F433">
        <v>3</v>
      </c>
      <c r="H433">
        <v>3</v>
      </c>
      <c r="I433">
        <v>3</v>
      </c>
      <c r="L433">
        <v>3</v>
      </c>
      <c r="M433">
        <v>3</v>
      </c>
      <c r="R433">
        <v>3</v>
      </c>
      <c r="S433">
        <v>3</v>
      </c>
    </row>
    <row r="434" spans="1:20" x14ac:dyDescent="0.3">
      <c r="A434" t="s">
        <v>743</v>
      </c>
      <c r="B434">
        <v>27</v>
      </c>
      <c r="D434">
        <v>0</v>
      </c>
      <c r="E434">
        <v>0</v>
      </c>
      <c r="F434">
        <v>0</v>
      </c>
      <c r="H434">
        <v>0</v>
      </c>
      <c r="I434">
        <v>0</v>
      </c>
      <c r="L434">
        <v>0</v>
      </c>
      <c r="M434">
        <v>0</v>
      </c>
      <c r="R434">
        <v>0</v>
      </c>
      <c r="S434">
        <v>0</v>
      </c>
    </row>
    <row r="435" spans="1:20" x14ac:dyDescent="0.3">
      <c r="A435" t="s">
        <v>744</v>
      </c>
      <c r="B435">
        <v>27</v>
      </c>
      <c r="D435">
        <v>0</v>
      </c>
      <c r="E435">
        <v>0</v>
      </c>
      <c r="F435">
        <v>0</v>
      </c>
      <c r="H435">
        <v>0</v>
      </c>
      <c r="I435">
        <v>0</v>
      </c>
      <c r="L435">
        <v>0</v>
      </c>
      <c r="M435">
        <v>0</v>
      </c>
      <c r="R435">
        <v>0</v>
      </c>
      <c r="S435">
        <v>0</v>
      </c>
    </row>
    <row r="436" spans="1:20" x14ac:dyDescent="0.3">
      <c r="A436" t="s">
        <v>745</v>
      </c>
      <c r="B436">
        <v>27</v>
      </c>
      <c r="D436">
        <v>0</v>
      </c>
      <c r="E436">
        <v>0</v>
      </c>
      <c r="F436">
        <v>0</v>
      </c>
      <c r="H436">
        <v>0</v>
      </c>
      <c r="I436">
        <v>0</v>
      </c>
      <c r="L436">
        <v>0</v>
      </c>
      <c r="M436">
        <v>0</v>
      </c>
      <c r="R436">
        <v>0</v>
      </c>
      <c r="S436">
        <v>0</v>
      </c>
    </row>
    <row r="437" spans="1:20" x14ac:dyDescent="0.3">
      <c r="A437" t="s">
        <v>746</v>
      </c>
      <c r="B437">
        <v>27</v>
      </c>
      <c r="E437">
        <v>94</v>
      </c>
      <c r="I437">
        <v>94</v>
      </c>
      <c r="M437">
        <v>94</v>
      </c>
      <c r="S437">
        <v>94</v>
      </c>
    </row>
    <row r="438" spans="1:20" x14ac:dyDescent="0.3">
      <c r="A438" t="s">
        <v>747</v>
      </c>
      <c r="B438">
        <v>27</v>
      </c>
      <c r="E438">
        <v>6</v>
      </c>
      <c r="I438">
        <v>6</v>
      </c>
      <c r="M438">
        <v>6</v>
      </c>
      <c r="S438">
        <v>6</v>
      </c>
    </row>
    <row r="439" spans="1:20" x14ac:dyDescent="0.3">
      <c r="A439" t="s">
        <v>748</v>
      </c>
      <c r="B439">
        <v>27</v>
      </c>
      <c r="E439">
        <v>3</v>
      </c>
      <c r="I439">
        <v>3</v>
      </c>
      <c r="M439">
        <v>3</v>
      </c>
      <c r="S439">
        <v>3</v>
      </c>
    </row>
    <row r="440" spans="1:20" x14ac:dyDescent="0.3">
      <c r="A440" t="s">
        <v>749</v>
      </c>
      <c r="B440">
        <v>27</v>
      </c>
      <c r="E440">
        <v>0</v>
      </c>
      <c r="I440">
        <v>0</v>
      </c>
      <c r="M440">
        <v>0</v>
      </c>
      <c r="S440">
        <v>0</v>
      </c>
    </row>
    <row r="441" spans="1:20" x14ac:dyDescent="0.3">
      <c r="A441" t="s">
        <v>750</v>
      </c>
      <c r="B441">
        <v>27</v>
      </c>
      <c r="E441">
        <v>0</v>
      </c>
      <c r="I441">
        <v>0</v>
      </c>
      <c r="M441">
        <v>0</v>
      </c>
      <c r="S441">
        <v>0</v>
      </c>
    </row>
    <row r="442" spans="1:20" x14ac:dyDescent="0.3">
      <c r="A442" t="s">
        <v>405</v>
      </c>
      <c r="B442">
        <v>27</v>
      </c>
      <c r="E442">
        <v>0</v>
      </c>
    </row>
    <row r="443" spans="1:20" x14ac:dyDescent="0.3">
      <c r="A443" t="s">
        <v>751</v>
      </c>
      <c r="B443">
        <v>27</v>
      </c>
      <c r="D443">
        <v>36</v>
      </c>
      <c r="E443">
        <v>35</v>
      </c>
      <c r="F443">
        <v>42</v>
      </c>
      <c r="H443">
        <v>61</v>
      </c>
      <c r="I443">
        <v>101</v>
      </c>
      <c r="J443">
        <v>0</v>
      </c>
      <c r="L443">
        <v>48</v>
      </c>
      <c r="M443">
        <v>1311</v>
      </c>
      <c r="N443">
        <v>0</v>
      </c>
      <c r="P443">
        <v>0</v>
      </c>
      <c r="R443">
        <v>29</v>
      </c>
      <c r="S443">
        <v>1200</v>
      </c>
      <c r="T443">
        <v>0</v>
      </c>
    </row>
    <row r="444" spans="1:20" x14ac:dyDescent="0.3">
      <c r="A444" t="s">
        <v>34</v>
      </c>
      <c r="B444">
        <v>32</v>
      </c>
      <c r="D444">
        <v>34</v>
      </c>
      <c r="E444">
        <v>34</v>
      </c>
      <c r="F444">
        <v>34</v>
      </c>
      <c r="H444">
        <v>33</v>
      </c>
      <c r="I444">
        <v>33</v>
      </c>
      <c r="J444">
        <v>33</v>
      </c>
      <c r="L444">
        <v>73</v>
      </c>
      <c r="M444">
        <v>73</v>
      </c>
      <c r="N444">
        <v>73</v>
      </c>
      <c r="P444">
        <v>35</v>
      </c>
      <c r="R444">
        <v>35</v>
      </c>
      <c r="S444">
        <v>35</v>
      </c>
      <c r="T444">
        <v>35</v>
      </c>
    </row>
    <row r="445" spans="1:20" x14ac:dyDescent="0.3">
      <c r="A445" t="s">
        <v>35</v>
      </c>
      <c r="B445">
        <v>32</v>
      </c>
      <c r="D445">
        <v>73</v>
      </c>
      <c r="E445">
        <v>33</v>
      </c>
      <c r="F445">
        <v>35</v>
      </c>
      <c r="H445">
        <v>35</v>
      </c>
      <c r="I445">
        <v>34</v>
      </c>
      <c r="J445">
        <v>73</v>
      </c>
      <c r="L445">
        <v>33</v>
      </c>
      <c r="M445">
        <v>35</v>
      </c>
      <c r="N445">
        <v>34</v>
      </c>
      <c r="P445">
        <v>35</v>
      </c>
      <c r="R445">
        <v>34</v>
      </c>
      <c r="S445">
        <v>73</v>
      </c>
      <c r="T445">
        <v>33</v>
      </c>
    </row>
    <row r="446" spans="1:20" x14ac:dyDescent="0.3">
      <c r="A446" t="s">
        <v>36</v>
      </c>
      <c r="B446">
        <v>32</v>
      </c>
      <c r="D446">
        <v>1</v>
      </c>
      <c r="E446">
        <v>2</v>
      </c>
      <c r="F446">
        <v>0</v>
      </c>
      <c r="H446">
        <v>1</v>
      </c>
      <c r="I446">
        <v>2</v>
      </c>
      <c r="J446">
        <v>0</v>
      </c>
      <c r="L446">
        <v>1</v>
      </c>
      <c r="M446">
        <v>3</v>
      </c>
      <c r="N446">
        <v>1</v>
      </c>
      <c r="P446">
        <v>0</v>
      </c>
      <c r="R446">
        <v>1</v>
      </c>
      <c r="S446">
        <v>3</v>
      </c>
      <c r="T446">
        <v>0</v>
      </c>
    </row>
    <row r="447" spans="1:20" x14ac:dyDescent="0.3">
      <c r="A447" t="s">
        <v>37</v>
      </c>
      <c r="B447">
        <v>32</v>
      </c>
      <c r="D447">
        <v>0</v>
      </c>
      <c r="E447">
        <v>2</v>
      </c>
      <c r="H447">
        <v>0</v>
      </c>
      <c r="I447">
        <v>2</v>
      </c>
      <c r="L447">
        <v>0</v>
      </c>
      <c r="M447">
        <v>0</v>
      </c>
      <c r="R447">
        <v>0</v>
      </c>
      <c r="S447">
        <v>2</v>
      </c>
    </row>
    <row r="448" spans="1:20" x14ac:dyDescent="0.3">
      <c r="A448" t="s">
        <v>38</v>
      </c>
      <c r="B448">
        <v>32</v>
      </c>
      <c r="D448">
        <v>12</v>
      </c>
      <c r="E448">
        <v>12</v>
      </c>
      <c r="F448">
        <v>12</v>
      </c>
      <c r="H448">
        <v>12</v>
      </c>
      <c r="I448">
        <v>12</v>
      </c>
      <c r="J448">
        <v>12</v>
      </c>
      <c r="L448">
        <v>12</v>
      </c>
      <c r="M448">
        <v>12</v>
      </c>
      <c r="N448">
        <v>12</v>
      </c>
      <c r="P448">
        <v>12</v>
      </c>
      <c r="R448">
        <v>12</v>
      </c>
      <c r="S448">
        <v>12</v>
      </c>
      <c r="T448">
        <v>12</v>
      </c>
    </row>
    <row r="449" spans="1:20" x14ac:dyDescent="0.3">
      <c r="A449" t="s">
        <v>39</v>
      </c>
      <c r="B449">
        <v>32</v>
      </c>
      <c r="D449">
        <v>210</v>
      </c>
      <c r="H449">
        <v>150</v>
      </c>
      <c r="L449">
        <v>255</v>
      </c>
      <c r="N449">
        <v>265</v>
      </c>
      <c r="R449">
        <v>230</v>
      </c>
    </row>
    <row r="450" spans="1:20" x14ac:dyDescent="0.3">
      <c r="A450" t="s">
        <v>726</v>
      </c>
      <c r="B450">
        <v>32</v>
      </c>
      <c r="D450">
        <v>25</v>
      </c>
      <c r="H450">
        <v>25</v>
      </c>
      <c r="L450">
        <v>25</v>
      </c>
      <c r="N450">
        <v>25</v>
      </c>
      <c r="R450">
        <v>25</v>
      </c>
    </row>
    <row r="451" spans="1:20" x14ac:dyDescent="0.3">
      <c r="A451" t="s">
        <v>40</v>
      </c>
      <c r="B451">
        <v>32</v>
      </c>
      <c r="D451">
        <v>1</v>
      </c>
      <c r="H451">
        <v>1</v>
      </c>
      <c r="L451">
        <v>1</v>
      </c>
      <c r="N451">
        <v>1</v>
      </c>
      <c r="R451">
        <v>1</v>
      </c>
    </row>
    <row r="452" spans="1:20" x14ac:dyDescent="0.3">
      <c r="A452" t="s">
        <v>41</v>
      </c>
      <c r="B452">
        <v>32</v>
      </c>
    </row>
    <row r="453" spans="1:20" x14ac:dyDescent="0.3">
      <c r="A453" t="s">
        <v>42</v>
      </c>
      <c r="B453">
        <v>32</v>
      </c>
      <c r="E453">
        <v>35</v>
      </c>
      <c r="I453">
        <v>30</v>
      </c>
      <c r="M453">
        <v>45</v>
      </c>
      <c r="S453">
        <v>45</v>
      </c>
    </row>
    <row r="454" spans="1:20" x14ac:dyDescent="0.3">
      <c r="A454" t="s">
        <v>45</v>
      </c>
      <c r="B454">
        <v>32</v>
      </c>
      <c r="E454">
        <v>4</v>
      </c>
      <c r="I454">
        <v>8</v>
      </c>
      <c r="L454">
        <v>1</v>
      </c>
      <c r="M454">
        <v>6</v>
      </c>
      <c r="S454">
        <v>2</v>
      </c>
    </row>
    <row r="455" spans="1:20" x14ac:dyDescent="0.3">
      <c r="A455" t="s">
        <v>46</v>
      </c>
      <c r="B455">
        <v>32</v>
      </c>
      <c r="D455">
        <v>4</v>
      </c>
      <c r="H455">
        <v>8</v>
      </c>
      <c r="L455">
        <v>6</v>
      </c>
      <c r="N455">
        <v>6</v>
      </c>
      <c r="R455">
        <v>2</v>
      </c>
    </row>
    <row r="456" spans="1:20" x14ac:dyDescent="0.3">
      <c r="A456" t="s">
        <v>49</v>
      </c>
      <c r="B456">
        <v>32</v>
      </c>
      <c r="D456">
        <v>6</v>
      </c>
      <c r="E456">
        <v>6</v>
      </c>
      <c r="F456">
        <v>4</v>
      </c>
      <c r="H456">
        <v>6</v>
      </c>
      <c r="I456">
        <v>6</v>
      </c>
      <c r="J456">
        <v>4</v>
      </c>
      <c r="L456">
        <v>4</v>
      </c>
      <c r="M456">
        <v>5.3</v>
      </c>
      <c r="N456">
        <v>5.3</v>
      </c>
      <c r="P456">
        <v>4</v>
      </c>
      <c r="R456">
        <v>5.3</v>
      </c>
      <c r="S456">
        <v>5.3</v>
      </c>
      <c r="T456">
        <v>4</v>
      </c>
    </row>
    <row r="457" spans="1:20" x14ac:dyDescent="0.3">
      <c r="A457" t="s">
        <v>727</v>
      </c>
      <c r="B457">
        <v>32</v>
      </c>
      <c r="D457">
        <v>0</v>
      </c>
      <c r="E457">
        <v>0</v>
      </c>
      <c r="F457">
        <v>0</v>
      </c>
      <c r="H457">
        <v>0</v>
      </c>
      <c r="I457">
        <v>0</v>
      </c>
      <c r="J457">
        <v>0</v>
      </c>
      <c r="L457">
        <v>0</v>
      </c>
      <c r="M457">
        <v>0</v>
      </c>
      <c r="N457">
        <v>0</v>
      </c>
      <c r="P457">
        <v>0</v>
      </c>
      <c r="R457">
        <v>0</v>
      </c>
      <c r="S457">
        <v>0</v>
      </c>
      <c r="T457">
        <v>0</v>
      </c>
    </row>
    <row r="458" spans="1:20" x14ac:dyDescent="0.3">
      <c r="A458" t="s">
        <v>48</v>
      </c>
      <c r="B458">
        <v>32</v>
      </c>
      <c r="D458">
        <v>1900</v>
      </c>
      <c r="E458">
        <v>1900</v>
      </c>
      <c r="F458">
        <v>1900</v>
      </c>
      <c r="H458">
        <v>1900</v>
      </c>
      <c r="I458">
        <v>1900</v>
      </c>
      <c r="J458">
        <v>1900</v>
      </c>
      <c r="L458">
        <v>1900</v>
      </c>
      <c r="M458">
        <v>1900</v>
      </c>
      <c r="N458">
        <v>1900</v>
      </c>
      <c r="P458">
        <v>1900</v>
      </c>
      <c r="R458">
        <v>1900</v>
      </c>
      <c r="S458">
        <v>1900</v>
      </c>
      <c r="T458">
        <v>1900</v>
      </c>
    </row>
    <row r="459" spans="1:20" x14ac:dyDescent="0.3">
      <c r="A459" t="s">
        <v>728</v>
      </c>
      <c r="B459">
        <v>32</v>
      </c>
      <c r="D459">
        <v>1770</v>
      </c>
      <c r="E459">
        <v>3369</v>
      </c>
      <c r="F459">
        <v>0</v>
      </c>
      <c r="H459">
        <v>1770</v>
      </c>
      <c r="I459">
        <v>3284</v>
      </c>
      <c r="J459">
        <v>0</v>
      </c>
      <c r="L459">
        <v>1770</v>
      </c>
      <c r="M459">
        <v>5085</v>
      </c>
      <c r="N459">
        <v>1583</v>
      </c>
      <c r="P459">
        <v>0</v>
      </c>
      <c r="R459">
        <v>1770</v>
      </c>
      <c r="S459">
        <v>5050</v>
      </c>
      <c r="T459">
        <v>0</v>
      </c>
    </row>
    <row r="460" spans="1:20" x14ac:dyDescent="0.3">
      <c r="A460" t="s">
        <v>50</v>
      </c>
      <c r="B460">
        <v>32</v>
      </c>
      <c r="D460">
        <v>1181</v>
      </c>
      <c r="E460">
        <v>3369</v>
      </c>
      <c r="F460">
        <v>0</v>
      </c>
      <c r="H460">
        <v>1226</v>
      </c>
      <c r="I460">
        <v>3284</v>
      </c>
      <c r="J460">
        <v>0</v>
      </c>
      <c r="L460">
        <v>358</v>
      </c>
      <c r="M460">
        <v>5085</v>
      </c>
      <c r="N460">
        <v>1583</v>
      </c>
      <c r="P460">
        <v>0</v>
      </c>
      <c r="R460">
        <v>445</v>
      </c>
      <c r="S460">
        <v>5050</v>
      </c>
      <c r="T460">
        <v>0</v>
      </c>
    </row>
    <row r="461" spans="1:20" x14ac:dyDescent="0.3">
      <c r="A461" t="s">
        <v>729</v>
      </c>
      <c r="B461">
        <v>32</v>
      </c>
      <c r="D461">
        <v>1</v>
      </c>
      <c r="E461">
        <v>1</v>
      </c>
      <c r="F461">
        <v>1</v>
      </c>
      <c r="H461">
        <v>1</v>
      </c>
      <c r="I461">
        <v>1</v>
      </c>
      <c r="J461">
        <v>1</v>
      </c>
      <c r="L461">
        <v>1</v>
      </c>
      <c r="M461">
        <v>1</v>
      </c>
      <c r="N461">
        <v>1</v>
      </c>
      <c r="P461">
        <v>1</v>
      </c>
      <c r="R461">
        <v>1</v>
      </c>
      <c r="S461">
        <v>1</v>
      </c>
      <c r="T461">
        <v>1</v>
      </c>
    </row>
    <row r="462" spans="1:20" x14ac:dyDescent="0.3">
      <c r="A462" t="s">
        <v>51</v>
      </c>
      <c r="B462">
        <v>32</v>
      </c>
      <c r="D462">
        <v>0</v>
      </c>
      <c r="E462">
        <v>48</v>
      </c>
      <c r="F462">
        <v>0</v>
      </c>
      <c r="H462">
        <v>0</v>
      </c>
      <c r="I462">
        <v>90</v>
      </c>
      <c r="J462">
        <v>0</v>
      </c>
      <c r="L462">
        <v>0</v>
      </c>
      <c r="M462">
        <v>0</v>
      </c>
      <c r="N462">
        <v>92</v>
      </c>
      <c r="P462">
        <v>0</v>
      </c>
      <c r="R462">
        <v>0</v>
      </c>
      <c r="S462">
        <v>11</v>
      </c>
      <c r="T462">
        <v>0</v>
      </c>
    </row>
    <row r="463" spans="1:20" x14ac:dyDescent="0.3">
      <c r="A463" t="s">
        <v>53</v>
      </c>
      <c r="B463">
        <v>32</v>
      </c>
      <c r="D463">
        <v>59</v>
      </c>
      <c r="E463">
        <v>93</v>
      </c>
      <c r="F463">
        <v>44</v>
      </c>
      <c r="H463">
        <v>70</v>
      </c>
      <c r="I463">
        <v>89</v>
      </c>
      <c r="J463">
        <v>83</v>
      </c>
      <c r="L463">
        <v>113</v>
      </c>
      <c r="M463">
        <v>1041</v>
      </c>
      <c r="N463">
        <v>85</v>
      </c>
      <c r="P463">
        <v>0</v>
      </c>
      <c r="R463">
        <v>51</v>
      </c>
      <c r="S463">
        <v>998</v>
      </c>
      <c r="T463">
        <v>52</v>
      </c>
    </row>
    <row r="464" spans="1:20" x14ac:dyDescent="0.3">
      <c r="A464" t="s">
        <v>54</v>
      </c>
      <c r="B464">
        <v>32</v>
      </c>
      <c r="D464">
        <v>0</v>
      </c>
      <c r="E464">
        <v>0</v>
      </c>
      <c r="F464">
        <v>0</v>
      </c>
      <c r="H464">
        <v>0</v>
      </c>
      <c r="I464">
        <v>0</v>
      </c>
      <c r="J464">
        <v>0</v>
      </c>
      <c r="L464">
        <v>0</v>
      </c>
      <c r="M464">
        <v>0</v>
      </c>
      <c r="N464">
        <v>0</v>
      </c>
      <c r="P464">
        <v>0</v>
      </c>
      <c r="R464">
        <v>0</v>
      </c>
      <c r="S464">
        <v>0</v>
      </c>
      <c r="T464">
        <v>0</v>
      </c>
    </row>
    <row r="465" spans="1:20" x14ac:dyDescent="0.3">
      <c r="A465" t="s">
        <v>55</v>
      </c>
      <c r="B465">
        <v>32</v>
      </c>
      <c r="D465">
        <v>0</v>
      </c>
      <c r="E465">
        <v>0</v>
      </c>
      <c r="F465">
        <v>0</v>
      </c>
      <c r="H465">
        <v>0</v>
      </c>
      <c r="I465">
        <v>0</v>
      </c>
      <c r="J465">
        <v>0</v>
      </c>
      <c r="L465">
        <v>0</v>
      </c>
      <c r="M465">
        <v>0</v>
      </c>
      <c r="N465">
        <v>0</v>
      </c>
      <c r="P465">
        <v>0</v>
      </c>
      <c r="R465">
        <v>0</v>
      </c>
      <c r="S465">
        <v>0</v>
      </c>
      <c r="T465">
        <v>0</v>
      </c>
    </row>
    <row r="466" spans="1:20" x14ac:dyDescent="0.3">
      <c r="A466" t="s">
        <v>56</v>
      </c>
      <c r="B466">
        <v>32</v>
      </c>
      <c r="D466">
        <v>0.92</v>
      </c>
      <c r="E466">
        <v>0.92</v>
      </c>
      <c r="F466">
        <v>0.92</v>
      </c>
      <c r="H466">
        <v>0.92</v>
      </c>
      <c r="I466">
        <v>0.92</v>
      </c>
      <c r="J466">
        <v>0.92</v>
      </c>
      <c r="L466">
        <v>0.92</v>
      </c>
      <c r="M466">
        <v>0.92</v>
      </c>
      <c r="N466">
        <v>0.92</v>
      </c>
      <c r="P466">
        <v>0.92</v>
      </c>
      <c r="R466">
        <v>0.92</v>
      </c>
      <c r="S466">
        <v>0.92</v>
      </c>
      <c r="T466">
        <v>0.92</v>
      </c>
    </row>
    <row r="467" spans="1:20" x14ac:dyDescent="0.3">
      <c r="A467" t="s">
        <v>57</v>
      </c>
      <c r="B467">
        <v>32</v>
      </c>
      <c r="D467">
        <v>100</v>
      </c>
      <c r="E467">
        <v>100</v>
      </c>
      <c r="F467">
        <v>100</v>
      </c>
      <c r="H467">
        <v>100</v>
      </c>
      <c r="I467">
        <v>100</v>
      </c>
      <c r="J467">
        <v>100</v>
      </c>
      <c r="L467">
        <v>100</v>
      </c>
      <c r="M467">
        <v>100</v>
      </c>
      <c r="N467">
        <v>100</v>
      </c>
      <c r="P467">
        <v>100</v>
      </c>
      <c r="R467">
        <v>100</v>
      </c>
      <c r="S467">
        <v>100</v>
      </c>
      <c r="T467">
        <v>100</v>
      </c>
    </row>
    <row r="468" spans="1:20" x14ac:dyDescent="0.3">
      <c r="A468" t="s">
        <v>58</v>
      </c>
      <c r="B468">
        <v>32</v>
      </c>
      <c r="D468">
        <v>2</v>
      </c>
      <c r="E468">
        <v>2</v>
      </c>
      <c r="F468">
        <v>2</v>
      </c>
      <c r="H468">
        <v>2</v>
      </c>
      <c r="I468">
        <v>2</v>
      </c>
      <c r="J468">
        <v>2</v>
      </c>
      <c r="L468">
        <v>2</v>
      </c>
      <c r="M468">
        <v>2</v>
      </c>
      <c r="N468">
        <v>2</v>
      </c>
      <c r="P468">
        <v>2</v>
      </c>
      <c r="R468">
        <v>2</v>
      </c>
      <c r="S468">
        <v>2</v>
      </c>
      <c r="T468">
        <v>2</v>
      </c>
    </row>
    <row r="469" spans="1:20" x14ac:dyDescent="0.3">
      <c r="A469" t="s">
        <v>59</v>
      </c>
      <c r="B469">
        <v>32</v>
      </c>
      <c r="D469">
        <v>0</v>
      </c>
      <c r="E469">
        <v>0</v>
      </c>
      <c r="F469">
        <v>0</v>
      </c>
      <c r="H469">
        <v>0</v>
      </c>
      <c r="I469">
        <v>0</v>
      </c>
      <c r="J469">
        <v>0</v>
      </c>
      <c r="L469">
        <v>0</v>
      </c>
      <c r="M469">
        <v>0</v>
      </c>
      <c r="N469">
        <v>0</v>
      </c>
      <c r="P469">
        <v>0</v>
      </c>
      <c r="R469">
        <v>0</v>
      </c>
      <c r="S469">
        <v>0</v>
      </c>
      <c r="T469">
        <v>0</v>
      </c>
    </row>
    <row r="470" spans="1:20" x14ac:dyDescent="0.3">
      <c r="A470" t="s">
        <v>730</v>
      </c>
      <c r="B470">
        <v>32</v>
      </c>
      <c r="E470">
        <v>0</v>
      </c>
      <c r="I470">
        <v>0</v>
      </c>
      <c r="M470">
        <v>0</v>
      </c>
      <c r="S470">
        <v>0</v>
      </c>
    </row>
    <row r="471" spans="1:20" x14ac:dyDescent="0.3">
      <c r="A471" t="s">
        <v>679</v>
      </c>
      <c r="B471">
        <v>32</v>
      </c>
      <c r="E471">
        <v>789</v>
      </c>
      <c r="I471">
        <v>826</v>
      </c>
      <c r="M471">
        <v>1302</v>
      </c>
      <c r="S471">
        <v>2677</v>
      </c>
    </row>
    <row r="472" spans="1:20" x14ac:dyDescent="0.3">
      <c r="A472" t="s">
        <v>78</v>
      </c>
      <c r="B472">
        <v>32</v>
      </c>
      <c r="E472">
        <v>15.4</v>
      </c>
      <c r="I472">
        <v>18.8</v>
      </c>
      <c r="M472">
        <v>19.7</v>
      </c>
      <c r="S472">
        <v>40.6</v>
      </c>
    </row>
    <row r="473" spans="1:20" x14ac:dyDescent="0.3">
      <c r="A473" t="s">
        <v>731</v>
      </c>
      <c r="B473">
        <v>32</v>
      </c>
      <c r="F473">
        <v>0</v>
      </c>
      <c r="J473">
        <v>0</v>
      </c>
      <c r="N473">
        <v>0</v>
      </c>
      <c r="T473">
        <v>0</v>
      </c>
    </row>
    <row r="474" spans="1:20" x14ac:dyDescent="0.3">
      <c r="A474" t="s">
        <v>732</v>
      </c>
      <c r="B474">
        <v>32</v>
      </c>
      <c r="D474">
        <v>0</v>
      </c>
      <c r="E474">
        <v>0</v>
      </c>
      <c r="F474">
        <v>1</v>
      </c>
      <c r="H474">
        <v>0</v>
      </c>
      <c r="I474">
        <v>0</v>
      </c>
      <c r="J474">
        <v>1</v>
      </c>
      <c r="L474">
        <v>0</v>
      </c>
      <c r="M474">
        <v>0</v>
      </c>
      <c r="N474">
        <v>1</v>
      </c>
      <c r="P474">
        <v>3</v>
      </c>
      <c r="R474">
        <v>0</v>
      </c>
      <c r="S474">
        <v>0</v>
      </c>
      <c r="T474">
        <v>1</v>
      </c>
    </row>
    <row r="475" spans="1:20" x14ac:dyDescent="0.3">
      <c r="A475" t="s">
        <v>733</v>
      </c>
      <c r="B475">
        <v>32</v>
      </c>
      <c r="D475">
        <v>0</v>
      </c>
      <c r="E475">
        <v>0</v>
      </c>
      <c r="F475">
        <v>0</v>
      </c>
      <c r="H475">
        <v>0</v>
      </c>
      <c r="I475">
        <v>0</v>
      </c>
      <c r="J475">
        <v>0</v>
      </c>
      <c r="L475">
        <v>0</v>
      </c>
      <c r="M475">
        <v>0</v>
      </c>
      <c r="N475">
        <v>0</v>
      </c>
      <c r="P475">
        <v>0</v>
      </c>
      <c r="R475">
        <v>0</v>
      </c>
      <c r="S475">
        <v>0</v>
      </c>
      <c r="T475">
        <v>0</v>
      </c>
    </row>
    <row r="476" spans="1:20" x14ac:dyDescent="0.3">
      <c r="A476" t="s">
        <v>52</v>
      </c>
      <c r="B476">
        <v>32</v>
      </c>
      <c r="D476">
        <v>1</v>
      </c>
      <c r="E476">
        <v>1</v>
      </c>
      <c r="F476">
        <v>1</v>
      </c>
      <c r="H476">
        <v>1</v>
      </c>
      <c r="I476">
        <v>1</v>
      </c>
      <c r="J476">
        <v>1</v>
      </c>
      <c r="L476">
        <v>1</v>
      </c>
      <c r="M476">
        <v>1</v>
      </c>
      <c r="N476">
        <v>1</v>
      </c>
      <c r="P476">
        <v>1</v>
      </c>
      <c r="R476">
        <v>1</v>
      </c>
      <c r="S476">
        <v>1</v>
      </c>
      <c r="T476">
        <v>1</v>
      </c>
    </row>
    <row r="477" spans="1:20" x14ac:dyDescent="0.3">
      <c r="A477" t="s">
        <v>734</v>
      </c>
      <c r="B477">
        <v>32</v>
      </c>
      <c r="D477">
        <v>15</v>
      </c>
      <c r="E477">
        <v>60</v>
      </c>
      <c r="F477">
        <v>9</v>
      </c>
      <c r="H477">
        <v>15</v>
      </c>
      <c r="I477">
        <v>60</v>
      </c>
      <c r="J477">
        <v>9</v>
      </c>
      <c r="L477">
        <v>15</v>
      </c>
      <c r="M477">
        <v>60</v>
      </c>
      <c r="N477">
        <v>9</v>
      </c>
      <c r="P477">
        <v>9</v>
      </c>
      <c r="R477">
        <v>15</v>
      </c>
      <c r="S477">
        <v>60</v>
      </c>
      <c r="T477">
        <v>9</v>
      </c>
    </row>
    <row r="478" spans="1:20" x14ac:dyDescent="0.3">
      <c r="A478" t="s">
        <v>43</v>
      </c>
      <c r="B478">
        <v>32</v>
      </c>
      <c r="D478">
        <v>20</v>
      </c>
      <c r="E478">
        <v>100</v>
      </c>
      <c r="H478">
        <v>20</v>
      </c>
      <c r="I478">
        <v>100</v>
      </c>
      <c r="L478">
        <v>20</v>
      </c>
      <c r="M478">
        <v>100</v>
      </c>
      <c r="N478">
        <v>20</v>
      </c>
      <c r="R478">
        <v>20</v>
      </c>
      <c r="S478">
        <v>100</v>
      </c>
    </row>
    <row r="479" spans="1:20" x14ac:dyDescent="0.3">
      <c r="A479" t="s">
        <v>44</v>
      </c>
      <c r="B479">
        <v>32</v>
      </c>
      <c r="D479">
        <v>0</v>
      </c>
      <c r="E479">
        <v>0</v>
      </c>
      <c r="H479">
        <v>0</v>
      </c>
      <c r="I479">
        <v>0</v>
      </c>
      <c r="L479">
        <v>0</v>
      </c>
      <c r="M479">
        <v>0</v>
      </c>
      <c r="N479">
        <v>0</v>
      </c>
      <c r="R479">
        <v>0</v>
      </c>
      <c r="S479">
        <v>0</v>
      </c>
    </row>
    <row r="480" spans="1:20" x14ac:dyDescent="0.3">
      <c r="A480" t="s">
        <v>47</v>
      </c>
      <c r="B480">
        <v>32</v>
      </c>
      <c r="D480">
        <v>4</v>
      </c>
      <c r="E480">
        <v>4</v>
      </c>
      <c r="H480">
        <v>8</v>
      </c>
      <c r="I480">
        <v>8</v>
      </c>
      <c r="L480">
        <v>1</v>
      </c>
      <c r="M480">
        <v>6</v>
      </c>
      <c r="N480">
        <v>6</v>
      </c>
      <c r="R480">
        <v>2</v>
      </c>
      <c r="S480">
        <v>2</v>
      </c>
    </row>
    <row r="481" spans="1:19" x14ac:dyDescent="0.3">
      <c r="A481" t="s">
        <v>735</v>
      </c>
      <c r="B481">
        <v>32</v>
      </c>
      <c r="D481">
        <v>0</v>
      </c>
      <c r="E481">
        <v>0</v>
      </c>
      <c r="H481">
        <v>0</v>
      </c>
      <c r="I481">
        <v>0</v>
      </c>
      <c r="L481">
        <v>0</v>
      </c>
      <c r="M481">
        <v>0</v>
      </c>
      <c r="N481">
        <v>0</v>
      </c>
      <c r="R481">
        <v>0</v>
      </c>
      <c r="S481">
        <v>0</v>
      </c>
    </row>
    <row r="482" spans="1:19" x14ac:dyDescent="0.3">
      <c r="A482" t="s">
        <v>736</v>
      </c>
      <c r="B482">
        <v>32</v>
      </c>
      <c r="D482">
        <v>0</v>
      </c>
      <c r="E482">
        <v>0</v>
      </c>
      <c r="H482">
        <v>0</v>
      </c>
      <c r="I482">
        <v>0</v>
      </c>
      <c r="L482">
        <v>0</v>
      </c>
      <c r="M482">
        <v>0</v>
      </c>
      <c r="N482">
        <v>0</v>
      </c>
      <c r="R482">
        <v>0</v>
      </c>
      <c r="S482">
        <v>0</v>
      </c>
    </row>
    <row r="483" spans="1:19" x14ac:dyDescent="0.3">
      <c r="A483" t="s">
        <v>737</v>
      </c>
      <c r="B483">
        <v>32</v>
      </c>
      <c r="D483">
        <v>0</v>
      </c>
      <c r="E483">
        <v>0</v>
      </c>
      <c r="H483">
        <v>0</v>
      </c>
      <c r="I483">
        <v>0</v>
      </c>
      <c r="L483">
        <v>0</v>
      </c>
      <c r="M483">
        <v>0</v>
      </c>
      <c r="N483">
        <v>0</v>
      </c>
      <c r="R483">
        <v>0</v>
      </c>
      <c r="S483">
        <v>0</v>
      </c>
    </row>
    <row r="484" spans="1:19" x14ac:dyDescent="0.3">
      <c r="A484" t="s">
        <v>738</v>
      </c>
      <c r="B484">
        <v>32</v>
      </c>
      <c r="D484">
        <v>0</v>
      </c>
      <c r="E484">
        <v>0</v>
      </c>
      <c r="H484">
        <v>0</v>
      </c>
      <c r="I484">
        <v>0</v>
      </c>
      <c r="L484">
        <v>0</v>
      </c>
      <c r="M484">
        <v>0</v>
      </c>
      <c r="N484">
        <v>0</v>
      </c>
      <c r="R484">
        <v>0</v>
      </c>
      <c r="S484">
        <v>0</v>
      </c>
    </row>
    <row r="485" spans="1:19" x14ac:dyDescent="0.3">
      <c r="A485" t="s">
        <v>739</v>
      </c>
      <c r="B485">
        <v>32</v>
      </c>
      <c r="D485">
        <v>1</v>
      </c>
      <c r="E485">
        <v>2</v>
      </c>
      <c r="H485">
        <v>1</v>
      </c>
      <c r="I485">
        <v>2</v>
      </c>
      <c r="L485">
        <v>1</v>
      </c>
      <c r="M485">
        <v>2</v>
      </c>
      <c r="N485">
        <v>1</v>
      </c>
      <c r="R485">
        <v>1</v>
      </c>
      <c r="S485">
        <v>2</v>
      </c>
    </row>
    <row r="486" spans="1:19" x14ac:dyDescent="0.3">
      <c r="A486" t="s">
        <v>740</v>
      </c>
      <c r="B486">
        <v>32</v>
      </c>
      <c r="D486">
        <v>0</v>
      </c>
      <c r="E486">
        <v>0</v>
      </c>
      <c r="H486">
        <v>0</v>
      </c>
      <c r="I486">
        <v>0</v>
      </c>
      <c r="L486">
        <v>0</v>
      </c>
      <c r="M486">
        <v>0</v>
      </c>
      <c r="N486">
        <v>0</v>
      </c>
      <c r="R486">
        <v>0</v>
      </c>
      <c r="S486">
        <v>0</v>
      </c>
    </row>
    <row r="487" spans="1:19" x14ac:dyDescent="0.3">
      <c r="A487" t="s">
        <v>741</v>
      </c>
      <c r="B487">
        <v>32</v>
      </c>
      <c r="D487">
        <v>20</v>
      </c>
      <c r="E487">
        <v>6</v>
      </c>
      <c r="H487">
        <v>20</v>
      </c>
      <c r="I487">
        <v>6</v>
      </c>
      <c r="L487">
        <v>20</v>
      </c>
      <c r="M487">
        <v>6</v>
      </c>
      <c r="N487">
        <v>20</v>
      </c>
      <c r="R487">
        <v>20</v>
      </c>
      <c r="S487">
        <v>6</v>
      </c>
    </row>
    <row r="488" spans="1:19" x14ac:dyDescent="0.3">
      <c r="A488" t="s">
        <v>742</v>
      </c>
      <c r="B488">
        <v>32</v>
      </c>
      <c r="D488">
        <v>3</v>
      </c>
      <c r="E488">
        <v>3</v>
      </c>
      <c r="H488">
        <v>3</v>
      </c>
      <c r="I488">
        <v>3</v>
      </c>
      <c r="L488">
        <v>3</v>
      </c>
      <c r="M488">
        <v>3</v>
      </c>
      <c r="N488">
        <v>3</v>
      </c>
      <c r="R488">
        <v>3</v>
      </c>
      <c r="S488">
        <v>3</v>
      </c>
    </row>
    <row r="489" spans="1:19" x14ac:dyDescent="0.3">
      <c r="A489" t="s">
        <v>743</v>
      </c>
      <c r="B489">
        <v>32</v>
      </c>
      <c r="D489">
        <v>0</v>
      </c>
      <c r="E489">
        <v>0</v>
      </c>
      <c r="H489">
        <v>0</v>
      </c>
      <c r="I489">
        <v>0</v>
      </c>
      <c r="L489">
        <v>0</v>
      </c>
      <c r="M489">
        <v>0</v>
      </c>
      <c r="N489">
        <v>0</v>
      </c>
      <c r="R489">
        <v>0</v>
      </c>
      <c r="S489">
        <v>0</v>
      </c>
    </row>
    <row r="490" spans="1:19" x14ac:dyDescent="0.3">
      <c r="A490" t="s">
        <v>744</v>
      </c>
      <c r="B490">
        <v>32</v>
      </c>
      <c r="D490">
        <v>0</v>
      </c>
      <c r="E490">
        <v>0</v>
      </c>
      <c r="H490">
        <v>0</v>
      </c>
      <c r="I490">
        <v>0</v>
      </c>
      <c r="L490">
        <v>0</v>
      </c>
      <c r="M490">
        <v>0</v>
      </c>
      <c r="N490">
        <v>0</v>
      </c>
      <c r="R490">
        <v>0</v>
      </c>
      <c r="S490">
        <v>0</v>
      </c>
    </row>
    <row r="491" spans="1:19" x14ac:dyDescent="0.3">
      <c r="A491" t="s">
        <v>745</v>
      </c>
      <c r="B491">
        <v>32</v>
      </c>
      <c r="D491">
        <v>0</v>
      </c>
      <c r="E491">
        <v>0</v>
      </c>
      <c r="H491">
        <v>0</v>
      </c>
      <c r="I491">
        <v>0</v>
      </c>
      <c r="L491">
        <v>0</v>
      </c>
      <c r="M491">
        <v>0</v>
      </c>
      <c r="N491">
        <v>0</v>
      </c>
      <c r="R491">
        <v>0</v>
      </c>
      <c r="S491">
        <v>0</v>
      </c>
    </row>
    <row r="492" spans="1:19" x14ac:dyDescent="0.3">
      <c r="A492" t="s">
        <v>746</v>
      </c>
      <c r="B492">
        <v>32</v>
      </c>
      <c r="E492">
        <v>94</v>
      </c>
      <c r="I492">
        <v>94</v>
      </c>
      <c r="M492">
        <v>94</v>
      </c>
      <c r="S492">
        <v>94</v>
      </c>
    </row>
    <row r="493" spans="1:19" x14ac:dyDescent="0.3">
      <c r="A493" t="s">
        <v>747</v>
      </c>
      <c r="B493">
        <v>32</v>
      </c>
      <c r="E493">
        <v>6</v>
      </c>
      <c r="I493">
        <v>6</v>
      </c>
      <c r="M493">
        <v>6</v>
      </c>
      <c r="S493">
        <v>6</v>
      </c>
    </row>
    <row r="494" spans="1:19" x14ac:dyDescent="0.3">
      <c r="A494" t="s">
        <v>748</v>
      </c>
      <c r="B494">
        <v>32</v>
      </c>
      <c r="E494">
        <v>3</v>
      </c>
      <c r="I494">
        <v>3</v>
      </c>
      <c r="M494">
        <v>3</v>
      </c>
      <c r="S494">
        <v>3</v>
      </c>
    </row>
    <row r="495" spans="1:19" x14ac:dyDescent="0.3">
      <c r="A495" t="s">
        <v>749</v>
      </c>
      <c r="B495">
        <v>32</v>
      </c>
      <c r="E495">
        <v>0</v>
      </c>
      <c r="I495">
        <v>0</v>
      </c>
      <c r="M495">
        <v>0</v>
      </c>
      <c r="S495">
        <v>0</v>
      </c>
    </row>
    <row r="496" spans="1:19" x14ac:dyDescent="0.3">
      <c r="A496" t="s">
        <v>750</v>
      </c>
      <c r="B496">
        <v>32</v>
      </c>
      <c r="E496">
        <v>0</v>
      </c>
      <c r="I496">
        <v>0</v>
      </c>
      <c r="M496">
        <v>0</v>
      </c>
      <c r="S496">
        <v>0</v>
      </c>
    </row>
    <row r="497" spans="1:20" x14ac:dyDescent="0.3">
      <c r="A497" t="s">
        <v>405</v>
      </c>
      <c r="B497">
        <v>32</v>
      </c>
      <c r="E497">
        <v>0</v>
      </c>
    </row>
    <row r="498" spans="1:20" x14ac:dyDescent="0.3">
      <c r="A498" t="s">
        <v>751</v>
      </c>
      <c r="B498">
        <v>32</v>
      </c>
      <c r="D498">
        <v>64</v>
      </c>
      <c r="E498">
        <v>149</v>
      </c>
      <c r="F498">
        <v>0</v>
      </c>
      <c r="H498">
        <v>76</v>
      </c>
      <c r="I498">
        <v>187</v>
      </c>
      <c r="J498">
        <v>0</v>
      </c>
      <c r="L498">
        <v>123</v>
      </c>
      <c r="M498">
        <v>1132</v>
      </c>
      <c r="N498">
        <v>92</v>
      </c>
      <c r="P498">
        <v>0</v>
      </c>
      <c r="R498">
        <v>55</v>
      </c>
      <c r="S498">
        <v>1142</v>
      </c>
      <c r="T498">
        <v>0</v>
      </c>
    </row>
    <row r="499" spans="1:20" x14ac:dyDescent="0.3">
      <c r="A499" t="s">
        <v>34</v>
      </c>
      <c r="B499">
        <v>35</v>
      </c>
      <c r="D499">
        <v>39</v>
      </c>
      <c r="E499">
        <v>39</v>
      </c>
      <c r="F499">
        <v>39</v>
      </c>
      <c r="H499">
        <v>40</v>
      </c>
      <c r="I499">
        <v>40</v>
      </c>
      <c r="J499">
        <v>40</v>
      </c>
      <c r="L499">
        <v>32</v>
      </c>
      <c r="M499">
        <v>32</v>
      </c>
      <c r="N499">
        <v>32</v>
      </c>
      <c r="P499">
        <v>41</v>
      </c>
      <c r="R499">
        <v>41</v>
      </c>
      <c r="S499">
        <v>41</v>
      </c>
      <c r="T499">
        <v>41</v>
      </c>
    </row>
    <row r="500" spans="1:20" x14ac:dyDescent="0.3">
      <c r="A500" t="s">
        <v>35</v>
      </c>
      <c r="B500">
        <v>35</v>
      </c>
      <c r="D500">
        <v>32</v>
      </c>
      <c r="E500">
        <v>40</v>
      </c>
      <c r="F500">
        <v>41</v>
      </c>
      <c r="H500">
        <v>41</v>
      </c>
      <c r="I500">
        <v>39</v>
      </c>
      <c r="J500">
        <v>32</v>
      </c>
      <c r="L500">
        <v>40</v>
      </c>
      <c r="M500">
        <v>41</v>
      </c>
      <c r="N500">
        <v>39</v>
      </c>
      <c r="P500">
        <v>41</v>
      </c>
      <c r="R500">
        <v>39</v>
      </c>
      <c r="S500">
        <v>32</v>
      </c>
      <c r="T500">
        <v>40</v>
      </c>
    </row>
    <row r="501" spans="1:20" x14ac:dyDescent="0.3">
      <c r="A501" t="s">
        <v>36</v>
      </c>
      <c r="B501">
        <v>35</v>
      </c>
      <c r="D501">
        <v>1</v>
      </c>
      <c r="E501">
        <v>1</v>
      </c>
      <c r="F501">
        <v>1</v>
      </c>
      <c r="H501">
        <v>1</v>
      </c>
      <c r="I501">
        <v>1</v>
      </c>
      <c r="J501">
        <v>0</v>
      </c>
      <c r="L501">
        <v>1</v>
      </c>
      <c r="M501">
        <v>3</v>
      </c>
      <c r="N501">
        <v>0</v>
      </c>
      <c r="P501">
        <v>0</v>
      </c>
      <c r="R501">
        <v>1</v>
      </c>
      <c r="S501">
        <v>3</v>
      </c>
      <c r="T501">
        <v>0</v>
      </c>
    </row>
    <row r="502" spans="1:20" x14ac:dyDescent="0.3">
      <c r="A502" t="s">
        <v>37</v>
      </c>
      <c r="B502">
        <v>35</v>
      </c>
      <c r="D502">
        <v>0</v>
      </c>
      <c r="E502">
        <v>0</v>
      </c>
      <c r="H502">
        <v>0</v>
      </c>
      <c r="I502">
        <v>2</v>
      </c>
      <c r="L502">
        <v>0</v>
      </c>
      <c r="M502">
        <v>2</v>
      </c>
      <c r="R502">
        <v>0</v>
      </c>
      <c r="S502">
        <v>2</v>
      </c>
    </row>
    <row r="503" spans="1:20" x14ac:dyDescent="0.3">
      <c r="A503" t="s">
        <v>38</v>
      </c>
      <c r="B503">
        <v>35</v>
      </c>
      <c r="D503">
        <v>12</v>
      </c>
      <c r="E503">
        <v>12</v>
      </c>
      <c r="F503">
        <v>12</v>
      </c>
      <c r="H503">
        <v>12</v>
      </c>
      <c r="I503">
        <v>12</v>
      </c>
      <c r="J503">
        <v>12</v>
      </c>
      <c r="L503">
        <v>12</v>
      </c>
      <c r="M503">
        <v>12</v>
      </c>
      <c r="N503">
        <v>12</v>
      </c>
      <c r="P503">
        <v>12</v>
      </c>
      <c r="R503">
        <v>12</v>
      </c>
      <c r="S503">
        <v>12</v>
      </c>
      <c r="T503">
        <v>12</v>
      </c>
    </row>
    <row r="504" spans="1:20" x14ac:dyDescent="0.3">
      <c r="A504" t="s">
        <v>39</v>
      </c>
      <c r="B504">
        <v>35</v>
      </c>
      <c r="D504">
        <v>155</v>
      </c>
      <c r="F504">
        <v>155</v>
      </c>
      <c r="H504">
        <v>125</v>
      </c>
      <c r="L504">
        <v>115</v>
      </c>
      <c r="R504">
        <v>150</v>
      </c>
    </row>
    <row r="505" spans="1:20" x14ac:dyDescent="0.3">
      <c r="A505" t="s">
        <v>726</v>
      </c>
      <c r="B505">
        <v>35</v>
      </c>
      <c r="D505">
        <v>25</v>
      </c>
      <c r="F505">
        <v>25</v>
      </c>
      <c r="H505">
        <v>25</v>
      </c>
      <c r="L505">
        <v>25</v>
      </c>
      <c r="R505">
        <v>25</v>
      </c>
    </row>
    <row r="506" spans="1:20" x14ac:dyDescent="0.3">
      <c r="A506" t="s">
        <v>40</v>
      </c>
      <c r="B506">
        <v>35</v>
      </c>
      <c r="D506">
        <v>1</v>
      </c>
      <c r="F506">
        <v>1</v>
      </c>
      <c r="H506">
        <v>1</v>
      </c>
      <c r="L506">
        <v>1</v>
      </c>
      <c r="R506">
        <v>1</v>
      </c>
    </row>
    <row r="507" spans="1:20" x14ac:dyDescent="0.3">
      <c r="A507" t="s">
        <v>41</v>
      </c>
      <c r="B507">
        <v>35</v>
      </c>
    </row>
    <row r="508" spans="1:20" x14ac:dyDescent="0.3">
      <c r="A508" t="s">
        <v>42</v>
      </c>
      <c r="B508">
        <v>35</v>
      </c>
      <c r="E508">
        <v>30</v>
      </c>
      <c r="I508">
        <v>25</v>
      </c>
      <c r="M508">
        <v>45</v>
      </c>
      <c r="S508">
        <v>45</v>
      </c>
    </row>
    <row r="509" spans="1:20" x14ac:dyDescent="0.3">
      <c r="A509" t="s">
        <v>45</v>
      </c>
      <c r="B509">
        <v>35</v>
      </c>
      <c r="E509">
        <v>2</v>
      </c>
      <c r="I509">
        <v>2</v>
      </c>
      <c r="M509">
        <v>1</v>
      </c>
      <c r="S509">
        <v>1</v>
      </c>
    </row>
    <row r="510" spans="1:20" x14ac:dyDescent="0.3">
      <c r="A510" t="s">
        <v>46</v>
      </c>
      <c r="B510">
        <v>35</v>
      </c>
      <c r="D510">
        <v>2</v>
      </c>
      <c r="F510">
        <v>2</v>
      </c>
      <c r="H510">
        <v>2</v>
      </c>
      <c r="L510">
        <v>1</v>
      </c>
      <c r="R510">
        <v>1</v>
      </c>
    </row>
    <row r="511" spans="1:20" x14ac:dyDescent="0.3">
      <c r="A511" t="s">
        <v>49</v>
      </c>
      <c r="B511">
        <v>35</v>
      </c>
      <c r="D511">
        <v>5.6</v>
      </c>
      <c r="E511">
        <v>5.6</v>
      </c>
      <c r="F511">
        <v>5.6</v>
      </c>
      <c r="H511">
        <v>5.6</v>
      </c>
      <c r="I511">
        <v>5.6</v>
      </c>
      <c r="J511">
        <v>4</v>
      </c>
      <c r="L511">
        <v>5.3</v>
      </c>
      <c r="M511">
        <v>5.3</v>
      </c>
      <c r="N511">
        <v>4</v>
      </c>
      <c r="P511">
        <v>4</v>
      </c>
      <c r="R511">
        <v>5.3</v>
      </c>
      <c r="S511">
        <v>5.3</v>
      </c>
      <c r="T511">
        <v>4</v>
      </c>
    </row>
    <row r="512" spans="1:20" x14ac:dyDescent="0.3">
      <c r="A512" t="s">
        <v>727</v>
      </c>
      <c r="B512">
        <v>35</v>
      </c>
      <c r="D512">
        <v>0</v>
      </c>
      <c r="E512">
        <v>0</v>
      </c>
      <c r="F512">
        <v>0</v>
      </c>
      <c r="H512">
        <v>0</v>
      </c>
      <c r="I512">
        <v>0</v>
      </c>
      <c r="J512">
        <v>0</v>
      </c>
      <c r="L512">
        <v>0</v>
      </c>
      <c r="M512">
        <v>0</v>
      </c>
      <c r="N512">
        <v>0</v>
      </c>
      <c r="P512">
        <v>0</v>
      </c>
      <c r="R512">
        <v>0</v>
      </c>
      <c r="S512">
        <v>0</v>
      </c>
      <c r="T512">
        <v>0</v>
      </c>
    </row>
    <row r="513" spans="1:20" x14ac:dyDescent="0.3">
      <c r="A513" t="s">
        <v>48</v>
      </c>
      <c r="B513">
        <v>35</v>
      </c>
      <c r="D513">
        <v>1900</v>
      </c>
      <c r="E513">
        <v>1900</v>
      </c>
      <c r="F513">
        <v>1900</v>
      </c>
      <c r="H513">
        <v>1900</v>
      </c>
      <c r="I513">
        <v>1900</v>
      </c>
      <c r="J513">
        <v>1900</v>
      </c>
      <c r="L513">
        <v>1900</v>
      </c>
      <c r="M513">
        <v>1900</v>
      </c>
      <c r="N513">
        <v>1900</v>
      </c>
      <c r="P513">
        <v>1900</v>
      </c>
      <c r="R513">
        <v>1900</v>
      </c>
      <c r="S513">
        <v>1900</v>
      </c>
      <c r="T513">
        <v>1900</v>
      </c>
    </row>
    <row r="514" spans="1:20" x14ac:dyDescent="0.3">
      <c r="A514" t="s">
        <v>728</v>
      </c>
      <c r="B514">
        <v>35</v>
      </c>
      <c r="D514">
        <v>1770</v>
      </c>
      <c r="E514">
        <v>1863</v>
      </c>
      <c r="F514">
        <v>1583</v>
      </c>
      <c r="H514">
        <v>1770</v>
      </c>
      <c r="I514">
        <v>1650</v>
      </c>
      <c r="J514">
        <v>0</v>
      </c>
      <c r="L514">
        <v>1770</v>
      </c>
      <c r="M514">
        <v>5060</v>
      </c>
      <c r="N514">
        <v>0</v>
      </c>
      <c r="P514">
        <v>0</v>
      </c>
      <c r="R514">
        <v>1770</v>
      </c>
      <c r="S514">
        <v>5060</v>
      </c>
      <c r="T514">
        <v>0</v>
      </c>
    </row>
    <row r="515" spans="1:20" x14ac:dyDescent="0.3">
      <c r="A515" t="s">
        <v>50</v>
      </c>
      <c r="B515">
        <v>35</v>
      </c>
      <c r="D515">
        <v>1364</v>
      </c>
      <c r="E515">
        <v>1863</v>
      </c>
      <c r="F515">
        <v>1583</v>
      </c>
      <c r="H515">
        <v>1397</v>
      </c>
      <c r="I515">
        <v>1650</v>
      </c>
      <c r="J515">
        <v>0</v>
      </c>
      <c r="L515">
        <v>380</v>
      </c>
      <c r="M515">
        <v>5060</v>
      </c>
      <c r="N515">
        <v>0</v>
      </c>
      <c r="P515">
        <v>0</v>
      </c>
      <c r="R515">
        <v>361</v>
      </c>
      <c r="S515">
        <v>5060</v>
      </c>
      <c r="T515">
        <v>0</v>
      </c>
    </row>
    <row r="516" spans="1:20" x14ac:dyDescent="0.3">
      <c r="A516" t="s">
        <v>729</v>
      </c>
      <c r="B516">
        <v>35</v>
      </c>
      <c r="D516">
        <v>1</v>
      </c>
      <c r="E516">
        <v>1</v>
      </c>
      <c r="F516">
        <v>1</v>
      </c>
      <c r="H516">
        <v>1</v>
      </c>
      <c r="I516">
        <v>1</v>
      </c>
      <c r="J516">
        <v>1</v>
      </c>
      <c r="L516">
        <v>1</v>
      </c>
      <c r="M516">
        <v>1</v>
      </c>
      <c r="N516">
        <v>1</v>
      </c>
      <c r="P516">
        <v>1</v>
      </c>
      <c r="R516">
        <v>1</v>
      </c>
      <c r="S516">
        <v>1</v>
      </c>
      <c r="T516">
        <v>1</v>
      </c>
    </row>
    <row r="517" spans="1:20" x14ac:dyDescent="0.3">
      <c r="A517" t="s">
        <v>51</v>
      </c>
      <c r="B517">
        <v>35</v>
      </c>
      <c r="D517">
        <v>0</v>
      </c>
      <c r="E517">
        <v>0</v>
      </c>
      <c r="F517">
        <v>43</v>
      </c>
      <c r="H517">
        <v>0</v>
      </c>
      <c r="I517">
        <v>29</v>
      </c>
      <c r="J517">
        <v>0</v>
      </c>
      <c r="L517">
        <v>0</v>
      </c>
      <c r="M517">
        <v>9</v>
      </c>
      <c r="N517">
        <v>0</v>
      </c>
      <c r="P517">
        <v>0</v>
      </c>
      <c r="R517">
        <v>0</v>
      </c>
      <c r="S517">
        <v>10</v>
      </c>
      <c r="T517">
        <v>0</v>
      </c>
    </row>
    <row r="518" spans="1:20" x14ac:dyDescent="0.3">
      <c r="A518" t="s">
        <v>53</v>
      </c>
      <c r="B518">
        <v>35</v>
      </c>
      <c r="D518">
        <v>17</v>
      </c>
      <c r="E518">
        <v>11</v>
      </c>
      <c r="F518">
        <v>40</v>
      </c>
      <c r="H518">
        <v>42</v>
      </c>
      <c r="I518">
        <v>8</v>
      </c>
      <c r="J518">
        <v>27</v>
      </c>
      <c r="L518">
        <v>31</v>
      </c>
      <c r="M518">
        <v>1107</v>
      </c>
      <c r="N518">
        <v>35</v>
      </c>
      <c r="P518">
        <v>0</v>
      </c>
      <c r="R518">
        <v>34</v>
      </c>
      <c r="S518">
        <v>1065</v>
      </c>
      <c r="T518">
        <v>39</v>
      </c>
    </row>
    <row r="519" spans="1:20" x14ac:dyDescent="0.3">
      <c r="A519" t="s">
        <v>54</v>
      </c>
      <c r="B519">
        <v>35</v>
      </c>
      <c r="D519">
        <v>0</v>
      </c>
      <c r="E519">
        <v>0</v>
      </c>
      <c r="F519">
        <v>0</v>
      </c>
      <c r="H519">
        <v>0</v>
      </c>
      <c r="I519">
        <v>0</v>
      </c>
      <c r="J519">
        <v>0</v>
      </c>
      <c r="L519">
        <v>0</v>
      </c>
      <c r="M519">
        <v>0</v>
      </c>
      <c r="N519">
        <v>0</v>
      </c>
      <c r="P519">
        <v>0</v>
      </c>
      <c r="R519">
        <v>0</v>
      </c>
      <c r="S519">
        <v>0</v>
      </c>
      <c r="T519">
        <v>0</v>
      </c>
    </row>
    <row r="520" spans="1:20" x14ac:dyDescent="0.3">
      <c r="A520" t="s">
        <v>55</v>
      </c>
      <c r="B520">
        <v>35</v>
      </c>
      <c r="D520">
        <v>0</v>
      </c>
      <c r="E520">
        <v>0</v>
      </c>
      <c r="F520">
        <v>0</v>
      </c>
      <c r="H520">
        <v>0</v>
      </c>
      <c r="I520">
        <v>0</v>
      </c>
      <c r="J520">
        <v>0</v>
      </c>
      <c r="L520">
        <v>0</v>
      </c>
      <c r="M520">
        <v>0</v>
      </c>
      <c r="N520">
        <v>0</v>
      </c>
      <c r="P520">
        <v>0</v>
      </c>
      <c r="R520">
        <v>0</v>
      </c>
      <c r="S520">
        <v>0</v>
      </c>
      <c r="T520">
        <v>0</v>
      </c>
    </row>
    <row r="521" spans="1:20" x14ac:dyDescent="0.3">
      <c r="A521" t="s">
        <v>56</v>
      </c>
      <c r="B521">
        <v>35</v>
      </c>
      <c r="D521">
        <v>0.92</v>
      </c>
      <c r="E521">
        <v>0.92</v>
      </c>
      <c r="F521">
        <v>0.92</v>
      </c>
      <c r="H521">
        <v>0.92</v>
      </c>
      <c r="I521">
        <v>0.92</v>
      </c>
      <c r="J521">
        <v>0.92</v>
      </c>
      <c r="L521">
        <v>0.92</v>
      </c>
      <c r="M521">
        <v>0.92</v>
      </c>
      <c r="N521">
        <v>0.92</v>
      </c>
      <c r="P521">
        <v>0.92</v>
      </c>
      <c r="R521">
        <v>0.92</v>
      </c>
      <c r="S521">
        <v>0.92</v>
      </c>
      <c r="T521">
        <v>0.92</v>
      </c>
    </row>
    <row r="522" spans="1:20" x14ac:dyDescent="0.3">
      <c r="A522" t="s">
        <v>57</v>
      </c>
      <c r="B522">
        <v>35</v>
      </c>
      <c r="D522">
        <v>100</v>
      </c>
      <c r="E522">
        <v>100</v>
      </c>
      <c r="F522">
        <v>100</v>
      </c>
      <c r="H522">
        <v>100</v>
      </c>
      <c r="I522">
        <v>100</v>
      </c>
      <c r="J522">
        <v>100</v>
      </c>
      <c r="L522">
        <v>100</v>
      </c>
      <c r="M522">
        <v>100</v>
      </c>
      <c r="N522">
        <v>100</v>
      </c>
      <c r="P522">
        <v>100</v>
      </c>
      <c r="R522">
        <v>100</v>
      </c>
      <c r="S522">
        <v>100</v>
      </c>
      <c r="T522">
        <v>100</v>
      </c>
    </row>
    <row r="523" spans="1:20" x14ac:dyDescent="0.3">
      <c r="A523" t="s">
        <v>58</v>
      </c>
      <c r="B523">
        <v>35</v>
      </c>
      <c r="D523">
        <v>2</v>
      </c>
      <c r="E523">
        <v>2</v>
      </c>
      <c r="F523">
        <v>2</v>
      </c>
      <c r="H523">
        <v>2</v>
      </c>
      <c r="I523">
        <v>2</v>
      </c>
      <c r="J523">
        <v>2</v>
      </c>
      <c r="L523">
        <v>2</v>
      </c>
      <c r="M523">
        <v>2</v>
      </c>
      <c r="N523">
        <v>2</v>
      </c>
      <c r="P523">
        <v>2</v>
      </c>
      <c r="R523">
        <v>2</v>
      </c>
      <c r="S523">
        <v>2</v>
      </c>
      <c r="T523">
        <v>2</v>
      </c>
    </row>
    <row r="524" spans="1:20" x14ac:dyDescent="0.3">
      <c r="A524" t="s">
        <v>59</v>
      </c>
      <c r="B524">
        <v>35</v>
      </c>
      <c r="D524">
        <v>0</v>
      </c>
      <c r="E524">
        <v>0</v>
      </c>
      <c r="F524">
        <v>0</v>
      </c>
      <c r="H524">
        <v>0</v>
      </c>
      <c r="I524">
        <v>0</v>
      </c>
      <c r="J524">
        <v>0</v>
      </c>
      <c r="L524">
        <v>0</v>
      </c>
      <c r="M524">
        <v>0</v>
      </c>
      <c r="N524">
        <v>0</v>
      </c>
      <c r="P524">
        <v>0</v>
      </c>
      <c r="R524">
        <v>0</v>
      </c>
      <c r="S524">
        <v>0</v>
      </c>
      <c r="T524">
        <v>0</v>
      </c>
    </row>
    <row r="525" spans="1:20" x14ac:dyDescent="0.3">
      <c r="A525" t="s">
        <v>730</v>
      </c>
      <c r="B525">
        <v>35</v>
      </c>
      <c r="E525">
        <v>0</v>
      </c>
      <c r="I525">
        <v>0</v>
      </c>
      <c r="M525">
        <v>0</v>
      </c>
      <c r="S525">
        <v>0</v>
      </c>
    </row>
    <row r="526" spans="1:20" x14ac:dyDescent="0.3">
      <c r="A526" t="s">
        <v>679</v>
      </c>
      <c r="B526">
        <v>35</v>
      </c>
      <c r="E526">
        <v>282</v>
      </c>
      <c r="I526">
        <v>512</v>
      </c>
      <c r="M526">
        <v>2677</v>
      </c>
      <c r="S526">
        <v>2603</v>
      </c>
    </row>
    <row r="527" spans="1:20" x14ac:dyDescent="0.3">
      <c r="A527" t="s">
        <v>78</v>
      </c>
      <c r="B527">
        <v>35</v>
      </c>
      <c r="E527">
        <v>6.4</v>
      </c>
      <c r="I527">
        <v>14</v>
      </c>
      <c r="M527">
        <v>40.6</v>
      </c>
      <c r="S527">
        <v>39.4</v>
      </c>
    </row>
    <row r="528" spans="1:20" x14ac:dyDescent="0.3">
      <c r="A528" t="s">
        <v>731</v>
      </c>
      <c r="B528">
        <v>35</v>
      </c>
      <c r="F528">
        <v>0</v>
      </c>
      <c r="J528">
        <v>0</v>
      </c>
      <c r="N528">
        <v>0</v>
      </c>
      <c r="T528">
        <v>0</v>
      </c>
    </row>
    <row r="529" spans="1:20" x14ac:dyDescent="0.3">
      <c r="A529" t="s">
        <v>732</v>
      </c>
      <c r="B529">
        <v>35</v>
      </c>
      <c r="D529">
        <v>0</v>
      </c>
      <c r="E529">
        <v>0</v>
      </c>
      <c r="F529">
        <v>1</v>
      </c>
      <c r="H529">
        <v>0</v>
      </c>
      <c r="I529">
        <v>0</v>
      </c>
      <c r="J529">
        <v>1</v>
      </c>
      <c r="L529">
        <v>0</v>
      </c>
      <c r="M529">
        <v>0</v>
      </c>
      <c r="N529">
        <v>1</v>
      </c>
      <c r="P529">
        <v>3</v>
      </c>
      <c r="R529">
        <v>0</v>
      </c>
      <c r="S529">
        <v>0</v>
      </c>
      <c r="T529">
        <v>1</v>
      </c>
    </row>
    <row r="530" spans="1:20" x14ac:dyDescent="0.3">
      <c r="A530" t="s">
        <v>733</v>
      </c>
      <c r="B530">
        <v>35</v>
      </c>
      <c r="D530">
        <v>0</v>
      </c>
      <c r="E530">
        <v>0</v>
      </c>
      <c r="F530">
        <v>0</v>
      </c>
      <c r="H530">
        <v>0</v>
      </c>
      <c r="I530">
        <v>0</v>
      </c>
      <c r="J530">
        <v>0</v>
      </c>
      <c r="L530">
        <v>0</v>
      </c>
      <c r="M530">
        <v>0</v>
      </c>
      <c r="N530">
        <v>0</v>
      </c>
      <c r="P530">
        <v>0</v>
      </c>
      <c r="R530">
        <v>0</v>
      </c>
      <c r="S530">
        <v>0</v>
      </c>
      <c r="T530">
        <v>0</v>
      </c>
    </row>
    <row r="531" spans="1:20" x14ac:dyDescent="0.3">
      <c r="A531" t="s">
        <v>52</v>
      </c>
      <c r="B531">
        <v>35</v>
      </c>
      <c r="D531">
        <v>1</v>
      </c>
      <c r="E531">
        <v>1</v>
      </c>
      <c r="F531">
        <v>1</v>
      </c>
      <c r="H531">
        <v>1</v>
      </c>
      <c r="I531">
        <v>1</v>
      </c>
      <c r="J531">
        <v>1</v>
      </c>
      <c r="L531">
        <v>1</v>
      </c>
      <c r="M531">
        <v>1</v>
      </c>
      <c r="N531">
        <v>1</v>
      </c>
      <c r="P531">
        <v>1</v>
      </c>
      <c r="R531">
        <v>1</v>
      </c>
      <c r="S531">
        <v>1</v>
      </c>
      <c r="T531">
        <v>1</v>
      </c>
    </row>
    <row r="532" spans="1:20" x14ac:dyDescent="0.3">
      <c r="A532" t="s">
        <v>734</v>
      </c>
      <c r="B532">
        <v>35</v>
      </c>
      <c r="D532">
        <v>15</v>
      </c>
      <c r="E532">
        <v>60</v>
      </c>
      <c r="F532">
        <v>9</v>
      </c>
      <c r="H532">
        <v>15</v>
      </c>
      <c r="I532">
        <v>60</v>
      </c>
      <c r="J532">
        <v>9</v>
      </c>
      <c r="L532">
        <v>15</v>
      </c>
      <c r="M532">
        <v>60</v>
      </c>
      <c r="N532">
        <v>9</v>
      </c>
      <c r="P532">
        <v>9</v>
      </c>
      <c r="R532">
        <v>15</v>
      </c>
      <c r="S532">
        <v>60</v>
      </c>
      <c r="T532">
        <v>9</v>
      </c>
    </row>
    <row r="533" spans="1:20" x14ac:dyDescent="0.3">
      <c r="A533" t="s">
        <v>43</v>
      </c>
      <c r="B533">
        <v>35</v>
      </c>
      <c r="D533">
        <v>20</v>
      </c>
      <c r="E533">
        <v>100</v>
      </c>
      <c r="F533">
        <v>20</v>
      </c>
      <c r="H533">
        <v>20</v>
      </c>
      <c r="I533">
        <v>100</v>
      </c>
      <c r="L533">
        <v>20</v>
      </c>
      <c r="M533">
        <v>100</v>
      </c>
      <c r="R533">
        <v>20</v>
      </c>
      <c r="S533">
        <v>100</v>
      </c>
    </row>
    <row r="534" spans="1:20" x14ac:dyDescent="0.3">
      <c r="A534" t="s">
        <v>44</v>
      </c>
      <c r="B534">
        <v>35</v>
      </c>
      <c r="D534">
        <v>0</v>
      </c>
      <c r="E534">
        <v>0</v>
      </c>
      <c r="F534">
        <v>0</v>
      </c>
      <c r="H534">
        <v>0</v>
      </c>
      <c r="I534">
        <v>0</v>
      </c>
      <c r="L534">
        <v>0</v>
      </c>
      <c r="M534">
        <v>0</v>
      </c>
      <c r="R534">
        <v>0</v>
      </c>
      <c r="S534">
        <v>0</v>
      </c>
    </row>
    <row r="535" spans="1:20" x14ac:dyDescent="0.3">
      <c r="A535" t="s">
        <v>47</v>
      </c>
      <c r="B535">
        <v>35</v>
      </c>
      <c r="D535">
        <v>2</v>
      </c>
      <c r="E535">
        <v>2</v>
      </c>
      <c r="F535">
        <v>2</v>
      </c>
      <c r="H535">
        <v>2</v>
      </c>
      <c r="I535">
        <v>2</v>
      </c>
      <c r="L535">
        <v>1</v>
      </c>
      <c r="M535">
        <v>1</v>
      </c>
      <c r="R535">
        <v>1</v>
      </c>
      <c r="S535">
        <v>1</v>
      </c>
    </row>
    <row r="536" spans="1:20" x14ac:dyDescent="0.3">
      <c r="A536" t="s">
        <v>735</v>
      </c>
      <c r="B536">
        <v>35</v>
      </c>
      <c r="D536">
        <v>0</v>
      </c>
      <c r="E536">
        <v>0</v>
      </c>
      <c r="F536">
        <v>0</v>
      </c>
      <c r="H536">
        <v>0</v>
      </c>
      <c r="I536">
        <v>0</v>
      </c>
      <c r="L536">
        <v>0</v>
      </c>
      <c r="M536">
        <v>0</v>
      </c>
      <c r="R536">
        <v>0</v>
      </c>
      <c r="S536">
        <v>0</v>
      </c>
    </row>
    <row r="537" spans="1:20" x14ac:dyDescent="0.3">
      <c r="A537" t="s">
        <v>736</v>
      </c>
      <c r="B537">
        <v>35</v>
      </c>
      <c r="D537">
        <v>0</v>
      </c>
      <c r="E537">
        <v>0</v>
      </c>
      <c r="F537">
        <v>0</v>
      </c>
      <c r="H537">
        <v>0</v>
      </c>
      <c r="I537">
        <v>0</v>
      </c>
      <c r="L537">
        <v>0</v>
      </c>
      <c r="M537">
        <v>0</v>
      </c>
      <c r="R537">
        <v>0</v>
      </c>
      <c r="S537">
        <v>0</v>
      </c>
    </row>
    <row r="538" spans="1:20" x14ac:dyDescent="0.3">
      <c r="A538" t="s">
        <v>737</v>
      </c>
      <c r="B538">
        <v>35</v>
      </c>
      <c r="D538">
        <v>0</v>
      </c>
      <c r="E538">
        <v>0</v>
      </c>
      <c r="F538">
        <v>0</v>
      </c>
      <c r="H538">
        <v>0</v>
      </c>
      <c r="I538">
        <v>0</v>
      </c>
      <c r="L538">
        <v>0</v>
      </c>
      <c r="M538">
        <v>0</v>
      </c>
      <c r="R538">
        <v>0</v>
      </c>
      <c r="S538">
        <v>0</v>
      </c>
    </row>
    <row r="539" spans="1:20" x14ac:dyDescent="0.3">
      <c r="A539" t="s">
        <v>738</v>
      </c>
      <c r="B539">
        <v>35</v>
      </c>
      <c r="D539">
        <v>0</v>
      </c>
      <c r="E539">
        <v>0</v>
      </c>
      <c r="F539">
        <v>0</v>
      </c>
      <c r="H539">
        <v>0</v>
      </c>
      <c r="I539">
        <v>0</v>
      </c>
      <c r="L539">
        <v>0</v>
      </c>
      <c r="M539">
        <v>0</v>
      </c>
      <c r="R539">
        <v>0</v>
      </c>
      <c r="S539">
        <v>0</v>
      </c>
    </row>
    <row r="540" spans="1:20" x14ac:dyDescent="0.3">
      <c r="A540" t="s">
        <v>739</v>
      </c>
      <c r="B540">
        <v>35</v>
      </c>
      <c r="D540">
        <v>1</v>
      </c>
      <c r="E540">
        <v>2</v>
      </c>
      <c r="F540">
        <v>1</v>
      </c>
      <c r="H540">
        <v>1</v>
      </c>
      <c r="I540">
        <v>2</v>
      </c>
      <c r="L540">
        <v>1</v>
      </c>
      <c r="M540">
        <v>2</v>
      </c>
      <c r="R540">
        <v>1</v>
      </c>
      <c r="S540">
        <v>2</v>
      </c>
    </row>
    <row r="541" spans="1:20" x14ac:dyDescent="0.3">
      <c r="A541" t="s">
        <v>740</v>
      </c>
      <c r="B541">
        <v>35</v>
      </c>
      <c r="D541">
        <v>0</v>
      </c>
      <c r="E541">
        <v>0</v>
      </c>
      <c r="F541">
        <v>0</v>
      </c>
      <c r="H541">
        <v>0</v>
      </c>
      <c r="I541">
        <v>0</v>
      </c>
      <c r="L541">
        <v>0</v>
      </c>
      <c r="M541">
        <v>0</v>
      </c>
      <c r="R541">
        <v>0</v>
      </c>
      <c r="S541">
        <v>0</v>
      </c>
    </row>
    <row r="542" spans="1:20" x14ac:dyDescent="0.3">
      <c r="A542" t="s">
        <v>741</v>
      </c>
      <c r="B542">
        <v>35</v>
      </c>
      <c r="D542">
        <v>20</v>
      </c>
      <c r="E542">
        <v>6</v>
      </c>
      <c r="F542">
        <v>20</v>
      </c>
      <c r="H542">
        <v>20</v>
      </c>
      <c r="I542">
        <v>6</v>
      </c>
      <c r="L542">
        <v>20</v>
      </c>
      <c r="M542">
        <v>6</v>
      </c>
      <c r="R542">
        <v>20</v>
      </c>
      <c r="S542">
        <v>6</v>
      </c>
    </row>
    <row r="543" spans="1:20" x14ac:dyDescent="0.3">
      <c r="A543" t="s">
        <v>742</v>
      </c>
      <c r="B543">
        <v>35</v>
      </c>
      <c r="D543">
        <v>3</v>
      </c>
      <c r="E543">
        <v>3</v>
      </c>
      <c r="F543">
        <v>3</v>
      </c>
      <c r="H543">
        <v>3</v>
      </c>
      <c r="I543">
        <v>3</v>
      </c>
      <c r="L543">
        <v>3</v>
      </c>
      <c r="M543">
        <v>3</v>
      </c>
      <c r="R543">
        <v>3</v>
      </c>
      <c r="S543">
        <v>3</v>
      </c>
    </row>
    <row r="544" spans="1:20" x14ac:dyDescent="0.3">
      <c r="A544" t="s">
        <v>743</v>
      </c>
      <c r="B544">
        <v>35</v>
      </c>
      <c r="D544">
        <v>0</v>
      </c>
      <c r="E544">
        <v>0</v>
      </c>
      <c r="F544">
        <v>0</v>
      </c>
      <c r="H544">
        <v>0</v>
      </c>
      <c r="I544">
        <v>0</v>
      </c>
      <c r="L544">
        <v>0</v>
      </c>
      <c r="M544">
        <v>0</v>
      </c>
      <c r="R544">
        <v>0</v>
      </c>
      <c r="S544">
        <v>0</v>
      </c>
    </row>
    <row r="545" spans="1:20" x14ac:dyDescent="0.3">
      <c r="A545" t="s">
        <v>744</v>
      </c>
      <c r="B545">
        <v>35</v>
      </c>
      <c r="D545">
        <v>0</v>
      </c>
      <c r="E545">
        <v>0</v>
      </c>
      <c r="F545">
        <v>0</v>
      </c>
      <c r="H545">
        <v>0</v>
      </c>
      <c r="I545">
        <v>0</v>
      </c>
      <c r="L545">
        <v>0</v>
      </c>
      <c r="M545">
        <v>0</v>
      </c>
      <c r="R545">
        <v>0</v>
      </c>
      <c r="S545">
        <v>0</v>
      </c>
    </row>
    <row r="546" spans="1:20" x14ac:dyDescent="0.3">
      <c r="A546" t="s">
        <v>745</v>
      </c>
      <c r="B546">
        <v>35</v>
      </c>
      <c r="D546">
        <v>0</v>
      </c>
      <c r="E546">
        <v>0</v>
      </c>
      <c r="F546">
        <v>0</v>
      </c>
      <c r="H546">
        <v>0</v>
      </c>
      <c r="I546">
        <v>0</v>
      </c>
      <c r="L546">
        <v>0</v>
      </c>
      <c r="M546">
        <v>0</v>
      </c>
      <c r="R546">
        <v>0</v>
      </c>
      <c r="S546">
        <v>0</v>
      </c>
    </row>
    <row r="547" spans="1:20" x14ac:dyDescent="0.3">
      <c r="A547" t="s">
        <v>746</v>
      </c>
      <c r="B547">
        <v>35</v>
      </c>
      <c r="E547">
        <v>94</v>
      </c>
      <c r="I547">
        <v>94</v>
      </c>
      <c r="M547">
        <v>94</v>
      </c>
      <c r="S547">
        <v>94</v>
      </c>
    </row>
    <row r="548" spans="1:20" x14ac:dyDescent="0.3">
      <c r="A548" t="s">
        <v>747</v>
      </c>
      <c r="B548">
        <v>35</v>
      </c>
      <c r="E548">
        <v>6</v>
      </c>
      <c r="I548">
        <v>6</v>
      </c>
      <c r="M548">
        <v>6</v>
      </c>
      <c r="S548">
        <v>6</v>
      </c>
    </row>
    <row r="549" spans="1:20" x14ac:dyDescent="0.3">
      <c r="A549" t="s">
        <v>748</v>
      </c>
      <c r="B549">
        <v>35</v>
      </c>
      <c r="E549">
        <v>3</v>
      </c>
      <c r="I549">
        <v>3</v>
      </c>
      <c r="M549">
        <v>3</v>
      </c>
      <c r="S549">
        <v>3</v>
      </c>
    </row>
    <row r="550" spans="1:20" x14ac:dyDescent="0.3">
      <c r="A550" t="s">
        <v>749</v>
      </c>
      <c r="B550">
        <v>35</v>
      </c>
      <c r="E550">
        <v>0</v>
      </c>
      <c r="I550">
        <v>0</v>
      </c>
      <c r="M550">
        <v>0</v>
      </c>
      <c r="S550">
        <v>0</v>
      </c>
    </row>
    <row r="551" spans="1:20" x14ac:dyDescent="0.3">
      <c r="A551" t="s">
        <v>750</v>
      </c>
      <c r="B551">
        <v>35</v>
      </c>
      <c r="E551">
        <v>0</v>
      </c>
      <c r="I551">
        <v>0</v>
      </c>
      <c r="M551">
        <v>0</v>
      </c>
      <c r="S551">
        <v>0</v>
      </c>
    </row>
    <row r="552" spans="1:20" x14ac:dyDescent="0.3">
      <c r="A552" t="s">
        <v>405</v>
      </c>
      <c r="B552">
        <v>35</v>
      </c>
      <c r="E552">
        <v>0</v>
      </c>
    </row>
    <row r="553" spans="1:20" x14ac:dyDescent="0.3">
      <c r="A553" t="s">
        <v>751</v>
      </c>
      <c r="B553">
        <v>35</v>
      </c>
      <c r="D553">
        <v>18</v>
      </c>
      <c r="E553">
        <v>12</v>
      </c>
      <c r="F553">
        <v>43</v>
      </c>
      <c r="H553">
        <v>46</v>
      </c>
      <c r="I553">
        <v>38</v>
      </c>
      <c r="J553">
        <v>0</v>
      </c>
      <c r="L553">
        <v>34</v>
      </c>
      <c r="M553">
        <v>1241</v>
      </c>
      <c r="N553">
        <v>0</v>
      </c>
      <c r="P553">
        <v>0</v>
      </c>
      <c r="R553">
        <v>37</v>
      </c>
      <c r="S553">
        <v>1200</v>
      </c>
      <c r="T553">
        <v>0</v>
      </c>
    </row>
    <row r="554" spans="1:20" x14ac:dyDescent="0.3">
      <c r="A554" t="s">
        <v>34</v>
      </c>
      <c r="B554">
        <v>41</v>
      </c>
      <c r="D554">
        <v>43</v>
      </c>
      <c r="E554">
        <v>43</v>
      </c>
      <c r="F554">
        <v>43</v>
      </c>
      <c r="H554">
        <v>42</v>
      </c>
      <c r="I554">
        <v>42</v>
      </c>
      <c r="J554">
        <v>42</v>
      </c>
      <c r="L554">
        <v>35</v>
      </c>
      <c r="M554">
        <v>35</v>
      </c>
      <c r="N554">
        <v>35</v>
      </c>
      <c r="P554">
        <v>44</v>
      </c>
      <c r="R554">
        <v>44</v>
      </c>
      <c r="S554">
        <v>44</v>
      </c>
      <c r="T554">
        <v>44</v>
      </c>
    </row>
    <row r="555" spans="1:20" x14ac:dyDescent="0.3">
      <c r="A555" t="s">
        <v>35</v>
      </c>
      <c r="B555">
        <v>41</v>
      </c>
      <c r="D555">
        <v>35</v>
      </c>
      <c r="E555">
        <v>42</v>
      </c>
      <c r="F555">
        <v>44</v>
      </c>
      <c r="H555">
        <v>44</v>
      </c>
      <c r="I555">
        <v>43</v>
      </c>
      <c r="J555">
        <v>35</v>
      </c>
      <c r="L555">
        <v>42</v>
      </c>
      <c r="M555">
        <v>44</v>
      </c>
      <c r="N555">
        <v>43</v>
      </c>
      <c r="P555">
        <v>44</v>
      </c>
      <c r="R555">
        <v>43</v>
      </c>
      <c r="S555">
        <v>35</v>
      </c>
      <c r="T555">
        <v>42</v>
      </c>
    </row>
    <row r="556" spans="1:20" x14ac:dyDescent="0.3">
      <c r="A556" t="s">
        <v>36</v>
      </c>
      <c r="B556">
        <v>41</v>
      </c>
      <c r="D556">
        <v>1</v>
      </c>
      <c r="E556">
        <v>3</v>
      </c>
      <c r="F556">
        <v>1</v>
      </c>
      <c r="H556">
        <v>1</v>
      </c>
      <c r="I556">
        <v>3</v>
      </c>
      <c r="J556">
        <v>0</v>
      </c>
      <c r="L556">
        <v>2</v>
      </c>
      <c r="M556">
        <v>3</v>
      </c>
      <c r="N556">
        <v>1</v>
      </c>
      <c r="P556">
        <v>0</v>
      </c>
      <c r="R556">
        <v>2</v>
      </c>
      <c r="S556">
        <v>3</v>
      </c>
      <c r="T556">
        <v>1</v>
      </c>
    </row>
    <row r="557" spans="1:20" x14ac:dyDescent="0.3">
      <c r="A557" t="s">
        <v>37</v>
      </c>
      <c r="B557">
        <v>41</v>
      </c>
      <c r="D557">
        <v>0</v>
      </c>
      <c r="E557">
        <v>0</v>
      </c>
      <c r="H557">
        <v>0</v>
      </c>
      <c r="I557">
        <v>2</v>
      </c>
      <c r="L557">
        <v>0</v>
      </c>
      <c r="M557">
        <v>0</v>
      </c>
      <c r="R557">
        <v>0</v>
      </c>
      <c r="S557">
        <v>0</v>
      </c>
    </row>
    <row r="558" spans="1:20" x14ac:dyDescent="0.3">
      <c r="A558" t="s">
        <v>38</v>
      </c>
      <c r="B558">
        <v>41</v>
      </c>
      <c r="D558">
        <v>12</v>
      </c>
      <c r="E558">
        <v>12</v>
      </c>
      <c r="F558">
        <v>12</v>
      </c>
      <c r="H558">
        <v>12</v>
      </c>
      <c r="I558">
        <v>12</v>
      </c>
      <c r="J558">
        <v>12</v>
      </c>
      <c r="L558">
        <v>12</v>
      </c>
      <c r="M558">
        <v>12</v>
      </c>
      <c r="N558">
        <v>12</v>
      </c>
      <c r="P558">
        <v>12</v>
      </c>
      <c r="R558">
        <v>12</v>
      </c>
      <c r="S558">
        <v>12</v>
      </c>
      <c r="T558">
        <v>12</v>
      </c>
    </row>
    <row r="559" spans="1:20" x14ac:dyDescent="0.3">
      <c r="A559" t="s">
        <v>39</v>
      </c>
      <c r="B559">
        <v>41</v>
      </c>
      <c r="D559">
        <v>255</v>
      </c>
      <c r="F559">
        <v>250</v>
      </c>
      <c r="H559">
        <v>200</v>
      </c>
      <c r="L559">
        <v>221</v>
      </c>
      <c r="N559">
        <v>256</v>
      </c>
      <c r="R559">
        <v>200</v>
      </c>
      <c r="T559">
        <v>250</v>
      </c>
    </row>
    <row r="560" spans="1:20" x14ac:dyDescent="0.3">
      <c r="A560" t="s">
        <v>726</v>
      </c>
      <c r="B560">
        <v>41</v>
      </c>
      <c r="D560">
        <v>25</v>
      </c>
      <c r="F560">
        <v>25</v>
      </c>
      <c r="H560">
        <v>25</v>
      </c>
      <c r="L560">
        <v>25</v>
      </c>
      <c r="N560">
        <v>25</v>
      </c>
      <c r="R560">
        <v>25</v>
      </c>
      <c r="T560">
        <v>25</v>
      </c>
    </row>
    <row r="561" spans="1:20" x14ac:dyDescent="0.3">
      <c r="A561" t="s">
        <v>40</v>
      </c>
      <c r="B561">
        <v>41</v>
      </c>
      <c r="D561">
        <v>1</v>
      </c>
      <c r="F561">
        <v>1</v>
      </c>
      <c r="H561">
        <v>1</v>
      </c>
      <c r="L561">
        <v>2</v>
      </c>
      <c r="N561">
        <v>1</v>
      </c>
      <c r="R561">
        <v>2</v>
      </c>
      <c r="T561">
        <v>1</v>
      </c>
    </row>
    <row r="562" spans="1:20" x14ac:dyDescent="0.3">
      <c r="A562" t="s">
        <v>41</v>
      </c>
      <c r="B562">
        <v>41</v>
      </c>
    </row>
    <row r="563" spans="1:20" x14ac:dyDescent="0.3">
      <c r="A563" t="s">
        <v>42</v>
      </c>
      <c r="B563">
        <v>41</v>
      </c>
      <c r="E563">
        <v>45</v>
      </c>
      <c r="I563">
        <v>45</v>
      </c>
      <c r="M563">
        <v>40</v>
      </c>
      <c r="S563">
        <v>40</v>
      </c>
    </row>
    <row r="564" spans="1:20" x14ac:dyDescent="0.3">
      <c r="A564" t="s">
        <v>45</v>
      </c>
      <c r="B564">
        <v>41</v>
      </c>
      <c r="D564">
        <v>7</v>
      </c>
      <c r="E564">
        <v>4</v>
      </c>
      <c r="H564">
        <v>3</v>
      </c>
      <c r="I564">
        <v>8</v>
      </c>
      <c r="L564">
        <v>1</v>
      </c>
      <c r="M564">
        <v>6</v>
      </c>
      <c r="R564">
        <v>5</v>
      </c>
      <c r="S564">
        <v>2</v>
      </c>
    </row>
    <row r="565" spans="1:20" x14ac:dyDescent="0.3">
      <c r="A565" t="s">
        <v>46</v>
      </c>
      <c r="B565">
        <v>41</v>
      </c>
      <c r="D565">
        <v>4</v>
      </c>
      <c r="F565">
        <v>4</v>
      </c>
      <c r="H565">
        <v>8</v>
      </c>
      <c r="L565">
        <v>6</v>
      </c>
      <c r="N565">
        <v>6</v>
      </c>
      <c r="R565">
        <v>2</v>
      </c>
      <c r="T565">
        <v>2</v>
      </c>
    </row>
    <row r="566" spans="1:20" x14ac:dyDescent="0.3">
      <c r="A566" t="s">
        <v>49</v>
      </c>
      <c r="B566">
        <v>41</v>
      </c>
      <c r="D566">
        <v>4</v>
      </c>
      <c r="E566">
        <v>6.1</v>
      </c>
      <c r="F566">
        <v>6.1</v>
      </c>
      <c r="H566">
        <v>4</v>
      </c>
      <c r="I566">
        <v>6.1</v>
      </c>
      <c r="J566">
        <v>4</v>
      </c>
      <c r="L566">
        <v>4</v>
      </c>
      <c r="M566">
        <v>5.8</v>
      </c>
      <c r="N566">
        <v>5.8</v>
      </c>
      <c r="P566">
        <v>4</v>
      </c>
      <c r="R566">
        <v>4</v>
      </c>
      <c r="S566">
        <v>5.8</v>
      </c>
      <c r="T566">
        <v>5.8</v>
      </c>
    </row>
    <row r="567" spans="1:20" x14ac:dyDescent="0.3">
      <c r="A567" t="s">
        <v>727</v>
      </c>
      <c r="B567">
        <v>41</v>
      </c>
      <c r="D567">
        <v>0</v>
      </c>
      <c r="E567">
        <v>0</v>
      </c>
      <c r="F567">
        <v>0</v>
      </c>
      <c r="H567">
        <v>0</v>
      </c>
      <c r="I567">
        <v>0</v>
      </c>
      <c r="J567">
        <v>0</v>
      </c>
      <c r="L567">
        <v>0</v>
      </c>
      <c r="M567">
        <v>0</v>
      </c>
      <c r="N567">
        <v>0</v>
      </c>
      <c r="P567">
        <v>0</v>
      </c>
      <c r="R567">
        <v>0</v>
      </c>
      <c r="S567">
        <v>0</v>
      </c>
      <c r="T567">
        <v>0</v>
      </c>
    </row>
    <row r="568" spans="1:20" x14ac:dyDescent="0.3">
      <c r="A568" t="s">
        <v>48</v>
      </c>
      <c r="B568">
        <v>41</v>
      </c>
      <c r="D568">
        <v>1900</v>
      </c>
      <c r="E568">
        <v>1900</v>
      </c>
      <c r="F568">
        <v>1900</v>
      </c>
      <c r="H568">
        <v>1900</v>
      </c>
      <c r="I568">
        <v>1900</v>
      </c>
      <c r="J568">
        <v>1900</v>
      </c>
      <c r="L568">
        <v>1900</v>
      </c>
      <c r="M568">
        <v>1900</v>
      </c>
      <c r="N568">
        <v>1900</v>
      </c>
      <c r="P568">
        <v>1900</v>
      </c>
      <c r="R568">
        <v>1900</v>
      </c>
      <c r="S568">
        <v>1900</v>
      </c>
      <c r="T568">
        <v>1900</v>
      </c>
    </row>
    <row r="569" spans="1:20" x14ac:dyDescent="0.3">
      <c r="A569" t="s">
        <v>728</v>
      </c>
      <c r="B569">
        <v>41</v>
      </c>
      <c r="D569">
        <v>1770</v>
      </c>
      <c r="E569">
        <v>5085</v>
      </c>
      <c r="F569">
        <v>1583</v>
      </c>
      <c r="H569">
        <v>1770</v>
      </c>
      <c r="I569">
        <v>4877</v>
      </c>
      <c r="J569">
        <v>0</v>
      </c>
      <c r="L569">
        <v>3433</v>
      </c>
      <c r="M569">
        <v>5085</v>
      </c>
      <c r="N569">
        <v>1583</v>
      </c>
      <c r="P569">
        <v>0</v>
      </c>
      <c r="R569">
        <v>3433</v>
      </c>
      <c r="S569">
        <v>5085</v>
      </c>
      <c r="T569">
        <v>1583</v>
      </c>
    </row>
    <row r="570" spans="1:20" x14ac:dyDescent="0.3">
      <c r="A570" t="s">
        <v>50</v>
      </c>
      <c r="B570">
        <v>41</v>
      </c>
      <c r="D570">
        <v>626</v>
      </c>
      <c r="E570">
        <v>5085</v>
      </c>
      <c r="F570">
        <v>1583</v>
      </c>
      <c r="H570">
        <v>704</v>
      </c>
      <c r="I570">
        <v>4877</v>
      </c>
      <c r="J570">
        <v>0</v>
      </c>
      <c r="L570">
        <v>838</v>
      </c>
      <c r="M570">
        <v>5085</v>
      </c>
      <c r="N570">
        <v>1583</v>
      </c>
      <c r="P570">
        <v>0</v>
      </c>
      <c r="R570">
        <v>947</v>
      </c>
      <c r="S570">
        <v>5085</v>
      </c>
      <c r="T570">
        <v>1583</v>
      </c>
    </row>
    <row r="571" spans="1:20" x14ac:dyDescent="0.3">
      <c r="A571" t="s">
        <v>729</v>
      </c>
      <c r="B571">
        <v>41</v>
      </c>
      <c r="D571">
        <v>1</v>
      </c>
      <c r="E571">
        <v>1</v>
      </c>
      <c r="F571">
        <v>1</v>
      </c>
      <c r="H571">
        <v>1</v>
      </c>
      <c r="I571">
        <v>1</v>
      </c>
      <c r="J571">
        <v>1</v>
      </c>
      <c r="L571">
        <v>1</v>
      </c>
      <c r="M571">
        <v>1</v>
      </c>
      <c r="N571">
        <v>1</v>
      </c>
      <c r="P571">
        <v>1</v>
      </c>
      <c r="R571">
        <v>1</v>
      </c>
      <c r="S571">
        <v>1</v>
      </c>
      <c r="T571">
        <v>1</v>
      </c>
    </row>
    <row r="572" spans="1:20" x14ac:dyDescent="0.3">
      <c r="A572" t="s">
        <v>51</v>
      </c>
      <c r="B572">
        <v>41</v>
      </c>
      <c r="D572">
        <v>0</v>
      </c>
      <c r="E572">
        <v>0</v>
      </c>
      <c r="F572">
        <v>183</v>
      </c>
      <c r="H572">
        <v>0</v>
      </c>
      <c r="I572">
        <v>79</v>
      </c>
      <c r="J572">
        <v>0</v>
      </c>
      <c r="L572">
        <v>0</v>
      </c>
      <c r="M572">
        <v>0</v>
      </c>
      <c r="N572">
        <v>157</v>
      </c>
      <c r="P572">
        <v>0</v>
      </c>
      <c r="R572">
        <v>0</v>
      </c>
      <c r="S572">
        <v>0</v>
      </c>
      <c r="T572">
        <v>225</v>
      </c>
    </row>
    <row r="573" spans="1:20" x14ac:dyDescent="0.3">
      <c r="A573" t="s">
        <v>53</v>
      </c>
      <c r="B573">
        <v>41</v>
      </c>
      <c r="D573">
        <v>164</v>
      </c>
      <c r="E573">
        <v>427</v>
      </c>
      <c r="F573">
        <v>185</v>
      </c>
      <c r="H573">
        <v>250</v>
      </c>
      <c r="I573">
        <v>458</v>
      </c>
      <c r="J573">
        <v>170</v>
      </c>
      <c r="L573">
        <v>219</v>
      </c>
      <c r="M573">
        <v>786</v>
      </c>
      <c r="N573">
        <v>144</v>
      </c>
      <c r="P573">
        <v>0</v>
      </c>
      <c r="R573">
        <v>170</v>
      </c>
      <c r="S573">
        <v>853</v>
      </c>
      <c r="T573">
        <v>207</v>
      </c>
    </row>
    <row r="574" spans="1:20" x14ac:dyDescent="0.3">
      <c r="A574" t="s">
        <v>54</v>
      </c>
      <c r="B574">
        <v>41</v>
      </c>
      <c r="D574">
        <v>0</v>
      </c>
      <c r="E574">
        <v>0</v>
      </c>
      <c r="F574">
        <v>0</v>
      </c>
      <c r="H574">
        <v>0</v>
      </c>
      <c r="I574">
        <v>0</v>
      </c>
      <c r="J574">
        <v>0</v>
      </c>
      <c r="L574">
        <v>0</v>
      </c>
      <c r="M574">
        <v>0</v>
      </c>
      <c r="N574">
        <v>0</v>
      </c>
      <c r="P574">
        <v>0</v>
      </c>
      <c r="R574">
        <v>0</v>
      </c>
      <c r="S574">
        <v>0</v>
      </c>
      <c r="T574">
        <v>0</v>
      </c>
    </row>
    <row r="575" spans="1:20" x14ac:dyDescent="0.3">
      <c r="A575" t="s">
        <v>55</v>
      </c>
      <c r="B575">
        <v>41</v>
      </c>
      <c r="D575">
        <v>0</v>
      </c>
      <c r="E575">
        <v>0</v>
      </c>
      <c r="F575">
        <v>0</v>
      </c>
      <c r="H575">
        <v>0</v>
      </c>
      <c r="I575">
        <v>0</v>
      </c>
      <c r="J575">
        <v>0</v>
      </c>
      <c r="L575">
        <v>0</v>
      </c>
      <c r="M575">
        <v>0</v>
      </c>
      <c r="N575">
        <v>0</v>
      </c>
      <c r="P575">
        <v>0</v>
      </c>
      <c r="R575">
        <v>0</v>
      </c>
      <c r="S575">
        <v>0</v>
      </c>
      <c r="T575">
        <v>0</v>
      </c>
    </row>
    <row r="576" spans="1:20" x14ac:dyDescent="0.3">
      <c r="A576" t="s">
        <v>56</v>
      </c>
      <c r="B576">
        <v>41</v>
      </c>
      <c r="D576">
        <v>0.92</v>
      </c>
      <c r="E576">
        <v>0.92</v>
      </c>
      <c r="F576">
        <v>0.92</v>
      </c>
      <c r="H576">
        <v>0.92</v>
      </c>
      <c r="I576">
        <v>0.92</v>
      </c>
      <c r="J576">
        <v>0.92</v>
      </c>
      <c r="L576">
        <v>0.92</v>
      </c>
      <c r="M576">
        <v>0.92</v>
      </c>
      <c r="N576">
        <v>0.92</v>
      </c>
      <c r="P576">
        <v>0.92</v>
      </c>
      <c r="R576">
        <v>0.92</v>
      </c>
      <c r="S576">
        <v>0.92</v>
      </c>
      <c r="T576">
        <v>0.92</v>
      </c>
    </row>
    <row r="577" spans="1:20" x14ac:dyDescent="0.3">
      <c r="A577" t="s">
        <v>57</v>
      </c>
      <c r="B577">
        <v>41</v>
      </c>
      <c r="D577">
        <v>100</v>
      </c>
      <c r="E577">
        <v>100</v>
      </c>
      <c r="F577">
        <v>100</v>
      </c>
      <c r="H577">
        <v>100</v>
      </c>
      <c r="I577">
        <v>100</v>
      </c>
      <c r="J577">
        <v>100</v>
      </c>
      <c r="L577">
        <v>100</v>
      </c>
      <c r="M577">
        <v>100</v>
      </c>
      <c r="N577">
        <v>100</v>
      </c>
      <c r="P577">
        <v>100</v>
      </c>
      <c r="R577">
        <v>100</v>
      </c>
      <c r="S577">
        <v>100</v>
      </c>
      <c r="T577">
        <v>100</v>
      </c>
    </row>
    <row r="578" spans="1:20" x14ac:dyDescent="0.3">
      <c r="A578" t="s">
        <v>58</v>
      </c>
      <c r="B578">
        <v>41</v>
      </c>
      <c r="D578">
        <v>2</v>
      </c>
      <c r="E578">
        <v>2</v>
      </c>
      <c r="F578">
        <v>2</v>
      </c>
      <c r="H578">
        <v>2</v>
      </c>
      <c r="I578">
        <v>2</v>
      </c>
      <c r="J578">
        <v>2</v>
      </c>
      <c r="L578">
        <v>2</v>
      </c>
      <c r="M578">
        <v>2</v>
      </c>
      <c r="N578">
        <v>2</v>
      </c>
      <c r="P578">
        <v>2</v>
      </c>
      <c r="R578">
        <v>2</v>
      </c>
      <c r="S578">
        <v>2</v>
      </c>
      <c r="T578">
        <v>2</v>
      </c>
    </row>
    <row r="579" spans="1:20" x14ac:dyDescent="0.3">
      <c r="A579" t="s">
        <v>59</v>
      </c>
      <c r="B579">
        <v>41</v>
      </c>
      <c r="D579">
        <v>0</v>
      </c>
      <c r="E579">
        <v>0</v>
      </c>
      <c r="F579">
        <v>0</v>
      </c>
      <c r="H579">
        <v>0</v>
      </c>
      <c r="I579">
        <v>0</v>
      </c>
      <c r="J579">
        <v>0</v>
      </c>
      <c r="L579">
        <v>0</v>
      </c>
      <c r="M579">
        <v>0</v>
      </c>
      <c r="N579">
        <v>0</v>
      </c>
      <c r="P579">
        <v>0</v>
      </c>
      <c r="R579">
        <v>0</v>
      </c>
      <c r="S579">
        <v>0</v>
      </c>
      <c r="T579">
        <v>0</v>
      </c>
    </row>
    <row r="580" spans="1:20" x14ac:dyDescent="0.3">
      <c r="A580" t="s">
        <v>730</v>
      </c>
      <c r="B580">
        <v>41</v>
      </c>
      <c r="E580">
        <v>0</v>
      </c>
      <c r="I580">
        <v>0</v>
      </c>
      <c r="M580">
        <v>0</v>
      </c>
      <c r="S580">
        <v>0</v>
      </c>
    </row>
    <row r="581" spans="1:20" x14ac:dyDescent="0.3">
      <c r="A581" t="s">
        <v>679</v>
      </c>
      <c r="B581">
        <v>41</v>
      </c>
      <c r="E581">
        <v>1229</v>
      </c>
      <c r="I581">
        <v>1230</v>
      </c>
      <c r="M581">
        <v>2603</v>
      </c>
      <c r="S581">
        <v>2630</v>
      </c>
    </row>
    <row r="582" spans="1:20" x14ac:dyDescent="0.3">
      <c r="A582" t="s">
        <v>78</v>
      </c>
      <c r="B582">
        <v>41</v>
      </c>
      <c r="E582">
        <v>18.600000000000001</v>
      </c>
      <c r="I582">
        <v>18.600000000000001</v>
      </c>
      <c r="M582">
        <v>44.4</v>
      </c>
      <c r="S582">
        <v>44.8</v>
      </c>
    </row>
    <row r="583" spans="1:20" x14ac:dyDescent="0.3">
      <c r="A583" t="s">
        <v>731</v>
      </c>
      <c r="B583">
        <v>41</v>
      </c>
      <c r="F583">
        <v>0</v>
      </c>
      <c r="J583">
        <v>0</v>
      </c>
      <c r="N583">
        <v>0</v>
      </c>
      <c r="T583">
        <v>0</v>
      </c>
    </row>
    <row r="584" spans="1:20" x14ac:dyDescent="0.3">
      <c r="A584" t="s">
        <v>732</v>
      </c>
      <c r="B584">
        <v>41</v>
      </c>
      <c r="D584">
        <v>0</v>
      </c>
      <c r="E584">
        <v>0</v>
      </c>
      <c r="F584">
        <v>1</v>
      </c>
      <c r="H584">
        <v>0</v>
      </c>
      <c r="I584">
        <v>0</v>
      </c>
      <c r="J584">
        <v>1</v>
      </c>
      <c r="L584">
        <v>0</v>
      </c>
      <c r="M584">
        <v>0</v>
      </c>
      <c r="N584">
        <v>1</v>
      </c>
      <c r="P584">
        <v>3</v>
      </c>
      <c r="R584">
        <v>0</v>
      </c>
      <c r="S584">
        <v>0</v>
      </c>
      <c r="T584">
        <v>1</v>
      </c>
    </row>
    <row r="585" spans="1:20" x14ac:dyDescent="0.3">
      <c r="A585" t="s">
        <v>733</v>
      </c>
      <c r="B585">
        <v>41</v>
      </c>
      <c r="D585">
        <v>0</v>
      </c>
      <c r="E585">
        <v>0</v>
      </c>
      <c r="F585">
        <v>0</v>
      </c>
      <c r="H585">
        <v>0</v>
      </c>
      <c r="I585">
        <v>0</v>
      </c>
      <c r="J585">
        <v>0</v>
      </c>
      <c r="L585">
        <v>0</v>
      </c>
      <c r="M585">
        <v>0</v>
      </c>
      <c r="N585">
        <v>0</v>
      </c>
      <c r="P585">
        <v>0</v>
      </c>
      <c r="R585">
        <v>0</v>
      </c>
      <c r="S585">
        <v>0</v>
      </c>
      <c r="T585">
        <v>0</v>
      </c>
    </row>
    <row r="586" spans="1:20" x14ac:dyDescent="0.3">
      <c r="A586" t="s">
        <v>52</v>
      </c>
      <c r="B586">
        <v>41</v>
      </c>
      <c r="D586">
        <v>1</v>
      </c>
      <c r="E586">
        <v>1</v>
      </c>
      <c r="F586">
        <v>1</v>
      </c>
      <c r="H586">
        <v>1</v>
      </c>
      <c r="I586">
        <v>1</v>
      </c>
      <c r="J586">
        <v>1</v>
      </c>
      <c r="L586">
        <v>1</v>
      </c>
      <c r="M586">
        <v>1</v>
      </c>
      <c r="N586">
        <v>1</v>
      </c>
      <c r="P586">
        <v>1</v>
      </c>
      <c r="R586">
        <v>1</v>
      </c>
      <c r="S586">
        <v>1</v>
      </c>
      <c r="T586">
        <v>1</v>
      </c>
    </row>
    <row r="587" spans="1:20" x14ac:dyDescent="0.3">
      <c r="A587" t="s">
        <v>734</v>
      </c>
      <c r="B587">
        <v>41</v>
      </c>
      <c r="D587">
        <v>15</v>
      </c>
      <c r="E587">
        <v>60</v>
      </c>
      <c r="F587">
        <v>9</v>
      </c>
      <c r="H587">
        <v>15</v>
      </c>
      <c r="I587">
        <v>60</v>
      </c>
      <c r="J587">
        <v>9</v>
      </c>
      <c r="L587">
        <v>15</v>
      </c>
      <c r="M587">
        <v>60</v>
      </c>
      <c r="N587">
        <v>9</v>
      </c>
      <c r="P587">
        <v>9</v>
      </c>
      <c r="R587">
        <v>15</v>
      </c>
      <c r="S587">
        <v>60</v>
      </c>
      <c r="T587">
        <v>9</v>
      </c>
    </row>
    <row r="588" spans="1:20" x14ac:dyDescent="0.3">
      <c r="A588" t="s">
        <v>43</v>
      </c>
      <c r="B588">
        <v>41</v>
      </c>
      <c r="D588">
        <v>20</v>
      </c>
      <c r="E588">
        <v>100</v>
      </c>
      <c r="F588">
        <v>20</v>
      </c>
      <c r="H588">
        <v>20</v>
      </c>
      <c r="I588">
        <v>100</v>
      </c>
      <c r="L588">
        <v>20</v>
      </c>
      <c r="M588">
        <v>100</v>
      </c>
      <c r="N588">
        <v>20</v>
      </c>
      <c r="R588">
        <v>20</v>
      </c>
      <c r="S588">
        <v>100</v>
      </c>
      <c r="T588">
        <v>20</v>
      </c>
    </row>
    <row r="589" spans="1:20" x14ac:dyDescent="0.3">
      <c r="A589" t="s">
        <v>44</v>
      </c>
      <c r="B589">
        <v>41</v>
      </c>
      <c r="D589">
        <v>0</v>
      </c>
      <c r="E589">
        <v>0</v>
      </c>
      <c r="F589">
        <v>0</v>
      </c>
      <c r="H589">
        <v>0</v>
      </c>
      <c r="I589">
        <v>0</v>
      </c>
      <c r="L589">
        <v>0</v>
      </c>
      <c r="M589">
        <v>0</v>
      </c>
      <c r="N589">
        <v>0</v>
      </c>
      <c r="R589">
        <v>0</v>
      </c>
      <c r="S589">
        <v>0</v>
      </c>
      <c r="T589">
        <v>0</v>
      </c>
    </row>
    <row r="590" spans="1:20" x14ac:dyDescent="0.3">
      <c r="A590" t="s">
        <v>47</v>
      </c>
      <c r="B590">
        <v>41</v>
      </c>
      <c r="D590">
        <v>7</v>
      </c>
      <c r="E590">
        <v>4</v>
      </c>
      <c r="F590">
        <v>4</v>
      </c>
      <c r="H590">
        <v>3</v>
      </c>
      <c r="I590">
        <v>8</v>
      </c>
      <c r="L590">
        <v>1</v>
      </c>
      <c r="M590">
        <v>6</v>
      </c>
      <c r="N590">
        <v>6</v>
      </c>
      <c r="R590">
        <v>5</v>
      </c>
      <c r="S590">
        <v>2</v>
      </c>
      <c r="T590">
        <v>2</v>
      </c>
    </row>
    <row r="591" spans="1:20" x14ac:dyDescent="0.3">
      <c r="A591" t="s">
        <v>735</v>
      </c>
      <c r="B591">
        <v>41</v>
      </c>
      <c r="D591">
        <v>0</v>
      </c>
      <c r="E591">
        <v>0</v>
      </c>
      <c r="F591">
        <v>0</v>
      </c>
      <c r="H591">
        <v>0</v>
      </c>
      <c r="I591">
        <v>0</v>
      </c>
      <c r="L591">
        <v>0</v>
      </c>
      <c r="M591">
        <v>0</v>
      </c>
      <c r="N591">
        <v>0</v>
      </c>
      <c r="R591">
        <v>0</v>
      </c>
      <c r="S591">
        <v>0</v>
      </c>
      <c r="T591">
        <v>0</v>
      </c>
    </row>
    <row r="592" spans="1:20" x14ac:dyDescent="0.3">
      <c r="A592" t="s">
        <v>736</v>
      </c>
      <c r="B592">
        <v>41</v>
      </c>
      <c r="D592">
        <v>0</v>
      </c>
      <c r="E592">
        <v>0</v>
      </c>
      <c r="F592">
        <v>0</v>
      </c>
      <c r="H592">
        <v>0</v>
      </c>
      <c r="I592">
        <v>0</v>
      </c>
      <c r="L592">
        <v>0</v>
      </c>
      <c r="M592">
        <v>0</v>
      </c>
      <c r="N592">
        <v>0</v>
      </c>
      <c r="R592">
        <v>0</v>
      </c>
      <c r="S592">
        <v>0</v>
      </c>
      <c r="T592">
        <v>0</v>
      </c>
    </row>
    <row r="593" spans="1:20" x14ac:dyDescent="0.3">
      <c r="A593" t="s">
        <v>737</v>
      </c>
      <c r="B593">
        <v>41</v>
      </c>
      <c r="D593">
        <v>0</v>
      </c>
      <c r="E593">
        <v>0</v>
      </c>
      <c r="F593">
        <v>0</v>
      </c>
      <c r="H593">
        <v>0</v>
      </c>
      <c r="I593">
        <v>0</v>
      </c>
      <c r="L593">
        <v>0</v>
      </c>
      <c r="M593">
        <v>0</v>
      </c>
      <c r="N593">
        <v>0</v>
      </c>
      <c r="R593">
        <v>0</v>
      </c>
      <c r="S593">
        <v>0</v>
      </c>
      <c r="T593">
        <v>0</v>
      </c>
    </row>
    <row r="594" spans="1:20" x14ac:dyDescent="0.3">
      <c r="A594" t="s">
        <v>738</v>
      </c>
      <c r="B594">
        <v>41</v>
      </c>
      <c r="D594">
        <v>0</v>
      </c>
      <c r="E594">
        <v>0</v>
      </c>
      <c r="F594">
        <v>0</v>
      </c>
      <c r="H594">
        <v>0</v>
      </c>
      <c r="I594">
        <v>0</v>
      </c>
      <c r="L594">
        <v>0</v>
      </c>
      <c r="M594">
        <v>0</v>
      </c>
      <c r="N594">
        <v>0</v>
      </c>
      <c r="R594">
        <v>0</v>
      </c>
      <c r="S594">
        <v>0</v>
      </c>
      <c r="T594">
        <v>0</v>
      </c>
    </row>
    <row r="595" spans="1:20" x14ac:dyDescent="0.3">
      <c r="A595" t="s">
        <v>739</v>
      </c>
      <c r="B595">
        <v>41</v>
      </c>
      <c r="D595">
        <v>1</v>
      </c>
      <c r="E595">
        <v>2</v>
      </c>
      <c r="F595">
        <v>1</v>
      </c>
      <c r="H595">
        <v>1</v>
      </c>
      <c r="I595">
        <v>2</v>
      </c>
      <c r="L595">
        <v>1</v>
      </c>
      <c r="M595">
        <v>2</v>
      </c>
      <c r="N595">
        <v>1</v>
      </c>
      <c r="R595">
        <v>1</v>
      </c>
      <c r="S595">
        <v>2</v>
      </c>
      <c r="T595">
        <v>1</v>
      </c>
    </row>
    <row r="596" spans="1:20" x14ac:dyDescent="0.3">
      <c r="A596" t="s">
        <v>740</v>
      </c>
      <c r="B596">
        <v>41</v>
      </c>
      <c r="D596">
        <v>0</v>
      </c>
      <c r="E596">
        <v>0</v>
      </c>
      <c r="F596">
        <v>0</v>
      </c>
      <c r="H596">
        <v>0</v>
      </c>
      <c r="I596">
        <v>0</v>
      </c>
      <c r="L596">
        <v>0</v>
      </c>
      <c r="M596">
        <v>0</v>
      </c>
      <c r="N596">
        <v>0</v>
      </c>
      <c r="R596">
        <v>0</v>
      </c>
      <c r="S596">
        <v>0</v>
      </c>
      <c r="T596">
        <v>0</v>
      </c>
    </row>
    <row r="597" spans="1:20" x14ac:dyDescent="0.3">
      <c r="A597" t="s">
        <v>741</v>
      </c>
      <c r="B597">
        <v>41</v>
      </c>
      <c r="D597">
        <v>20</v>
      </c>
      <c r="E597">
        <v>6</v>
      </c>
      <c r="F597">
        <v>20</v>
      </c>
      <c r="H597">
        <v>20</v>
      </c>
      <c r="I597">
        <v>6</v>
      </c>
      <c r="L597">
        <v>20</v>
      </c>
      <c r="M597">
        <v>6</v>
      </c>
      <c r="N597">
        <v>20</v>
      </c>
      <c r="R597">
        <v>20</v>
      </c>
      <c r="S597">
        <v>6</v>
      </c>
      <c r="T597">
        <v>20</v>
      </c>
    </row>
    <row r="598" spans="1:20" x14ac:dyDescent="0.3">
      <c r="A598" t="s">
        <v>742</v>
      </c>
      <c r="B598">
        <v>41</v>
      </c>
      <c r="D598">
        <v>3</v>
      </c>
      <c r="E598">
        <v>3</v>
      </c>
      <c r="F598">
        <v>3</v>
      </c>
      <c r="H598">
        <v>3</v>
      </c>
      <c r="I598">
        <v>3</v>
      </c>
      <c r="L598">
        <v>3</v>
      </c>
      <c r="M598">
        <v>3</v>
      </c>
      <c r="N598">
        <v>3</v>
      </c>
      <c r="R598">
        <v>3</v>
      </c>
      <c r="S598">
        <v>3</v>
      </c>
      <c r="T598">
        <v>3</v>
      </c>
    </row>
    <row r="599" spans="1:20" x14ac:dyDescent="0.3">
      <c r="A599" t="s">
        <v>743</v>
      </c>
      <c r="B599">
        <v>41</v>
      </c>
      <c r="D599">
        <v>0</v>
      </c>
      <c r="E599">
        <v>0</v>
      </c>
      <c r="F599">
        <v>0</v>
      </c>
      <c r="H599">
        <v>0</v>
      </c>
      <c r="I599">
        <v>0</v>
      </c>
      <c r="L599">
        <v>0</v>
      </c>
      <c r="M599">
        <v>0</v>
      </c>
      <c r="N599">
        <v>0</v>
      </c>
      <c r="R599">
        <v>0</v>
      </c>
      <c r="S599">
        <v>0</v>
      </c>
      <c r="T599">
        <v>0</v>
      </c>
    </row>
    <row r="600" spans="1:20" x14ac:dyDescent="0.3">
      <c r="A600" t="s">
        <v>744</v>
      </c>
      <c r="B600">
        <v>41</v>
      </c>
      <c r="D600">
        <v>0</v>
      </c>
      <c r="E600">
        <v>0</v>
      </c>
      <c r="F600">
        <v>0</v>
      </c>
      <c r="H600">
        <v>0</v>
      </c>
      <c r="I600">
        <v>0</v>
      </c>
      <c r="L600">
        <v>0</v>
      </c>
      <c r="M600">
        <v>0</v>
      </c>
      <c r="N600">
        <v>0</v>
      </c>
      <c r="R600">
        <v>0</v>
      </c>
      <c r="S600">
        <v>0</v>
      </c>
      <c r="T600">
        <v>0</v>
      </c>
    </row>
    <row r="601" spans="1:20" x14ac:dyDescent="0.3">
      <c r="A601" t="s">
        <v>745</v>
      </c>
      <c r="B601">
        <v>41</v>
      </c>
      <c r="D601">
        <v>0</v>
      </c>
      <c r="E601">
        <v>0</v>
      </c>
      <c r="F601">
        <v>0</v>
      </c>
      <c r="H601">
        <v>0</v>
      </c>
      <c r="I601">
        <v>0</v>
      </c>
      <c r="L601">
        <v>0</v>
      </c>
      <c r="M601">
        <v>0</v>
      </c>
      <c r="N601">
        <v>0</v>
      </c>
      <c r="R601">
        <v>0</v>
      </c>
      <c r="S601">
        <v>0</v>
      </c>
      <c r="T601">
        <v>0</v>
      </c>
    </row>
    <row r="602" spans="1:20" x14ac:dyDescent="0.3">
      <c r="A602" t="s">
        <v>746</v>
      </c>
      <c r="B602">
        <v>41</v>
      </c>
      <c r="E602">
        <v>94</v>
      </c>
      <c r="I602">
        <v>94</v>
      </c>
      <c r="M602">
        <v>94</v>
      </c>
      <c r="S602">
        <v>94</v>
      </c>
    </row>
    <row r="603" spans="1:20" x14ac:dyDescent="0.3">
      <c r="A603" t="s">
        <v>747</v>
      </c>
      <c r="B603">
        <v>41</v>
      </c>
      <c r="E603">
        <v>6</v>
      </c>
      <c r="I603">
        <v>6</v>
      </c>
      <c r="M603">
        <v>6</v>
      </c>
      <c r="S603">
        <v>6</v>
      </c>
    </row>
    <row r="604" spans="1:20" x14ac:dyDescent="0.3">
      <c r="A604" t="s">
        <v>748</v>
      </c>
      <c r="B604">
        <v>41</v>
      </c>
      <c r="E604">
        <v>3</v>
      </c>
      <c r="I604">
        <v>3</v>
      </c>
      <c r="M604">
        <v>3</v>
      </c>
      <c r="S604">
        <v>3</v>
      </c>
    </row>
    <row r="605" spans="1:20" x14ac:dyDescent="0.3">
      <c r="A605" t="s">
        <v>749</v>
      </c>
      <c r="B605">
        <v>41</v>
      </c>
      <c r="E605">
        <v>0</v>
      </c>
      <c r="I605">
        <v>0</v>
      </c>
      <c r="M605">
        <v>0</v>
      </c>
      <c r="S605">
        <v>0</v>
      </c>
    </row>
    <row r="606" spans="1:20" x14ac:dyDescent="0.3">
      <c r="A606" t="s">
        <v>750</v>
      </c>
      <c r="B606">
        <v>41</v>
      </c>
      <c r="E606">
        <v>0</v>
      </c>
      <c r="I606">
        <v>0</v>
      </c>
      <c r="M606">
        <v>0</v>
      </c>
      <c r="S606">
        <v>0</v>
      </c>
    </row>
    <row r="607" spans="1:20" x14ac:dyDescent="0.3">
      <c r="A607" t="s">
        <v>405</v>
      </c>
      <c r="B607">
        <v>41</v>
      </c>
      <c r="E607">
        <v>0</v>
      </c>
    </row>
    <row r="608" spans="1:20" x14ac:dyDescent="0.3">
      <c r="A608" t="s">
        <v>751</v>
      </c>
      <c r="B608">
        <v>41</v>
      </c>
      <c r="D608">
        <v>178</v>
      </c>
      <c r="E608">
        <v>464</v>
      </c>
      <c r="F608">
        <v>201</v>
      </c>
      <c r="H608">
        <v>272</v>
      </c>
      <c r="I608">
        <v>683</v>
      </c>
      <c r="J608">
        <v>0</v>
      </c>
      <c r="L608">
        <v>238</v>
      </c>
      <c r="M608">
        <v>854</v>
      </c>
      <c r="N608">
        <v>157</v>
      </c>
      <c r="P608">
        <v>0</v>
      </c>
      <c r="R608">
        <v>185</v>
      </c>
      <c r="S608">
        <v>927</v>
      </c>
      <c r="T608">
        <v>225</v>
      </c>
    </row>
    <row r="609" spans="1:20" x14ac:dyDescent="0.3">
      <c r="A609" t="s">
        <v>34</v>
      </c>
      <c r="B609">
        <v>44</v>
      </c>
      <c r="D609">
        <v>46</v>
      </c>
      <c r="E609">
        <v>46</v>
      </c>
      <c r="F609">
        <v>46</v>
      </c>
      <c r="H609">
        <v>47</v>
      </c>
      <c r="I609">
        <v>47</v>
      </c>
      <c r="J609">
        <v>47</v>
      </c>
      <c r="L609">
        <v>41</v>
      </c>
      <c r="M609">
        <v>41</v>
      </c>
      <c r="N609">
        <v>41</v>
      </c>
      <c r="P609">
        <v>48</v>
      </c>
      <c r="R609">
        <v>48</v>
      </c>
      <c r="S609">
        <v>48</v>
      </c>
      <c r="T609">
        <v>48</v>
      </c>
    </row>
    <row r="610" spans="1:20" x14ac:dyDescent="0.3">
      <c r="A610" t="s">
        <v>35</v>
      </c>
      <c r="B610">
        <v>44</v>
      </c>
      <c r="D610">
        <v>41</v>
      </c>
      <c r="E610">
        <v>47</v>
      </c>
      <c r="F610">
        <v>48</v>
      </c>
      <c r="H610">
        <v>48</v>
      </c>
      <c r="I610">
        <v>46</v>
      </c>
      <c r="J610">
        <v>41</v>
      </c>
      <c r="L610">
        <v>47</v>
      </c>
      <c r="M610">
        <v>48</v>
      </c>
      <c r="N610">
        <v>46</v>
      </c>
      <c r="P610">
        <v>48</v>
      </c>
      <c r="R610">
        <v>46</v>
      </c>
      <c r="S610">
        <v>41</v>
      </c>
      <c r="T610">
        <v>47</v>
      </c>
    </row>
    <row r="611" spans="1:20" x14ac:dyDescent="0.3">
      <c r="A611" t="s">
        <v>36</v>
      </c>
      <c r="B611">
        <v>44</v>
      </c>
      <c r="D611">
        <v>0</v>
      </c>
      <c r="E611">
        <v>1</v>
      </c>
      <c r="F611">
        <v>0</v>
      </c>
      <c r="H611">
        <v>1</v>
      </c>
      <c r="I611">
        <v>0</v>
      </c>
      <c r="J611">
        <v>1</v>
      </c>
      <c r="L611">
        <v>1</v>
      </c>
      <c r="M611">
        <v>3</v>
      </c>
      <c r="N611">
        <v>0</v>
      </c>
      <c r="P611">
        <v>0</v>
      </c>
      <c r="R611">
        <v>1</v>
      </c>
      <c r="S611">
        <v>3</v>
      </c>
      <c r="T611">
        <v>0</v>
      </c>
    </row>
    <row r="612" spans="1:20" x14ac:dyDescent="0.3">
      <c r="A612" t="s">
        <v>37</v>
      </c>
      <c r="B612">
        <v>44</v>
      </c>
      <c r="D612">
        <v>0</v>
      </c>
      <c r="E612">
        <v>3</v>
      </c>
      <c r="H612">
        <v>0</v>
      </c>
      <c r="I612">
        <v>0</v>
      </c>
      <c r="L612">
        <v>0</v>
      </c>
      <c r="M612">
        <v>2</v>
      </c>
      <c r="R612">
        <v>0</v>
      </c>
      <c r="S612">
        <v>2</v>
      </c>
    </row>
    <row r="613" spans="1:20" x14ac:dyDescent="0.3">
      <c r="A613" t="s">
        <v>38</v>
      </c>
      <c r="B613">
        <v>44</v>
      </c>
      <c r="D613">
        <v>12</v>
      </c>
      <c r="E613">
        <v>12</v>
      </c>
      <c r="F613">
        <v>12</v>
      </c>
      <c r="H613">
        <v>12</v>
      </c>
      <c r="I613">
        <v>12</v>
      </c>
      <c r="J613">
        <v>12</v>
      </c>
      <c r="L613">
        <v>12</v>
      </c>
      <c r="M613">
        <v>12</v>
      </c>
      <c r="N613">
        <v>12</v>
      </c>
      <c r="P613">
        <v>12</v>
      </c>
      <c r="R613">
        <v>12</v>
      </c>
      <c r="S613">
        <v>12</v>
      </c>
      <c r="T613">
        <v>12</v>
      </c>
    </row>
    <row r="614" spans="1:20" x14ac:dyDescent="0.3">
      <c r="A614" t="s">
        <v>39</v>
      </c>
      <c r="B614">
        <v>44</v>
      </c>
      <c r="H614">
        <v>115</v>
      </c>
      <c r="J614">
        <v>115</v>
      </c>
      <c r="L614">
        <v>100</v>
      </c>
      <c r="R614">
        <v>80</v>
      </c>
    </row>
    <row r="615" spans="1:20" x14ac:dyDescent="0.3">
      <c r="A615" t="s">
        <v>726</v>
      </c>
      <c r="B615">
        <v>44</v>
      </c>
      <c r="H615">
        <v>25</v>
      </c>
      <c r="J615">
        <v>25</v>
      </c>
      <c r="L615">
        <v>25</v>
      </c>
      <c r="R615">
        <v>25</v>
      </c>
    </row>
    <row r="616" spans="1:20" x14ac:dyDescent="0.3">
      <c r="A616" t="s">
        <v>40</v>
      </c>
      <c r="B616">
        <v>44</v>
      </c>
      <c r="H616">
        <v>1</v>
      </c>
      <c r="J616">
        <v>0</v>
      </c>
      <c r="L616">
        <v>1</v>
      </c>
      <c r="R616">
        <v>1</v>
      </c>
    </row>
    <row r="617" spans="1:20" x14ac:dyDescent="0.3">
      <c r="A617" t="s">
        <v>41</v>
      </c>
      <c r="B617">
        <v>44</v>
      </c>
    </row>
    <row r="618" spans="1:20" x14ac:dyDescent="0.3">
      <c r="A618" t="s">
        <v>42</v>
      </c>
      <c r="B618">
        <v>44</v>
      </c>
      <c r="E618">
        <v>25</v>
      </c>
      <c r="I618">
        <v>25</v>
      </c>
      <c r="M618">
        <v>40</v>
      </c>
      <c r="S618">
        <v>40</v>
      </c>
    </row>
    <row r="619" spans="1:20" x14ac:dyDescent="0.3">
      <c r="A619" t="s">
        <v>45</v>
      </c>
      <c r="B619">
        <v>44</v>
      </c>
      <c r="E619">
        <v>2</v>
      </c>
      <c r="J619">
        <v>2</v>
      </c>
      <c r="M619">
        <v>1</v>
      </c>
      <c r="S619">
        <v>1</v>
      </c>
    </row>
    <row r="620" spans="1:20" x14ac:dyDescent="0.3">
      <c r="A620" t="s">
        <v>46</v>
      </c>
      <c r="B620">
        <v>44</v>
      </c>
      <c r="D620">
        <v>2</v>
      </c>
      <c r="H620">
        <v>2</v>
      </c>
      <c r="L620">
        <v>1</v>
      </c>
      <c r="R620">
        <v>1</v>
      </c>
    </row>
    <row r="621" spans="1:20" x14ac:dyDescent="0.3">
      <c r="A621" t="s">
        <v>49</v>
      </c>
      <c r="B621">
        <v>44</v>
      </c>
      <c r="D621">
        <v>5.6</v>
      </c>
      <c r="E621">
        <v>5.6</v>
      </c>
      <c r="F621">
        <v>4</v>
      </c>
      <c r="H621">
        <v>5.6</v>
      </c>
      <c r="I621">
        <v>4</v>
      </c>
      <c r="J621">
        <v>5.6</v>
      </c>
      <c r="L621">
        <v>5</v>
      </c>
      <c r="M621">
        <v>5</v>
      </c>
      <c r="N621">
        <v>4</v>
      </c>
      <c r="P621">
        <v>4</v>
      </c>
      <c r="R621">
        <v>5</v>
      </c>
      <c r="S621">
        <v>5</v>
      </c>
      <c r="T621">
        <v>4</v>
      </c>
    </row>
    <row r="622" spans="1:20" x14ac:dyDescent="0.3">
      <c r="A622" t="s">
        <v>727</v>
      </c>
      <c r="B622">
        <v>44</v>
      </c>
      <c r="D622">
        <v>0</v>
      </c>
      <c r="E622">
        <v>0</v>
      </c>
      <c r="F622">
        <v>0</v>
      </c>
      <c r="H622">
        <v>0</v>
      </c>
      <c r="I622">
        <v>0</v>
      </c>
      <c r="J622">
        <v>0</v>
      </c>
      <c r="L622">
        <v>0</v>
      </c>
      <c r="M622">
        <v>0</v>
      </c>
      <c r="N622">
        <v>0</v>
      </c>
      <c r="P622">
        <v>0</v>
      </c>
      <c r="R622">
        <v>0</v>
      </c>
      <c r="S622">
        <v>0</v>
      </c>
      <c r="T622">
        <v>0</v>
      </c>
    </row>
    <row r="623" spans="1:20" x14ac:dyDescent="0.3">
      <c r="A623" t="s">
        <v>48</v>
      </c>
      <c r="B623">
        <v>44</v>
      </c>
      <c r="D623">
        <v>1900</v>
      </c>
      <c r="E623">
        <v>1900</v>
      </c>
      <c r="F623">
        <v>1900</v>
      </c>
      <c r="H623">
        <v>1900</v>
      </c>
      <c r="I623">
        <v>1900</v>
      </c>
      <c r="J623">
        <v>1900</v>
      </c>
      <c r="L623">
        <v>1900</v>
      </c>
      <c r="M623">
        <v>1900</v>
      </c>
      <c r="N623">
        <v>1900</v>
      </c>
      <c r="P623">
        <v>1900</v>
      </c>
      <c r="R623">
        <v>1900</v>
      </c>
      <c r="S623">
        <v>1900</v>
      </c>
      <c r="T623">
        <v>1900</v>
      </c>
    </row>
    <row r="624" spans="1:20" x14ac:dyDescent="0.3">
      <c r="A624" t="s">
        <v>728</v>
      </c>
      <c r="B624">
        <v>44</v>
      </c>
      <c r="D624">
        <v>0</v>
      </c>
      <c r="E624">
        <v>1701</v>
      </c>
      <c r="F624">
        <v>0</v>
      </c>
      <c r="H624">
        <v>1770</v>
      </c>
      <c r="I624">
        <v>0</v>
      </c>
      <c r="J624">
        <v>1583</v>
      </c>
      <c r="L624">
        <v>1770</v>
      </c>
      <c r="M624">
        <v>5080</v>
      </c>
      <c r="N624">
        <v>0</v>
      </c>
      <c r="P624">
        <v>0</v>
      </c>
      <c r="R624">
        <v>1770</v>
      </c>
      <c r="S624">
        <v>5050</v>
      </c>
      <c r="T624">
        <v>0</v>
      </c>
    </row>
    <row r="625" spans="1:20" x14ac:dyDescent="0.3">
      <c r="A625" t="s">
        <v>50</v>
      </c>
      <c r="B625">
        <v>44</v>
      </c>
      <c r="D625">
        <v>0</v>
      </c>
      <c r="E625">
        <v>1701</v>
      </c>
      <c r="F625">
        <v>0</v>
      </c>
      <c r="H625">
        <v>1399</v>
      </c>
      <c r="I625">
        <v>0</v>
      </c>
      <c r="J625">
        <v>1583</v>
      </c>
      <c r="L625">
        <v>246</v>
      </c>
      <c r="M625">
        <v>5080</v>
      </c>
      <c r="N625">
        <v>0</v>
      </c>
      <c r="P625">
        <v>0</v>
      </c>
      <c r="R625">
        <v>333</v>
      </c>
      <c r="S625">
        <v>5050</v>
      </c>
      <c r="T625">
        <v>0</v>
      </c>
    </row>
    <row r="626" spans="1:20" x14ac:dyDescent="0.3">
      <c r="A626" t="s">
        <v>729</v>
      </c>
      <c r="B626">
        <v>44</v>
      </c>
      <c r="D626">
        <v>1</v>
      </c>
      <c r="E626">
        <v>1</v>
      </c>
      <c r="F626">
        <v>1</v>
      </c>
      <c r="H626">
        <v>1</v>
      </c>
      <c r="I626">
        <v>1</v>
      </c>
      <c r="J626">
        <v>1</v>
      </c>
      <c r="L626">
        <v>1</v>
      </c>
      <c r="M626">
        <v>1</v>
      </c>
      <c r="N626">
        <v>1</v>
      </c>
      <c r="P626">
        <v>1</v>
      </c>
      <c r="R626">
        <v>1</v>
      </c>
      <c r="S626">
        <v>1</v>
      </c>
      <c r="T626">
        <v>1</v>
      </c>
    </row>
    <row r="627" spans="1:20" x14ac:dyDescent="0.3">
      <c r="A627" t="s">
        <v>51</v>
      </c>
      <c r="B627">
        <v>44</v>
      </c>
      <c r="D627">
        <v>0</v>
      </c>
      <c r="E627">
        <v>5</v>
      </c>
      <c r="F627">
        <v>0</v>
      </c>
      <c r="H627">
        <v>0</v>
      </c>
      <c r="I627">
        <v>0</v>
      </c>
      <c r="J627">
        <v>62</v>
      </c>
      <c r="L627">
        <v>0</v>
      </c>
      <c r="M627">
        <v>1</v>
      </c>
      <c r="N627">
        <v>0</v>
      </c>
      <c r="P627">
        <v>0</v>
      </c>
      <c r="R627">
        <v>0</v>
      </c>
      <c r="S627">
        <v>14</v>
      </c>
      <c r="T627">
        <v>0</v>
      </c>
    </row>
    <row r="628" spans="1:20" x14ac:dyDescent="0.3">
      <c r="A628" t="s">
        <v>53</v>
      </c>
      <c r="B628">
        <v>44</v>
      </c>
      <c r="D628">
        <v>4</v>
      </c>
      <c r="E628">
        <v>1</v>
      </c>
      <c r="F628">
        <v>5</v>
      </c>
      <c r="H628">
        <v>70</v>
      </c>
      <c r="I628">
        <v>0</v>
      </c>
      <c r="J628">
        <v>82</v>
      </c>
      <c r="L628">
        <v>48</v>
      </c>
      <c r="M628">
        <v>1194</v>
      </c>
      <c r="N628">
        <v>5</v>
      </c>
      <c r="P628">
        <v>0</v>
      </c>
      <c r="R628">
        <v>2</v>
      </c>
      <c r="S628">
        <v>1348</v>
      </c>
      <c r="T628">
        <v>68</v>
      </c>
    </row>
    <row r="629" spans="1:20" x14ac:dyDescent="0.3">
      <c r="A629" t="s">
        <v>54</v>
      </c>
      <c r="B629">
        <v>44</v>
      </c>
      <c r="D629">
        <v>0</v>
      </c>
      <c r="E629">
        <v>0</v>
      </c>
      <c r="F629">
        <v>0</v>
      </c>
      <c r="H629">
        <v>0</v>
      </c>
      <c r="I629">
        <v>0</v>
      </c>
      <c r="J629">
        <v>0</v>
      </c>
      <c r="L629">
        <v>0</v>
      </c>
      <c r="M629">
        <v>0</v>
      </c>
      <c r="N629">
        <v>0</v>
      </c>
      <c r="P629">
        <v>0</v>
      </c>
      <c r="R629">
        <v>0</v>
      </c>
      <c r="S629">
        <v>0</v>
      </c>
      <c r="T629">
        <v>0</v>
      </c>
    </row>
    <row r="630" spans="1:20" x14ac:dyDescent="0.3">
      <c r="A630" t="s">
        <v>55</v>
      </c>
      <c r="B630">
        <v>44</v>
      </c>
      <c r="D630">
        <v>0</v>
      </c>
      <c r="E630">
        <v>0</v>
      </c>
      <c r="F630">
        <v>0</v>
      </c>
      <c r="H630">
        <v>0</v>
      </c>
      <c r="I630">
        <v>0</v>
      </c>
      <c r="J630">
        <v>0</v>
      </c>
      <c r="L630">
        <v>0</v>
      </c>
      <c r="M630">
        <v>0</v>
      </c>
      <c r="N630">
        <v>0</v>
      </c>
      <c r="P630">
        <v>0</v>
      </c>
      <c r="R630">
        <v>0</v>
      </c>
      <c r="S630">
        <v>0</v>
      </c>
      <c r="T630">
        <v>0</v>
      </c>
    </row>
    <row r="631" spans="1:20" x14ac:dyDescent="0.3">
      <c r="A631" t="s">
        <v>56</v>
      </c>
      <c r="B631">
        <v>44</v>
      </c>
      <c r="D631">
        <v>0.92</v>
      </c>
      <c r="E631">
        <v>0.92</v>
      </c>
      <c r="F631">
        <v>0.92</v>
      </c>
      <c r="H631">
        <v>0.92</v>
      </c>
      <c r="I631">
        <v>0.92</v>
      </c>
      <c r="J631">
        <v>0.92</v>
      </c>
      <c r="L631">
        <v>0.92</v>
      </c>
      <c r="M631">
        <v>0.92</v>
      </c>
      <c r="N631">
        <v>0.92</v>
      </c>
      <c r="P631">
        <v>0.92</v>
      </c>
      <c r="R631">
        <v>0.92</v>
      </c>
      <c r="S631">
        <v>0.92</v>
      </c>
      <c r="T631">
        <v>0.92</v>
      </c>
    </row>
    <row r="632" spans="1:20" x14ac:dyDescent="0.3">
      <c r="A632" t="s">
        <v>57</v>
      </c>
      <c r="B632">
        <v>44</v>
      </c>
      <c r="D632">
        <v>100</v>
      </c>
      <c r="E632">
        <v>100</v>
      </c>
      <c r="F632">
        <v>100</v>
      </c>
      <c r="H632">
        <v>100</v>
      </c>
      <c r="I632">
        <v>100</v>
      </c>
      <c r="J632">
        <v>100</v>
      </c>
      <c r="L632">
        <v>100</v>
      </c>
      <c r="M632">
        <v>100</v>
      </c>
      <c r="N632">
        <v>100</v>
      </c>
      <c r="P632">
        <v>100</v>
      </c>
      <c r="R632">
        <v>100</v>
      </c>
      <c r="S632">
        <v>100</v>
      </c>
      <c r="T632">
        <v>100</v>
      </c>
    </row>
    <row r="633" spans="1:20" x14ac:dyDescent="0.3">
      <c r="A633" t="s">
        <v>58</v>
      </c>
      <c r="B633">
        <v>44</v>
      </c>
      <c r="D633">
        <v>2</v>
      </c>
      <c r="E633">
        <v>2</v>
      </c>
      <c r="F633">
        <v>2</v>
      </c>
      <c r="H633">
        <v>2</v>
      </c>
      <c r="I633">
        <v>2</v>
      </c>
      <c r="J633">
        <v>2</v>
      </c>
      <c r="L633">
        <v>2</v>
      </c>
      <c r="M633">
        <v>2</v>
      </c>
      <c r="N633">
        <v>2</v>
      </c>
      <c r="P633">
        <v>2</v>
      </c>
      <c r="R633">
        <v>2</v>
      </c>
      <c r="S633">
        <v>2</v>
      </c>
      <c r="T633">
        <v>2</v>
      </c>
    </row>
    <row r="634" spans="1:20" x14ac:dyDescent="0.3">
      <c r="A634" t="s">
        <v>59</v>
      </c>
      <c r="B634">
        <v>44</v>
      </c>
      <c r="D634">
        <v>0</v>
      </c>
      <c r="E634">
        <v>0</v>
      </c>
      <c r="F634">
        <v>0</v>
      </c>
      <c r="H634">
        <v>0</v>
      </c>
      <c r="I634">
        <v>0</v>
      </c>
      <c r="J634">
        <v>0</v>
      </c>
      <c r="L634">
        <v>0</v>
      </c>
      <c r="M634">
        <v>0</v>
      </c>
      <c r="N634">
        <v>0</v>
      </c>
      <c r="P634">
        <v>0</v>
      </c>
      <c r="R634">
        <v>0</v>
      </c>
      <c r="S634">
        <v>0</v>
      </c>
      <c r="T634">
        <v>0</v>
      </c>
    </row>
    <row r="635" spans="1:20" x14ac:dyDescent="0.3">
      <c r="A635" t="s">
        <v>730</v>
      </c>
      <c r="B635">
        <v>44</v>
      </c>
      <c r="E635">
        <v>0</v>
      </c>
      <c r="I635">
        <v>0</v>
      </c>
      <c r="M635">
        <v>0</v>
      </c>
      <c r="S635">
        <v>0</v>
      </c>
    </row>
    <row r="636" spans="1:20" x14ac:dyDescent="0.3">
      <c r="A636" t="s">
        <v>679</v>
      </c>
      <c r="B636">
        <v>44</v>
      </c>
      <c r="E636">
        <v>331</v>
      </c>
      <c r="I636">
        <v>483</v>
      </c>
      <c r="M636">
        <v>2630</v>
      </c>
      <c r="S636">
        <v>682</v>
      </c>
    </row>
    <row r="637" spans="1:20" x14ac:dyDescent="0.3">
      <c r="A637" t="s">
        <v>78</v>
      </c>
      <c r="B637">
        <v>44</v>
      </c>
      <c r="E637">
        <v>9</v>
      </c>
      <c r="I637">
        <v>13.2</v>
      </c>
      <c r="M637">
        <v>44.8</v>
      </c>
      <c r="S637">
        <v>11.6</v>
      </c>
    </row>
    <row r="638" spans="1:20" x14ac:dyDescent="0.3">
      <c r="A638" t="s">
        <v>731</v>
      </c>
      <c r="B638">
        <v>44</v>
      </c>
      <c r="F638">
        <v>0</v>
      </c>
      <c r="J638">
        <v>0</v>
      </c>
      <c r="N638">
        <v>0</v>
      </c>
      <c r="T638">
        <v>0</v>
      </c>
    </row>
    <row r="639" spans="1:20" x14ac:dyDescent="0.3">
      <c r="A639" t="s">
        <v>732</v>
      </c>
      <c r="B639">
        <v>44</v>
      </c>
      <c r="D639">
        <v>0</v>
      </c>
      <c r="E639">
        <v>0</v>
      </c>
      <c r="F639">
        <v>1</v>
      </c>
      <c r="H639">
        <v>0</v>
      </c>
      <c r="I639">
        <v>0</v>
      </c>
      <c r="J639">
        <v>1</v>
      </c>
      <c r="L639">
        <v>0</v>
      </c>
      <c r="M639">
        <v>0</v>
      </c>
      <c r="N639">
        <v>1</v>
      </c>
      <c r="P639">
        <v>3</v>
      </c>
      <c r="R639">
        <v>0</v>
      </c>
      <c r="S639">
        <v>0</v>
      </c>
      <c r="T639">
        <v>1</v>
      </c>
    </row>
    <row r="640" spans="1:20" x14ac:dyDescent="0.3">
      <c r="A640" t="s">
        <v>733</v>
      </c>
      <c r="B640">
        <v>44</v>
      </c>
      <c r="D640">
        <v>0</v>
      </c>
      <c r="E640">
        <v>0</v>
      </c>
      <c r="F640">
        <v>0</v>
      </c>
      <c r="H640">
        <v>0</v>
      </c>
      <c r="I640">
        <v>0</v>
      </c>
      <c r="J640">
        <v>0</v>
      </c>
      <c r="L640">
        <v>0</v>
      </c>
      <c r="M640">
        <v>0</v>
      </c>
      <c r="N640">
        <v>0</v>
      </c>
      <c r="P640">
        <v>0</v>
      </c>
      <c r="R640">
        <v>0</v>
      </c>
      <c r="S640">
        <v>0</v>
      </c>
      <c r="T640">
        <v>0</v>
      </c>
    </row>
    <row r="641" spans="1:20" x14ac:dyDescent="0.3">
      <c r="A641" t="s">
        <v>52</v>
      </c>
      <c r="B641">
        <v>44</v>
      </c>
      <c r="D641">
        <v>1</v>
      </c>
      <c r="E641">
        <v>1</v>
      </c>
      <c r="F641">
        <v>1</v>
      </c>
      <c r="H641">
        <v>1</v>
      </c>
      <c r="I641">
        <v>1</v>
      </c>
      <c r="J641">
        <v>1</v>
      </c>
      <c r="L641">
        <v>1</v>
      </c>
      <c r="M641">
        <v>1</v>
      </c>
      <c r="N641">
        <v>1</v>
      </c>
      <c r="P641">
        <v>1</v>
      </c>
      <c r="R641">
        <v>1</v>
      </c>
      <c r="S641">
        <v>1</v>
      </c>
      <c r="T641">
        <v>1</v>
      </c>
    </row>
    <row r="642" spans="1:20" x14ac:dyDescent="0.3">
      <c r="A642" t="s">
        <v>734</v>
      </c>
      <c r="B642">
        <v>44</v>
      </c>
      <c r="D642">
        <v>15</v>
      </c>
      <c r="E642">
        <v>60</v>
      </c>
      <c r="F642">
        <v>9</v>
      </c>
      <c r="H642">
        <v>15</v>
      </c>
      <c r="I642">
        <v>60</v>
      </c>
      <c r="J642">
        <v>9</v>
      </c>
      <c r="L642">
        <v>15</v>
      </c>
      <c r="M642">
        <v>60</v>
      </c>
      <c r="N642">
        <v>9</v>
      </c>
      <c r="P642">
        <v>9</v>
      </c>
      <c r="R642">
        <v>15</v>
      </c>
      <c r="S642">
        <v>60</v>
      </c>
      <c r="T642">
        <v>9</v>
      </c>
    </row>
    <row r="643" spans="1:20" x14ac:dyDescent="0.3">
      <c r="A643" t="s">
        <v>43</v>
      </c>
      <c r="B643">
        <v>44</v>
      </c>
      <c r="D643">
        <v>20</v>
      </c>
      <c r="E643">
        <v>100</v>
      </c>
      <c r="H643">
        <v>20</v>
      </c>
      <c r="J643">
        <v>20</v>
      </c>
      <c r="L643">
        <v>20</v>
      </c>
      <c r="M643">
        <v>100</v>
      </c>
      <c r="R643">
        <v>20</v>
      </c>
      <c r="S643">
        <v>100</v>
      </c>
    </row>
    <row r="644" spans="1:20" x14ac:dyDescent="0.3">
      <c r="A644" t="s">
        <v>44</v>
      </c>
      <c r="B644">
        <v>44</v>
      </c>
      <c r="D644">
        <v>0</v>
      </c>
      <c r="E644">
        <v>0</v>
      </c>
      <c r="H644">
        <v>0</v>
      </c>
      <c r="J644">
        <v>0</v>
      </c>
      <c r="L644">
        <v>0</v>
      </c>
      <c r="M644">
        <v>0</v>
      </c>
      <c r="R644">
        <v>0</v>
      </c>
      <c r="S644">
        <v>0</v>
      </c>
    </row>
    <row r="645" spans="1:20" x14ac:dyDescent="0.3">
      <c r="A645" t="s">
        <v>47</v>
      </c>
      <c r="B645">
        <v>44</v>
      </c>
      <c r="D645">
        <v>2</v>
      </c>
      <c r="E645">
        <v>2</v>
      </c>
      <c r="H645">
        <v>2</v>
      </c>
      <c r="J645">
        <v>2</v>
      </c>
      <c r="L645">
        <v>1</v>
      </c>
      <c r="M645">
        <v>1</v>
      </c>
      <c r="R645">
        <v>1</v>
      </c>
      <c r="S645">
        <v>1</v>
      </c>
    </row>
    <row r="646" spans="1:20" x14ac:dyDescent="0.3">
      <c r="A646" t="s">
        <v>735</v>
      </c>
      <c r="B646">
        <v>44</v>
      </c>
      <c r="D646">
        <v>0</v>
      </c>
      <c r="E646">
        <v>0</v>
      </c>
      <c r="H646">
        <v>0</v>
      </c>
      <c r="J646">
        <v>0</v>
      </c>
      <c r="L646">
        <v>0</v>
      </c>
      <c r="M646">
        <v>0</v>
      </c>
      <c r="R646">
        <v>0</v>
      </c>
      <c r="S646">
        <v>0</v>
      </c>
    </row>
    <row r="647" spans="1:20" x14ac:dyDescent="0.3">
      <c r="A647" t="s">
        <v>736</v>
      </c>
      <c r="B647">
        <v>44</v>
      </c>
      <c r="D647">
        <v>0</v>
      </c>
      <c r="E647">
        <v>0</v>
      </c>
      <c r="H647">
        <v>0</v>
      </c>
      <c r="J647">
        <v>0</v>
      </c>
      <c r="L647">
        <v>0</v>
      </c>
      <c r="M647">
        <v>0</v>
      </c>
      <c r="R647">
        <v>0</v>
      </c>
      <c r="S647">
        <v>0</v>
      </c>
    </row>
    <row r="648" spans="1:20" x14ac:dyDescent="0.3">
      <c r="A648" t="s">
        <v>737</v>
      </c>
      <c r="B648">
        <v>44</v>
      </c>
      <c r="D648">
        <v>0</v>
      </c>
      <c r="E648">
        <v>0</v>
      </c>
      <c r="H648">
        <v>0</v>
      </c>
      <c r="J648">
        <v>0</v>
      </c>
      <c r="L648">
        <v>0</v>
      </c>
      <c r="M648">
        <v>0</v>
      </c>
      <c r="R648">
        <v>0</v>
      </c>
      <c r="S648">
        <v>0</v>
      </c>
    </row>
    <row r="649" spans="1:20" x14ac:dyDescent="0.3">
      <c r="A649" t="s">
        <v>738</v>
      </c>
      <c r="B649">
        <v>44</v>
      </c>
      <c r="D649">
        <v>0</v>
      </c>
      <c r="E649">
        <v>0</v>
      </c>
      <c r="H649">
        <v>0</v>
      </c>
      <c r="J649">
        <v>0</v>
      </c>
      <c r="L649">
        <v>0</v>
      </c>
      <c r="M649">
        <v>0</v>
      </c>
      <c r="R649">
        <v>0</v>
      </c>
      <c r="S649">
        <v>0</v>
      </c>
    </row>
    <row r="650" spans="1:20" x14ac:dyDescent="0.3">
      <c r="A650" t="s">
        <v>739</v>
      </c>
      <c r="B650">
        <v>44</v>
      </c>
      <c r="D650">
        <v>1</v>
      </c>
      <c r="E650">
        <v>2</v>
      </c>
      <c r="H650">
        <v>1</v>
      </c>
      <c r="J650">
        <v>1</v>
      </c>
      <c r="L650">
        <v>1</v>
      </c>
      <c r="M650">
        <v>2</v>
      </c>
      <c r="R650">
        <v>1</v>
      </c>
      <c r="S650">
        <v>2</v>
      </c>
    </row>
    <row r="651" spans="1:20" x14ac:dyDescent="0.3">
      <c r="A651" t="s">
        <v>740</v>
      </c>
      <c r="B651">
        <v>44</v>
      </c>
      <c r="D651">
        <v>0</v>
      </c>
      <c r="E651">
        <v>0</v>
      </c>
      <c r="H651">
        <v>0</v>
      </c>
      <c r="J651">
        <v>0</v>
      </c>
      <c r="L651">
        <v>0</v>
      </c>
      <c r="M651">
        <v>0</v>
      </c>
      <c r="R651">
        <v>0</v>
      </c>
      <c r="S651">
        <v>0</v>
      </c>
    </row>
    <row r="652" spans="1:20" x14ac:dyDescent="0.3">
      <c r="A652" t="s">
        <v>741</v>
      </c>
      <c r="B652">
        <v>44</v>
      </c>
      <c r="D652">
        <v>20</v>
      </c>
      <c r="E652">
        <v>6</v>
      </c>
      <c r="H652">
        <v>20</v>
      </c>
      <c r="J652">
        <v>20</v>
      </c>
      <c r="L652">
        <v>20</v>
      </c>
      <c r="M652">
        <v>6</v>
      </c>
      <c r="R652">
        <v>20</v>
      </c>
      <c r="S652">
        <v>6</v>
      </c>
    </row>
    <row r="653" spans="1:20" x14ac:dyDescent="0.3">
      <c r="A653" t="s">
        <v>742</v>
      </c>
      <c r="B653">
        <v>44</v>
      </c>
      <c r="D653">
        <v>3</v>
      </c>
      <c r="E653">
        <v>3</v>
      </c>
      <c r="H653">
        <v>3</v>
      </c>
      <c r="J653">
        <v>3</v>
      </c>
      <c r="L653">
        <v>3</v>
      </c>
      <c r="M653">
        <v>3</v>
      </c>
      <c r="R653">
        <v>3</v>
      </c>
      <c r="S653">
        <v>3</v>
      </c>
    </row>
    <row r="654" spans="1:20" x14ac:dyDescent="0.3">
      <c r="A654" t="s">
        <v>743</v>
      </c>
      <c r="B654">
        <v>44</v>
      </c>
      <c r="D654">
        <v>0</v>
      </c>
      <c r="E654">
        <v>0</v>
      </c>
      <c r="H654">
        <v>0</v>
      </c>
      <c r="J654">
        <v>0</v>
      </c>
      <c r="L654">
        <v>0</v>
      </c>
      <c r="M654">
        <v>0</v>
      </c>
      <c r="R654">
        <v>0</v>
      </c>
      <c r="S654">
        <v>0</v>
      </c>
    </row>
    <row r="655" spans="1:20" x14ac:dyDescent="0.3">
      <c r="A655" t="s">
        <v>744</v>
      </c>
      <c r="B655">
        <v>44</v>
      </c>
      <c r="D655">
        <v>0</v>
      </c>
      <c r="E655">
        <v>0</v>
      </c>
      <c r="H655">
        <v>0</v>
      </c>
      <c r="J655">
        <v>0</v>
      </c>
      <c r="L655">
        <v>0</v>
      </c>
      <c r="M655">
        <v>0</v>
      </c>
      <c r="R655">
        <v>0</v>
      </c>
      <c r="S655">
        <v>0</v>
      </c>
    </row>
    <row r="656" spans="1:20" x14ac:dyDescent="0.3">
      <c r="A656" t="s">
        <v>745</v>
      </c>
      <c r="B656">
        <v>44</v>
      </c>
      <c r="D656">
        <v>0</v>
      </c>
      <c r="E656">
        <v>0</v>
      </c>
      <c r="H656">
        <v>0</v>
      </c>
      <c r="J656">
        <v>0</v>
      </c>
      <c r="L656">
        <v>0</v>
      </c>
      <c r="M656">
        <v>0</v>
      </c>
      <c r="R656">
        <v>0</v>
      </c>
      <c r="S656">
        <v>0</v>
      </c>
    </row>
    <row r="657" spans="1:20" x14ac:dyDescent="0.3">
      <c r="A657" t="s">
        <v>746</v>
      </c>
      <c r="B657">
        <v>44</v>
      </c>
      <c r="E657">
        <v>94</v>
      </c>
      <c r="M657">
        <v>94</v>
      </c>
      <c r="S657">
        <v>94</v>
      </c>
    </row>
    <row r="658" spans="1:20" x14ac:dyDescent="0.3">
      <c r="A658" t="s">
        <v>747</v>
      </c>
      <c r="B658">
        <v>44</v>
      </c>
      <c r="E658">
        <v>6</v>
      </c>
      <c r="M658">
        <v>6</v>
      </c>
      <c r="S658">
        <v>6</v>
      </c>
    </row>
    <row r="659" spans="1:20" x14ac:dyDescent="0.3">
      <c r="A659" t="s">
        <v>748</v>
      </c>
      <c r="B659">
        <v>44</v>
      </c>
      <c r="E659">
        <v>3</v>
      </c>
      <c r="M659">
        <v>3</v>
      </c>
      <c r="S659">
        <v>3</v>
      </c>
    </row>
    <row r="660" spans="1:20" x14ac:dyDescent="0.3">
      <c r="A660" t="s">
        <v>749</v>
      </c>
      <c r="B660">
        <v>44</v>
      </c>
      <c r="E660">
        <v>0</v>
      </c>
      <c r="M660">
        <v>0</v>
      </c>
      <c r="S660">
        <v>0</v>
      </c>
    </row>
    <row r="661" spans="1:20" x14ac:dyDescent="0.3">
      <c r="A661" t="s">
        <v>750</v>
      </c>
      <c r="B661">
        <v>44</v>
      </c>
      <c r="E661">
        <v>0</v>
      </c>
      <c r="I661">
        <v>0</v>
      </c>
      <c r="M661">
        <v>0</v>
      </c>
      <c r="S661">
        <v>0</v>
      </c>
    </row>
    <row r="662" spans="1:20" x14ac:dyDescent="0.3">
      <c r="A662" t="s">
        <v>405</v>
      </c>
      <c r="B662">
        <v>44</v>
      </c>
      <c r="E662">
        <v>0</v>
      </c>
    </row>
    <row r="663" spans="1:20" x14ac:dyDescent="0.3">
      <c r="A663" t="s">
        <v>751</v>
      </c>
      <c r="B663">
        <v>44</v>
      </c>
      <c r="D663">
        <v>0</v>
      </c>
      <c r="E663">
        <v>10</v>
      </c>
      <c r="F663">
        <v>0</v>
      </c>
      <c r="H663">
        <v>76</v>
      </c>
      <c r="I663">
        <v>0</v>
      </c>
      <c r="J663">
        <v>89</v>
      </c>
      <c r="L663">
        <v>52</v>
      </c>
      <c r="M663">
        <v>1303</v>
      </c>
      <c r="N663">
        <v>0</v>
      </c>
      <c r="P663">
        <v>0</v>
      </c>
      <c r="R663">
        <v>2</v>
      </c>
      <c r="S663">
        <v>1539</v>
      </c>
      <c r="T663">
        <v>0</v>
      </c>
    </row>
    <row r="664" spans="1:20" x14ac:dyDescent="0.3">
      <c r="A664" t="s">
        <v>34</v>
      </c>
      <c r="B664">
        <v>48</v>
      </c>
      <c r="D664">
        <v>50</v>
      </c>
      <c r="F664">
        <v>50</v>
      </c>
      <c r="M664">
        <v>44</v>
      </c>
      <c r="N664">
        <v>44</v>
      </c>
      <c r="P664">
        <v>49</v>
      </c>
      <c r="R664">
        <v>49</v>
      </c>
      <c r="S664">
        <v>49</v>
      </c>
    </row>
    <row r="665" spans="1:20" x14ac:dyDescent="0.3">
      <c r="A665" t="s">
        <v>35</v>
      </c>
      <c r="B665">
        <v>48</v>
      </c>
      <c r="D665">
        <v>44</v>
      </c>
      <c r="F665">
        <v>49</v>
      </c>
      <c r="M665">
        <v>49</v>
      </c>
      <c r="N665">
        <v>50</v>
      </c>
      <c r="P665">
        <v>49</v>
      </c>
      <c r="R665">
        <v>50</v>
      </c>
      <c r="S665">
        <v>44</v>
      </c>
    </row>
    <row r="666" spans="1:20" x14ac:dyDescent="0.3">
      <c r="A666" t="s">
        <v>36</v>
      </c>
      <c r="B666">
        <v>48</v>
      </c>
      <c r="D666">
        <v>1</v>
      </c>
      <c r="F666">
        <v>0</v>
      </c>
      <c r="M666">
        <v>3</v>
      </c>
      <c r="N666">
        <v>0</v>
      </c>
      <c r="P666">
        <v>0</v>
      </c>
      <c r="R666">
        <v>1</v>
      </c>
      <c r="S666">
        <v>3</v>
      </c>
    </row>
    <row r="667" spans="1:20" x14ac:dyDescent="0.3">
      <c r="A667" t="s">
        <v>37</v>
      </c>
      <c r="B667">
        <v>48</v>
      </c>
      <c r="D667">
        <v>2</v>
      </c>
      <c r="M667">
        <v>2</v>
      </c>
      <c r="R667">
        <v>0</v>
      </c>
      <c r="S667">
        <v>0</v>
      </c>
    </row>
    <row r="668" spans="1:20" x14ac:dyDescent="0.3">
      <c r="A668" t="s">
        <v>38</v>
      </c>
      <c r="B668">
        <v>48</v>
      </c>
      <c r="D668">
        <v>12</v>
      </c>
      <c r="F668">
        <v>12</v>
      </c>
      <c r="M668">
        <v>12</v>
      </c>
      <c r="N668">
        <v>12</v>
      </c>
      <c r="P668">
        <v>12</v>
      </c>
      <c r="R668">
        <v>12</v>
      </c>
      <c r="S668">
        <v>12</v>
      </c>
    </row>
    <row r="669" spans="1:20" x14ac:dyDescent="0.3">
      <c r="A669" t="s">
        <v>39</v>
      </c>
      <c r="B669">
        <v>48</v>
      </c>
      <c r="R669">
        <v>115</v>
      </c>
    </row>
    <row r="670" spans="1:20" x14ac:dyDescent="0.3">
      <c r="A670" t="s">
        <v>726</v>
      </c>
      <c r="B670">
        <v>48</v>
      </c>
      <c r="R670">
        <v>25</v>
      </c>
    </row>
    <row r="671" spans="1:20" x14ac:dyDescent="0.3">
      <c r="A671" t="s">
        <v>40</v>
      </c>
      <c r="B671">
        <v>48</v>
      </c>
      <c r="R671">
        <v>1</v>
      </c>
    </row>
    <row r="672" spans="1:20" x14ac:dyDescent="0.3">
      <c r="A672" t="s">
        <v>41</v>
      </c>
      <c r="B672">
        <v>48</v>
      </c>
    </row>
    <row r="673" spans="1:19" x14ac:dyDescent="0.3">
      <c r="A673" t="s">
        <v>42</v>
      </c>
      <c r="B673">
        <v>48</v>
      </c>
      <c r="D673">
        <v>25</v>
      </c>
      <c r="M673">
        <v>40</v>
      </c>
      <c r="S673">
        <v>40</v>
      </c>
    </row>
    <row r="674" spans="1:19" x14ac:dyDescent="0.3">
      <c r="A674" t="s">
        <v>45</v>
      </c>
      <c r="B674">
        <v>48</v>
      </c>
      <c r="D674">
        <v>4</v>
      </c>
      <c r="M674">
        <v>6</v>
      </c>
      <c r="R674">
        <v>5</v>
      </c>
      <c r="S674">
        <v>2</v>
      </c>
    </row>
    <row r="675" spans="1:19" x14ac:dyDescent="0.3">
      <c r="A675" t="s">
        <v>46</v>
      </c>
      <c r="B675">
        <v>48</v>
      </c>
      <c r="R675">
        <v>2</v>
      </c>
    </row>
    <row r="676" spans="1:19" x14ac:dyDescent="0.3">
      <c r="A676" t="s">
        <v>49</v>
      </c>
      <c r="B676">
        <v>48</v>
      </c>
      <c r="D676">
        <v>5.6</v>
      </c>
      <c r="F676">
        <v>4</v>
      </c>
      <c r="M676">
        <v>5</v>
      </c>
      <c r="N676">
        <v>4</v>
      </c>
      <c r="P676">
        <v>4</v>
      </c>
      <c r="R676">
        <v>4</v>
      </c>
      <c r="S676">
        <v>5</v>
      </c>
    </row>
    <row r="677" spans="1:19" x14ac:dyDescent="0.3">
      <c r="A677" t="s">
        <v>727</v>
      </c>
      <c r="B677">
        <v>48</v>
      </c>
      <c r="D677">
        <v>0</v>
      </c>
      <c r="F677">
        <v>0</v>
      </c>
      <c r="M677">
        <v>0</v>
      </c>
      <c r="N677">
        <v>0</v>
      </c>
      <c r="P677">
        <v>0</v>
      </c>
      <c r="R677">
        <v>0</v>
      </c>
      <c r="S677">
        <v>0</v>
      </c>
    </row>
    <row r="678" spans="1:19" x14ac:dyDescent="0.3">
      <c r="A678" t="s">
        <v>48</v>
      </c>
      <c r="B678">
        <v>48</v>
      </c>
      <c r="D678">
        <v>1900</v>
      </c>
      <c r="F678">
        <v>1900</v>
      </c>
      <c r="M678">
        <v>1900</v>
      </c>
      <c r="N678">
        <v>1900</v>
      </c>
      <c r="P678">
        <v>1900</v>
      </c>
      <c r="R678">
        <v>1900</v>
      </c>
      <c r="S678">
        <v>1900</v>
      </c>
    </row>
    <row r="679" spans="1:19" x14ac:dyDescent="0.3">
      <c r="A679" t="s">
        <v>728</v>
      </c>
      <c r="B679">
        <v>48</v>
      </c>
      <c r="D679">
        <v>1713</v>
      </c>
      <c r="F679">
        <v>0</v>
      </c>
      <c r="M679">
        <v>5024</v>
      </c>
      <c r="N679">
        <v>0</v>
      </c>
      <c r="P679">
        <v>0</v>
      </c>
      <c r="R679">
        <v>1770</v>
      </c>
      <c r="S679">
        <v>5085</v>
      </c>
    </row>
    <row r="680" spans="1:19" x14ac:dyDescent="0.3">
      <c r="A680" t="s">
        <v>50</v>
      </c>
      <c r="B680">
        <v>48</v>
      </c>
      <c r="D680">
        <v>1713</v>
      </c>
      <c r="F680">
        <v>0</v>
      </c>
      <c r="M680">
        <v>5024</v>
      </c>
      <c r="N680">
        <v>0</v>
      </c>
      <c r="P680">
        <v>0</v>
      </c>
      <c r="R680">
        <v>233</v>
      </c>
      <c r="S680">
        <v>5085</v>
      </c>
    </row>
    <row r="681" spans="1:19" x14ac:dyDescent="0.3">
      <c r="A681" t="s">
        <v>729</v>
      </c>
      <c r="B681">
        <v>48</v>
      </c>
      <c r="D681">
        <v>1</v>
      </c>
      <c r="F681">
        <v>1</v>
      </c>
      <c r="M681">
        <v>1</v>
      </c>
      <c r="N681">
        <v>1</v>
      </c>
      <c r="P681">
        <v>1</v>
      </c>
      <c r="R681">
        <v>1</v>
      </c>
      <c r="S681">
        <v>1</v>
      </c>
    </row>
    <row r="682" spans="1:19" x14ac:dyDescent="0.3">
      <c r="A682" t="s">
        <v>51</v>
      </c>
      <c r="B682">
        <v>48</v>
      </c>
      <c r="D682">
        <v>25</v>
      </c>
      <c r="F682">
        <v>0</v>
      </c>
      <c r="M682">
        <v>21</v>
      </c>
      <c r="N682">
        <v>0</v>
      </c>
      <c r="P682">
        <v>0</v>
      </c>
      <c r="R682">
        <v>0</v>
      </c>
      <c r="S682">
        <v>0</v>
      </c>
    </row>
    <row r="683" spans="1:19" x14ac:dyDescent="0.3">
      <c r="A683" t="s">
        <v>53</v>
      </c>
      <c r="B683">
        <v>48</v>
      </c>
      <c r="D683">
        <v>143</v>
      </c>
      <c r="F683">
        <v>92</v>
      </c>
      <c r="M683">
        <v>1233</v>
      </c>
      <c r="N683">
        <v>110</v>
      </c>
      <c r="P683">
        <v>0</v>
      </c>
      <c r="R683">
        <v>100</v>
      </c>
      <c r="S683">
        <v>1258</v>
      </c>
    </row>
    <row r="684" spans="1:19" x14ac:dyDescent="0.3">
      <c r="A684" t="s">
        <v>54</v>
      </c>
      <c r="B684">
        <v>48</v>
      </c>
      <c r="D684">
        <v>0</v>
      </c>
      <c r="F684">
        <v>0</v>
      </c>
      <c r="M684">
        <v>0</v>
      </c>
      <c r="N684">
        <v>0</v>
      </c>
      <c r="P684">
        <v>0</v>
      </c>
      <c r="R684">
        <v>0</v>
      </c>
      <c r="S684">
        <v>0</v>
      </c>
    </row>
    <row r="685" spans="1:19" x14ac:dyDescent="0.3">
      <c r="A685" t="s">
        <v>55</v>
      </c>
      <c r="B685">
        <v>48</v>
      </c>
      <c r="D685">
        <v>0</v>
      </c>
      <c r="F685">
        <v>0</v>
      </c>
      <c r="M685">
        <v>0</v>
      </c>
      <c r="N685">
        <v>0</v>
      </c>
      <c r="P685">
        <v>0</v>
      </c>
      <c r="R685">
        <v>0</v>
      </c>
      <c r="S685">
        <v>0</v>
      </c>
    </row>
    <row r="686" spans="1:19" x14ac:dyDescent="0.3">
      <c r="A686" t="s">
        <v>56</v>
      </c>
      <c r="B686">
        <v>48</v>
      </c>
      <c r="D686">
        <v>0.92</v>
      </c>
      <c r="F686">
        <v>0.92</v>
      </c>
      <c r="M686">
        <v>0.92</v>
      </c>
      <c r="N686">
        <v>0.92</v>
      </c>
      <c r="P686">
        <v>0.92</v>
      </c>
      <c r="R686">
        <v>0.92</v>
      </c>
      <c r="S686">
        <v>0.92</v>
      </c>
    </row>
    <row r="687" spans="1:19" x14ac:dyDescent="0.3">
      <c r="A687" t="s">
        <v>57</v>
      </c>
      <c r="B687">
        <v>48</v>
      </c>
      <c r="D687">
        <v>100</v>
      </c>
      <c r="F687">
        <v>100</v>
      </c>
      <c r="M687">
        <v>100</v>
      </c>
      <c r="N687">
        <v>100</v>
      </c>
      <c r="P687">
        <v>100</v>
      </c>
      <c r="R687">
        <v>100</v>
      </c>
      <c r="S687">
        <v>100</v>
      </c>
    </row>
    <row r="688" spans="1:19" x14ac:dyDescent="0.3">
      <c r="A688" t="s">
        <v>58</v>
      </c>
      <c r="B688">
        <v>48</v>
      </c>
      <c r="D688">
        <v>2</v>
      </c>
      <c r="F688">
        <v>2</v>
      </c>
      <c r="M688">
        <v>2</v>
      </c>
      <c r="N688">
        <v>2</v>
      </c>
      <c r="P688">
        <v>2</v>
      </c>
      <c r="R688">
        <v>2</v>
      </c>
      <c r="S688">
        <v>2</v>
      </c>
    </row>
    <row r="689" spans="1:19" x14ac:dyDescent="0.3">
      <c r="A689" t="s">
        <v>59</v>
      </c>
      <c r="B689">
        <v>48</v>
      </c>
      <c r="D689">
        <v>0</v>
      </c>
      <c r="F689">
        <v>0</v>
      </c>
      <c r="M689">
        <v>0</v>
      </c>
      <c r="N689">
        <v>0</v>
      </c>
      <c r="P689">
        <v>0</v>
      </c>
      <c r="R689">
        <v>0</v>
      </c>
      <c r="S689">
        <v>0</v>
      </c>
    </row>
    <row r="690" spans="1:19" x14ac:dyDescent="0.3">
      <c r="A690" t="s">
        <v>730</v>
      </c>
      <c r="B690">
        <v>48</v>
      </c>
      <c r="D690">
        <v>0</v>
      </c>
      <c r="M690">
        <v>0</v>
      </c>
      <c r="S690">
        <v>0</v>
      </c>
    </row>
    <row r="691" spans="1:19" x14ac:dyDescent="0.3">
      <c r="A691" t="s">
        <v>679</v>
      </c>
      <c r="B691">
        <v>48</v>
      </c>
      <c r="D691">
        <v>362</v>
      </c>
      <c r="M691">
        <v>682</v>
      </c>
      <c r="S691">
        <v>1947</v>
      </c>
    </row>
    <row r="692" spans="1:19" x14ac:dyDescent="0.3">
      <c r="A692" t="s">
        <v>78</v>
      </c>
      <c r="B692">
        <v>48</v>
      </c>
      <c r="D692">
        <v>9.9</v>
      </c>
      <c r="M692">
        <v>11.6</v>
      </c>
      <c r="S692">
        <v>33.200000000000003</v>
      </c>
    </row>
    <row r="693" spans="1:19" x14ac:dyDescent="0.3">
      <c r="A693" t="s">
        <v>731</v>
      </c>
      <c r="B693">
        <v>48</v>
      </c>
      <c r="F693">
        <v>0</v>
      </c>
      <c r="N693">
        <v>0</v>
      </c>
      <c r="S693">
        <v>0</v>
      </c>
    </row>
    <row r="694" spans="1:19" x14ac:dyDescent="0.3">
      <c r="A694" t="s">
        <v>732</v>
      </c>
      <c r="B694">
        <v>48</v>
      </c>
      <c r="D694">
        <v>0</v>
      </c>
      <c r="F694">
        <v>1</v>
      </c>
      <c r="M694">
        <v>0</v>
      </c>
      <c r="N694">
        <v>1</v>
      </c>
      <c r="P694">
        <v>3</v>
      </c>
      <c r="R694">
        <v>0</v>
      </c>
      <c r="S694">
        <v>0</v>
      </c>
    </row>
    <row r="695" spans="1:19" x14ac:dyDescent="0.3">
      <c r="A695" t="s">
        <v>733</v>
      </c>
      <c r="B695">
        <v>48</v>
      </c>
      <c r="D695">
        <v>0</v>
      </c>
      <c r="F695">
        <v>0</v>
      </c>
      <c r="M695">
        <v>0</v>
      </c>
      <c r="N695">
        <v>0</v>
      </c>
      <c r="P695">
        <v>0</v>
      </c>
      <c r="R695">
        <v>0</v>
      </c>
      <c r="S695">
        <v>0</v>
      </c>
    </row>
    <row r="696" spans="1:19" x14ac:dyDescent="0.3">
      <c r="A696" t="s">
        <v>52</v>
      </c>
      <c r="B696">
        <v>48</v>
      </c>
      <c r="D696">
        <v>1</v>
      </c>
      <c r="F696">
        <v>1</v>
      </c>
      <c r="M696">
        <v>1</v>
      </c>
      <c r="N696">
        <v>1</v>
      </c>
      <c r="P696">
        <v>1</v>
      </c>
      <c r="R696">
        <v>1</v>
      </c>
      <c r="S696">
        <v>1</v>
      </c>
    </row>
    <row r="697" spans="1:19" x14ac:dyDescent="0.3">
      <c r="A697" t="s">
        <v>734</v>
      </c>
      <c r="B697">
        <v>48</v>
      </c>
      <c r="D697">
        <v>15</v>
      </c>
      <c r="F697">
        <v>9</v>
      </c>
      <c r="M697">
        <v>60</v>
      </c>
      <c r="N697">
        <v>9</v>
      </c>
      <c r="P697">
        <v>9</v>
      </c>
      <c r="R697">
        <v>15</v>
      </c>
      <c r="S697">
        <v>60</v>
      </c>
    </row>
    <row r="698" spans="1:19" x14ac:dyDescent="0.3">
      <c r="A698" t="s">
        <v>43</v>
      </c>
      <c r="B698">
        <v>48</v>
      </c>
      <c r="D698">
        <v>20</v>
      </c>
      <c r="M698">
        <v>100</v>
      </c>
      <c r="R698">
        <v>20</v>
      </c>
      <c r="S698">
        <v>100</v>
      </c>
    </row>
    <row r="699" spans="1:19" x14ac:dyDescent="0.3">
      <c r="A699" t="s">
        <v>44</v>
      </c>
      <c r="B699">
        <v>48</v>
      </c>
      <c r="D699">
        <v>0</v>
      </c>
      <c r="M699">
        <v>0</v>
      </c>
      <c r="R699">
        <v>0</v>
      </c>
      <c r="S699">
        <v>0</v>
      </c>
    </row>
    <row r="700" spans="1:19" x14ac:dyDescent="0.3">
      <c r="A700" t="s">
        <v>47</v>
      </c>
      <c r="B700">
        <v>48</v>
      </c>
      <c r="D700">
        <v>4</v>
      </c>
      <c r="M700">
        <v>6</v>
      </c>
      <c r="R700">
        <v>5</v>
      </c>
      <c r="S700">
        <v>2</v>
      </c>
    </row>
    <row r="701" spans="1:19" x14ac:dyDescent="0.3">
      <c r="A701" t="s">
        <v>735</v>
      </c>
      <c r="B701">
        <v>48</v>
      </c>
      <c r="D701">
        <v>0</v>
      </c>
      <c r="M701">
        <v>0</v>
      </c>
      <c r="R701">
        <v>0</v>
      </c>
      <c r="S701">
        <v>0</v>
      </c>
    </row>
    <row r="702" spans="1:19" x14ac:dyDescent="0.3">
      <c r="A702" t="s">
        <v>736</v>
      </c>
      <c r="B702">
        <v>48</v>
      </c>
      <c r="D702">
        <v>0</v>
      </c>
      <c r="M702">
        <v>0</v>
      </c>
      <c r="R702">
        <v>0</v>
      </c>
      <c r="S702">
        <v>0</v>
      </c>
    </row>
    <row r="703" spans="1:19" x14ac:dyDescent="0.3">
      <c r="A703" t="s">
        <v>737</v>
      </c>
      <c r="B703">
        <v>48</v>
      </c>
      <c r="D703">
        <v>0</v>
      </c>
      <c r="M703">
        <v>0</v>
      </c>
      <c r="R703">
        <v>0</v>
      </c>
      <c r="S703">
        <v>0</v>
      </c>
    </row>
    <row r="704" spans="1:19" x14ac:dyDescent="0.3">
      <c r="A704" t="s">
        <v>738</v>
      </c>
      <c r="B704">
        <v>48</v>
      </c>
      <c r="D704">
        <v>0</v>
      </c>
      <c r="M704">
        <v>0</v>
      </c>
      <c r="R704">
        <v>0</v>
      </c>
      <c r="S704">
        <v>0</v>
      </c>
    </row>
    <row r="705" spans="1:20" x14ac:dyDescent="0.3">
      <c r="A705" t="s">
        <v>739</v>
      </c>
      <c r="B705">
        <v>48</v>
      </c>
      <c r="D705">
        <v>1</v>
      </c>
      <c r="M705">
        <v>2</v>
      </c>
      <c r="R705">
        <v>1</v>
      </c>
      <c r="S705">
        <v>2</v>
      </c>
    </row>
    <row r="706" spans="1:20" x14ac:dyDescent="0.3">
      <c r="A706" t="s">
        <v>740</v>
      </c>
      <c r="B706">
        <v>48</v>
      </c>
      <c r="D706">
        <v>0</v>
      </c>
      <c r="M706">
        <v>0</v>
      </c>
      <c r="R706">
        <v>0</v>
      </c>
      <c r="S706">
        <v>0</v>
      </c>
    </row>
    <row r="707" spans="1:20" x14ac:dyDescent="0.3">
      <c r="A707" t="s">
        <v>741</v>
      </c>
      <c r="B707">
        <v>48</v>
      </c>
      <c r="D707">
        <v>20</v>
      </c>
      <c r="M707">
        <v>6</v>
      </c>
      <c r="R707">
        <v>20</v>
      </c>
      <c r="S707">
        <v>6</v>
      </c>
    </row>
    <row r="708" spans="1:20" x14ac:dyDescent="0.3">
      <c r="A708" t="s">
        <v>742</v>
      </c>
      <c r="B708">
        <v>48</v>
      </c>
      <c r="D708">
        <v>3</v>
      </c>
      <c r="M708">
        <v>3</v>
      </c>
      <c r="R708">
        <v>3</v>
      </c>
      <c r="S708">
        <v>3</v>
      </c>
    </row>
    <row r="709" spans="1:20" x14ac:dyDescent="0.3">
      <c r="A709" t="s">
        <v>743</v>
      </c>
      <c r="B709">
        <v>48</v>
      </c>
      <c r="D709">
        <v>0</v>
      </c>
      <c r="M709">
        <v>0</v>
      </c>
      <c r="R709">
        <v>0</v>
      </c>
      <c r="S709">
        <v>0</v>
      </c>
    </row>
    <row r="710" spans="1:20" x14ac:dyDescent="0.3">
      <c r="A710" t="s">
        <v>744</v>
      </c>
      <c r="B710">
        <v>48</v>
      </c>
      <c r="D710">
        <v>0</v>
      </c>
      <c r="M710">
        <v>0</v>
      </c>
      <c r="R710">
        <v>0</v>
      </c>
      <c r="S710">
        <v>0</v>
      </c>
    </row>
    <row r="711" spans="1:20" x14ac:dyDescent="0.3">
      <c r="A711" t="s">
        <v>745</v>
      </c>
      <c r="B711">
        <v>48</v>
      </c>
      <c r="D711">
        <v>0</v>
      </c>
      <c r="M711">
        <v>0</v>
      </c>
      <c r="R711">
        <v>0</v>
      </c>
      <c r="S711">
        <v>0</v>
      </c>
    </row>
    <row r="712" spans="1:20" x14ac:dyDescent="0.3">
      <c r="A712" t="s">
        <v>746</v>
      </c>
      <c r="B712">
        <v>48</v>
      </c>
      <c r="M712">
        <v>94</v>
      </c>
      <c r="S712">
        <v>94</v>
      </c>
    </row>
    <row r="713" spans="1:20" x14ac:dyDescent="0.3">
      <c r="A713" t="s">
        <v>747</v>
      </c>
      <c r="B713">
        <v>48</v>
      </c>
      <c r="M713">
        <v>6</v>
      </c>
      <c r="S713">
        <v>6</v>
      </c>
    </row>
    <row r="714" spans="1:20" x14ac:dyDescent="0.3">
      <c r="A714" t="s">
        <v>748</v>
      </c>
      <c r="B714">
        <v>48</v>
      </c>
      <c r="M714">
        <v>3</v>
      </c>
      <c r="S714">
        <v>3</v>
      </c>
    </row>
    <row r="715" spans="1:20" x14ac:dyDescent="0.3">
      <c r="A715" t="s">
        <v>749</v>
      </c>
      <c r="B715">
        <v>48</v>
      </c>
      <c r="M715">
        <v>0</v>
      </c>
      <c r="S715">
        <v>0</v>
      </c>
    </row>
    <row r="716" spans="1:20" x14ac:dyDescent="0.3">
      <c r="A716" t="s">
        <v>750</v>
      </c>
      <c r="B716">
        <v>48</v>
      </c>
      <c r="D716">
        <v>0</v>
      </c>
      <c r="M716">
        <v>0</v>
      </c>
      <c r="S716">
        <v>0</v>
      </c>
    </row>
    <row r="717" spans="1:20" x14ac:dyDescent="0.3">
      <c r="A717" t="s">
        <v>405</v>
      </c>
      <c r="B717">
        <v>48</v>
      </c>
      <c r="D717">
        <v>0</v>
      </c>
    </row>
    <row r="718" spans="1:20" x14ac:dyDescent="0.3">
      <c r="A718" t="s">
        <v>751</v>
      </c>
      <c r="B718">
        <v>48</v>
      </c>
      <c r="D718">
        <v>255</v>
      </c>
      <c r="F718">
        <v>0</v>
      </c>
      <c r="M718">
        <v>1460</v>
      </c>
      <c r="N718">
        <v>0</v>
      </c>
      <c r="P718">
        <v>0</v>
      </c>
      <c r="R718">
        <v>109</v>
      </c>
      <c r="S718">
        <v>1367</v>
      </c>
    </row>
    <row r="719" spans="1:20" x14ac:dyDescent="0.3">
      <c r="A719" t="s">
        <v>34</v>
      </c>
      <c r="B719">
        <v>49</v>
      </c>
      <c r="D719">
        <v>52</v>
      </c>
      <c r="E719">
        <v>52</v>
      </c>
      <c r="F719">
        <v>52</v>
      </c>
      <c r="H719">
        <v>51</v>
      </c>
      <c r="I719">
        <v>51</v>
      </c>
      <c r="J719">
        <v>51</v>
      </c>
      <c r="L719">
        <v>48</v>
      </c>
      <c r="M719">
        <v>48</v>
      </c>
      <c r="N719">
        <v>48</v>
      </c>
      <c r="P719">
        <v>53</v>
      </c>
      <c r="R719">
        <v>53</v>
      </c>
      <c r="S719">
        <v>53</v>
      </c>
      <c r="T719">
        <v>53</v>
      </c>
    </row>
    <row r="720" spans="1:20" x14ac:dyDescent="0.3">
      <c r="A720" t="s">
        <v>35</v>
      </c>
      <c r="B720">
        <v>49</v>
      </c>
      <c r="D720">
        <v>48</v>
      </c>
      <c r="E720">
        <v>51</v>
      </c>
      <c r="F720">
        <v>53</v>
      </c>
      <c r="H720">
        <v>53</v>
      </c>
      <c r="I720">
        <v>52</v>
      </c>
      <c r="J720">
        <v>48</v>
      </c>
      <c r="L720">
        <v>51</v>
      </c>
      <c r="M720">
        <v>53</v>
      </c>
      <c r="N720">
        <v>52</v>
      </c>
      <c r="P720">
        <v>53</v>
      </c>
      <c r="R720">
        <v>52</v>
      </c>
      <c r="S720">
        <v>48</v>
      </c>
      <c r="T720">
        <v>51</v>
      </c>
    </row>
    <row r="721" spans="1:20" x14ac:dyDescent="0.3">
      <c r="A721" t="s">
        <v>36</v>
      </c>
      <c r="B721">
        <v>49</v>
      </c>
      <c r="D721">
        <v>1</v>
      </c>
      <c r="E721">
        <v>3</v>
      </c>
      <c r="F721">
        <v>0</v>
      </c>
      <c r="H721">
        <v>1</v>
      </c>
      <c r="I721">
        <v>3</v>
      </c>
      <c r="J721">
        <v>0</v>
      </c>
      <c r="L721">
        <v>1</v>
      </c>
      <c r="M721">
        <v>3</v>
      </c>
      <c r="N721">
        <v>0</v>
      </c>
      <c r="P721">
        <v>0</v>
      </c>
      <c r="R721">
        <v>1</v>
      </c>
      <c r="S721">
        <v>3</v>
      </c>
      <c r="T721">
        <v>0</v>
      </c>
    </row>
    <row r="722" spans="1:20" x14ac:dyDescent="0.3">
      <c r="A722" t="s">
        <v>37</v>
      </c>
      <c r="B722">
        <v>49</v>
      </c>
      <c r="D722">
        <v>0</v>
      </c>
      <c r="E722">
        <v>2</v>
      </c>
      <c r="H722">
        <v>0</v>
      </c>
      <c r="I722">
        <v>2</v>
      </c>
      <c r="L722">
        <v>0</v>
      </c>
      <c r="M722">
        <v>2</v>
      </c>
      <c r="R722">
        <v>0</v>
      </c>
      <c r="S722">
        <v>2</v>
      </c>
    </row>
    <row r="723" spans="1:20" x14ac:dyDescent="0.3">
      <c r="A723" t="s">
        <v>38</v>
      </c>
      <c r="B723">
        <v>49</v>
      </c>
      <c r="D723">
        <v>12</v>
      </c>
      <c r="E723">
        <v>12</v>
      </c>
      <c r="F723">
        <v>12</v>
      </c>
      <c r="H723">
        <v>12</v>
      </c>
      <c r="I723">
        <v>12</v>
      </c>
      <c r="J723">
        <v>12</v>
      </c>
      <c r="L723">
        <v>12</v>
      </c>
      <c r="M723">
        <v>12</v>
      </c>
      <c r="N723">
        <v>12</v>
      </c>
      <c r="P723">
        <v>12</v>
      </c>
      <c r="R723">
        <v>12</v>
      </c>
      <c r="S723">
        <v>12</v>
      </c>
      <c r="T723">
        <v>12</v>
      </c>
    </row>
    <row r="724" spans="1:20" x14ac:dyDescent="0.3">
      <c r="A724" t="s">
        <v>39</v>
      </c>
      <c r="B724">
        <v>49</v>
      </c>
      <c r="D724">
        <v>220</v>
      </c>
      <c r="H724">
        <v>255</v>
      </c>
      <c r="L724">
        <v>190</v>
      </c>
      <c r="R724">
        <v>235</v>
      </c>
    </row>
    <row r="725" spans="1:20" x14ac:dyDescent="0.3">
      <c r="A725" t="s">
        <v>726</v>
      </c>
      <c r="B725">
        <v>49</v>
      </c>
      <c r="D725">
        <v>25</v>
      </c>
      <c r="H725">
        <v>25</v>
      </c>
      <c r="L725">
        <v>25</v>
      </c>
      <c r="R725">
        <v>25</v>
      </c>
    </row>
    <row r="726" spans="1:20" x14ac:dyDescent="0.3">
      <c r="A726" t="s">
        <v>40</v>
      </c>
      <c r="B726">
        <v>49</v>
      </c>
      <c r="D726">
        <v>1</v>
      </c>
      <c r="H726">
        <v>1</v>
      </c>
      <c r="L726">
        <v>1</v>
      </c>
      <c r="R726">
        <v>1</v>
      </c>
    </row>
    <row r="727" spans="1:20" x14ac:dyDescent="0.3">
      <c r="A727" t="s">
        <v>41</v>
      </c>
      <c r="B727">
        <v>49</v>
      </c>
    </row>
    <row r="728" spans="1:20" x14ac:dyDescent="0.3">
      <c r="A728" t="s">
        <v>42</v>
      </c>
      <c r="B728">
        <v>49</v>
      </c>
      <c r="E728">
        <v>45</v>
      </c>
      <c r="I728">
        <v>40</v>
      </c>
      <c r="M728">
        <v>40</v>
      </c>
      <c r="S728">
        <v>40</v>
      </c>
    </row>
    <row r="729" spans="1:20" x14ac:dyDescent="0.3">
      <c r="A729" t="s">
        <v>45</v>
      </c>
      <c r="B729">
        <v>49</v>
      </c>
      <c r="D729">
        <v>7</v>
      </c>
      <c r="E729">
        <v>4</v>
      </c>
      <c r="H729">
        <v>3</v>
      </c>
      <c r="I729">
        <v>8</v>
      </c>
      <c r="L729">
        <v>1</v>
      </c>
      <c r="M729">
        <v>6</v>
      </c>
      <c r="R729">
        <v>5</v>
      </c>
      <c r="S729">
        <v>2</v>
      </c>
    </row>
    <row r="730" spans="1:20" x14ac:dyDescent="0.3">
      <c r="A730" t="s">
        <v>46</v>
      </c>
      <c r="B730">
        <v>49</v>
      </c>
      <c r="D730">
        <v>4</v>
      </c>
      <c r="H730">
        <v>8</v>
      </c>
      <c r="L730">
        <v>6</v>
      </c>
      <c r="R730">
        <v>2</v>
      </c>
    </row>
    <row r="731" spans="1:20" x14ac:dyDescent="0.3">
      <c r="A731" t="s">
        <v>49</v>
      </c>
      <c r="B731">
        <v>49</v>
      </c>
      <c r="D731">
        <v>4</v>
      </c>
      <c r="E731">
        <v>5.9</v>
      </c>
      <c r="F731">
        <v>4</v>
      </c>
      <c r="H731">
        <v>4</v>
      </c>
      <c r="I731">
        <v>5.9</v>
      </c>
      <c r="J731">
        <v>4</v>
      </c>
      <c r="L731">
        <v>4</v>
      </c>
      <c r="M731">
        <v>5.8</v>
      </c>
      <c r="N731">
        <v>4</v>
      </c>
      <c r="P731">
        <v>4</v>
      </c>
      <c r="R731">
        <v>4</v>
      </c>
      <c r="S731">
        <v>5.8</v>
      </c>
      <c r="T731">
        <v>4</v>
      </c>
    </row>
    <row r="732" spans="1:20" x14ac:dyDescent="0.3">
      <c r="A732" t="s">
        <v>727</v>
      </c>
      <c r="B732">
        <v>49</v>
      </c>
      <c r="D732">
        <v>0</v>
      </c>
      <c r="E732">
        <v>0</v>
      </c>
      <c r="F732">
        <v>0</v>
      </c>
      <c r="H732">
        <v>0</v>
      </c>
      <c r="I732">
        <v>0</v>
      </c>
      <c r="J732">
        <v>0</v>
      </c>
      <c r="L732">
        <v>0</v>
      </c>
      <c r="M732">
        <v>0</v>
      </c>
      <c r="N732">
        <v>0</v>
      </c>
      <c r="P732">
        <v>0</v>
      </c>
      <c r="R732">
        <v>0</v>
      </c>
      <c r="S732">
        <v>0</v>
      </c>
      <c r="T732">
        <v>0</v>
      </c>
    </row>
    <row r="733" spans="1:20" x14ac:dyDescent="0.3">
      <c r="A733" t="s">
        <v>48</v>
      </c>
      <c r="B733">
        <v>49</v>
      </c>
      <c r="D733">
        <v>1900</v>
      </c>
      <c r="E733">
        <v>1900</v>
      </c>
      <c r="F733">
        <v>1900</v>
      </c>
      <c r="H733">
        <v>1900</v>
      </c>
      <c r="I733">
        <v>1900</v>
      </c>
      <c r="J733">
        <v>1900</v>
      </c>
      <c r="L733">
        <v>1900</v>
      </c>
      <c r="M733">
        <v>1900</v>
      </c>
      <c r="N733">
        <v>1900</v>
      </c>
      <c r="P733">
        <v>1900</v>
      </c>
      <c r="R733">
        <v>1900</v>
      </c>
      <c r="S733">
        <v>1900</v>
      </c>
      <c r="T733">
        <v>1900</v>
      </c>
    </row>
    <row r="734" spans="1:20" x14ac:dyDescent="0.3">
      <c r="A734" t="s">
        <v>728</v>
      </c>
      <c r="B734">
        <v>49</v>
      </c>
      <c r="D734">
        <v>1770</v>
      </c>
      <c r="E734">
        <v>4846</v>
      </c>
      <c r="F734">
        <v>0</v>
      </c>
      <c r="H734">
        <v>1770</v>
      </c>
      <c r="I734">
        <v>4821</v>
      </c>
      <c r="J734">
        <v>0</v>
      </c>
      <c r="L734">
        <v>1770</v>
      </c>
      <c r="M734">
        <v>4973</v>
      </c>
      <c r="N734">
        <v>0</v>
      </c>
      <c r="P734">
        <v>0</v>
      </c>
      <c r="R734">
        <v>1770</v>
      </c>
      <c r="S734">
        <v>5004</v>
      </c>
      <c r="T734">
        <v>0</v>
      </c>
    </row>
    <row r="735" spans="1:20" x14ac:dyDescent="0.3">
      <c r="A735" t="s">
        <v>50</v>
      </c>
      <c r="B735">
        <v>49</v>
      </c>
      <c r="D735">
        <v>835</v>
      </c>
      <c r="E735">
        <v>4846</v>
      </c>
      <c r="F735">
        <v>0</v>
      </c>
      <c r="H735">
        <v>764</v>
      </c>
      <c r="I735">
        <v>4821</v>
      </c>
      <c r="J735">
        <v>0</v>
      </c>
      <c r="L735">
        <v>265</v>
      </c>
      <c r="M735">
        <v>4973</v>
      </c>
      <c r="N735">
        <v>0</v>
      </c>
      <c r="P735">
        <v>0</v>
      </c>
      <c r="R735">
        <v>529</v>
      </c>
      <c r="S735">
        <v>5004</v>
      </c>
      <c r="T735">
        <v>0</v>
      </c>
    </row>
    <row r="736" spans="1:20" x14ac:dyDescent="0.3">
      <c r="A736" t="s">
        <v>729</v>
      </c>
      <c r="B736">
        <v>49</v>
      </c>
      <c r="D736">
        <v>1</v>
      </c>
      <c r="E736">
        <v>1</v>
      </c>
      <c r="F736">
        <v>1</v>
      </c>
      <c r="H736">
        <v>1</v>
      </c>
      <c r="I736">
        <v>1</v>
      </c>
      <c r="J736">
        <v>1</v>
      </c>
      <c r="L736">
        <v>1</v>
      </c>
      <c r="M736">
        <v>1</v>
      </c>
      <c r="N736">
        <v>1</v>
      </c>
      <c r="P736">
        <v>1</v>
      </c>
      <c r="R736">
        <v>1</v>
      </c>
      <c r="S736">
        <v>1</v>
      </c>
      <c r="T736">
        <v>1</v>
      </c>
    </row>
    <row r="737" spans="1:20" x14ac:dyDescent="0.3">
      <c r="A737" t="s">
        <v>51</v>
      </c>
      <c r="B737">
        <v>49</v>
      </c>
      <c r="D737">
        <v>0</v>
      </c>
      <c r="E737">
        <v>91</v>
      </c>
      <c r="F737">
        <v>0</v>
      </c>
      <c r="H737">
        <v>0</v>
      </c>
      <c r="I737">
        <v>109</v>
      </c>
      <c r="J737">
        <v>0</v>
      </c>
      <c r="L737">
        <v>0</v>
      </c>
      <c r="M737">
        <v>31</v>
      </c>
      <c r="N737">
        <v>0</v>
      </c>
      <c r="P737">
        <v>0</v>
      </c>
      <c r="R737">
        <v>0</v>
      </c>
      <c r="S737">
        <v>18</v>
      </c>
      <c r="T737">
        <v>0</v>
      </c>
    </row>
    <row r="738" spans="1:20" x14ac:dyDescent="0.3">
      <c r="A738" t="s">
        <v>53</v>
      </c>
      <c r="B738">
        <v>49</v>
      </c>
      <c r="D738">
        <v>179</v>
      </c>
      <c r="E738">
        <v>272</v>
      </c>
      <c r="F738">
        <v>124</v>
      </c>
      <c r="H738">
        <v>200</v>
      </c>
      <c r="I738">
        <v>289</v>
      </c>
      <c r="J738">
        <v>153</v>
      </c>
      <c r="L738">
        <v>132</v>
      </c>
      <c r="M738">
        <v>759</v>
      </c>
      <c r="N738">
        <v>131</v>
      </c>
      <c r="P738">
        <v>0</v>
      </c>
      <c r="R738">
        <v>131</v>
      </c>
      <c r="S738">
        <v>1010</v>
      </c>
      <c r="T738">
        <v>119</v>
      </c>
    </row>
    <row r="739" spans="1:20" x14ac:dyDescent="0.3">
      <c r="A739" t="s">
        <v>54</v>
      </c>
      <c r="B739">
        <v>49</v>
      </c>
      <c r="D739">
        <v>0</v>
      </c>
      <c r="E739">
        <v>0</v>
      </c>
      <c r="F739">
        <v>0</v>
      </c>
      <c r="H739">
        <v>0</v>
      </c>
      <c r="I739">
        <v>0</v>
      </c>
      <c r="J739">
        <v>0</v>
      </c>
      <c r="L739">
        <v>0</v>
      </c>
      <c r="M739">
        <v>0</v>
      </c>
      <c r="N739">
        <v>0</v>
      </c>
      <c r="P739">
        <v>0</v>
      </c>
      <c r="R739">
        <v>0</v>
      </c>
      <c r="S739">
        <v>0</v>
      </c>
      <c r="T739">
        <v>0</v>
      </c>
    </row>
    <row r="740" spans="1:20" x14ac:dyDescent="0.3">
      <c r="A740" t="s">
        <v>55</v>
      </c>
      <c r="B740">
        <v>49</v>
      </c>
      <c r="D740">
        <v>0</v>
      </c>
      <c r="E740">
        <v>0</v>
      </c>
      <c r="F740">
        <v>0</v>
      </c>
      <c r="H740">
        <v>0</v>
      </c>
      <c r="I740">
        <v>0</v>
      </c>
      <c r="J740">
        <v>0</v>
      </c>
      <c r="L740">
        <v>0</v>
      </c>
      <c r="M740">
        <v>0</v>
      </c>
      <c r="N740">
        <v>0</v>
      </c>
      <c r="P740">
        <v>0</v>
      </c>
      <c r="R740">
        <v>0</v>
      </c>
      <c r="S740">
        <v>0</v>
      </c>
      <c r="T740">
        <v>0</v>
      </c>
    </row>
    <row r="741" spans="1:20" x14ac:dyDescent="0.3">
      <c r="A741" t="s">
        <v>56</v>
      </c>
      <c r="B741">
        <v>49</v>
      </c>
      <c r="D741">
        <v>0.92</v>
      </c>
      <c r="E741">
        <v>0.92</v>
      </c>
      <c r="F741">
        <v>0.92</v>
      </c>
      <c r="H741">
        <v>0.92</v>
      </c>
      <c r="I741">
        <v>0.92</v>
      </c>
      <c r="J741">
        <v>0.92</v>
      </c>
      <c r="L741">
        <v>0.92</v>
      </c>
      <c r="M741">
        <v>0.92</v>
      </c>
      <c r="N741">
        <v>0.92</v>
      </c>
      <c r="P741">
        <v>0.92</v>
      </c>
      <c r="R741">
        <v>0.92</v>
      </c>
      <c r="S741">
        <v>0.92</v>
      </c>
      <c r="T741">
        <v>0.92</v>
      </c>
    </row>
    <row r="742" spans="1:20" x14ac:dyDescent="0.3">
      <c r="A742" t="s">
        <v>57</v>
      </c>
      <c r="B742">
        <v>49</v>
      </c>
      <c r="D742">
        <v>100</v>
      </c>
      <c r="E742">
        <v>100</v>
      </c>
      <c r="F742">
        <v>100</v>
      </c>
      <c r="H742">
        <v>100</v>
      </c>
      <c r="I742">
        <v>100</v>
      </c>
      <c r="J742">
        <v>100</v>
      </c>
      <c r="L742">
        <v>100</v>
      </c>
      <c r="M742">
        <v>100</v>
      </c>
      <c r="N742">
        <v>100</v>
      </c>
      <c r="P742">
        <v>100</v>
      </c>
      <c r="R742">
        <v>100</v>
      </c>
      <c r="S742">
        <v>100</v>
      </c>
      <c r="T742">
        <v>100</v>
      </c>
    </row>
    <row r="743" spans="1:20" x14ac:dyDescent="0.3">
      <c r="A743" t="s">
        <v>58</v>
      </c>
      <c r="B743">
        <v>49</v>
      </c>
      <c r="D743">
        <v>2</v>
      </c>
      <c r="E743">
        <v>2</v>
      </c>
      <c r="F743">
        <v>2</v>
      </c>
      <c r="H743">
        <v>2</v>
      </c>
      <c r="I743">
        <v>2</v>
      </c>
      <c r="J743">
        <v>2</v>
      </c>
      <c r="L743">
        <v>2</v>
      </c>
      <c r="M743">
        <v>2</v>
      </c>
      <c r="N743">
        <v>2</v>
      </c>
      <c r="P743">
        <v>2</v>
      </c>
      <c r="R743">
        <v>2</v>
      </c>
      <c r="S743">
        <v>2</v>
      </c>
      <c r="T743">
        <v>2</v>
      </c>
    </row>
    <row r="744" spans="1:20" x14ac:dyDescent="0.3">
      <c r="A744" t="s">
        <v>59</v>
      </c>
      <c r="B744">
        <v>49</v>
      </c>
      <c r="D744">
        <v>0</v>
      </c>
      <c r="E744">
        <v>0</v>
      </c>
      <c r="F744">
        <v>0</v>
      </c>
      <c r="H744">
        <v>0</v>
      </c>
      <c r="I744">
        <v>0</v>
      </c>
      <c r="J744">
        <v>0</v>
      </c>
      <c r="L744">
        <v>0</v>
      </c>
      <c r="M744">
        <v>0</v>
      </c>
      <c r="N744">
        <v>0</v>
      </c>
      <c r="P744">
        <v>0</v>
      </c>
      <c r="R744">
        <v>0</v>
      </c>
      <c r="S744">
        <v>0</v>
      </c>
      <c r="T744">
        <v>0</v>
      </c>
    </row>
    <row r="745" spans="1:20" x14ac:dyDescent="0.3">
      <c r="A745" t="s">
        <v>730</v>
      </c>
      <c r="B745">
        <v>49</v>
      </c>
      <c r="E745">
        <v>0</v>
      </c>
      <c r="I745">
        <v>0</v>
      </c>
      <c r="M745">
        <v>0</v>
      </c>
      <c r="S745">
        <v>0</v>
      </c>
    </row>
    <row r="746" spans="1:20" x14ac:dyDescent="0.3">
      <c r="A746" t="s">
        <v>679</v>
      </c>
      <c r="B746">
        <v>49</v>
      </c>
      <c r="E746">
        <v>829</v>
      </c>
      <c r="I746">
        <v>589</v>
      </c>
      <c r="M746">
        <v>1947</v>
      </c>
      <c r="S746">
        <v>1829</v>
      </c>
    </row>
    <row r="747" spans="1:20" x14ac:dyDescent="0.3">
      <c r="A747" t="s">
        <v>78</v>
      </c>
      <c r="B747">
        <v>49</v>
      </c>
      <c r="E747">
        <v>12.6</v>
      </c>
      <c r="I747">
        <v>10</v>
      </c>
      <c r="M747">
        <v>33.200000000000003</v>
      </c>
      <c r="S747">
        <v>31.2</v>
      </c>
    </row>
    <row r="748" spans="1:20" x14ac:dyDescent="0.3">
      <c r="A748" t="s">
        <v>731</v>
      </c>
      <c r="B748">
        <v>49</v>
      </c>
      <c r="F748">
        <v>0</v>
      </c>
      <c r="J748">
        <v>0</v>
      </c>
      <c r="N748">
        <v>0</v>
      </c>
      <c r="T748">
        <v>0</v>
      </c>
    </row>
    <row r="749" spans="1:20" x14ac:dyDescent="0.3">
      <c r="A749" t="s">
        <v>732</v>
      </c>
      <c r="B749">
        <v>49</v>
      </c>
      <c r="D749">
        <v>0</v>
      </c>
      <c r="E749">
        <v>0</v>
      </c>
      <c r="F749">
        <v>1</v>
      </c>
      <c r="H749">
        <v>0</v>
      </c>
      <c r="I749">
        <v>0</v>
      </c>
      <c r="J749">
        <v>1</v>
      </c>
      <c r="L749">
        <v>0</v>
      </c>
      <c r="M749">
        <v>0</v>
      </c>
      <c r="N749">
        <v>1</v>
      </c>
      <c r="P749">
        <v>3</v>
      </c>
      <c r="R749">
        <v>0</v>
      </c>
      <c r="S749">
        <v>0</v>
      </c>
      <c r="T749">
        <v>1</v>
      </c>
    </row>
    <row r="750" spans="1:20" x14ac:dyDescent="0.3">
      <c r="A750" t="s">
        <v>733</v>
      </c>
      <c r="B750">
        <v>49</v>
      </c>
      <c r="D750">
        <v>0</v>
      </c>
      <c r="E750">
        <v>0</v>
      </c>
      <c r="F750">
        <v>0</v>
      </c>
      <c r="H750">
        <v>0</v>
      </c>
      <c r="I750">
        <v>0</v>
      </c>
      <c r="J750">
        <v>0</v>
      </c>
      <c r="L750">
        <v>0</v>
      </c>
      <c r="M750">
        <v>0</v>
      </c>
      <c r="N750">
        <v>0</v>
      </c>
      <c r="P750">
        <v>0</v>
      </c>
      <c r="R750">
        <v>0</v>
      </c>
      <c r="S750">
        <v>0</v>
      </c>
      <c r="T750">
        <v>0</v>
      </c>
    </row>
    <row r="751" spans="1:20" x14ac:dyDescent="0.3">
      <c r="A751" t="s">
        <v>52</v>
      </c>
      <c r="B751">
        <v>49</v>
      </c>
      <c r="D751">
        <v>1</v>
      </c>
      <c r="E751">
        <v>1</v>
      </c>
      <c r="F751">
        <v>1</v>
      </c>
      <c r="H751">
        <v>1</v>
      </c>
      <c r="I751">
        <v>1</v>
      </c>
      <c r="J751">
        <v>1</v>
      </c>
      <c r="L751">
        <v>1</v>
      </c>
      <c r="M751">
        <v>1</v>
      </c>
      <c r="N751">
        <v>1</v>
      </c>
      <c r="P751">
        <v>1</v>
      </c>
      <c r="R751">
        <v>1</v>
      </c>
      <c r="S751">
        <v>1</v>
      </c>
      <c r="T751">
        <v>1</v>
      </c>
    </row>
    <row r="752" spans="1:20" x14ac:dyDescent="0.3">
      <c r="A752" t="s">
        <v>734</v>
      </c>
      <c r="B752">
        <v>49</v>
      </c>
      <c r="D752">
        <v>15</v>
      </c>
      <c r="E752">
        <v>60</v>
      </c>
      <c r="F752">
        <v>9</v>
      </c>
      <c r="H752">
        <v>15</v>
      </c>
      <c r="I752">
        <v>60</v>
      </c>
      <c r="J752">
        <v>9</v>
      </c>
      <c r="L752">
        <v>15</v>
      </c>
      <c r="M752">
        <v>60</v>
      </c>
      <c r="N752">
        <v>9</v>
      </c>
      <c r="P752">
        <v>9</v>
      </c>
      <c r="R752">
        <v>15</v>
      </c>
      <c r="S752">
        <v>60</v>
      </c>
      <c r="T752">
        <v>9</v>
      </c>
    </row>
    <row r="753" spans="1:19" x14ac:dyDescent="0.3">
      <c r="A753" t="s">
        <v>43</v>
      </c>
      <c r="B753">
        <v>49</v>
      </c>
      <c r="D753">
        <v>20</v>
      </c>
      <c r="E753">
        <v>100</v>
      </c>
      <c r="H753">
        <v>20</v>
      </c>
      <c r="I753">
        <v>100</v>
      </c>
      <c r="L753">
        <v>20</v>
      </c>
      <c r="M753">
        <v>100</v>
      </c>
      <c r="R753">
        <v>20</v>
      </c>
      <c r="S753">
        <v>100</v>
      </c>
    </row>
    <row r="754" spans="1:19" x14ac:dyDescent="0.3">
      <c r="A754" t="s">
        <v>44</v>
      </c>
      <c r="B754">
        <v>49</v>
      </c>
      <c r="D754">
        <v>0</v>
      </c>
      <c r="E754">
        <v>0</v>
      </c>
      <c r="H754">
        <v>0</v>
      </c>
      <c r="I754">
        <v>0</v>
      </c>
      <c r="L754">
        <v>0</v>
      </c>
      <c r="M754">
        <v>0</v>
      </c>
      <c r="R754">
        <v>0</v>
      </c>
      <c r="S754">
        <v>0</v>
      </c>
    </row>
    <row r="755" spans="1:19" x14ac:dyDescent="0.3">
      <c r="A755" t="s">
        <v>47</v>
      </c>
      <c r="B755">
        <v>49</v>
      </c>
      <c r="D755">
        <v>7</v>
      </c>
      <c r="E755">
        <v>4</v>
      </c>
      <c r="H755">
        <v>3</v>
      </c>
      <c r="I755">
        <v>8</v>
      </c>
      <c r="L755">
        <v>1</v>
      </c>
      <c r="M755">
        <v>6</v>
      </c>
      <c r="R755">
        <v>5</v>
      </c>
      <c r="S755">
        <v>2</v>
      </c>
    </row>
    <row r="756" spans="1:19" x14ac:dyDescent="0.3">
      <c r="A756" t="s">
        <v>735</v>
      </c>
      <c r="B756">
        <v>49</v>
      </c>
      <c r="D756">
        <v>0</v>
      </c>
      <c r="E756">
        <v>0</v>
      </c>
      <c r="H756">
        <v>0</v>
      </c>
      <c r="I756">
        <v>0</v>
      </c>
      <c r="L756">
        <v>0</v>
      </c>
      <c r="M756">
        <v>0</v>
      </c>
      <c r="R756">
        <v>0</v>
      </c>
      <c r="S756">
        <v>0</v>
      </c>
    </row>
    <row r="757" spans="1:19" x14ac:dyDescent="0.3">
      <c r="A757" t="s">
        <v>736</v>
      </c>
      <c r="B757">
        <v>49</v>
      </c>
      <c r="D757">
        <v>0</v>
      </c>
      <c r="E757">
        <v>0</v>
      </c>
      <c r="H757">
        <v>0</v>
      </c>
      <c r="I757">
        <v>0</v>
      </c>
      <c r="L757">
        <v>0</v>
      </c>
      <c r="M757">
        <v>0</v>
      </c>
      <c r="R757">
        <v>0</v>
      </c>
      <c r="S757">
        <v>0</v>
      </c>
    </row>
    <row r="758" spans="1:19" x14ac:dyDescent="0.3">
      <c r="A758" t="s">
        <v>737</v>
      </c>
      <c r="B758">
        <v>49</v>
      </c>
      <c r="D758">
        <v>0</v>
      </c>
      <c r="E758">
        <v>0</v>
      </c>
      <c r="H758">
        <v>0</v>
      </c>
      <c r="I758">
        <v>0</v>
      </c>
      <c r="L758">
        <v>0</v>
      </c>
      <c r="M758">
        <v>0</v>
      </c>
      <c r="R758">
        <v>0</v>
      </c>
      <c r="S758">
        <v>0</v>
      </c>
    </row>
    <row r="759" spans="1:19" x14ac:dyDescent="0.3">
      <c r="A759" t="s">
        <v>738</v>
      </c>
      <c r="B759">
        <v>49</v>
      </c>
      <c r="D759">
        <v>0</v>
      </c>
      <c r="E759">
        <v>0</v>
      </c>
      <c r="H759">
        <v>0</v>
      </c>
      <c r="I759">
        <v>0</v>
      </c>
      <c r="L759">
        <v>0</v>
      </c>
      <c r="M759">
        <v>0</v>
      </c>
      <c r="R759">
        <v>0</v>
      </c>
      <c r="S759">
        <v>0</v>
      </c>
    </row>
    <row r="760" spans="1:19" x14ac:dyDescent="0.3">
      <c r="A760" t="s">
        <v>739</v>
      </c>
      <c r="B760">
        <v>49</v>
      </c>
      <c r="D760">
        <v>1</v>
      </c>
      <c r="E760">
        <v>2</v>
      </c>
      <c r="H760">
        <v>1</v>
      </c>
      <c r="I760">
        <v>2</v>
      </c>
      <c r="L760">
        <v>1</v>
      </c>
      <c r="M760">
        <v>2</v>
      </c>
      <c r="R760">
        <v>1</v>
      </c>
      <c r="S760">
        <v>2</v>
      </c>
    </row>
    <row r="761" spans="1:19" x14ac:dyDescent="0.3">
      <c r="A761" t="s">
        <v>740</v>
      </c>
      <c r="B761">
        <v>49</v>
      </c>
      <c r="D761">
        <v>0</v>
      </c>
      <c r="E761">
        <v>0</v>
      </c>
      <c r="H761">
        <v>0</v>
      </c>
      <c r="I761">
        <v>0</v>
      </c>
      <c r="L761">
        <v>0</v>
      </c>
      <c r="M761">
        <v>0</v>
      </c>
      <c r="R761">
        <v>0</v>
      </c>
      <c r="S761">
        <v>0</v>
      </c>
    </row>
    <row r="762" spans="1:19" x14ac:dyDescent="0.3">
      <c r="A762" t="s">
        <v>741</v>
      </c>
      <c r="B762">
        <v>49</v>
      </c>
      <c r="D762">
        <v>20</v>
      </c>
      <c r="E762">
        <v>6</v>
      </c>
      <c r="H762">
        <v>20</v>
      </c>
      <c r="I762">
        <v>6</v>
      </c>
      <c r="L762">
        <v>20</v>
      </c>
      <c r="M762">
        <v>6</v>
      </c>
      <c r="R762">
        <v>20</v>
      </c>
      <c r="S762">
        <v>6</v>
      </c>
    </row>
    <row r="763" spans="1:19" x14ac:dyDescent="0.3">
      <c r="A763" t="s">
        <v>742</v>
      </c>
      <c r="B763">
        <v>49</v>
      </c>
      <c r="D763">
        <v>3</v>
      </c>
      <c r="E763">
        <v>3</v>
      </c>
      <c r="H763">
        <v>3</v>
      </c>
      <c r="I763">
        <v>3</v>
      </c>
      <c r="L763">
        <v>3</v>
      </c>
      <c r="M763">
        <v>3</v>
      </c>
      <c r="R763">
        <v>3</v>
      </c>
      <c r="S763">
        <v>3</v>
      </c>
    </row>
    <row r="764" spans="1:19" x14ac:dyDescent="0.3">
      <c r="A764" t="s">
        <v>743</v>
      </c>
      <c r="B764">
        <v>49</v>
      </c>
      <c r="D764">
        <v>0</v>
      </c>
      <c r="E764">
        <v>0</v>
      </c>
      <c r="H764">
        <v>0</v>
      </c>
      <c r="I764">
        <v>0</v>
      </c>
      <c r="L764">
        <v>0</v>
      </c>
      <c r="M764">
        <v>0</v>
      </c>
      <c r="R764">
        <v>0</v>
      </c>
      <c r="S764">
        <v>0</v>
      </c>
    </row>
    <row r="765" spans="1:19" x14ac:dyDescent="0.3">
      <c r="A765" t="s">
        <v>744</v>
      </c>
      <c r="B765">
        <v>49</v>
      </c>
      <c r="D765">
        <v>0</v>
      </c>
      <c r="E765">
        <v>0</v>
      </c>
      <c r="H765">
        <v>0</v>
      </c>
      <c r="I765">
        <v>0</v>
      </c>
      <c r="L765">
        <v>0</v>
      </c>
      <c r="M765">
        <v>0</v>
      </c>
      <c r="R765">
        <v>0</v>
      </c>
      <c r="S765">
        <v>0</v>
      </c>
    </row>
    <row r="766" spans="1:19" x14ac:dyDescent="0.3">
      <c r="A766" t="s">
        <v>745</v>
      </c>
      <c r="B766">
        <v>49</v>
      </c>
      <c r="D766">
        <v>0</v>
      </c>
      <c r="E766">
        <v>0</v>
      </c>
      <c r="H766">
        <v>0</v>
      </c>
      <c r="I766">
        <v>0</v>
      </c>
      <c r="L766">
        <v>0</v>
      </c>
      <c r="M766">
        <v>0</v>
      </c>
      <c r="R766">
        <v>0</v>
      </c>
      <c r="S766">
        <v>0</v>
      </c>
    </row>
    <row r="767" spans="1:19" x14ac:dyDescent="0.3">
      <c r="A767" t="s">
        <v>746</v>
      </c>
      <c r="B767">
        <v>49</v>
      </c>
      <c r="E767">
        <v>94</v>
      </c>
      <c r="I767">
        <v>94</v>
      </c>
      <c r="M767">
        <v>94</v>
      </c>
      <c r="S767">
        <v>94</v>
      </c>
    </row>
    <row r="768" spans="1:19" x14ac:dyDescent="0.3">
      <c r="A768" t="s">
        <v>747</v>
      </c>
      <c r="B768">
        <v>49</v>
      </c>
      <c r="E768">
        <v>6</v>
      </c>
      <c r="I768">
        <v>6</v>
      </c>
      <c r="M768">
        <v>6</v>
      </c>
      <c r="S768">
        <v>6</v>
      </c>
    </row>
    <row r="769" spans="1:20" x14ac:dyDescent="0.3">
      <c r="A769" t="s">
        <v>748</v>
      </c>
      <c r="B769">
        <v>49</v>
      </c>
      <c r="E769">
        <v>3</v>
      </c>
      <c r="I769">
        <v>3</v>
      </c>
      <c r="M769">
        <v>3</v>
      </c>
      <c r="S769">
        <v>3</v>
      </c>
    </row>
    <row r="770" spans="1:20" x14ac:dyDescent="0.3">
      <c r="A770" t="s">
        <v>749</v>
      </c>
      <c r="B770">
        <v>49</v>
      </c>
      <c r="E770">
        <v>0</v>
      </c>
      <c r="I770">
        <v>0</v>
      </c>
      <c r="M770">
        <v>0</v>
      </c>
      <c r="S770">
        <v>0</v>
      </c>
    </row>
    <row r="771" spans="1:20" x14ac:dyDescent="0.3">
      <c r="A771" t="s">
        <v>750</v>
      </c>
      <c r="B771">
        <v>49</v>
      </c>
      <c r="E771">
        <v>0</v>
      </c>
      <c r="I771">
        <v>0</v>
      </c>
      <c r="M771">
        <v>0</v>
      </c>
      <c r="S771">
        <v>0</v>
      </c>
    </row>
    <row r="772" spans="1:20" x14ac:dyDescent="0.3">
      <c r="A772" t="s">
        <v>405</v>
      </c>
      <c r="B772">
        <v>49</v>
      </c>
      <c r="E772">
        <v>0</v>
      </c>
    </row>
    <row r="773" spans="1:20" x14ac:dyDescent="0.3">
      <c r="A773" t="s">
        <v>751</v>
      </c>
      <c r="B773">
        <v>49</v>
      </c>
      <c r="D773">
        <v>195</v>
      </c>
      <c r="E773">
        <v>431</v>
      </c>
      <c r="F773">
        <v>0</v>
      </c>
      <c r="H773">
        <v>217</v>
      </c>
      <c r="I773">
        <v>480</v>
      </c>
      <c r="J773">
        <v>0</v>
      </c>
      <c r="L773">
        <v>143</v>
      </c>
      <c r="M773">
        <v>967</v>
      </c>
      <c r="N773">
        <v>0</v>
      </c>
      <c r="P773">
        <v>0</v>
      </c>
      <c r="R773">
        <v>142</v>
      </c>
      <c r="S773">
        <v>1227</v>
      </c>
      <c r="T773">
        <v>0</v>
      </c>
    </row>
    <row r="774" spans="1:20" x14ac:dyDescent="0.3">
      <c r="A774" t="s">
        <v>34</v>
      </c>
      <c r="B774">
        <v>53</v>
      </c>
      <c r="D774">
        <v>100</v>
      </c>
      <c r="E774">
        <v>100</v>
      </c>
      <c r="F774">
        <v>100</v>
      </c>
      <c r="H774">
        <v>55</v>
      </c>
      <c r="I774">
        <v>55</v>
      </c>
      <c r="J774">
        <v>55</v>
      </c>
      <c r="L774">
        <v>49</v>
      </c>
      <c r="M774">
        <v>49</v>
      </c>
      <c r="N774">
        <v>49</v>
      </c>
      <c r="P774">
        <v>97</v>
      </c>
      <c r="R774">
        <v>97</v>
      </c>
      <c r="S774">
        <v>97</v>
      </c>
      <c r="T774">
        <v>97</v>
      </c>
    </row>
    <row r="775" spans="1:20" x14ac:dyDescent="0.3">
      <c r="A775" t="s">
        <v>35</v>
      </c>
      <c r="B775">
        <v>53</v>
      </c>
      <c r="D775">
        <v>49</v>
      </c>
      <c r="E775">
        <v>55</v>
      </c>
      <c r="F775">
        <v>97</v>
      </c>
      <c r="H775">
        <v>97</v>
      </c>
      <c r="I775">
        <v>100</v>
      </c>
      <c r="J775">
        <v>49</v>
      </c>
      <c r="L775">
        <v>55</v>
      </c>
      <c r="M775">
        <v>97</v>
      </c>
      <c r="N775">
        <v>100</v>
      </c>
      <c r="P775">
        <v>97</v>
      </c>
      <c r="R775">
        <v>100</v>
      </c>
      <c r="S775">
        <v>49</v>
      </c>
      <c r="T775">
        <v>55</v>
      </c>
    </row>
    <row r="776" spans="1:20" x14ac:dyDescent="0.3">
      <c r="A776" t="s">
        <v>36</v>
      </c>
      <c r="B776">
        <v>53</v>
      </c>
      <c r="D776">
        <v>1</v>
      </c>
      <c r="E776">
        <v>0</v>
      </c>
      <c r="F776">
        <v>1</v>
      </c>
      <c r="H776">
        <v>1</v>
      </c>
      <c r="I776">
        <v>0</v>
      </c>
      <c r="J776">
        <v>1</v>
      </c>
      <c r="L776">
        <v>1</v>
      </c>
      <c r="M776">
        <v>3</v>
      </c>
      <c r="N776">
        <v>0</v>
      </c>
      <c r="P776">
        <v>1</v>
      </c>
      <c r="R776">
        <v>0</v>
      </c>
      <c r="S776">
        <v>3</v>
      </c>
      <c r="T776">
        <v>0</v>
      </c>
    </row>
    <row r="777" spans="1:20" x14ac:dyDescent="0.3">
      <c r="A777" t="s">
        <v>37</v>
      </c>
      <c r="B777">
        <v>53</v>
      </c>
      <c r="D777">
        <v>0</v>
      </c>
      <c r="E777">
        <v>0</v>
      </c>
      <c r="H777">
        <v>0</v>
      </c>
      <c r="I777">
        <v>0</v>
      </c>
      <c r="L777">
        <v>0</v>
      </c>
      <c r="M777">
        <v>0</v>
      </c>
      <c r="R777">
        <v>0</v>
      </c>
      <c r="S777">
        <v>2</v>
      </c>
    </row>
    <row r="778" spans="1:20" x14ac:dyDescent="0.3">
      <c r="A778" t="s">
        <v>38</v>
      </c>
      <c r="B778">
        <v>53</v>
      </c>
      <c r="D778">
        <v>12</v>
      </c>
      <c r="E778">
        <v>12</v>
      </c>
      <c r="F778">
        <v>12</v>
      </c>
      <c r="H778">
        <v>12</v>
      </c>
      <c r="I778">
        <v>12</v>
      </c>
      <c r="J778">
        <v>12</v>
      </c>
      <c r="L778">
        <v>12</v>
      </c>
      <c r="M778">
        <v>12</v>
      </c>
      <c r="N778">
        <v>12</v>
      </c>
      <c r="P778">
        <v>12</v>
      </c>
      <c r="R778">
        <v>12</v>
      </c>
      <c r="S778">
        <v>12</v>
      </c>
      <c r="T778">
        <v>12</v>
      </c>
    </row>
    <row r="779" spans="1:20" x14ac:dyDescent="0.3">
      <c r="A779" t="s">
        <v>39</v>
      </c>
      <c r="B779">
        <v>53</v>
      </c>
      <c r="H779">
        <v>118</v>
      </c>
      <c r="L779">
        <v>112</v>
      </c>
      <c r="R779">
        <v>112</v>
      </c>
    </row>
    <row r="780" spans="1:20" x14ac:dyDescent="0.3">
      <c r="A780" t="s">
        <v>726</v>
      </c>
      <c r="B780">
        <v>53</v>
      </c>
      <c r="H780">
        <v>25</v>
      </c>
      <c r="L780">
        <v>25</v>
      </c>
      <c r="R780">
        <v>25</v>
      </c>
    </row>
    <row r="781" spans="1:20" x14ac:dyDescent="0.3">
      <c r="A781" t="s">
        <v>40</v>
      </c>
      <c r="B781">
        <v>53</v>
      </c>
      <c r="H781">
        <v>1</v>
      </c>
      <c r="L781">
        <v>1</v>
      </c>
      <c r="R781">
        <v>1</v>
      </c>
    </row>
    <row r="782" spans="1:20" x14ac:dyDescent="0.3">
      <c r="A782" t="s">
        <v>41</v>
      </c>
      <c r="B782">
        <v>53</v>
      </c>
    </row>
    <row r="783" spans="1:20" x14ac:dyDescent="0.3">
      <c r="A783" t="s">
        <v>42</v>
      </c>
      <c r="B783">
        <v>53</v>
      </c>
      <c r="E783">
        <v>30</v>
      </c>
      <c r="I783">
        <v>25</v>
      </c>
      <c r="M783">
        <v>40</v>
      </c>
      <c r="S783">
        <v>40</v>
      </c>
    </row>
    <row r="784" spans="1:20" x14ac:dyDescent="0.3">
      <c r="A784" t="s">
        <v>45</v>
      </c>
      <c r="B784">
        <v>53</v>
      </c>
      <c r="D784">
        <v>4</v>
      </c>
      <c r="H784">
        <v>8</v>
      </c>
      <c r="L784">
        <v>1</v>
      </c>
      <c r="M784">
        <v>6</v>
      </c>
      <c r="S784">
        <v>2</v>
      </c>
    </row>
    <row r="785" spans="1:20" x14ac:dyDescent="0.3">
      <c r="A785" t="s">
        <v>46</v>
      </c>
      <c r="B785">
        <v>53</v>
      </c>
      <c r="F785">
        <v>4</v>
      </c>
      <c r="J785">
        <v>8</v>
      </c>
      <c r="L785">
        <v>6</v>
      </c>
      <c r="P785">
        <v>2</v>
      </c>
      <c r="R785">
        <v>2</v>
      </c>
    </row>
    <row r="786" spans="1:20" x14ac:dyDescent="0.3">
      <c r="A786" t="s">
        <v>49</v>
      </c>
      <c r="B786">
        <v>53</v>
      </c>
      <c r="D786">
        <v>5.6</v>
      </c>
      <c r="E786">
        <v>4</v>
      </c>
      <c r="F786">
        <v>5.6</v>
      </c>
      <c r="H786">
        <v>5.6</v>
      </c>
      <c r="I786">
        <v>4</v>
      </c>
      <c r="J786">
        <v>5.6</v>
      </c>
      <c r="L786">
        <v>4</v>
      </c>
      <c r="M786">
        <v>5</v>
      </c>
      <c r="N786">
        <v>4</v>
      </c>
      <c r="P786">
        <v>5</v>
      </c>
      <c r="R786">
        <v>5</v>
      </c>
      <c r="S786">
        <v>5</v>
      </c>
      <c r="T786">
        <v>4</v>
      </c>
    </row>
    <row r="787" spans="1:20" x14ac:dyDescent="0.3">
      <c r="A787" t="s">
        <v>727</v>
      </c>
      <c r="B787">
        <v>53</v>
      </c>
      <c r="D787">
        <v>0</v>
      </c>
      <c r="E787">
        <v>0</v>
      </c>
      <c r="F787">
        <v>0</v>
      </c>
      <c r="H787">
        <v>0</v>
      </c>
      <c r="I787">
        <v>0</v>
      </c>
      <c r="J787">
        <v>0</v>
      </c>
      <c r="L787">
        <v>0</v>
      </c>
      <c r="M787">
        <v>0</v>
      </c>
      <c r="N787">
        <v>0</v>
      </c>
      <c r="P787">
        <v>0</v>
      </c>
      <c r="R787">
        <v>0</v>
      </c>
      <c r="S787">
        <v>0</v>
      </c>
      <c r="T787">
        <v>0</v>
      </c>
    </row>
    <row r="788" spans="1:20" x14ac:dyDescent="0.3">
      <c r="A788" t="s">
        <v>48</v>
      </c>
      <c r="B788">
        <v>53</v>
      </c>
      <c r="D788">
        <v>1900</v>
      </c>
      <c r="E788">
        <v>1900</v>
      </c>
      <c r="F788">
        <v>1900</v>
      </c>
      <c r="H788">
        <v>1900</v>
      </c>
      <c r="I788">
        <v>1900</v>
      </c>
      <c r="J788">
        <v>1900</v>
      </c>
      <c r="L788">
        <v>1900</v>
      </c>
      <c r="M788">
        <v>1900</v>
      </c>
      <c r="N788">
        <v>1900</v>
      </c>
      <c r="P788">
        <v>1900</v>
      </c>
      <c r="R788">
        <v>1900</v>
      </c>
      <c r="S788">
        <v>1900</v>
      </c>
      <c r="T788">
        <v>1900</v>
      </c>
    </row>
    <row r="789" spans="1:20" x14ac:dyDescent="0.3">
      <c r="A789" t="s">
        <v>728</v>
      </c>
      <c r="B789">
        <v>53</v>
      </c>
      <c r="D789">
        <v>1863</v>
      </c>
      <c r="E789">
        <v>0</v>
      </c>
      <c r="F789">
        <v>1863</v>
      </c>
      <c r="H789">
        <v>1770</v>
      </c>
      <c r="I789">
        <v>0</v>
      </c>
      <c r="J789">
        <v>1583</v>
      </c>
      <c r="L789">
        <v>1770</v>
      </c>
      <c r="M789">
        <v>5085</v>
      </c>
      <c r="N789">
        <v>0</v>
      </c>
      <c r="P789">
        <v>1863</v>
      </c>
      <c r="R789">
        <v>0</v>
      </c>
      <c r="S789">
        <v>5040</v>
      </c>
      <c r="T789">
        <v>0</v>
      </c>
    </row>
    <row r="790" spans="1:20" x14ac:dyDescent="0.3">
      <c r="A790" t="s">
        <v>50</v>
      </c>
      <c r="B790">
        <v>53</v>
      </c>
      <c r="D790">
        <v>1863</v>
      </c>
      <c r="E790">
        <v>0</v>
      </c>
      <c r="F790">
        <v>1863</v>
      </c>
      <c r="H790">
        <v>1770</v>
      </c>
      <c r="I790">
        <v>0</v>
      </c>
      <c r="J790">
        <v>1583</v>
      </c>
      <c r="L790">
        <v>181</v>
      </c>
      <c r="M790">
        <v>5085</v>
      </c>
      <c r="N790">
        <v>0</v>
      </c>
      <c r="P790">
        <v>1863</v>
      </c>
      <c r="R790">
        <v>0</v>
      </c>
      <c r="S790">
        <v>4712</v>
      </c>
      <c r="T790">
        <v>0</v>
      </c>
    </row>
    <row r="791" spans="1:20" x14ac:dyDescent="0.3">
      <c r="A791" t="s">
        <v>729</v>
      </c>
      <c r="B791">
        <v>53</v>
      </c>
      <c r="D791">
        <v>1</v>
      </c>
      <c r="E791">
        <v>1</v>
      </c>
      <c r="F791">
        <v>1</v>
      </c>
      <c r="H791">
        <v>1</v>
      </c>
      <c r="I791">
        <v>1</v>
      </c>
      <c r="J791">
        <v>1</v>
      </c>
      <c r="L791">
        <v>1</v>
      </c>
      <c r="M791">
        <v>1</v>
      </c>
      <c r="N791">
        <v>1</v>
      </c>
      <c r="P791">
        <v>1</v>
      </c>
      <c r="R791">
        <v>1</v>
      </c>
      <c r="S791">
        <v>1</v>
      </c>
      <c r="T791">
        <v>1</v>
      </c>
    </row>
    <row r="792" spans="1:20" x14ac:dyDescent="0.3">
      <c r="A792" t="s">
        <v>51</v>
      </c>
      <c r="B792">
        <v>53</v>
      </c>
      <c r="D792">
        <v>0</v>
      </c>
      <c r="E792">
        <v>0</v>
      </c>
      <c r="F792">
        <v>0</v>
      </c>
      <c r="H792">
        <v>0</v>
      </c>
      <c r="I792">
        <v>0</v>
      </c>
      <c r="J792">
        <v>55</v>
      </c>
      <c r="L792">
        <v>0</v>
      </c>
      <c r="M792">
        <v>1</v>
      </c>
      <c r="N792">
        <v>0</v>
      </c>
      <c r="P792">
        <v>0</v>
      </c>
      <c r="R792">
        <v>0</v>
      </c>
      <c r="S792">
        <v>14</v>
      </c>
      <c r="T792">
        <v>0</v>
      </c>
    </row>
    <row r="793" spans="1:20" x14ac:dyDescent="0.3">
      <c r="A793" t="s">
        <v>53</v>
      </c>
      <c r="B793">
        <v>53</v>
      </c>
      <c r="D793">
        <v>0</v>
      </c>
      <c r="E793">
        <v>0</v>
      </c>
      <c r="F793">
        <v>0</v>
      </c>
      <c r="H793">
        <v>72</v>
      </c>
      <c r="I793">
        <v>0</v>
      </c>
      <c r="J793">
        <v>35</v>
      </c>
      <c r="L793">
        <v>45</v>
      </c>
      <c r="M793">
        <v>1285</v>
      </c>
      <c r="N793">
        <v>3</v>
      </c>
      <c r="P793">
        <v>0</v>
      </c>
      <c r="R793">
        <v>5</v>
      </c>
      <c r="S793">
        <v>1403</v>
      </c>
      <c r="T793">
        <v>90</v>
      </c>
    </row>
    <row r="794" spans="1:20" x14ac:dyDescent="0.3">
      <c r="A794" t="s">
        <v>54</v>
      </c>
      <c r="B794">
        <v>53</v>
      </c>
      <c r="D794">
        <v>0</v>
      </c>
      <c r="E794">
        <v>0</v>
      </c>
      <c r="F794">
        <v>0</v>
      </c>
      <c r="H794">
        <v>0</v>
      </c>
      <c r="I794">
        <v>0</v>
      </c>
      <c r="J794">
        <v>0</v>
      </c>
      <c r="L794">
        <v>0</v>
      </c>
      <c r="M794">
        <v>0</v>
      </c>
      <c r="N794">
        <v>0</v>
      </c>
      <c r="P794">
        <v>0</v>
      </c>
      <c r="R794">
        <v>0</v>
      </c>
      <c r="S794">
        <v>0</v>
      </c>
      <c r="T794">
        <v>0</v>
      </c>
    </row>
    <row r="795" spans="1:20" x14ac:dyDescent="0.3">
      <c r="A795" t="s">
        <v>55</v>
      </c>
      <c r="B795">
        <v>53</v>
      </c>
      <c r="D795">
        <v>0</v>
      </c>
      <c r="E795">
        <v>0</v>
      </c>
      <c r="F795">
        <v>0</v>
      </c>
      <c r="H795">
        <v>0</v>
      </c>
      <c r="I795">
        <v>0</v>
      </c>
      <c r="J795">
        <v>0</v>
      </c>
      <c r="L795">
        <v>0</v>
      </c>
      <c r="M795">
        <v>0</v>
      </c>
      <c r="N795">
        <v>0</v>
      </c>
      <c r="P795">
        <v>0</v>
      </c>
      <c r="R795">
        <v>0</v>
      </c>
      <c r="S795">
        <v>0</v>
      </c>
      <c r="T795">
        <v>0</v>
      </c>
    </row>
    <row r="796" spans="1:20" x14ac:dyDescent="0.3">
      <c r="A796" t="s">
        <v>56</v>
      </c>
      <c r="B796">
        <v>53</v>
      </c>
      <c r="D796">
        <v>0.92</v>
      </c>
      <c r="E796">
        <v>0.92</v>
      </c>
      <c r="F796">
        <v>0.92</v>
      </c>
      <c r="H796">
        <v>0.92</v>
      </c>
      <c r="I796">
        <v>0.92</v>
      </c>
      <c r="J796">
        <v>0.92</v>
      </c>
      <c r="L796">
        <v>0.92</v>
      </c>
      <c r="M796">
        <v>0.92</v>
      </c>
      <c r="N796">
        <v>0.92</v>
      </c>
      <c r="P796">
        <v>0.92</v>
      </c>
      <c r="R796">
        <v>0.92</v>
      </c>
      <c r="S796">
        <v>0.92</v>
      </c>
      <c r="T796">
        <v>0.92</v>
      </c>
    </row>
    <row r="797" spans="1:20" x14ac:dyDescent="0.3">
      <c r="A797" t="s">
        <v>57</v>
      </c>
      <c r="B797">
        <v>53</v>
      </c>
      <c r="D797">
        <v>100</v>
      </c>
      <c r="E797">
        <v>100</v>
      </c>
      <c r="F797">
        <v>100</v>
      </c>
      <c r="H797">
        <v>100</v>
      </c>
      <c r="I797">
        <v>100</v>
      </c>
      <c r="J797">
        <v>100</v>
      </c>
      <c r="L797">
        <v>100</v>
      </c>
      <c r="M797">
        <v>100</v>
      </c>
      <c r="N797">
        <v>100</v>
      </c>
      <c r="P797">
        <v>100</v>
      </c>
      <c r="R797">
        <v>100</v>
      </c>
      <c r="S797">
        <v>100</v>
      </c>
      <c r="T797">
        <v>100</v>
      </c>
    </row>
    <row r="798" spans="1:20" x14ac:dyDescent="0.3">
      <c r="A798" t="s">
        <v>58</v>
      </c>
      <c r="B798">
        <v>53</v>
      </c>
      <c r="D798">
        <v>2</v>
      </c>
      <c r="E798">
        <v>2</v>
      </c>
      <c r="F798">
        <v>2</v>
      </c>
      <c r="H798">
        <v>2</v>
      </c>
      <c r="I798">
        <v>2</v>
      </c>
      <c r="J798">
        <v>2</v>
      </c>
      <c r="L798">
        <v>2</v>
      </c>
      <c r="M798">
        <v>2</v>
      </c>
      <c r="N798">
        <v>2</v>
      </c>
      <c r="P798">
        <v>2</v>
      </c>
      <c r="R798">
        <v>2</v>
      </c>
      <c r="S798">
        <v>2</v>
      </c>
      <c r="T798">
        <v>2</v>
      </c>
    </row>
    <row r="799" spans="1:20" x14ac:dyDescent="0.3">
      <c r="A799" t="s">
        <v>59</v>
      </c>
      <c r="B799">
        <v>53</v>
      </c>
      <c r="D799">
        <v>0</v>
      </c>
      <c r="E799">
        <v>0</v>
      </c>
      <c r="F799">
        <v>0</v>
      </c>
      <c r="H799">
        <v>0</v>
      </c>
      <c r="I799">
        <v>0</v>
      </c>
      <c r="J799">
        <v>0</v>
      </c>
      <c r="L799">
        <v>0</v>
      </c>
      <c r="M799">
        <v>0</v>
      </c>
      <c r="N799">
        <v>0</v>
      </c>
      <c r="P799">
        <v>0</v>
      </c>
      <c r="R799">
        <v>0</v>
      </c>
      <c r="S799">
        <v>0</v>
      </c>
      <c r="T799">
        <v>0</v>
      </c>
    </row>
    <row r="800" spans="1:20" x14ac:dyDescent="0.3">
      <c r="A800" t="s">
        <v>730</v>
      </c>
      <c r="B800">
        <v>53</v>
      </c>
      <c r="E800">
        <v>0</v>
      </c>
      <c r="I800">
        <v>0</v>
      </c>
      <c r="M800">
        <v>0</v>
      </c>
      <c r="S800">
        <v>0</v>
      </c>
    </row>
    <row r="801" spans="1:20" x14ac:dyDescent="0.3">
      <c r="A801" t="s">
        <v>679</v>
      </c>
      <c r="B801">
        <v>53</v>
      </c>
      <c r="E801">
        <v>249</v>
      </c>
      <c r="I801">
        <v>437</v>
      </c>
      <c r="M801">
        <v>1829</v>
      </c>
      <c r="S801">
        <v>1087</v>
      </c>
    </row>
    <row r="802" spans="1:20" x14ac:dyDescent="0.3">
      <c r="A802" t="s">
        <v>78</v>
      </c>
      <c r="B802">
        <v>53</v>
      </c>
      <c r="E802">
        <v>5.7</v>
      </c>
      <c r="I802">
        <v>11.9</v>
      </c>
      <c r="M802">
        <v>31.2</v>
      </c>
      <c r="S802">
        <v>18.5</v>
      </c>
    </row>
    <row r="803" spans="1:20" x14ac:dyDescent="0.3">
      <c r="A803" t="s">
        <v>731</v>
      </c>
      <c r="B803">
        <v>53</v>
      </c>
      <c r="F803">
        <v>0</v>
      </c>
      <c r="J803">
        <v>0</v>
      </c>
      <c r="N803">
        <v>0</v>
      </c>
      <c r="T803">
        <v>0</v>
      </c>
    </row>
    <row r="804" spans="1:20" x14ac:dyDescent="0.3">
      <c r="A804" t="s">
        <v>732</v>
      </c>
      <c r="B804">
        <v>53</v>
      </c>
      <c r="D804">
        <v>0</v>
      </c>
      <c r="E804">
        <v>0</v>
      </c>
      <c r="F804">
        <v>1</v>
      </c>
      <c r="H804">
        <v>0</v>
      </c>
      <c r="I804">
        <v>0</v>
      </c>
      <c r="J804">
        <v>1</v>
      </c>
      <c r="L804">
        <v>0</v>
      </c>
      <c r="M804">
        <v>0</v>
      </c>
      <c r="N804">
        <v>1</v>
      </c>
      <c r="P804">
        <v>3</v>
      </c>
      <c r="R804">
        <v>0</v>
      </c>
      <c r="S804">
        <v>0</v>
      </c>
      <c r="T804">
        <v>1</v>
      </c>
    </row>
    <row r="805" spans="1:20" x14ac:dyDescent="0.3">
      <c r="A805" t="s">
        <v>733</v>
      </c>
      <c r="B805">
        <v>53</v>
      </c>
      <c r="D805">
        <v>0</v>
      </c>
      <c r="E805">
        <v>0</v>
      </c>
      <c r="F805">
        <v>0</v>
      </c>
      <c r="H805">
        <v>0</v>
      </c>
      <c r="I805">
        <v>0</v>
      </c>
      <c r="J805">
        <v>0</v>
      </c>
      <c r="L805">
        <v>0</v>
      </c>
      <c r="M805">
        <v>0</v>
      </c>
      <c r="N805">
        <v>0</v>
      </c>
      <c r="P805">
        <v>0</v>
      </c>
      <c r="R805">
        <v>0</v>
      </c>
      <c r="S805">
        <v>0</v>
      </c>
      <c r="T805">
        <v>0</v>
      </c>
    </row>
    <row r="806" spans="1:20" x14ac:dyDescent="0.3">
      <c r="A806" t="s">
        <v>52</v>
      </c>
      <c r="B806">
        <v>53</v>
      </c>
      <c r="D806">
        <v>1</v>
      </c>
      <c r="E806">
        <v>1</v>
      </c>
      <c r="F806">
        <v>1</v>
      </c>
      <c r="H806">
        <v>1</v>
      </c>
      <c r="I806">
        <v>1</v>
      </c>
      <c r="J806">
        <v>1</v>
      </c>
      <c r="L806">
        <v>1</v>
      </c>
      <c r="M806">
        <v>1</v>
      </c>
      <c r="N806">
        <v>1</v>
      </c>
      <c r="P806">
        <v>1</v>
      </c>
      <c r="R806">
        <v>1</v>
      </c>
      <c r="S806">
        <v>1</v>
      </c>
      <c r="T806">
        <v>1</v>
      </c>
    </row>
    <row r="807" spans="1:20" x14ac:dyDescent="0.3">
      <c r="A807" t="s">
        <v>734</v>
      </c>
      <c r="B807">
        <v>53</v>
      </c>
      <c r="D807">
        <v>15</v>
      </c>
      <c r="E807">
        <v>60</v>
      </c>
      <c r="F807">
        <v>9</v>
      </c>
      <c r="H807">
        <v>15</v>
      </c>
      <c r="I807">
        <v>60</v>
      </c>
      <c r="J807">
        <v>9</v>
      </c>
      <c r="L807">
        <v>15</v>
      </c>
      <c r="M807">
        <v>60</v>
      </c>
      <c r="N807">
        <v>9</v>
      </c>
      <c r="P807">
        <v>9</v>
      </c>
      <c r="R807">
        <v>15</v>
      </c>
      <c r="S807">
        <v>60</v>
      </c>
      <c r="T807">
        <v>9</v>
      </c>
    </row>
    <row r="808" spans="1:20" x14ac:dyDescent="0.3">
      <c r="A808" t="s">
        <v>43</v>
      </c>
      <c r="B808">
        <v>53</v>
      </c>
      <c r="D808">
        <v>20</v>
      </c>
      <c r="F808">
        <v>20</v>
      </c>
      <c r="H808">
        <v>20</v>
      </c>
      <c r="J808">
        <v>20</v>
      </c>
      <c r="L808">
        <v>20</v>
      </c>
      <c r="M808">
        <v>100</v>
      </c>
      <c r="P808">
        <v>20</v>
      </c>
      <c r="R808">
        <v>20</v>
      </c>
      <c r="S808">
        <v>100</v>
      </c>
    </row>
    <row r="809" spans="1:20" x14ac:dyDescent="0.3">
      <c r="A809" t="s">
        <v>44</v>
      </c>
      <c r="B809">
        <v>53</v>
      </c>
      <c r="D809">
        <v>0</v>
      </c>
      <c r="F809">
        <v>0</v>
      </c>
      <c r="H809">
        <v>0</v>
      </c>
      <c r="J809">
        <v>0</v>
      </c>
      <c r="L809">
        <v>0</v>
      </c>
      <c r="M809">
        <v>0</v>
      </c>
      <c r="P809">
        <v>0</v>
      </c>
      <c r="R809">
        <v>0</v>
      </c>
      <c r="S809">
        <v>0</v>
      </c>
    </row>
    <row r="810" spans="1:20" x14ac:dyDescent="0.3">
      <c r="A810" t="s">
        <v>47</v>
      </c>
      <c r="B810">
        <v>53</v>
      </c>
      <c r="D810">
        <v>4</v>
      </c>
      <c r="F810">
        <v>4</v>
      </c>
      <c r="H810">
        <v>8</v>
      </c>
      <c r="J810">
        <v>8</v>
      </c>
      <c r="L810">
        <v>1</v>
      </c>
      <c r="M810">
        <v>6</v>
      </c>
      <c r="P810">
        <v>2</v>
      </c>
      <c r="R810">
        <v>2</v>
      </c>
      <c r="S810">
        <v>2</v>
      </c>
    </row>
    <row r="811" spans="1:20" x14ac:dyDescent="0.3">
      <c r="A811" t="s">
        <v>735</v>
      </c>
      <c r="B811">
        <v>53</v>
      </c>
      <c r="D811">
        <v>0</v>
      </c>
      <c r="F811">
        <v>0</v>
      </c>
      <c r="H811">
        <v>0</v>
      </c>
      <c r="J811">
        <v>0</v>
      </c>
      <c r="L811">
        <v>0</v>
      </c>
      <c r="M811">
        <v>0</v>
      </c>
      <c r="P811">
        <v>0</v>
      </c>
      <c r="R811">
        <v>0</v>
      </c>
      <c r="S811">
        <v>0</v>
      </c>
    </row>
    <row r="812" spans="1:20" x14ac:dyDescent="0.3">
      <c r="A812" t="s">
        <v>736</v>
      </c>
      <c r="B812">
        <v>53</v>
      </c>
      <c r="D812">
        <v>0</v>
      </c>
      <c r="F812">
        <v>0</v>
      </c>
      <c r="H812">
        <v>0</v>
      </c>
      <c r="J812">
        <v>0</v>
      </c>
      <c r="L812">
        <v>0</v>
      </c>
      <c r="M812">
        <v>0</v>
      </c>
      <c r="P812">
        <v>0</v>
      </c>
      <c r="R812">
        <v>0</v>
      </c>
      <c r="S812">
        <v>0</v>
      </c>
    </row>
    <row r="813" spans="1:20" x14ac:dyDescent="0.3">
      <c r="A813" t="s">
        <v>737</v>
      </c>
      <c r="B813">
        <v>53</v>
      </c>
      <c r="D813">
        <v>0</v>
      </c>
      <c r="F813">
        <v>0</v>
      </c>
      <c r="H813">
        <v>0</v>
      </c>
      <c r="J813">
        <v>0</v>
      </c>
      <c r="L813">
        <v>0</v>
      </c>
      <c r="M813">
        <v>0</v>
      </c>
      <c r="P813">
        <v>0</v>
      </c>
      <c r="R813">
        <v>0</v>
      </c>
      <c r="S813">
        <v>0</v>
      </c>
    </row>
    <row r="814" spans="1:20" x14ac:dyDescent="0.3">
      <c r="A814" t="s">
        <v>738</v>
      </c>
      <c r="B814">
        <v>53</v>
      </c>
      <c r="D814">
        <v>0</v>
      </c>
      <c r="F814">
        <v>0</v>
      </c>
      <c r="H814">
        <v>0</v>
      </c>
      <c r="J814">
        <v>0</v>
      </c>
      <c r="L814">
        <v>0</v>
      </c>
      <c r="M814">
        <v>0</v>
      </c>
      <c r="P814">
        <v>0</v>
      </c>
      <c r="R814">
        <v>0</v>
      </c>
      <c r="S814">
        <v>0</v>
      </c>
    </row>
    <row r="815" spans="1:20" x14ac:dyDescent="0.3">
      <c r="A815" t="s">
        <v>739</v>
      </c>
      <c r="B815">
        <v>53</v>
      </c>
      <c r="D815">
        <v>1</v>
      </c>
      <c r="F815">
        <v>1</v>
      </c>
      <c r="H815">
        <v>1</v>
      </c>
      <c r="J815">
        <v>1</v>
      </c>
      <c r="L815">
        <v>1</v>
      </c>
      <c r="M815">
        <v>2</v>
      </c>
      <c r="P815">
        <v>1</v>
      </c>
      <c r="R815">
        <v>1</v>
      </c>
      <c r="S815">
        <v>2</v>
      </c>
    </row>
    <row r="816" spans="1:20" x14ac:dyDescent="0.3">
      <c r="A816" t="s">
        <v>740</v>
      </c>
      <c r="B816">
        <v>53</v>
      </c>
      <c r="D816">
        <v>0</v>
      </c>
      <c r="F816">
        <v>0</v>
      </c>
      <c r="H816">
        <v>0</v>
      </c>
      <c r="J816">
        <v>0</v>
      </c>
      <c r="L816">
        <v>0</v>
      </c>
      <c r="M816">
        <v>0</v>
      </c>
      <c r="P816">
        <v>0</v>
      </c>
      <c r="R816">
        <v>0</v>
      </c>
      <c r="S816">
        <v>0</v>
      </c>
    </row>
    <row r="817" spans="1:24" x14ac:dyDescent="0.3">
      <c r="A817" t="s">
        <v>741</v>
      </c>
      <c r="B817">
        <v>53</v>
      </c>
      <c r="D817">
        <v>20</v>
      </c>
      <c r="F817">
        <v>20</v>
      </c>
      <c r="H817">
        <v>20</v>
      </c>
      <c r="J817">
        <v>20</v>
      </c>
      <c r="L817">
        <v>20</v>
      </c>
      <c r="M817">
        <v>6</v>
      </c>
      <c r="P817">
        <v>20</v>
      </c>
      <c r="R817">
        <v>20</v>
      </c>
      <c r="S817">
        <v>6</v>
      </c>
    </row>
    <row r="818" spans="1:24" x14ac:dyDescent="0.3">
      <c r="A818" t="s">
        <v>742</v>
      </c>
      <c r="B818">
        <v>53</v>
      </c>
      <c r="D818">
        <v>3</v>
      </c>
      <c r="F818">
        <v>3</v>
      </c>
      <c r="H818">
        <v>3</v>
      </c>
      <c r="J818">
        <v>3</v>
      </c>
      <c r="L818">
        <v>3</v>
      </c>
      <c r="M818">
        <v>3</v>
      </c>
      <c r="P818">
        <v>3</v>
      </c>
      <c r="R818">
        <v>3</v>
      </c>
      <c r="S818">
        <v>3</v>
      </c>
    </row>
    <row r="819" spans="1:24" x14ac:dyDescent="0.3">
      <c r="A819" t="s">
        <v>743</v>
      </c>
      <c r="B819">
        <v>53</v>
      </c>
      <c r="D819">
        <v>0</v>
      </c>
      <c r="F819">
        <v>0</v>
      </c>
      <c r="H819">
        <v>0</v>
      </c>
      <c r="J819">
        <v>0</v>
      </c>
      <c r="L819">
        <v>0</v>
      </c>
      <c r="M819">
        <v>0</v>
      </c>
      <c r="P819">
        <v>0</v>
      </c>
      <c r="R819">
        <v>0</v>
      </c>
      <c r="S819">
        <v>0</v>
      </c>
    </row>
    <row r="820" spans="1:24" x14ac:dyDescent="0.3">
      <c r="A820" t="s">
        <v>744</v>
      </c>
      <c r="B820">
        <v>53</v>
      </c>
      <c r="D820">
        <v>0</v>
      </c>
      <c r="F820">
        <v>0</v>
      </c>
      <c r="H820">
        <v>0</v>
      </c>
      <c r="J820">
        <v>0</v>
      </c>
      <c r="L820">
        <v>0</v>
      </c>
      <c r="M820">
        <v>0</v>
      </c>
      <c r="P820">
        <v>0</v>
      </c>
      <c r="R820">
        <v>0</v>
      </c>
      <c r="S820">
        <v>0</v>
      </c>
    </row>
    <row r="821" spans="1:24" x14ac:dyDescent="0.3">
      <c r="A821" t="s">
        <v>745</v>
      </c>
      <c r="B821">
        <v>53</v>
      </c>
      <c r="D821">
        <v>0</v>
      </c>
      <c r="F821">
        <v>0</v>
      </c>
      <c r="H821">
        <v>0</v>
      </c>
      <c r="J821">
        <v>0</v>
      </c>
      <c r="L821">
        <v>0</v>
      </c>
      <c r="M821">
        <v>0</v>
      </c>
      <c r="P821">
        <v>0</v>
      </c>
      <c r="R821">
        <v>0</v>
      </c>
      <c r="S821">
        <v>0</v>
      </c>
    </row>
    <row r="822" spans="1:24" x14ac:dyDescent="0.3">
      <c r="A822" t="s">
        <v>746</v>
      </c>
      <c r="B822">
        <v>53</v>
      </c>
      <c r="M822">
        <v>94</v>
      </c>
      <c r="S822">
        <v>94</v>
      </c>
    </row>
    <row r="823" spans="1:24" x14ac:dyDescent="0.3">
      <c r="A823" t="s">
        <v>747</v>
      </c>
      <c r="B823">
        <v>53</v>
      </c>
      <c r="M823">
        <v>6</v>
      </c>
      <c r="S823">
        <v>6</v>
      </c>
    </row>
    <row r="824" spans="1:24" x14ac:dyDescent="0.3">
      <c r="A824" t="s">
        <v>748</v>
      </c>
      <c r="B824">
        <v>53</v>
      </c>
      <c r="M824">
        <v>3</v>
      </c>
      <c r="S824">
        <v>3</v>
      </c>
    </row>
    <row r="825" spans="1:24" x14ac:dyDescent="0.3">
      <c r="A825" t="s">
        <v>749</v>
      </c>
      <c r="B825">
        <v>53</v>
      </c>
      <c r="M825">
        <v>0</v>
      </c>
      <c r="S825">
        <v>0</v>
      </c>
    </row>
    <row r="826" spans="1:24" x14ac:dyDescent="0.3">
      <c r="A826" t="s">
        <v>750</v>
      </c>
      <c r="B826">
        <v>53</v>
      </c>
      <c r="E826">
        <v>0</v>
      </c>
      <c r="I826">
        <v>0</v>
      </c>
      <c r="M826">
        <v>0</v>
      </c>
      <c r="S826">
        <v>0</v>
      </c>
    </row>
    <row r="827" spans="1:24" x14ac:dyDescent="0.3">
      <c r="A827" t="s">
        <v>405</v>
      </c>
      <c r="B827">
        <v>53</v>
      </c>
      <c r="E827">
        <v>0</v>
      </c>
    </row>
    <row r="828" spans="1:24" x14ac:dyDescent="0.3">
      <c r="A828" t="s">
        <v>751</v>
      </c>
      <c r="B828">
        <v>53</v>
      </c>
      <c r="D828">
        <v>0</v>
      </c>
      <c r="E828">
        <v>0</v>
      </c>
      <c r="F828">
        <v>0</v>
      </c>
      <c r="H828">
        <v>78</v>
      </c>
      <c r="I828">
        <v>0</v>
      </c>
      <c r="J828">
        <v>38</v>
      </c>
      <c r="L828">
        <v>49</v>
      </c>
      <c r="M828">
        <v>1400</v>
      </c>
      <c r="N828">
        <v>0</v>
      </c>
      <c r="P828">
        <v>0</v>
      </c>
      <c r="R828">
        <v>0</v>
      </c>
      <c r="S828">
        <v>1628</v>
      </c>
      <c r="T828">
        <v>0</v>
      </c>
    </row>
    <row r="829" spans="1:24" x14ac:dyDescent="0.3">
      <c r="A829" t="s">
        <v>34</v>
      </c>
      <c r="B829">
        <v>56</v>
      </c>
      <c r="C829">
        <v>98</v>
      </c>
      <c r="D829">
        <v>98</v>
      </c>
      <c r="F829">
        <v>98</v>
      </c>
      <c r="G829">
        <v>98</v>
      </c>
      <c r="K829">
        <v>97</v>
      </c>
      <c r="L829">
        <v>97</v>
      </c>
      <c r="M829">
        <v>97</v>
      </c>
      <c r="N829">
        <v>97</v>
      </c>
      <c r="O829">
        <v>97</v>
      </c>
      <c r="P829">
        <v>62</v>
      </c>
      <c r="Q829">
        <v>62</v>
      </c>
      <c r="R829">
        <v>62</v>
      </c>
      <c r="S829">
        <v>62</v>
      </c>
      <c r="T829">
        <v>62</v>
      </c>
      <c r="U829">
        <v>62</v>
      </c>
      <c r="V829">
        <v>99</v>
      </c>
      <c r="W829">
        <v>99</v>
      </c>
      <c r="X829">
        <v>99</v>
      </c>
    </row>
    <row r="830" spans="1:24" x14ac:dyDescent="0.3">
      <c r="A830" t="s">
        <v>35</v>
      </c>
      <c r="B830">
        <v>56</v>
      </c>
      <c r="C830">
        <v>97</v>
      </c>
      <c r="D830">
        <v>60</v>
      </c>
      <c r="F830">
        <v>61</v>
      </c>
      <c r="G830">
        <v>62</v>
      </c>
      <c r="K830">
        <v>60</v>
      </c>
      <c r="L830">
        <v>61</v>
      </c>
      <c r="M830">
        <v>62</v>
      </c>
      <c r="N830">
        <v>98</v>
      </c>
      <c r="O830">
        <v>99</v>
      </c>
      <c r="P830">
        <v>62</v>
      </c>
      <c r="Q830">
        <v>98</v>
      </c>
      <c r="R830">
        <v>99</v>
      </c>
      <c r="S830">
        <v>97</v>
      </c>
      <c r="T830">
        <v>60</v>
      </c>
      <c r="U830">
        <v>61</v>
      </c>
      <c r="V830">
        <v>97</v>
      </c>
      <c r="W830">
        <v>60</v>
      </c>
      <c r="X830">
        <v>61</v>
      </c>
    </row>
    <row r="831" spans="1:24" x14ac:dyDescent="0.3">
      <c r="A831" t="s">
        <v>36</v>
      </c>
      <c r="B831">
        <v>56</v>
      </c>
      <c r="C831">
        <v>2</v>
      </c>
      <c r="D831">
        <v>0</v>
      </c>
      <c r="F831">
        <v>0</v>
      </c>
      <c r="G831">
        <v>2</v>
      </c>
      <c r="K831">
        <v>0</v>
      </c>
      <c r="L831">
        <v>2</v>
      </c>
      <c r="M831">
        <v>3</v>
      </c>
      <c r="N831">
        <v>0</v>
      </c>
      <c r="O831">
        <v>0</v>
      </c>
      <c r="P831">
        <v>0</v>
      </c>
      <c r="Q831">
        <v>0</v>
      </c>
      <c r="R831">
        <v>2</v>
      </c>
      <c r="S831">
        <v>3</v>
      </c>
      <c r="T831">
        <v>0</v>
      </c>
      <c r="U831">
        <v>0</v>
      </c>
      <c r="V831">
        <v>0</v>
      </c>
      <c r="W831">
        <v>0</v>
      </c>
      <c r="X831">
        <v>0</v>
      </c>
    </row>
    <row r="832" spans="1:24" x14ac:dyDescent="0.3">
      <c r="A832" t="s">
        <v>37</v>
      </c>
      <c r="B832">
        <v>56</v>
      </c>
      <c r="C832">
        <v>0</v>
      </c>
      <c r="D832">
        <v>0</v>
      </c>
      <c r="F832">
        <v>0</v>
      </c>
      <c r="K832">
        <v>0</v>
      </c>
      <c r="L832">
        <v>0</v>
      </c>
      <c r="M832">
        <v>0</v>
      </c>
      <c r="N832">
        <v>0</v>
      </c>
      <c r="Q832">
        <v>0</v>
      </c>
      <c r="R832">
        <v>0</v>
      </c>
      <c r="S832">
        <v>0</v>
      </c>
      <c r="T832">
        <v>0</v>
      </c>
      <c r="V832">
        <v>0</v>
      </c>
      <c r="W832">
        <v>0</v>
      </c>
      <c r="X832">
        <v>0</v>
      </c>
    </row>
    <row r="833" spans="1:24" x14ac:dyDescent="0.3">
      <c r="A833" t="s">
        <v>38</v>
      </c>
      <c r="B833">
        <v>56</v>
      </c>
      <c r="C833">
        <v>12</v>
      </c>
      <c r="D833">
        <v>12</v>
      </c>
      <c r="F833">
        <v>12</v>
      </c>
      <c r="G833">
        <v>12</v>
      </c>
      <c r="K833">
        <v>12</v>
      </c>
      <c r="L833">
        <v>12</v>
      </c>
      <c r="M833">
        <v>12</v>
      </c>
      <c r="N833">
        <v>12</v>
      </c>
      <c r="O833">
        <v>12</v>
      </c>
      <c r="P833">
        <v>12</v>
      </c>
      <c r="Q833">
        <v>12</v>
      </c>
      <c r="R833">
        <v>12</v>
      </c>
      <c r="S833">
        <v>12</v>
      </c>
      <c r="T833">
        <v>12</v>
      </c>
      <c r="U833">
        <v>12</v>
      </c>
      <c r="V833">
        <v>12</v>
      </c>
      <c r="W833">
        <v>12</v>
      </c>
      <c r="X833">
        <v>12</v>
      </c>
    </row>
    <row r="834" spans="1:24" x14ac:dyDescent="0.3">
      <c r="A834" t="s">
        <v>39</v>
      </c>
      <c r="B834">
        <v>56</v>
      </c>
      <c r="L834">
        <v>207</v>
      </c>
      <c r="R834">
        <v>215</v>
      </c>
    </row>
    <row r="835" spans="1:24" x14ac:dyDescent="0.3">
      <c r="A835" t="s">
        <v>726</v>
      </c>
      <c r="B835">
        <v>56</v>
      </c>
      <c r="L835">
        <v>25</v>
      </c>
      <c r="R835">
        <v>25</v>
      </c>
    </row>
    <row r="836" spans="1:24" x14ac:dyDescent="0.3">
      <c r="A836" t="s">
        <v>40</v>
      </c>
      <c r="B836">
        <v>56</v>
      </c>
      <c r="L836">
        <v>2</v>
      </c>
      <c r="R836">
        <v>2</v>
      </c>
    </row>
    <row r="837" spans="1:24" x14ac:dyDescent="0.3">
      <c r="A837" t="s">
        <v>41</v>
      </c>
      <c r="B837">
        <v>56</v>
      </c>
    </row>
    <row r="838" spans="1:24" x14ac:dyDescent="0.3">
      <c r="A838" t="s">
        <v>42</v>
      </c>
      <c r="B838">
        <v>56</v>
      </c>
      <c r="D838">
        <v>40</v>
      </c>
      <c r="M838">
        <v>40</v>
      </c>
      <c r="S838">
        <v>40</v>
      </c>
      <c r="X838">
        <v>30</v>
      </c>
    </row>
    <row r="839" spans="1:24" x14ac:dyDescent="0.3">
      <c r="A839" t="s">
        <v>45</v>
      </c>
      <c r="B839">
        <v>56</v>
      </c>
      <c r="C839">
        <v>7</v>
      </c>
      <c r="L839">
        <v>1</v>
      </c>
      <c r="M839">
        <v>6</v>
      </c>
      <c r="R839">
        <v>5</v>
      </c>
      <c r="S839">
        <v>2</v>
      </c>
    </row>
    <row r="840" spans="1:24" x14ac:dyDescent="0.3">
      <c r="A840" t="s">
        <v>46</v>
      </c>
      <c r="B840">
        <v>56</v>
      </c>
      <c r="G840">
        <v>-1</v>
      </c>
    </row>
    <row r="841" spans="1:24" x14ac:dyDescent="0.3">
      <c r="A841" t="s">
        <v>49</v>
      </c>
      <c r="B841">
        <v>56</v>
      </c>
      <c r="C841">
        <v>8.5</v>
      </c>
      <c r="D841">
        <v>4</v>
      </c>
      <c r="F841">
        <v>4</v>
      </c>
      <c r="G841">
        <v>4</v>
      </c>
      <c r="K841">
        <v>4</v>
      </c>
      <c r="L841">
        <v>9</v>
      </c>
      <c r="M841">
        <v>8.6</v>
      </c>
      <c r="N841">
        <v>4</v>
      </c>
      <c r="O841">
        <v>4</v>
      </c>
      <c r="P841">
        <v>4</v>
      </c>
      <c r="Q841">
        <v>4</v>
      </c>
      <c r="R841">
        <v>9</v>
      </c>
      <c r="S841">
        <v>8.6</v>
      </c>
      <c r="T841">
        <v>4</v>
      </c>
      <c r="U841">
        <v>4</v>
      </c>
      <c r="V841">
        <v>4</v>
      </c>
      <c r="W841">
        <v>4</v>
      </c>
      <c r="X841">
        <v>4</v>
      </c>
    </row>
    <row r="842" spans="1:24" x14ac:dyDescent="0.3">
      <c r="A842" t="s">
        <v>727</v>
      </c>
      <c r="B842">
        <v>56</v>
      </c>
      <c r="C842">
        <v>0</v>
      </c>
      <c r="D842">
        <v>0</v>
      </c>
      <c r="F842">
        <v>0</v>
      </c>
      <c r="G842">
        <v>0</v>
      </c>
      <c r="K842">
        <v>0</v>
      </c>
      <c r="L842">
        <v>0</v>
      </c>
      <c r="M842">
        <v>0</v>
      </c>
      <c r="N842">
        <v>0</v>
      </c>
      <c r="O842">
        <v>0</v>
      </c>
      <c r="P842">
        <v>0</v>
      </c>
      <c r="Q842">
        <v>0</v>
      </c>
      <c r="R842">
        <v>0</v>
      </c>
      <c r="S842">
        <v>0</v>
      </c>
      <c r="T842">
        <v>0</v>
      </c>
      <c r="U842">
        <v>0</v>
      </c>
      <c r="V842">
        <v>0</v>
      </c>
      <c r="W842">
        <v>0</v>
      </c>
      <c r="X842">
        <v>0</v>
      </c>
    </row>
    <row r="843" spans="1:24" x14ac:dyDescent="0.3">
      <c r="A843" t="s">
        <v>48</v>
      </c>
      <c r="B843">
        <v>56</v>
      </c>
      <c r="C843">
        <v>1900</v>
      </c>
      <c r="D843">
        <v>1900</v>
      </c>
      <c r="F843">
        <v>1900</v>
      </c>
      <c r="G843">
        <v>1900</v>
      </c>
      <c r="K843">
        <v>1900</v>
      </c>
      <c r="L843">
        <v>1900</v>
      </c>
      <c r="M843">
        <v>1900</v>
      </c>
      <c r="N843">
        <v>1900</v>
      </c>
      <c r="O843">
        <v>1900</v>
      </c>
      <c r="P843">
        <v>1900</v>
      </c>
      <c r="Q843">
        <v>1900</v>
      </c>
      <c r="R843">
        <v>1900</v>
      </c>
      <c r="S843">
        <v>1900</v>
      </c>
      <c r="T843">
        <v>1900</v>
      </c>
      <c r="U843">
        <v>1900</v>
      </c>
      <c r="V843">
        <v>1900</v>
      </c>
      <c r="W843">
        <v>1900</v>
      </c>
      <c r="X843">
        <v>1900</v>
      </c>
    </row>
    <row r="844" spans="1:24" x14ac:dyDescent="0.3">
      <c r="A844" t="s">
        <v>728</v>
      </c>
      <c r="B844">
        <v>56</v>
      </c>
      <c r="C844">
        <v>3433</v>
      </c>
      <c r="D844">
        <v>0</v>
      </c>
      <c r="F844">
        <v>0</v>
      </c>
      <c r="G844">
        <v>2787</v>
      </c>
      <c r="K844">
        <v>0</v>
      </c>
      <c r="L844">
        <v>3433</v>
      </c>
      <c r="M844">
        <v>5085</v>
      </c>
      <c r="N844">
        <v>0</v>
      </c>
      <c r="O844">
        <v>0</v>
      </c>
      <c r="P844">
        <v>0</v>
      </c>
      <c r="Q844">
        <v>0</v>
      </c>
      <c r="R844">
        <v>3433</v>
      </c>
      <c r="S844">
        <v>5085</v>
      </c>
      <c r="T844">
        <v>0</v>
      </c>
      <c r="U844">
        <v>0</v>
      </c>
      <c r="V844">
        <v>0</v>
      </c>
      <c r="W844">
        <v>0</v>
      </c>
      <c r="X844">
        <v>0</v>
      </c>
    </row>
    <row r="845" spans="1:24" x14ac:dyDescent="0.3">
      <c r="A845" t="s">
        <v>50</v>
      </c>
      <c r="B845">
        <v>56</v>
      </c>
      <c r="C845">
        <v>3433</v>
      </c>
      <c r="D845">
        <v>0</v>
      </c>
      <c r="F845">
        <v>0</v>
      </c>
      <c r="G845">
        <v>2787</v>
      </c>
      <c r="K845">
        <v>0</v>
      </c>
      <c r="L845">
        <v>3433</v>
      </c>
      <c r="M845">
        <v>5085</v>
      </c>
      <c r="N845">
        <v>0</v>
      </c>
      <c r="O845">
        <v>0</v>
      </c>
      <c r="P845">
        <v>0</v>
      </c>
      <c r="Q845">
        <v>0</v>
      </c>
      <c r="R845">
        <v>3433</v>
      </c>
      <c r="S845">
        <v>5085</v>
      </c>
      <c r="T845">
        <v>0</v>
      </c>
      <c r="U845">
        <v>0</v>
      </c>
      <c r="V845">
        <v>0</v>
      </c>
      <c r="W845">
        <v>0</v>
      </c>
      <c r="X845">
        <v>0</v>
      </c>
    </row>
    <row r="846" spans="1:24" x14ac:dyDescent="0.3">
      <c r="A846" t="s">
        <v>729</v>
      </c>
      <c r="B846">
        <v>56</v>
      </c>
      <c r="C846">
        <v>1</v>
      </c>
      <c r="D846">
        <v>1</v>
      </c>
      <c r="F846">
        <v>1</v>
      </c>
      <c r="G846">
        <v>1</v>
      </c>
      <c r="K846">
        <v>1</v>
      </c>
      <c r="L846">
        <v>1</v>
      </c>
      <c r="M846">
        <v>1</v>
      </c>
      <c r="N846">
        <v>1</v>
      </c>
      <c r="O846">
        <v>1</v>
      </c>
      <c r="P846">
        <v>1</v>
      </c>
      <c r="Q846">
        <v>1</v>
      </c>
      <c r="R846">
        <v>1</v>
      </c>
      <c r="S846">
        <v>1</v>
      </c>
      <c r="T846">
        <v>1</v>
      </c>
      <c r="U846">
        <v>1</v>
      </c>
      <c r="V846">
        <v>1</v>
      </c>
      <c r="W846">
        <v>1</v>
      </c>
      <c r="X846">
        <v>1</v>
      </c>
    </row>
    <row r="847" spans="1:24" x14ac:dyDescent="0.3">
      <c r="A847" t="s">
        <v>51</v>
      </c>
      <c r="B847">
        <v>56</v>
      </c>
      <c r="C847">
        <v>0</v>
      </c>
      <c r="D847">
        <v>0</v>
      </c>
      <c r="F847">
        <v>0</v>
      </c>
      <c r="G847">
        <v>618</v>
      </c>
      <c r="K847">
        <v>0</v>
      </c>
      <c r="L847">
        <v>0</v>
      </c>
      <c r="M847">
        <v>0</v>
      </c>
      <c r="N847">
        <v>0</v>
      </c>
      <c r="O847">
        <v>0</v>
      </c>
      <c r="P847">
        <v>0</v>
      </c>
      <c r="Q847">
        <v>0</v>
      </c>
      <c r="R847">
        <v>0</v>
      </c>
      <c r="S847">
        <v>0</v>
      </c>
      <c r="T847">
        <v>0</v>
      </c>
      <c r="U847">
        <v>0</v>
      </c>
      <c r="V847">
        <v>0</v>
      </c>
      <c r="W847">
        <v>0</v>
      </c>
      <c r="X847">
        <v>0</v>
      </c>
    </row>
    <row r="848" spans="1:24" x14ac:dyDescent="0.3">
      <c r="A848" t="s">
        <v>53</v>
      </c>
      <c r="B848">
        <v>56</v>
      </c>
      <c r="C848">
        <v>366</v>
      </c>
      <c r="D848">
        <v>0</v>
      </c>
      <c r="F848">
        <v>0</v>
      </c>
      <c r="G848">
        <v>386</v>
      </c>
      <c r="K848">
        <v>0</v>
      </c>
      <c r="L848">
        <v>191</v>
      </c>
      <c r="M848">
        <v>696</v>
      </c>
      <c r="N848">
        <v>0</v>
      </c>
      <c r="O848">
        <v>0</v>
      </c>
      <c r="P848">
        <v>0</v>
      </c>
      <c r="Q848">
        <v>0</v>
      </c>
      <c r="R848">
        <v>532</v>
      </c>
      <c r="S848">
        <v>1036</v>
      </c>
      <c r="T848">
        <v>0</v>
      </c>
      <c r="U848">
        <v>0</v>
      </c>
      <c r="V848">
        <v>0</v>
      </c>
      <c r="W848">
        <v>0</v>
      </c>
      <c r="X848">
        <v>0</v>
      </c>
    </row>
    <row r="849" spans="1:24" x14ac:dyDescent="0.3">
      <c r="A849" t="s">
        <v>54</v>
      </c>
      <c r="B849">
        <v>56</v>
      </c>
      <c r="C849">
        <v>0</v>
      </c>
      <c r="D849">
        <v>0</v>
      </c>
      <c r="F849">
        <v>0</v>
      </c>
      <c r="G849">
        <v>0</v>
      </c>
      <c r="K849">
        <v>0</v>
      </c>
      <c r="L849">
        <v>0</v>
      </c>
      <c r="M849">
        <v>0</v>
      </c>
      <c r="N849">
        <v>0</v>
      </c>
      <c r="O849">
        <v>0</v>
      </c>
      <c r="P849">
        <v>0</v>
      </c>
      <c r="Q849">
        <v>0</v>
      </c>
      <c r="R849">
        <v>0</v>
      </c>
      <c r="S849">
        <v>0</v>
      </c>
      <c r="T849">
        <v>0</v>
      </c>
      <c r="U849">
        <v>0</v>
      </c>
      <c r="V849">
        <v>0</v>
      </c>
      <c r="W849">
        <v>0</v>
      </c>
      <c r="X849">
        <v>0</v>
      </c>
    </row>
    <row r="850" spans="1:24" x14ac:dyDescent="0.3">
      <c r="A850" t="s">
        <v>55</v>
      </c>
      <c r="B850">
        <v>56</v>
      </c>
      <c r="C850">
        <v>0</v>
      </c>
      <c r="D850">
        <v>0</v>
      </c>
      <c r="F850">
        <v>0</v>
      </c>
      <c r="G850">
        <v>0</v>
      </c>
      <c r="K850">
        <v>0</v>
      </c>
      <c r="L850">
        <v>0</v>
      </c>
      <c r="M850">
        <v>0</v>
      </c>
      <c r="N850">
        <v>0</v>
      </c>
      <c r="O850">
        <v>0</v>
      </c>
      <c r="P850">
        <v>0</v>
      </c>
      <c r="Q850">
        <v>0</v>
      </c>
      <c r="R850">
        <v>0</v>
      </c>
      <c r="S850">
        <v>0</v>
      </c>
      <c r="T850">
        <v>0</v>
      </c>
      <c r="U850">
        <v>0</v>
      </c>
      <c r="V850">
        <v>0</v>
      </c>
      <c r="W850">
        <v>0</v>
      </c>
      <c r="X850">
        <v>0</v>
      </c>
    </row>
    <row r="851" spans="1:24" x14ac:dyDescent="0.3">
      <c r="A851" t="s">
        <v>56</v>
      </c>
      <c r="B851">
        <v>56</v>
      </c>
      <c r="C851">
        <v>0.92</v>
      </c>
      <c r="D851">
        <v>0.92</v>
      </c>
      <c r="F851">
        <v>0.92</v>
      </c>
      <c r="G851">
        <v>0.92</v>
      </c>
      <c r="K851">
        <v>0.92</v>
      </c>
      <c r="L851">
        <v>0.92</v>
      </c>
      <c r="M851">
        <v>0.92</v>
      </c>
      <c r="N851">
        <v>0.92</v>
      </c>
      <c r="O851">
        <v>0.92</v>
      </c>
      <c r="P851">
        <v>0.92</v>
      </c>
      <c r="Q851">
        <v>0.92</v>
      </c>
      <c r="R851">
        <v>0.92</v>
      </c>
      <c r="S851">
        <v>0.92</v>
      </c>
      <c r="T851">
        <v>0.92</v>
      </c>
      <c r="U851">
        <v>0.92</v>
      </c>
      <c r="V851">
        <v>0.92</v>
      </c>
      <c r="W851">
        <v>0.92</v>
      </c>
      <c r="X851">
        <v>0.92</v>
      </c>
    </row>
    <row r="852" spans="1:24" x14ac:dyDescent="0.3">
      <c r="A852" t="s">
        <v>57</v>
      </c>
      <c r="B852">
        <v>56</v>
      </c>
      <c r="C852">
        <v>100</v>
      </c>
      <c r="D852">
        <v>100</v>
      </c>
      <c r="F852">
        <v>100</v>
      </c>
      <c r="G852">
        <v>100</v>
      </c>
      <c r="K852">
        <v>100</v>
      </c>
      <c r="L852">
        <v>100</v>
      </c>
      <c r="M852">
        <v>100</v>
      </c>
      <c r="N852">
        <v>100</v>
      </c>
      <c r="O852">
        <v>100</v>
      </c>
      <c r="P852">
        <v>100</v>
      </c>
      <c r="Q852">
        <v>100</v>
      </c>
      <c r="R852">
        <v>100</v>
      </c>
      <c r="S852">
        <v>100</v>
      </c>
      <c r="T852">
        <v>100</v>
      </c>
      <c r="U852">
        <v>100</v>
      </c>
      <c r="V852">
        <v>100</v>
      </c>
      <c r="W852">
        <v>100</v>
      </c>
      <c r="X852">
        <v>100</v>
      </c>
    </row>
    <row r="853" spans="1:24" x14ac:dyDescent="0.3">
      <c r="A853" t="s">
        <v>58</v>
      </c>
      <c r="B853">
        <v>56</v>
      </c>
      <c r="C853">
        <v>2</v>
      </c>
      <c r="D853">
        <v>2</v>
      </c>
      <c r="F853">
        <v>2</v>
      </c>
      <c r="G853">
        <v>2</v>
      </c>
      <c r="K853">
        <v>2</v>
      </c>
      <c r="L853">
        <v>2</v>
      </c>
      <c r="M853">
        <v>2</v>
      </c>
      <c r="N853">
        <v>2</v>
      </c>
      <c r="O853">
        <v>2</v>
      </c>
      <c r="P853">
        <v>2</v>
      </c>
      <c r="Q853">
        <v>2</v>
      </c>
      <c r="R853">
        <v>2</v>
      </c>
      <c r="S853">
        <v>2</v>
      </c>
      <c r="T853">
        <v>2</v>
      </c>
      <c r="U853">
        <v>2</v>
      </c>
      <c r="V853">
        <v>2</v>
      </c>
      <c r="W853">
        <v>2</v>
      </c>
      <c r="X853">
        <v>2</v>
      </c>
    </row>
    <row r="854" spans="1:24" x14ac:dyDescent="0.3">
      <c r="A854" t="s">
        <v>59</v>
      </c>
      <c r="B854">
        <v>56</v>
      </c>
      <c r="C854">
        <v>0</v>
      </c>
      <c r="D854">
        <v>0</v>
      </c>
      <c r="F854">
        <v>0</v>
      </c>
      <c r="G854">
        <v>0</v>
      </c>
      <c r="K854">
        <v>0</v>
      </c>
      <c r="L854">
        <v>0</v>
      </c>
      <c r="M854">
        <v>0</v>
      </c>
      <c r="N854">
        <v>0</v>
      </c>
      <c r="O854">
        <v>0</v>
      </c>
      <c r="P854">
        <v>0</v>
      </c>
      <c r="Q854">
        <v>0</v>
      </c>
      <c r="R854">
        <v>0</v>
      </c>
      <c r="S854">
        <v>0</v>
      </c>
      <c r="T854">
        <v>0</v>
      </c>
      <c r="U854">
        <v>0</v>
      </c>
      <c r="V854">
        <v>0</v>
      </c>
      <c r="W854">
        <v>0</v>
      </c>
      <c r="X854">
        <v>0</v>
      </c>
    </row>
    <row r="855" spans="1:24" x14ac:dyDescent="0.3">
      <c r="A855" t="s">
        <v>730</v>
      </c>
      <c r="B855">
        <v>56</v>
      </c>
      <c r="D855">
        <v>0</v>
      </c>
      <c r="M855">
        <v>0</v>
      </c>
      <c r="S855">
        <v>0</v>
      </c>
      <c r="X855">
        <v>0</v>
      </c>
    </row>
    <row r="856" spans="1:24" x14ac:dyDescent="0.3">
      <c r="A856" t="s">
        <v>679</v>
      </c>
      <c r="B856">
        <v>56</v>
      </c>
      <c r="D856">
        <v>295</v>
      </c>
      <c r="M856">
        <v>283</v>
      </c>
      <c r="S856">
        <v>363</v>
      </c>
      <c r="X856">
        <v>289</v>
      </c>
    </row>
    <row r="857" spans="1:24" x14ac:dyDescent="0.3">
      <c r="A857" t="s">
        <v>78</v>
      </c>
      <c r="B857">
        <v>56</v>
      </c>
      <c r="D857">
        <v>5</v>
      </c>
      <c r="M857">
        <v>4.8</v>
      </c>
      <c r="S857">
        <v>6.2</v>
      </c>
      <c r="X857">
        <v>6.6</v>
      </c>
    </row>
    <row r="858" spans="1:24" x14ac:dyDescent="0.3">
      <c r="A858" t="s">
        <v>731</v>
      </c>
      <c r="B858">
        <v>56</v>
      </c>
      <c r="G858">
        <v>2</v>
      </c>
      <c r="O858">
        <v>0</v>
      </c>
      <c r="U858">
        <v>0</v>
      </c>
    </row>
    <row r="859" spans="1:24" x14ac:dyDescent="0.3">
      <c r="A859" t="s">
        <v>752</v>
      </c>
      <c r="B859">
        <v>56</v>
      </c>
      <c r="G859">
        <v>50</v>
      </c>
    </row>
    <row r="860" spans="1:24" x14ac:dyDescent="0.3">
      <c r="A860" t="s">
        <v>753</v>
      </c>
      <c r="B860">
        <v>56</v>
      </c>
      <c r="G860">
        <v>0</v>
      </c>
    </row>
    <row r="861" spans="1:24" x14ac:dyDescent="0.3">
      <c r="A861" t="s">
        <v>732</v>
      </c>
      <c r="B861">
        <v>56</v>
      </c>
      <c r="C861">
        <v>0</v>
      </c>
      <c r="D861">
        <v>0</v>
      </c>
      <c r="F861">
        <v>1</v>
      </c>
      <c r="G861">
        <v>1</v>
      </c>
      <c r="K861">
        <v>0</v>
      </c>
      <c r="L861">
        <v>0</v>
      </c>
      <c r="M861">
        <v>0</v>
      </c>
      <c r="N861">
        <v>1</v>
      </c>
      <c r="O861">
        <v>1</v>
      </c>
      <c r="P861">
        <v>3</v>
      </c>
      <c r="Q861">
        <v>0</v>
      </c>
      <c r="R861">
        <v>0</v>
      </c>
      <c r="S861">
        <v>0</v>
      </c>
      <c r="T861">
        <v>1</v>
      </c>
      <c r="U861">
        <v>1</v>
      </c>
      <c r="V861">
        <v>0</v>
      </c>
      <c r="W861">
        <v>0</v>
      </c>
      <c r="X861">
        <v>0</v>
      </c>
    </row>
    <row r="862" spans="1:24" x14ac:dyDescent="0.3">
      <c r="A862" t="s">
        <v>733</v>
      </c>
      <c r="B862">
        <v>56</v>
      </c>
      <c r="C862">
        <v>0</v>
      </c>
      <c r="D862">
        <v>0</v>
      </c>
      <c r="F862">
        <v>0</v>
      </c>
      <c r="G862">
        <v>0</v>
      </c>
      <c r="K862">
        <v>0</v>
      </c>
      <c r="L862">
        <v>0</v>
      </c>
      <c r="M862">
        <v>0</v>
      </c>
      <c r="N862">
        <v>0</v>
      </c>
      <c r="O862">
        <v>0</v>
      </c>
      <c r="P862">
        <v>0</v>
      </c>
      <c r="Q862">
        <v>0</v>
      </c>
      <c r="R862">
        <v>0</v>
      </c>
      <c r="S862">
        <v>0</v>
      </c>
      <c r="T862">
        <v>0</v>
      </c>
      <c r="U862">
        <v>0</v>
      </c>
      <c r="V862">
        <v>0</v>
      </c>
      <c r="W862">
        <v>0</v>
      </c>
      <c r="X862">
        <v>0</v>
      </c>
    </row>
    <row r="863" spans="1:24" x14ac:dyDescent="0.3">
      <c r="A863" t="s">
        <v>52</v>
      </c>
      <c r="B863">
        <v>56</v>
      </c>
      <c r="C863">
        <v>1</v>
      </c>
      <c r="D863">
        <v>1</v>
      </c>
      <c r="F863">
        <v>1</v>
      </c>
      <c r="G863">
        <v>1</v>
      </c>
      <c r="K863">
        <v>1</v>
      </c>
      <c r="L863">
        <v>1</v>
      </c>
      <c r="M863">
        <v>1</v>
      </c>
      <c r="N863">
        <v>1</v>
      </c>
      <c r="O863">
        <v>1</v>
      </c>
      <c r="P863">
        <v>1</v>
      </c>
      <c r="Q863">
        <v>1</v>
      </c>
      <c r="R863">
        <v>1</v>
      </c>
      <c r="S863">
        <v>1</v>
      </c>
      <c r="T863">
        <v>1</v>
      </c>
      <c r="U863">
        <v>1</v>
      </c>
      <c r="V863">
        <v>1</v>
      </c>
      <c r="W863">
        <v>1</v>
      </c>
      <c r="X863">
        <v>1</v>
      </c>
    </row>
    <row r="864" spans="1:24" x14ac:dyDescent="0.3">
      <c r="A864" t="s">
        <v>734</v>
      </c>
      <c r="B864">
        <v>56</v>
      </c>
      <c r="C864">
        <v>15</v>
      </c>
      <c r="D864">
        <v>15</v>
      </c>
      <c r="F864">
        <v>9</v>
      </c>
      <c r="G864">
        <v>9</v>
      </c>
      <c r="K864">
        <v>15</v>
      </c>
      <c r="L864">
        <v>15</v>
      </c>
      <c r="M864">
        <v>60</v>
      </c>
      <c r="N864">
        <v>9</v>
      </c>
      <c r="O864">
        <v>9</v>
      </c>
      <c r="P864">
        <v>9</v>
      </c>
      <c r="Q864">
        <v>15</v>
      </c>
      <c r="R864">
        <v>15</v>
      </c>
      <c r="S864">
        <v>60</v>
      </c>
      <c r="T864">
        <v>9</v>
      </c>
      <c r="U864">
        <v>9</v>
      </c>
      <c r="V864">
        <v>15</v>
      </c>
      <c r="W864">
        <v>15</v>
      </c>
      <c r="X864">
        <v>60</v>
      </c>
    </row>
    <row r="865" spans="1:19" x14ac:dyDescent="0.3">
      <c r="A865" t="s">
        <v>43</v>
      </c>
      <c r="B865">
        <v>56</v>
      </c>
      <c r="C865">
        <v>20</v>
      </c>
      <c r="G865">
        <v>20</v>
      </c>
      <c r="L865">
        <v>20</v>
      </c>
      <c r="M865">
        <v>100</v>
      </c>
      <c r="R865">
        <v>20</v>
      </c>
      <c r="S865">
        <v>100</v>
      </c>
    </row>
    <row r="866" spans="1:19" x14ac:dyDescent="0.3">
      <c r="A866" t="s">
        <v>44</v>
      </c>
      <c r="B866">
        <v>56</v>
      </c>
      <c r="C866">
        <v>0</v>
      </c>
      <c r="G866">
        <v>0</v>
      </c>
      <c r="L866">
        <v>0</v>
      </c>
      <c r="M866">
        <v>0</v>
      </c>
      <c r="R866">
        <v>0</v>
      </c>
      <c r="S866">
        <v>0</v>
      </c>
    </row>
    <row r="867" spans="1:19" x14ac:dyDescent="0.3">
      <c r="A867" t="s">
        <v>47</v>
      </c>
      <c r="B867">
        <v>56</v>
      </c>
      <c r="C867">
        <v>7</v>
      </c>
      <c r="G867">
        <v>0</v>
      </c>
      <c r="L867">
        <v>1</v>
      </c>
      <c r="M867">
        <v>6</v>
      </c>
      <c r="R867">
        <v>5</v>
      </c>
      <c r="S867">
        <v>2</v>
      </c>
    </row>
    <row r="868" spans="1:19" x14ac:dyDescent="0.3">
      <c r="A868" t="s">
        <v>735</v>
      </c>
      <c r="B868">
        <v>56</v>
      </c>
      <c r="C868">
        <v>0</v>
      </c>
      <c r="G868">
        <v>0</v>
      </c>
      <c r="L868">
        <v>0</v>
      </c>
      <c r="M868">
        <v>0</v>
      </c>
      <c r="R868">
        <v>0</v>
      </c>
      <c r="S868">
        <v>0</v>
      </c>
    </row>
    <row r="869" spans="1:19" x14ac:dyDescent="0.3">
      <c r="A869" t="s">
        <v>736</v>
      </c>
      <c r="B869">
        <v>56</v>
      </c>
      <c r="C869">
        <v>0</v>
      </c>
      <c r="G869">
        <v>0</v>
      </c>
      <c r="L869">
        <v>0</v>
      </c>
      <c r="M869">
        <v>0</v>
      </c>
      <c r="R869">
        <v>0</v>
      </c>
      <c r="S869">
        <v>0</v>
      </c>
    </row>
    <row r="870" spans="1:19" x14ac:dyDescent="0.3">
      <c r="A870" t="s">
        <v>737</v>
      </c>
      <c r="B870">
        <v>56</v>
      </c>
      <c r="C870">
        <v>0</v>
      </c>
      <c r="G870">
        <v>0</v>
      </c>
      <c r="L870">
        <v>0</v>
      </c>
      <c r="M870">
        <v>0</v>
      </c>
      <c r="R870">
        <v>0</v>
      </c>
      <c r="S870">
        <v>0</v>
      </c>
    </row>
    <row r="871" spans="1:19" x14ac:dyDescent="0.3">
      <c r="A871" t="s">
        <v>738</v>
      </c>
      <c r="B871">
        <v>56</v>
      </c>
      <c r="C871">
        <v>0</v>
      </c>
      <c r="G871">
        <v>0</v>
      </c>
      <c r="L871">
        <v>0</v>
      </c>
      <c r="M871">
        <v>0</v>
      </c>
      <c r="R871">
        <v>0</v>
      </c>
      <c r="S871">
        <v>0</v>
      </c>
    </row>
    <row r="872" spans="1:19" x14ac:dyDescent="0.3">
      <c r="A872" t="s">
        <v>739</v>
      </c>
      <c r="B872">
        <v>56</v>
      </c>
      <c r="C872">
        <v>1</v>
      </c>
      <c r="G872">
        <v>1</v>
      </c>
      <c r="L872">
        <v>1</v>
      </c>
      <c r="M872">
        <v>2</v>
      </c>
      <c r="R872">
        <v>1</v>
      </c>
      <c r="S872">
        <v>2</v>
      </c>
    </row>
    <row r="873" spans="1:19" x14ac:dyDescent="0.3">
      <c r="A873" t="s">
        <v>740</v>
      </c>
      <c r="B873">
        <v>56</v>
      </c>
      <c r="C873">
        <v>0</v>
      </c>
      <c r="G873">
        <v>0</v>
      </c>
      <c r="L873">
        <v>0</v>
      </c>
      <c r="M873">
        <v>0</v>
      </c>
      <c r="R873">
        <v>0</v>
      </c>
      <c r="S873">
        <v>0</v>
      </c>
    </row>
    <row r="874" spans="1:19" x14ac:dyDescent="0.3">
      <c r="A874" t="s">
        <v>741</v>
      </c>
      <c r="B874">
        <v>56</v>
      </c>
      <c r="C874">
        <v>20</v>
      </c>
      <c r="G874">
        <v>20</v>
      </c>
      <c r="L874">
        <v>20</v>
      </c>
      <c r="M874">
        <v>6</v>
      </c>
      <c r="R874">
        <v>20</v>
      </c>
      <c r="S874">
        <v>6</v>
      </c>
    </row>
    <row r="875" spans="1:19" x14ac:dyDescent="0.3">
      <c r="A875" t="s">
        <v>742</v>
      </c>
      <c r="B875">
        <v>56</v>
      </c>
      <c r="C875">
        <v>3</v>
      </c>
      <c r="G875">
        <v>3</v>
      </c>
      <c r="L875">
        <v>3</v>
      </c>
      <c r="M875">
        <v>3</v>
      </c>
      <c r="R875">
        <v>3</v>
      </c>
      <c r="S875">
        <v>3</v>
      </c>
    </row>
    <row r="876" spans="1:19" x14ac:dyDescent="0.3">
      <c r="A876" t="s">
        <v>743</v>
      </c>
      <c r="B876">
        <v>56</v>
      </c>
      <c r="C876">
        <v>0</v>
      </c>
      <c r="G876">
        <v>0</v>
      </c>
      <c r="L876">
        <v>0</v>
      </c>
      <c r="M876">
        <v>0</v>
      </c>
      <c r="R876">
        <v>0</v>
      </c>
      <c r="S876">
        <v>0</v>
      </c>
    </row>
    <row r="877" spans="1:19" x14ac:dyDescent="0.3">
      <c r="A877" t="s">
        <v>744</v>
      </c>
      <c r="B877">
        <v>56</v>
      </c>
      <c r="C877">
        <v>0</v>
      </c>
      <c r="G877">
        <v>0</v>
      </c>
      <c r="L877">
        <v>0</v>
      </c>
      <c r="M877">
        <v>0</v>
      </c>
      <c r="R877">
        <v>0</v>
      </c>
      <c r="S877">
        <v>0</v>
      </c>
    </row>
    <row r="878" spans="1:19" x14ac:dyDescent="0.3">
      <c r="A878" t="s">
        <v>745</v>
      </c>
      <c r="B878">
        <v>56</v>
      </c>
      <c r="C878">
        <v>0</v>
      </c>
      <c r="G878">
        <v>0</v>
      </c>
      <c r="L878">
        <v>0</v>
      </c>
      <c r="M878">
        <v>0</v>
      </c>
      <c r="R878">
        <v>0</v>
      </c>
      <c r="S878">
        <v>0</v>
      </c>
    </row>
    <row r="879" spans="1:19" x14ac:dyDescent="0.3">
      <c r="A879" t="s">
        <v>746</v>
      </c>
      <c r="B879">
        <v>56</v>
      </c>
      <c r="M879">
        <v>94</v>
      </c>
      <c r="S879">
        <v>94</v>
      </c>
    </row>
    <row r="880" spans="1:19" x14ac:dyDescent="0.3">
      <c r="A880" t="s">
        <v>747</v>
      </c>
      <c r="B880">
        <v>56</v>
      </c>
      <c r="M880">
        <v>6</v>
      </c>
      <c r="S880">
        <v>6</v>
      </c>
    </row>
    <row r="881" spans="1:24" x14ac:dyDescent="0.3">
      <c r="A881" t="s">
        <v>748</v>
      </c>
      <c r="B881">
        <v>56</v>
      </c>
      <c r="M881">
        <v>3</v>
      </c>
      <c r="S881">
        <v>3</v>
      </c>
    </row>
    <row r="882" spans="1:24" x14ac:dyDescent="0.3">
      <c r="A882" t="s">
        <v>749</v>
      </c>
      <c r="B882">
        <v>56</v>
      </c>
      <c r="M882">
        <v>0</v>
      </c>
      <c r="S882">
        <v>0</v>
      </c>
    </row>
    <row r="883" spans="1:24" x14ac:dyDescent="0.3">
      <c r="A883" t="s">
        <v>750</v>
      </c>
      <c r="B883">
        <v>56</v>
      </c>
      <c r="D883">
        <v>0</v>
      </c>
      <c r="M883">
        <v>0</v>
      </c>
      <c r="S883">
        <v>0</v>
      </c>
      <c r="X883">
        <v>0</v>
      </c>
    </row>
    <row r="884" spans="1:24" x14ac:dyDescent="0.3">
      <c r="A884" t="s">
        <v>405</v>
      </c>
      <c r="B884">
        <v>56</v>
      </c>
      <c r="X884">
        <v>0</v>
      </c>
    </row>
    <row r="885" spans="1:24" x14ac:dyDescent="0.3">
      <c r="A885" t="s">
        <v>751</v>
      </c>
      <c r="B885">
        <v>56</v>
      </c>
      <c r="C885">
        <v>398</v>
      </c>
      <c r="D885">
        <v>0</v>
      </c>
      <c r="F885">
        <v>0</v>
      </c>
      <c r="G885">
        <v>420</v>
      </c>
      <c r="K885">
        <v>0</v>
      </c>
      <c r="L885">
        <v>208</v>
      </c>
      <c r="M885">
        <v>757</v>
      </c>
      <c r="N885">
        <v>0</v>
      </c>
      <c r="O885">
        <v>0</v>
      </c>
      <c r="P885">
        <v>0</v>
      </c>
      <c r="Q885">
        <v>0</v>
      </c>
      <c r="R885">
        <v>578</v>
      </c>
      <c r="S885">
        <v>1126</v>
      </c>
      <c r="T885">
        <v>0</v>
      </c>
      <c r="U885">
        <v>0</v>
      </c>
      <c r="V885">
        <v>0</v>
      </c>
      <c r="W885">
        <v>0</v>
      </c>
      <c r="X885">
        <v>0</v>
      </c>
    </row>
    <row r="886" spans="1:24" x14ac:dyDescent="0.3">
      <c r="A886" t="s">
        <v>34</v>
      </c>
      <c r="B886">
        <v>60</v>
      </c>
      <c r="H886">
        <v>58</v>
      </c>
      <c r="J886">
        <v>58</v>
      </c>
      <c r="L886">
        <v>97</v>
      </c>
      <c r="N886">
        <v>97</v>
      </c>
    </row>
    <row r="887" spans="1:24" x14ac:dyDescent="0.3">
      <c r="A887" t="s">
        <v>35</v>
      </c>
      <c r="B887">
        <v>60</v>
      </c>
      <c r="H887">
        <v>56</v>
      </c>
      <c r="J887">
        <v>97</v>
      </c>
      <c r="L887">
        <v>58</v>
      </c>
      <c r="N887">
        <v>56</v>
      </c>
    </row>
    <row r="888" spans="1:24" x14ac:dyDescent="0.3">
      <c r="A888" t="s">
        <v>36</v>
      </c>
      <c r="B888">
        <v>60</v>
      </c>
      <c r="H888">
        <v>2</v>
      </c>
      <c r="J888">
        <v>1</v>
      </c>
      <c r="L888">
        <v>0</v>
      </c>
      <c r="N888">
        <v>0</v>
      </c>
    </row>
    <row r="889" spans="1:24" x14ac:dyDescent="0.3">
      <c r="A889" t="s">
        <v>37</v>
      </c>
      <c r="B889">
        <v>60</v>
      </c>
      <c r="H889">
        <v>0</v>
      </c>
      <c r="L889">
        <v>0</v>
      </c>
    </row>
    <row r="890" spans="1:24" x14ac:dyDescent="0.3">
      <c r="A890" t="s">
        <v>38</v>
      </c>
      <c r="B890">
        <v>60</v>
      </c>
      <c r="H890">
        <v>12</v>
      </c>
      <c r="J890">
        <v>12</v>
      </c>
      <c r="L890">
        <v>12</v>
      </c>
      <c r="N890">
        <v>12</v>
      </c>
    </row>
    <row r="891" spans="1:24" x14ac:dyDescent="0.3">
      <c r="A891" t="s">
        <v>39</v>
      </c>
      <c r="B891">
        <v>60</v>
      </c>
    </row>
    <row r="892" spans="1:24" x14ac:dyDescent="0.3">
      <c r="A892" t="s">
        <v>726</v>
      </c>
      <c r="B892">
        <v>60</v>
      </c>
    </row>
    <row r="893" spans="1:24" x14ac:dyDescent="0.3">
      <c r="A893" t="s">
        <v>40</v>
      </c>
      <c r="B893">
        <v>60</v>
      </c>
    </row>
    <row r="894" spans="1:24" x14ac:dyDescent="0.3">
      <c r="A894" t="s">
        <v>41</v>
      </c>
      <c r="B894">
        <v>60</v>
      </c>
    </row>
    <row r="895" spans="1:24" x14ac:dyDescent="0.3">
      <c r="A895" t="s">
        <v>42</v>
      </c>
      <c r="B895">
        <v>60</v>
      </c>
      <c r="H895">
        <v>30</v>
      </c>
      <c r="L895">
        <v>30</v>
      </c>
    </row>
    <row r="896" spans="1:24" x14ac:dyDescent="0.3">
      <c r="A896" t="s">
        <v>754</v>
      </c>
      <c r="B896">
        <v>60</v>
      </c>
      <c r="H896">
        <v>0</v>
      </c>
      <c r="L896">
        <v>1</v>
      </c>
    </row>
    <row r="897" spans="1:14" x14ac:dyDescent="0.3">
      <c r="A897" t="s">
        <v>48</v>
      </c>
      <c r="B897">
        <v>60</v>
      </c>
      <c r="H897">
        <v>1900</v>
      </c>
      <c r="J897">
        <v>1900</v>
      </c>
      <c r="L897">
        <v>1900</v>
      </c>
      <c r="N897">
        <v>1900</v>
      </c>
    </row>
    <row r="898" spans="1:14" x14ac:dyDescent="0.3">
      <c r="A898" t="s">
        <v>728</v>
      </c>
      <c r="B898">
        <v>60</v>
      </c>
      <c r="H898">
        <v>3433</v>
      </c>
      <c r="J898">
        <v>1583</v>
      </c>
      <c r="L898">
        <v>0</v>
      </c>
      <c r="N898">
        <v>0</v>
      </c>
    </row>
    <row r="899" spans="1:14" x14ac:dyDescent="0.3">
      <c r="A899" t="s">
        <v>50</v>
      </c>
      <c r="B899">
        <v>60</v>
      </c>
      <c r="H899">
        <v>3433</v>
      </c>
      <c r="J899">
        <v>1583</v>
      </c>
      <c r="L899">
        <v>0</v>
      </c>
      <c r="N899">
        <v>0</v>
      </c>
    </row>
    <row r="900" spans="1:14" x14ac:dyDescent="0.3">
      <c r="A900" t="s">
        <v>729</v>
      </c>
      <c r="B900">
        <v>60</v>
      </c>
      <c r="H900">
        <v>1</v>
      </c>
      <c r="J900">
        <v>1</v>
      </c>
      <c r="L900">
        <v>1</v>
      </c>
      <c r="N900">
        <v>1</v>
      </c>
    </row>
    <row r="901" spans="1:14" x14ac:dyDescent="0.3">
      <c r="A901" t="s">
        <v>51</v>
      </c>
      <c r="B901">
        <v>60</v>
      </c>
      <c r="H901">
        <v>0</v>
      </c>
      <c r="J901">
        <v>0</v>
      </c>
      <c r="L901">
        <v>0</v>
      </c>
      <c r="N901">
        <v>0</v>
      </c>
    </row>
    <row r="902" spans="1:14" x14ac:dyDescent="0.3">
      <c r="A902" t="s">
        <v>53</v>
      </c>
      <c r="B902">
        <v>60</v>
      </c>
      <c r="H902">
        <v>258</v>
      </c>
      <c r="J902">
        <v>243</v>
      </c>
      <c r="L902">
        <v>0</v>
      </c>
      <c r="N902">
        <v>0</v>
      </c>
    </row>
    <row r="903" spans="1:14" x14ac:dyDescent="0.3">
      <c r="A903" t="s">
        <v>54</v>
      </c>
      <c r="B903">
        <v>60</v>
      </c>
      <c r="H903">
        <v>0</v>
      </c>
      <c r="J903">
        <v>0</v>
      </c>
      <c r="L903">
        <v>0</v>
      </c>
      <c r="N903">
        <v>0</v>
      </c>
    </row>
    <row r="904" spans="1:14" x14ac:dyDescent="0.3">
      <c r="A904" t="s">
        <v>55</v>
      </c>
      <c r="B904">
        <v>60</v>
      </c>
      <c r="H904">
        <v>0</v>
      </c>
      <c r="J904">
        <v>0</v>
      </c>
      <c r="L904">
        <v>0</v>
      </c>
      <c r="N904">
        <v>0</v>
      </c>
    </row>
    <row r="905" spans="1:14" x14ac:dyDescent="0.3">
      <c r="A905" t="s">
        <v>56</v>
      </c>
      <c r="B905">
        <v>60</v>
      </c>
      <c r="H905">
        <v>0.92</v>
      </c>
      <c r="J905">
        <v>0.92</v>
      </c>
      <c r="L905">
        <v>0.92</v>
      </c>
      <c r="N905">
        <v>0.92</v>
      </c>
    </row>
    <row r="906" spans="1:14" x14ac:dyDescent="0.3">
      <c r="A906" t="s">
        <v>57</v>
      </c>
      <c r="B906">
        <v>60</v>
      </c>
      <c r="H906">
        <v>100</v>
      </c>
      <c r="J906">
        <v>100</v>
      </c>
      <c r="L906">
        <v>100</v>
      </c>
      <c r="N906">
        <v>100</v>
      </c>
    </row>
    <row r="907" spans="1:14" x14ac:dyDescent="0.3">
      <c r="A907" t="s">
        <v>58</v>
      </c>
      <c r="B907">
        <v>60</v>
      </c>
      <c r="H907">
        <v>2</v>
      </c>
      <c r="J907">
        <v>2</v>
      </c>
      <c r="L907">
        <v>2</v>
      </c>
      <c r="N907">
        <v>2</v>
      </c>
    </row>
    <row r="908" spans="1:14" x14ac:dyDescent="0.3">
      <c r="A908" t="s">
        <v>59</v>
      </c>
      <c r="B908">
        <v>60</v>
      </c>
      <c r="H908">
        <v>0</v>
      </c>
      <c r="J908">
        <v>0</v>
      </c>
      <c r="L908">
        <v>0</v>
      </c>
      <c r="N908">
        <v>0</v>
      </c>
    </row>
    <row r="909" spans="1:14" x14ac:dyDescent="0.3">
      <c r="A909" t="s">
        <v>730</v>
      </c>
      <c r="B909">
        <v>60</v>
      </c>
      <c r="H909">
        <v>0</v>
      </c>
      <c r="L909">
        <v>0</v>
      </c>
    </row>
    <row r="910" spans="1:14" x14ac:dyDescent="0.3">
      <c r="A910" t="s">
        <v>679</v>
      </c>
      <c r="B910">
        <v>60</v>
      </c>
      <c r="H910">
        <v>729</v>
      </c>
      <c r="L910">
        <v>192</v>
      </c>
    </row>
    <row r="911" spans="1:14" x14ac:dyDescent="0.3">
      <c r="A911" t="s">
        <v>78</v>
      </c>
      <c r="B911">
        <v>60</v>
      </c>
      <c r="H911">
        <v>16.600000000000001</v>
      </c>
      <c r="L911">
        <v>4.4000000000000004</v>
      </c>
    </row>
    <row r="912" spans="1:14" x14ac:dyDescent="0.3">
      <c r="A912" t="s">
        <v>731</v>
      </c>
      <c r="B912">
        <v>60</v>
      </c>
      <c r="J912">
        <v>1</v>
      </c>
      <c r="N912">
        <v>0</v>
      </c>
    </row>
    <row r="913" spans="1:23" x14ac:dyDescent="0.3">
      <c r="A913" t="s">
        <v>752</v>
      </c>
      <c r="B913">
        <v>60</v>
      </c>
      <c r="J913">
        <v>250</v>
      </c>
    </row>
    <row r="914" spans="1:23" x14ac:dyDescent="0.3">
      <c r="A914" t="s">
        <v>753</v>
      </c>
      <c r="B914">
        <v>60</v>
      </c>
      <c r="J914">
        <v>0</v>
      </c>
    </row>
    <row r="915" spans="1:23" x14ac:dyDescent="0.3">
      <c r="A915" t="s">
        <v>732</v>
      </c>
      <c r="B915">
        <v>60</v>
      </c>
      <c r="H915">
        <v>0</v>
      </c>
      <c r="J915">
        <v>1</v>
      </c>
      <c r="L915">
        <v>0</v>
      </c>
      <c r="N915">
        <v>1</v>
      </c>
    </row>
    <row r="916" spans="1:23" x14ac:dyDescent="0.3">
      <c r="A916" t="s">
        <v>733</v>
      </c>
      <c r="B916">
        <v>60</v>
      </c>
      <c r="H916">
        <v>0</v>
      </c>
      <c r="J916">
        <v>0</v>
      </c>
      <c r="L916">
        <v>0</v>
      </c>
      <c r="N916">
        <v>0</v>
      </c>
    </row>
    <row r="917" spans="1:23" x14ac:dyDescent="0.3">
      <c r="A917" t="s">
        <v>52</v>
      </c>
      <c r="B917">
        <v>60</v>
      </c>
      <c r="H917">
        <v>1</v>
      </c>
      <c r="J917">
        <v>1</v>
      </c>
      <c r="L917">
        <v>1</v>
      </c>
      <c r="N917">
        <v>1</v>
      </c>
    </row>
    <row r="918" spans="1:23" x14ac:dyDescent="0.3">
      <c r="A918" t="s">
        <v>734</v>
      </c>
      <c r="B918">
        <v>60</v>
      </c>
      <c r="H918">
        <v>15</v>
      </c>
      <c r="J918">
        <v>9</v>
      </c>
      <c r="L918">
        <v>15</v>
      </c>
      <c r="N918">
        <v>9</v>
      </c>
    </row>
    <row r="919" spans="1:23" x14ac:dyDescent="0.3">
      <c r="A919" t="s">
        <v>43</v>
      </c>
      <c r="B919">
        <v>60</v>
      </c>
      <c r="H919">
        <v>20</v>
      </c>
      <c r="J919">
        <v>20</v>
      </c>
    </row>
    <row r="920" spans="1:23" x14ac:dyDescent="0.3">
      <c r="A920" t="s">
        <v>44</v>
      </c>
      <c r="B920">
        <v>60</v>
      </c>
      <c r="H920">
        <v>0</v>
      </c>
      <c r="J920">
        <v>0</v>
      </c>
    </row>
    <row r="921" spans="1:23" x14ac:dyDescent="0.3">
      <c r="A921" t="s">
        <v>750</v>
      </c>
      <c r="B921">
        <v>60</v>
      </c>
      <c r="H921">
        <v>0</v>
      </c>
      <c r="L921">
        <v>0</v>
      </c>
    </row>
    <row r="922" spans="1:23" x14ac:dyDescent="0.3">
      <c r="A922" t="s">
        <v>405</v>
      </c>
      <c r="B922">
        <v>60</v>
      </c>
    </row>
    <row r="923" spans="1:23" x14ac:dyDescent="0.3">
      <c r="A923" t="s">
        <v>751</v>
      </c>
      <c r="B923">
        <v>60</v>
      </c>
      <c r="H923">
        <v>280</v>
      </c>
      <c r="J923">
        <v>264</v>
      </c>
      <c r="L923">
        <v>0</v>
      </c>
      <c r="N923">
        <v>0</v>
      </c>
    </row>
    <row r="924" spans="1:23" x14ac:dyDescent="0.3">
      <c r="A924" t="s">
        <v>34</v>
      </c>
      <c r="B924">
        <v>61</v>
      </c>
      <c r="D924">
        <v>63</v>
      </c>
      <c r="E924">
        <v>63</v>
      </c>
      <c r="I924">
        <v>57</v>
      </c>
      <c r="J924">
        <v>57</v>
      </c>
      <c r="W924">
        <v>56</v>
      </c>
    </row>
    <row r="925" spans="1:23" x14ac:dyDescent="0.3">
      <c r="A925" t="s">
        <v>35</v>
      </c>
      <c r="B925">
        <v>61</v>
      </c>
      <c r="D925">
        <v>56</v>
      </c>
      <c r="E925">
        <v>57</v>
      </c>
      <c r="I925">
        <v>63</v>
      </c>
      <c r="J925">
        <v>56</v>
      </c>
      <c r="W925">
        <v>57</v>
      </c>
    </row>
    <row r="926" spans="1:23" x14ac:dyDescent="0.3">
      <c r="A926" t="s">
        <v>36</v>
      </c>
      <c r="B926">
        <v>61</v>
      </c>
      <c r="D926">
        <v>0</v>
      </c>
      <c r="E926">
        <v>1</v>
      </c>
      <c r="I926">
        <v>0</v>
      </c>
      <c r="J926">
        <v>0</v>
      </c>
      <c r="W926">
        <v>2</v>
      </c>
    </row>
    <row r="927" spans="1:23" x14ac:dyDescent="0.3">
      <c r="A927" t="s">
        <v>37</v>
      </c>
      <c r="B927">
        <v>61</v>
      </c>
      <c r="D927">
        <v>0</v>
      </c>
      <c r="E927">
        <v>0</v>
      </c>
      <c r="I927">
        <v>0</v>
      </c>
      <c r="W927">
        <v>0</v>
      </c>
    </row>
    <row r="928" spans="1:23" x14ac:dyDescent="0.3">
      <c r="A928" t="s">
        <v>38</v>
      </c>
      <c r="B928">
        <v>61</v>
      </c>
      <c r="D928">
        <v>12</v>
      </c>
      <c r="E928">
        <v>12</v>
      </c>
      <c r="I928">
        <v>12</v>
      </c>
      <c r="J928">
        <v>12</v>
      </c>
      <c r="W928">
        <v>12</v>
      </c>
    </row>
    <row r="929" spans="1:23" x14ac:dyDescent="0.3">
      <c r="A929" t="s">
        <v>39</v>
      </c>
      <c r="B929">
        <v>61</v>
      </c>
      <c r="D929">
        <v>150</v>
      </c>
      <c r="J929">
        <v>150</v>
      </c>
      <c r="W929">
        <v>150</v>
      </c>
    </row>
    <row r="930" spans="1:23" x14ac:dyDescent="0.3">
      <c r="A930" t="s">
        <v>726</v>
      </c>
      <c r="B930">
        <v>61</v>
      </c>
      <c r="D930">
        <v>25</v>
      </c>
      <c r="J930">
        <v>25</v>
      </c>
      <c r="W930">
        <v>30</v>
      </c>
    </row>
    <row r="931" spans="1:23" x14ac:dyDescent="0.3">
      <c r="A931" t="s">
        <v>40</v>
      </c>
      <c r="B931">
        <v>61</v>
      </c>
      <c r="D931">
        <v>0</v>
      </c>
      <c r="J931">
        <v>0</v>
      </c>
      <c r="W931">
        <v>0</v>
      </c>
    </row>
    <row r="932" spans="1:23" x14ac:dyDescent="0.3">
      <c r="A932" t="s">
        <v>41</v>
      </c>
      <c r="B932">
        <v>61</v>
      </c>
    </row>
    <row r="933" spans="1:23" x14ac:dyDescent="0.3">
      <c r="A933" t="s">
        <v>42</v>
      </c>
      <c r="B933">
        <v>61</v>
      </c>
      <c r="E933">
        <v>30</v>
      </c>
      <c r="I933">
        <v>30</v>
      </c>
      <c r="W933">
        <v>30</v>
      </c>
    </row>
    <row r="934" spans="1:23" x14ac:dyDescent="0.3">
      <c r="A934" t="s">
        <v>754</v>
      </c>
      <c r="B934">
        <v>61</v>
      </c>
      <c r="E934">
        <v>2</v>
      </c>
      <c r="I934">
        <v>1</v>
      </c>
      <c r="W934">
        <v>0</v>
      </c>
    </row>
    <row r="935" spans="1:23" x14ac:dyDescent="0.3">
      <c r="A935" t="s">
        <v>48</v>
      </c>
      <c r="B935">
        <v>61</v>
      </c>
      <c r="D935">
        <v>1900</v>
      </c>
      <c r="E935">
        <v>1900</v>
      </c>
      <c r="I935">
        <v>1900</v>
      </c>
      <c r="J935">
        <v>1900</v>
      </c>
      <c r="W935">
        <v>1900</v>
      </c>
    </row>
    <row r="936" spans="1:23" x14ac:dyDescent="0.3">
      <c r="A936" t="s">
        <v>728</v>
      </c>
      <c r="B936">
        <v>61</v>
      </c>
      <c r="D936">
        <v>0</v>
      </c>
      <c r="E936">
        <v>1863</v>
      </c>
      <c r="I936">
        <v>0</v>
      </c>
      <c r="J936">
        <v>0</v>
      </c>
      <c r="W936">
        <v>3614</v>
      </c>
    </row>
    <row r="937" spans="1:23" x14ac:dyDescent="0.3">
      <c r="A937" t="s">
        <v>50</v>
      </c>
      <c r="B937">
        <v>61</v>
      </c>
      <c r="D937">
        <v>0</v>
      </c>
      <c r="E937">
        <v>1863</v>
      </c>
      <c r="I937">
        <v>0</v>
      </c>
      <c r="J937">
        <v>0</v>
      </c>
      <c r="W937">
        <v>3614</v>
      </c>
    </row>
    <row r="938" spans="1:23" x14ac:dyDescent="0.3">
      <c r="A938" t="s">
        <v>729</v>
      </c>
      <c r="B938">
        <v>61</v>
      </c>
      <c r="D938">
        <v>1</v>
      </c>
      <c r="E938">
        <v>1</v>
      </c>
      <c r="I938">
        <v>1</v>
      </c>
      <c r="J938">
        <v>1</v>
      </c>
      <c r="W938">
        <v>1</v>
      </c>
    </row>
    <row r="939" spans="1:23" x14ac:dyDescent="0.3">
      <c r="A939" t="s">
        <v>51</v>
      </c>
      <c r="B939">
        <v>61</v>
      </c>
      <c r="D939">
        <v>0</v>
      </c>
      <c r="E939">
        <v>0</v>
      </c>
      <c r="I939">
        <v>0</v>
      </c>
      <c r="J939">
        <v>0</v>
      </c>
      <c r="W939">
        <v>0</v>
      </c>
    </row>
    <row r="940" spans="1:23" x14ac:dyDescent="0.3">
      <c r="A940" t="s">
        <v>53</v>
      </c>
      <c r="B940">
        <v>61</v>
      </c>
      <c r="D940">
        <v>0</v>
      </c>
      <c r="E940">
        <v>0</v>
      </c>
      <c r="I940">
        <v>0</v>
      </c>
      <c r="J940">
        <v>0</v>
      </c>
      <c r="W940">
        <v>0</v>
      </c>
    </row>
    <row r="941" spans="1:23" x14ac:dyDescent="0.3">
      <c r="A941" t="s">
        <v>54</v>
      </c>
      <c r="B941">
        <v>61</v>
      </c>
      <c r="D941">
        <v>0</v>
      </c>
      <c r="E941">
        <v>0</v>
      </c>
      <c r="I941">
        <v>0</v>
      </c>
      <c r="J941">
        <v>0</v>
      </c>
      <c r="W941">
        <v>0</v>
      </c>
    </row>
    <row r="942" spans="1:23" x14ac:dyDescent="0.3">
      <c r="A942" t="s">
        <v>55</v>
      </c>
      <c r="B942">
        <v>61</v>
      </c>
      <c r="D942">
        <v>0</v>
      </c>
      <c r="E942">
        <v>0</v>
      </c>
      <c r="I942">
        <v>0</v>
      </c>
      <c r="J942">
        <v>0</v>
      </c>
      <c r="W942">
        <v>0</v>
      </c>
    </row>
    <row r="943" spans="1:23" x14ac:dyDescent="0.3">
      <c r="A943" t="s">
        <v>56</v>
      </c>
      <c r="B943">
        <v>61</v>
      </c>
      <c r="D943">
        <v>0.92</v>
      </c>
      <c r="E943">
        <v>0.92</v>
      </c>
      <c r="I943">
        <v>0.92</v>
      </c>
      <c r="J943">
        <v>0.92</v>
      </c>
      <c r="W943">
        <v>0.92</v>
      </c>
    </row>
    <row r="944" spans="1:23" x14ac:dyDescent="0.3">
      <c r="A944" t="s">
        <v>57</v>
      </c>
      <c r="B944">
        <v>61</v>
      </c>
      <c r="D944">
        <v>100</v>
      </c>
      <c r="E944">
        <v>100</v>
      </c>
      <c r="I944">
        <v>100</v>
      </c>
      <c r="J944">
        <v>100</v>
      </c>
      <c r="W944">
        <v>100</v>
      </c>
    </row>
    <row r="945" spans="1:23" x14ac:dyDescent="0.3">
      <c r="A945" t="s">
        <v>58</v>
      </c>
      <c r="B945">
        <v>61</v>
      </c>
      <c r="D945">
        <v>2</v>
      </c>
      <c r="E945">
        <v>2</v>
      </c>
      <c r="I945">
        <v>2</v>
      </c>
      <c r="J945">
        <v>2</v>
      </c>
      <c r="W945">
        <v>2</v>
      </c>
    </row>
    <row r="946" spans="1:23" x14ac:dyDescent="0.3">
      <c r="A946" t="s">
        <v>59</v>
      </c>
      <c r="B946">
        <v>61</v>
      </c>
      <c r="D946">
        <v>0</v>
      </c>
      <c r="E946">
        <v>0</v>
      </c>
      <c r="I946">
        <v>0</v>
      </c>
      <c r="J946">
        <v>0</v>
      </c>
      <c r="W946">
        <v>0</v>
      </c>
    </row>
    <row r="947" spans="1:23" x14ac:dyDescent="0.3">
      <c r="A947" t="s">
        <v>730</v>
      </c>
      <c r="B947">
        <v>61</v>
      </c>
      <c r="E947">
        <v>0</v>
      </c>
      <c r="I947">
        <v>0</v>
      </c>
      <c r="W947">
        <v>0</v>
      </c>
    </row>
    <row r="948" spans="1:23" x14ac:dyDescent="0.3">
      <c r="A948" t="s">
        <v>679</v>
      </c>
      <c r="B948">
        <v>61</v>
      </c>
      <c r="E948">
        <v>224</v>
      </c>
      <c r="I948">
        <v>603</v>
      </c>
      <c r="W948">
        <v>340</v>
      </c>
    </row>
    <row r="949" spans="1:23" x14ac:dyDescent="0.3">
      <c r="A949" t="s">
        <v>78</v>
      </c>
      <c r="B949">
        <v>61</v>
      </c>
      <c r="E949">
        <v>5.0999999999999996</v>
      </c>
      <c r="I949">
        <v>13.7</v>
      </c>
      <c r="W949">
        <v>7.7</v>
      </c>
    </row>
    <row r="950" spans="1:23" x14ac:dyDescent="0.3">
      <c r="A950" t="s">
        <v>731</v>
      </c>
      <c r="B950">
        <v>61</v>
      </c>
      <c r="E950">
        <v>1</v>
      </c>
      <c r="J950">
        <v>2</v>
      </c>
    </row>
    <row r="951" spans="1:23" x14ac:dyDescent="0.3">
      <c r="A951" t="s">
        <v>752</v>
      </c>
      <c r="B951">
        <v>61</v>
      </c>
      <c r="E951">
        <v>200</v>
      </c>
      <c r="J951">
        <v>50</v>
      </c>
    </row>
    <row r="952" spans="1:23" x14ac:dyDescent="0.3">
      <c r="A952" t="s">
        <v>753</v>
      </c>
      <c r="B952">
        <v>61</v>
      </c>
      <c r="E952">
        <v>0</v>
      </c>
      <c r="J952">
        <v>0</v>
      </c>
    </row>
    <row r="953" spans="1:23" x14ac:dyDescent="0.3">
      <c r="A953" t="s">
        <v>732</v>
      </c>
      <c r="B953">
        <v>61</v>
      </c>
      <c r="D953">
        <v>0</v>
      </c>
      <c r="E953">
        <v>0</v>
      </c>
      <c r="I953">
        <v>0</v>
      </c>
      <c r="J953">
        <v>1</v>
      </c>
      <c r="W953">
        <v>0</v>
      </c>
    </row>
    <row r="954" spans="1:23" x14ac:dyDescent="0.3">
      <c r="A954" t="s">
        <v>733</v>
      </c>
      <c r="B954">
        <v>61</v>
      </c>
      <c r="D954">
        <v>0</v>
      </c>
      <c r="E954">
        <v>0</v>
      </c>
      <c r="I954">
        <v>0</v>
      </c>
      <c r="J954">
        <v>0</v>
      </c>
      <c r="W954">
        <v>0</v>
      </c>
    </row>
    <row r="955" spans="1:23" x14ac:dyDescent="0.3">
      <c r="A955" t="s">
        <v>52</v>
      </c>
      <c r="B955">
        <v>61</v>
      </c>
      <c r="D955">
        <v>1</v>
      </c>
      <c r="E955">
        <v>1</v>
      </c>
      <c r="I955">
        <v>1</v>
      </c>
      <c r="J955">
        <v>1</v>
      </c>
      <c r="W955">
        <v>1</v>
      </c>
    </row>
    <row r="956" spans="1:23" x14ac:dyDescent="0.3">
      <c r="A956" t="s">
        <v>734</v>
      </c>
      <c r="B956">
        <v>61</v>
      </c>
      <c r="D956">
        <v>15</v>
      </c>
      <c r="E956">
        <v>60</v>
      </c>
      <c r="I956">
        <v>60</v>
      </c>
      <c r="J956">
        <v>9</v>
      </c>
      <c r="W956">
        <v>15</v>
      </c>
    </row>
    <row r="957" spans="1:23" x14ac:dyDescent="0.3">
      <c r="A957" t="s">
        <v>43</v>
      </c>
      <c r="B957">
        <v>61</v>
      </c>
      <c r="E957">
        <v>100</v>
      </c>
      <c r="W957">
        <v>20</v>
      </c>
    </row>
    <row r="958" spans="1:23" x14ac:dyDescent="0.3">
      <c r="A958" t="s">
        <v>44</v>
      </c>
      <c r="B958">
        <v>61</v>
      </c>
      <c r="E958">
        <v>0</v>
      </c>
      <c r="W958">
        <v>0</v>
      </c>
    </row>
    <row r="959" spans="1:23" x14ac:dyDescent="0.3">
      <c r="A959" t="s">
        <v>750</v>
      </c>
      <c r="B959">
        <v>61</v>
      </c>
      <c r="E959">
        <v>0</v>
      </c>
      <c r="I959">
        <v>0</v>
      </c>
      <c r="W959">
        <v>0</v>
      </c>
    </row>
    <row r="960" spans="1:23" x14ac:dyDescent="0.3">
      <c r="A960" t="s">
        <v>405</v>
      </c>
      <c r="B960">
        <v>61</v>
      </c>
      <c r="W960">
        <v>0</v>
      </c>
    </row>
    <row r="961" spans="1:23" x14ac:dyDescent="0.3">
      <c r="A961" t="s">
        <v>751</v>
      </c>
      <c r="B961">
        <v>61</v>
      </c>
      <c r="D961">
        <v>0</v>
      </c>
      <c r="E961">
        <v>0</v>
      </c>
      <c r="I961">
        <v>0</v>
      </c>
      <c r="J961">
        <v>0</v>
      </c>
      <c r="W961">
        <v>0</v>
      </c>
    </row>
    <row r="962" spans="1:23" x14ac:dyDescent="0.3">
      <c r="A962" t="s">
        <v>34</v>
      </c>
      <c r="B962">
        <v>62</v>
      </c>
      <c r="L962">
        <v>56</v>
      </c>
      <c r="M962">
        <v>56</v>
      </c>
      <c r="P962">
        <v>64</v>
      </c>
      <c r="S962">
        <v>64</v>
      </c>
      <c r="T962">
        <v>64</v>
      </c>
    </row>
    <row r="963" spans="1:23" x14ac:dyDescent="0.3">
      <c r="A963" t="s">
        <v>35</v>
      </c>
      <c r="B963">
        <v>62</v>
      </c>
      <c r="L963">
        <v>63</v>
      </c>
      <c r="M963">
        <v>64</v>
      </c>
      <c r="P963">
        <v>64</v>
      </c>
      <c r="S963">
        <v>56</v>
      </c>
      <c r="T963">
        <v>63</v>
      </c>
    </row>
    <row r="964" spans="1:23" x14ac:dyDescent="0.3">
      <c r="A964" t="s">
        <v>36</v>
      </c>
      <c r="B964">
        <v>62</v>
      </c>
      <c r="L964">
        <v>0</v>
      </c>
      <c r="M964">
        <v>3</v>
      </c>
      <c r="P964">
        <v>0</v>
      </c>
      <c r="S964">
        <v>3</v>
      </c>
      <c r="T964">
        <v>0</v>
      </c>
    </row>
    <row r="965" spans="1:23" x14ac:dyDescent="0.3">
      <c r="A965" t="s">
        <v>37</v>
      </c>
      <c r="B965">
        <v>62</v>
      </c>
      <c r="L965">
        <v>0</v>
      </c>
      <c r="M965">
        <v>0</v>
      </c>
      <c r="S965">
        <v>2</v>
      </c>
    </row>
    <row r="966" spans="1:23" x14ac:dyDescent="0.3">
      <c r="A966" t="s">
        <v>38</v>
      </c>
      <c r="B966">
        <v>62</v>
      </c>
      <c r="L966">
        <v>12</v>
      </c>
      <c r="M966">
        <v>12</v>
      </c>
      <c r="P966">
        <v>12</v>
      </c>
      <c r="S966">
        <v>12</v>
      </c>
      <c r="T966">
        <v>12</v>
      </c>
    </row>
    <row r="967" spans="1:23" x14ac:dyDescent="0.3">
      <c r="A967" t="s">
        <v>39</v>
      </c>
      <c r="B967">
        <v>62</v>
      </c>
    </row>
    <row r="968" spans="1:23" x14ac:dyDescent="0.3">
      <c r="A968" t="s">
        <v>726</v>
      </c>
      <c r="B968">
        <v>62</v>
      </c>
    </row>
    <row r="969" spans="1:23" x14ac:dyDescent="0.3">
      <c r="A969" t="s">
        <v>40</v>
      </c>
      <c r="B969">
        <v>62</v>
      </c>
    </row>
    <row r="970" spans="1:23" x14ac:dyDescent="0.3">
      <c r="A970" t="s">
        <v>41</v>
      </c>
      <c r="B970">
        <v>62</v>
      </c>
    </row>
    <row r="971" spans="1:23" x14ac:dyDescent="0.3">
      <c r="A971" t="s">
        <v>42</v>
      </c>
      <c r="B971">
        <v>62</v>
      </c>
      <c r="M971">
        <v>40</v>
      </c>
      <c r="S971">
        <v>40</v>
      </c>
    </row>
    <row r="972" spans="1:23" x14ac:dyDescent="0.3">
      <c r="A972" t="s">
        <v>754</v>
      </c>
      <c r="B972">
        <v>62</v>
      </c>
      <c r="M972">
        <v>0</v>
      </c>
      <c r="S972">
        <v>0</v>
      </c>
    </row>
    <row r="973" spans="1:23" x14ac:dyDescent="0.3">
      <c r="A973" t="s">
        <v>48</v>
      </c>
      <c r="B973">
        <v>62</v>
      </c>
      <c r="L973">
        <v>1900</v>
      </c>
      <c r="M973">
        <v>1900</v>
      </c>
      <c r="P973">
        <v>1900</v>
      </c>
      <c r="S973">
        <v>1900</v>
      </c>
      <c r="T973">
        <v>1900</v>
      </c>
    </row>
    <row r="974" spans="1:23" x14ac:dyDescent="0.3">
      <c r="A974" t="s">
        <v>728</v>
      </c>
      <c r="B974">
        <v>62</v>
      </c>
      <c r="L974">
        <v>0</v>
      </c>
      <c r="M974">
        <v>5085</v>
      </c>
      <c r="P974">
        <v>0</v>
      </c>
      <c r="S974">
        <v>4917</v>
      </c>
      <c r="T974">
        <v>0</v>
      </c>
    </row>
    <row r="975" spans="1:23" x14ac:dyDescent="0.3">
      <c r="A975" t="s">
        <v>50</v>
      </c>
      <c r="B975">
        <v>62</v>
      </c>
      <c r="L975">
        <v>0</v>
      </c>
      <c r="M975">
        <v>5085</v>
      </c>
      <c r="P975">
        <v>0</v>
      </c>
      <c r="S975">
        <v>4917</v>
      </c>
      <c r="T975">
        <v>0</v>
      </c>
    </row>
    <row r="976" spans="1:23" x14ac:dyDescent="0.3">
      <c r="A976" t="s">
        <v>729</v>
      </c>
      <c r="B976">
        <v>62</v>
      </c>
      <c r="L976">
        <v>1</v>
      </c>
      <c r="M976">
        <v>1</v>
      </c>
      <c r="P976">
        <v>1</v>
      </c>
      <c r="S976">
        <v>1</v>
      </c>
      <c r="T976">
        <v>1</v>
      </c>
    </row>
    <row r="977" spans="1:20" x14ac:dyDescent="0.3">
      <c r="A977" t="s">
        <v>51</v>
      </c>
      <c r="B977">
        <v>62</v>
      </c>
      <c r="L977">
        <v>0</v>
      </c>
      <c r="M977">
        <v>0</v>
      </c>
      <c r="P977">
        <v>0</v>
      </c>
      <c r="S977">
        <v>85</v>
      </c>
      <c r="T977">
        <v>0</v>
      </c>
    </row>
    <row r="978" spans="1:20" x14ac:dyDescent="0.3">
      <c r="A978" t="s">
        <v>53</v>
      </c>
      <c r="B978">
        <v>62</v>
      </c>
      <c r="L978">
        <v>0</v>
      </c>
      <c r="M978">
        <v>1340</v>
      </c>
      <c r="P978">
        <v>0</v>
      </c>
      <c r="S978">
        <v>1036</v>
      </c>
      <c r="T978">
        <v>295</v>
      </c>
    </row>
    <row r="979" spans="1:20" x14ac:dyDescent="0.3">
      <c r="A979" t="s">
        <v>54</v>
      </c>
      <c r="B979">
        <v>62</v>
      </c>
      <c r="L979">
        <v>0</v>
      </c>
      <c r="M979">
        <v>0</v>
      </c>
      <c r="P979">
        <v>0</v>
      </c>
      <c r="S979">
        <v>0</v>
      </c>
      <c r="T979">
        <v>0</v>
      </c>
    </row>
    <row r="980" spans="1:20" x14ac:dyDescent="0.3">
      <c r="A980" t="s">
        <v>55</v>
      </c>
      <c r="B980">
        <v>62</v>
      </c>
      <c r="L980">
        <v>0</v>
      </c>
      <c r="M980">
        <v>0</v>
      </c>
      <c r="P980">
        <v>0</v>
      </c>
      <c r="S980">
        <v>0</v>
      </c>
      <c r="T980">
        <v>0</v>
      </c>
    </row>
    <row r="981" spans="1:20" x14ac:dyDescent="0.3">
      <c r="A981" t="s">
        <v>56</v>
      </c>
      <c r="B981">
        <v>62</v>
      </c>
      <c r="L981">
        <v>0.92</v>
      </c>
      <c r="M981">
        <v>0.92</v>
      </c>
      <c r="P981">
        <v>0.92</v>
      </c>
      <c r="S981">
        <v>0.92</v>
      </c>
      <c r="T981">
        <v>0.92</v>
      </c>
    </row>
    <row r="982" spans="1:20" x14ac:dyDescent="0.3">
      <c r="A982" t="s">
        <v>57</v>
      </c>
      <c r="B982">
        <v>62</v>
      </c>
      <c r="L982">
        <v>100</v>
      </c>
      <c r="M982">
        <v>100</v>
      </c>
      <c r="P982">
        <v>100</v>
      </c>
      <c r="S982">
        <v>100</v>
      </c>
      <c r="T982">
        <v>100</v>
      </c>
    </row>
    <row r="983" spans="1:20" x14ac:dyDescent="0.3">
      <c r="A983" t="s">
        <v>58</v>
      </c>
      <c r="B983">
        <v>62</v>
      </c>
      <c r="L983">
        <v>2</v>
      </c>
      <c r="M983">
        <v>2</v>
      </c>
      <c r="P983">
        <v>2</v>
      </c>
      <c r="S983">
        <v>2</v>
      </c>
      <c r="T983">
        <v>2</v>
      </c>
    </row>
    <row r="984" spans="1:20" x14ac:dyDescent="0.3">
      <c r="A984" t="s">
        <v>59</v>
      </c>
      <c r="B984">
        <v>62</v>
      </c>
      <c r="L984">
        <v>0</v>
      </c>
      <c r="M984">
        <v>0</v>
      </c>
      <c r="P984">
        <v>0</v>
      </c>
      <c r="S984">
        <v>0</v>
      </c>
      <c r="T984">
        <v>0</v>
      </c>
    </row>
    <row r="985" spans="1:20" x14ac:dyDescent="0.3">
      <c r="A985" t="s">
        <v>730</v>
      </c>
      <c r="B985">
        <v>62</v>
      </c>
      <c r="M985">
        <v>0</v>
      </c>
      <c r="S985">
        <v>0</v>
      </c>
    </row>
    <row r="986" spans="1:20" x14ac:dyDescent="0.3">
      <c r="A986" t="s">
        <v>679</v>
      </c>
      <c r="B986">
        <v>62</v>
      </c>
      <c r="M986">
        <v>363</v>
      </c>
      <c r="S986">
        <v>821</v>
      </c>
    </row>
    <row r="987" spans="1:20" x14ac:dyDescent="0.3">
      <c r="A987" t="s">
        <v>78</v>
      </c>
      <c r="B987">
        <v>62</v>
      </c>
      <c r="M987">
        <v>6.2</v>
      </c>
      <c r="S987">
        <v>14</v>
      </c>
    </row>
    <row r="988" spans="1:20" x14ac:dyDescent="0.3">
      <c r="A988" t="s">
        <v>731</v>
      </c>
      <c r="B988">
        <v>62</v>
      </c>
      <c r="M988">
        <v>0</v>
      </c>
      <c r="T988">
        <v>1</v>
      </c>
    </row>
    <row r="989" spans="1:20" x14ac:dyDescent="0.3">
      <c r="A989" t="s">
        <v>752</v>
      </c>
      <c r="B989">
        <v>62</v>
      </c>
      <c r="T989">
        <v>50</v>
      </c>
    </row>
    <row r="990" spans="1:20" x14ac:dyDescent="0.3">
      <c r="A990" t="s">
        <v>753</v>
      </c>
      <c r="B990">
        <v>62</v>
      </c>
      <c r="T990">
        <v>0</v>
      </c>
    </row>
    <row r="991" spans="1:20" x14ac:dyDescent="0.3">
      <c r="A991" t="s">
        <v>732</v>
      </c>
      <c r="B991">
        <v>62</v>
      </c>
      <c r="L991">
        <v>0</v>
      </c>
      <c r="M991">
        <v>0</v>
      </c>
      <c r="P991">
        <v>3</v>
      </c>
      <c r="S991">
        <v>0</v>
      </c>
      <c r="T991">
        <v>1</v>
      </c>
    </row>
    <row r="992" spans="1:20" x14ac:dyDescent="0.3">
      <c r="A992" t="s">
        <v>733</v>
      </c>
      <c r="B992">
        <v>62</v>
      </c>
      <c r="L992">
        <v>0</v>
      </c>
      <c r="M992">
        <v>0</v>
      </c>
      <c r="P992">
        <v>0</v>
      </c>
      <c r="S992">
        <v>0</v>
      </c>
      <c r="T992">
        <v>0</v>
      </c>
    </row>
    <row r="993" spans="1:20" x14ac:dyDescent="0.3">
      <c r="A993" t="s">
        <v>52</v>
      </c>
      <c r="B993">
        <v>62</v>
      </c>
      <c r="L993">
        <v>1</v>
      </c>
      <c r="M993">
        <v>1</v>
      </c>
      <c r="P993">
        <v>1</v>
      </c>
      <c r="S993">
        <v>1</v>
      </c>
      <c r="T993">
        <v>1</v>
      </c>
    </row>
    <row r="994" spans="1:20" x14ac:dyDescent="0.3">
      <c r="A994" t="s">
        <v>734</v>
      </c>
      <c r="B994">
        <v>62</v>
      </c>
      <c r="L994">
        <v>15</v>
      </c>
      <c r="M994">
        <v>60</v>
      </c>
      <c r="P994">
        <v>9</v>
      </c>
      <c r="S994">
        <v>60</v>
      </c>
      <c r="T994">
        <v>9</v>
      </c>
    </row>
    <row r="995" spans="1:20" x14ac:dyDescent="0.3">
      <c r="A995" t="s">
        <v>43</v>
      </c>
      <c r="B995">
        <v>62</v>
      </c>
      <c r="M995">
        <v>100</v>
      </c>
      <c r="S995">
        <v>100</v>
      </c>
    </row>
    <row r="996" spans="1:20" x14ac:dyDescent="0.3">
      <c r="A996" t="s">
        <v>44</v>
      </c>
      <c r="B996">
        <v>62</v>
      </c>
      <c r="M996">
        <v>0</v>
      </c>
      <c r="S996">
        <v>0</v>
      </c>
    </row>
    <row r="997" spans="1:20" x14ac:dyDescent="0.3">
      <c r="A997" t="s">
        <v>750</v>
      </c>
      <c r="B997">
        <v>62</v>
      </c>
      <c r="M997">
        <v>0</v>
      </c>
      <c r="S997">
        <v>0</v>
      </c>
    </row>
    <row r="998" spans="1:20" x14ac:dyDescent="0.3">
      <c r="A998" t="s">
        <v>405</v>
      </c>
      <c r="B998">
        <v>62</v>
      </c>
      <c r="M998">
        <v>0</v>
      </c>
    </row>
    <row r="999" spans="1:20" x14ac:dyDescent="0.3">
      <c r="A999" t="s">
        <v>751</v>
      </c>
      <c r="B999">
        <v>62</v>
      </c>
      <c r="L999">
        <v>0</v>
      </c>
      <c r="M999">
        <v>1457</v>
      </c>
      <c r="P999">
        <v>0</v>
      </c>
      <c r="S999">
        <v>1447</v>
      </c>
      <c r="T999">
        <v>0</v>
      </c>
    </row>
    <row r="1000" spans="1:20" x14ac:dyDescent="0.3">
      <c r="A1000" t="s">
        <v>34</v>
      </c>
      <c r="B1000">
        <v>64</v>
      </c>
      <c r="D1000">
        <v>66</v>
      </c>
      <c r="E1000">
        <v>66</v>
      </c>
      <c r="F1000">
        <v>66</v>
      </c>
      <c r="H1000">
        <v>65</v>
      </c>
      <c r="I1000">
        <v>65</v>
      </c>
      <c r="J1000">
        <v>65</v>
      </c>
      <c r="L1000">
        <v>62</v>
      </c>
      <c r="M1000">
        <v>62</v>
      </c>
      <c r="N1000">
        <v>62</v>
      </c>
      <c r="P1000">
        <v>67</v>
      </c>
      <c r="R1000">
        <v>67</v>
      </c>
      <c r="S1000">
        <v>67</v>
      </c>
      <c r="T1000">
        <v>67</v>
      </c>
    </row>
    <row r="1001" spans="1:20" x14ac:dyDescent="0.3">
      <c r="A1001" t="s">
        <v>35</v>
      </c>
      <c r="B1001">
        <v>64</v>
      </c>
      <c r="D1001">
        <v>62</v>
      </c>
      <c r="E1001">
        <v>65</v>
      </c>
      <c r="F1001">
        <v>67</v>
      </c>
      <c r="H1001">
        <v>67</v>
      </c>
      <c r="I1001">
        <v>66</v>
      </c>
      <c r="J1001">
        <v>62</v>
      </c>
      <c r="L1001">
        <v>65</v>
      </c>
      <c r="M1001">
        <v>67</v>
      </c>
      <c r="N1001">
        <v>66</v>
      </c>
      <c r="P1001">
        <v>67</v>
      </c>
      <c r="R1001">
        <v>66</v>
      </c>
      <c r="S1001">
        <v>62</v>
      </c>
      <c r="T1001">
        <v>65</v>
      </c>
    </row>
    <row r="1002" spans="1:20" x14ac:dyDescent="0.3">
      <c r="A1002" t="s">
        <v>36</v>
      </c>
      <c r="B1002">
        <v>64</v>
      </c>
      <c r="D1002">
        <v>1</v>
      </c>
      <c r="E1002">
        <v>0</v>
      </c>
      <c r="F1002">
        <v>1</v>
      </c>
      <c r="H1002">
        <v>1</v>
      </c>
      <c r="I1002">
        <v>0</v>
      </c>
      <c r="J1002">
        <v>1</v>
      </c>
      <c r="L1002">
        <v>1</v>
      </c>
      <c r="M1002">
        <v>3</v>
      </c>
      <c r="N1002">
        <v>1</v>
      </c>
      <c r="P1002">
        <v>0</v>
      </c>
      <c r="R1002">
        <v>1</v>
      </c>
      <c r="S1002">
        <v>3</v>
      </c>
      <c r="T1002">
        <v>0</v>
      </c>
    </row>
    <row r="1003" spans="1:20" x14ac:dyDescent="0.3">
      <c r="A1003" t="s">
        <v>37</v>
      </c>
      <c r="B1003">
        <v>64</v>
      </c>
      <c r="D1003">
        <v>0</v>
      </c>
      <c r="E1003">
        <v>0</v>
      </c>
      <c r="H1003">
        <v>1</v>
      </c>
      <c r="I1003">
        <v>0</v>
      </c>
      <c r="L1003">
        <v>0</v>
      </c>
      <c r="M1003">
        <v>0</v>
      </c>
      <c r="R1003">
        <v>0</v>
      </c>
      <c r="S1003">
        <v>2</v>
      </c>
    </row>
    <row r="1004" spans="1:20" x14ac:dyDescent="0.3">
      <c r="A1004" t="s">
        <v>38</v>
      </c>
      <c r="B1004">
        <v>64</v>
      </c>
      <c r="D1004">
        <v>12</v>
      </c>
      <c r="E1004">
        <v>12</v>
      </c>
      <c r="F1004">
        <v>12</v>
      </c>
      <c r="H1004">
        <v>12</v>
      </c>
      <c r="I1004">
        <v>12</v>
      </c>
      <c r="J1004">
        <v>12</v>
      </c>
      <c r="L1004">
        <v>12</v>
      </c>
      <c r="M1004">
        <v>12</v>
      </c>
      <c r="N1004">
        <v>12</v>
      </c>
      <c r="P1004">
        <v>12</v>
      </c>
      <c r="R1004">
        <v>12</v>
      </c>
      <c r="S1004">
        <v>12</v>
      </c>
      <c r="T1004">
        <v>12</v>
      </c>
    </row>
    <row r="1005" spans="1:20" x14ac:dyDescent="0.3">
      <c r="A1005" t="s">
        <v>39</v>
      </c>
      <c r="B1005">
        <v>64</v>
      </c>
      <c r="L1005">
        <v>118</v>
      </c>
      <c r="N1005">
        <v>211</v>
      </c>
      <c r="R1005">
        <v>123</v>
      </c>
    </row>
    <row r="1006" spans="1:20" x14ac:dyDescent="0.3">
      <c r="A1006" t="s">
        <v>726</v>
      </c>
      <c r="B1006">
        <v>64</v>
      </c>
      <c r="L1006">
        <v>25</v>
      </c>
      <c r="N1006">
        <v>25</v>
      </c>
      <c r="R1006">
        <v>25</v>
      </c>
    </row>
    <row r="1007" spans="1:20" x14ac:dyDescent="0.3">
      <c r="A1007" t="s">
        <v>40</v>
      </c>
      <c r="B1007">
        <v>64</v>
      </c>
      <c r="L1007">
        <v>1</v>
      </c>
      <c r="N1007">
        <v>1</v>
      </c>
      <c r="R1007">
        <v>1</v>
      </c>
    </row>
    <row r="1008" spans="1:20" x14ac:dyDescent="0.3">
      <c r="A1008" t="s">
        <v>41</v>
      </c>
      <c r="B1008">
        <v>64</v>
      </c>
    </row>
    <row r="1009" spans="1:20" x14ac:dyDescent="0.3">
      <c r="A1009" t="s">
        <v>42</v>
      </c>
      <c r="B1009">
        <v>64</v>
      </c>
      <c r="E1009">
        <v>25</v>
      </c>
      <c r="I1009">
        <v>25</v>
      </c>
      <c r="M1009">
        <v>40</v>
      </c>
      <c r="S1009">
        <v>40</v>
      </c>
    </row>
    <row r="1010" spans="1:20" x14ac:dyDescent="0.3">
      <c r="A1010" t="s">
        <v>45</v>
      </c>
      <c r="B1010">
        <v>64</v>
      </c>
      <c r="D1010">
        <v>4</v>
      </c>
      <c r="H1010">
        <v>8</v>
      </c>
      <c r="L1010">
        <v>1</v>
      </c>
      <c r="M1010">
        <v>6</v>
      </c>
      <c r="S1010">
        <v>2</v>
      </c>
    </row>
    <row r="1011" spans="1:20" x14ac:dyDescent="0.3">
      <c r="A1011" t="s">
        <v>46</v>
      </c>
      <c r="B1011">
        <v>64</v>
      </c>
      <c r="F1011">
        <v>4</v>
      </c>
      <c r="J1011">
        <v>8</v>
      </c>
      <c r="L1011">
        <v>6</v>
      </c>
      <c r="N1011">
        <v>6</v>
      </c>
      <c r="R1011">
        <v>2</v>
      </c>
    </row>
    <row r="1012" spans="1:20" x14ac:dyDescent="0.3">
      <c r="A1012" t="s">
        <v>49</v>
      </c>
      <c r="B1012">
        <v>64</v>
      </c>
      <c r="D1012">
        <v>6</v>
      </c>
      <c r="E1012">
        <v>4</v>
      </c>
      <c r="F1012">
        <v>6</v>
      </c>
      <c r="H1012">
        <v>6</v>
      </c>
      <c r="I1012">
        <v>4</v>
      </c>
      <c r="J1012">
        <v>6</v>
      </c>
      <c r="L1012">
        <v>4</v>
      </c>
      <c r="M1012">
        <v>5</v>
      </c>
      <c r="N1012">
        <v>5</v>
      </c>
      <c r="P1012">
        <v>4</v>
      </c>
      <c r="R1012">
        <v>5</v>
      </c>
      <c r="S1012">
        <v>5</v>
      </c>
      <c r="T1012">
        <v>4</v>
      </c>
    </row>
    <row r="1013" spans="1:20" x14ac:dyDescent="0.3">
      <c r="A1013" t="s">
        <v>727</v>
      </c>
      <c r="B1013">
        <v>64</v>
      </c>
      <c r="D1013">
        <v>0</v>
      </c>
      <c r="E1013">
        <v>0</v>
      </c>
      <c r="F1013">
        <v>0</v>
      </c>
      <c r="H1013">
        <v>0</v>
      </c>
      <c r="I1013">
        <v>0</v>
      </c>
      <c r="J1013">
        <v>0</v>
      </c>
      <c r="L1013">
        <v>0</v>
      </c>
      <c r="M1013">
        <v>0</v>
      </c>
      <c r="N1013">
        <v>0</v>
      </c>
      <c r="P1013">
        <v>0</v>
      </c>
      <c r="R1013">
        <v>0</v>
      </c>
      <c r="S1013">
        <v>0</v>
      </c>
      <c r="T1013">
        <v>0</v>
      </c>
    </row>
    <row r="1014" spans="1:20" x14ac:dyDescent="0.3">
      <c r="A1014" t="s">
        <v>48</v>
      </c>
      <c r="B1014">
        <v>64</v>
      </c>
      <c r="D1014">
        <v>1900</v>
      </c>
      <c r="E1014">
        <v>1900</v>
      </c>
      <c r="F1014">
        <v>1900</v>
      </c>
      <c r="H1014">
        <v>1900</v>
      </c>
      <c r="I1014">
        <v>1900</v>
      </c>
      <c r="J1014">
        <v>1900</v>
      </c>
      <c r="L1014">
        <v>1900</v>
      </c>
      <c r="M1014">
        <v>1900</v>
      </c>
      <c r="N1014">
        <v>1900</v>
      </c>
      <c r="P1014">
        <v>1900</v>
      </c>
      <c r="R1014">
        <v>1900</v>
      </c>
      <c r="S1014">
        <v>1900</v>
      </c>
      <c r="T1014">
        <v>1900</v>
      </c>
    </row>
    <row r="1015" spans="1:20" x14ac:dyDescent="0.3">
      <c r="A1015" t="s">
        <v>728</v>
      </c>
      <c r="B1015">
        <v>64</v>
      </c>
      <c r="D1015">
        <v>1770</v>
      </c>
      <c r="E1015">
        <v>0</v>
      </c>
      <c r="F1015">
        <v>1583</v>
      </c>
      <c r="H1015">
        <v>1770</v>
      </c>
      <c r="I1015">
        <v>0</v>
      </c>
      <c r="J1015">
        <v>1583</v>
      </c>
      <c r="L1015">
        <v>1770</v>
      </c>
      <c r="M1015">
        <v>5085</v>
      </c>
      <c r="N1015">
        <v>1583</v>
      </c>
      <c r="P1015">
        <v>0</v>
      </c>
      <c r="R1015">
        <v>1770</v>
      </c>
      <c r="S1015">
        <v>5075</v>
      </c>
      <c r="T1015">
        <v>0</v>
      </c>
    </row>
    <row r="1016" spans="1:20" x14ac:dyDescent="0.3">
      <c r="A1016" t="s">
        <v>50</v>
      </c>
      <c r="B1016">
        <v>64</v>
      </c>
      <c r="D1016">
        <v>1770</v>
      </c>
      <c r="E1016">
        <v>0</v>
      </c>
      <c r="F1016">
        <v>1583</v>
      </c>
      <c r="H1016">
        <v>1770</v>
      </c>
      <c r="I1016">
        <v>0</v>
      </c>
      <c r="J1016">
        <v>1583</v>
      </c>
      <c r="L1016">
        <v>199</v>
      </c>
      <c r="M1016">
        <v>5085</v>
      </c>
      <c r="N1016">
        <v>1583</v>
      </c>
      <c r="P1016">
        <v>0</v>
      </c>
      <c r="R1016">
        <v>346</v>
      </c>
      <c r="S1016">
        <v>5075</v>
      </c>
      <c r="T1016">
        <v>0</v>
      </c>
    </row>
    <row r="1017" spans="1:20" x14ac:dyDescent="0.3">
      <c r="A1017" t="s">
        <v>729</v>
      </c>
      <c r="B1017">
        <v>64</v>
      </c>
      <c r="D1017">
        <v>1</v>
      </c>
      <c r="E1017">
        <v>1</v>
      </c>
      <c r="F1017">
        <v>1</v>
      </c>
      <c r="H1017">
        <v>1</v>
      </c>
      <c r="I1017">
        <v>1</v>
      </c>
      <c r="J1017">
        <v>1</v>
      </c>
      <c r="L1017">
        <v>1</v>
      </c>
      <c r="M1017">
        <v>1</v>
      </c>
      <c r="N1017">
        <v>1</v>
      </c>
      <c r="P1017">
        <v>1</v>
      </c>
      <c r="R1017">
        <v>1</v>
      </c>
      <c r="S1017">
        <v>1</v>
      </c>
      <c r="T1017">
        <v>1</v>
      </c>
    </row>
    <row r="1018" spans="1:20" x14ac:dyDescent="0.3">
      <c r="A1018" t="s">
        <v>51</v>
      </c>
      <c r="B1018">
        <v>64</v>
      </c>
      <c r="D1018">
        <v>0</v>
      </c>
      <c r="E1018">
        <v>0</v>
      </c>
      <c r="F1018">
        <v>60</v>
      </c>
      <c r="H1018">
        <v>0</v>
      </c>
      <c r="I1018">
        <v>0</v>
      </c>
      <c r="J1018">
        <v>148</v>
      </c>
      <c r="L1018">
        <v>0</v>
      </c>
      <c r="M1018">
        <v>0</v>
      </c>
      <c r="N1018">
        <v>99</v>
      </c>
      <c r="P1018">
        <v>0</v>
      </c>
      <c r="R1018">
        <v>0</v>
      </c>
      <c r="S1018">
        <v>2</v>
      </c>
      <c r="T1018">
        <v>0</v>
      </c>
    </row>
    <row r="1019" spans="1:20" x14ac:dyDescent="0.3">
      <c r="A1019" t="s">
        <v>53</v>
      </c>
      <c r="B1019">
        <v>64</v>
      </c>
      <c r="D1019">
        <v>182</v>
      </c>
      <c r="E1019">
        <v>0</v>
      </c>
      <c r="F1019">
        <v>78</v>
      </c>
      <c r="H1019">
        <v>157</v>
      </c>
      <c r="I1019">
        <v>0</v>
      </c>
      <c r="J1019">
        <v>136</v>
      </c>
      <c r="L1019">
        <v>56</v>
      </c>
      <c r="M1019">
        <v>1263</v>
      </c>
      <c r="N1019">
        <v>91</v>
      </c>
      <c r="P1019">
        <v>0</v>
      </c>
      <c r="R1019">
        <v>26</v>
      </c>
      <c r="S1019">
        <v>1315</v>
      </c>
      <c r="T1019">
        <v>19</v>
      </c>
    </row>
    <row r="1020" spans="1:20" x14ac:dyDescent="0.3">
      <c r="A1020" t="s">
        <v>54</v>
      </c>
      <c r="B1020">
        <v>64</v>
      </c>
      <c r="D1020">
        <v>0</v>
      </c>
      <c r="E1020">
        <v>0</v>
      </c>
      <c r="F1020">
        <v>0</v>
      </c>
      <c r="H1020">
        <v>0</v>
      </c>
      <c r="I1020">
        <v>0</v>
      </c>
      <c r="J1020">
        <v>0</v>
      </c>
      <c r="L1020">
        <v>0</v>
      </c>
      <c r="M1020">
        <v>0</v>
      </c>
      <c r="N1020">
        <v>0</v>
      </c>
      <c r="P1020">
        <v>0</v>
      </c>
      <c r="R1020">
        <v>0</v>
      </c>
      <c r="S1020">
        <v>0</v>
      </c>
      <c r="T1020">
        <v>0</v>
      </c>
    </row>
    <row r="1021" spans="1:20" x14ac:dyDescent="0.3">
      <c r="A1021" t="s">
        <v>55</v>
      </c>
      <c r="B1021">
        <v>64</v>
      </c>
      <c r="D1021">
        <v>0</v>
      </c>
      <c r="E1021">
        <v>0</v>
      </c>
      <c r="F1021">
        <v>0</v>
      </c>
      <c r="H1021">
        <v>0</v>
      </c>
      <c r="I1021">
        <v>0</v>
      </c>
      <c r="J1021">
        <v>0</v>
      </c>
      <c r="L1021">
        <v>0</v>
      </c>
      <c r="M1021">
        <v>0</v>
      </c>
      <c r="N1021">
        <v>0</v>
      </c>
      <c r="P1021">
        <v>0</v>
      </c>
      <c r="R1021">
        <v>0</v>
      </c>
      <c r="S1021">
        <v>0</v>
      </c>
      <c r="T1021">
        <v>0</v>
      </c>
    </row>
    <row r="1022" spans="1:20" x14ac:dyDescent="0.3">
      <c r="A1022" t="s">
        <v>56</v>
      </c>
      <c r="B1022">
        <v>64</v>
      </c>
      <c r="D1022">
        <v>0.92</v>
      </c>
      <c r="E1022">
        <v>0.92</v>
      </c>
      <c r="F1022">
        <v>0.92</v>
      </c>
      <c r="H1022">
        <v>0.92</v>
      </c>
      <c r="I1022">
        <v>0.92</v>
      </c>
      <c r="J1022">
        <v>0.92</v>
      </c>
      <c r="L1022">
        <v>0.92</v>
      </c>
      <c r="M1022">
        <v>0.92</v>
      </c>
      <c r="N1022">
        <v>0.92</v>
      </c>
      <c r="P1022">
        <v>0.92</v>
      </c>
      <c r="R1022">
        <v>0.92</v>
      </c>
      <c r="S1022">
        <v>0.92</v>
      </c>
      <c r="T1022">
        <v>0.92</v>
      </c>
    </row>
    <row r="1023" spans="1:20" x14ac:dyDescent="0.3">
      <c r="A1023" t="s">
        <v>57</v>
      </c>
      <c r="B1023">
        <v>64</v>
      </c>
      <c r="D1023">
        <v>100</v>
      </c>
      <c r="E1023">
        <v>100</v>
      </c>
      <c r="F1023">
        <v>100</v>
      </c>
      <c r="H1023">
        <v>100</v>
      </c>
      <c r="I1023">
        <v>100</v>
      </c>
      <c r="J1023">
        <v>100</v>
      </c>
      <c r="L1023">
        <v>100</v>
      </c>
      <c r="M1023">
        <v>100</v>
      </c>
      <c r="N1023">
        <v>100</v>
      </c>
      <c r="P1023">
        <v>100</v>
      </c>
      <c r="R1023">
        <v>100</v>
      </c>
      <c r="S1023">
        <v>100</v>
      </c>
      <c r="T1023">
        <v>100</v>
      </c>
    </row>
    <row r="1024" spans="1:20" x14ac:dyDescent="0.3">
      <c r="A1024" t="s">
        <v>58</v>
      </c>
      <c r="B1024">
        <v>64</v>
      </c>
      <c r="D1024">
        <v>2</v>
      </c>
      <c r="E1024">
        <v>2</v>
      </c>
      <c r="F1024">
        <v>2</v>
      </c>
      <c r="H1024">
        <v>2</v>
      </c>
      <c r="I1024">
        <v>2</v>
      </c>
      <c r="J1024">
        <v>2</v>
      </c>
      <c r="L1024">
        <v>2</v>
      </c>
      <c r="M1024">
        <v>2</v>
      </c>
      <c r="N1024">
        <v>2</v>
      </c>
      <c r="P1024">
        <v>2</v>
      </c>
      <c r="R1024">
        <v>2</v>
      </c>
      <c r="S1024">
        <v>2</v>
      </c>
      <c r="T1024">
        <v>2</v>
      </c>
    </row>
    <row r="1025" spans="1:20" x14ac:dyDescent="0.3">
      <c r="A1025" t="s">
        <v>59</v>
      </c>
      <c r="B1025">
        <v>64</v>
      </c>
      <c r="D1025">
        <v>0</v>
      </c>
      <c r="E1025">
        <v>0</v>
      </c>
      <c r="F1025">
        <v>0</v>
      </c>
      <c r="H1025">
        <v>0</v>
      </c>
      <c r="I1025">
        <v>0</v>
      </c>
      <c r="J1025">
        <v>0</v>
      </c>
      <c r="L1025">
        <v>0</v>
      </c>
      <c r="M1025">
        <v>0</v>
      </c>
      <c r="N1025">
        <v>0</v>
      </c>
      <c r="P1025">
        <v>0</v>
      </c>
      <c r="R1025">
        <v>0</v>
      </c>
      <c r="S1025">
        <v>0</v>
      </c>
      <c r="T1025">
        <v>0</v>
      </c>
    </row>
    <row r="1026" spans="1:20" x14ac:dyDescent="0.3">
      <c r="A1026" t="s">
        <v>730</v>
      </c>
      <c r="B1026">
        <v>64</v>
      </c>
      <c r="E1026">
        <v>0</v>
      </c>
      <c r="I1026">
        <v>0</v>
      </c>
      <c r="M1026">
        <v>0</v>
      </c>
      <c r="S1026">
        <v>0</v>
      </c>
    </row>
    <row r="1027" spans="1:20" x14ac:dyDescent="0.3">
      <c r="A1027" t="s">
        <v>679</v>
      </c>
      <c r="B1027">
        <v>64</v>
      </c>
      <c r="E1027">
        <v>449</v>
      </c>
      <c r="I1027">
        <v>430</v>
      </c>
      <c r="M1027">
        <v>821</v>
      </c>
      <c r="S1027">
        <v>913</v>
      </c>
    </row>
    <row r="1028" spans="1:20" x14ac:dyDescent="0.3">
      <c r="A1028" t="s">
        <v>78</v>
      </c>
      <c r="B1028">
        <v>64</v>
      </c>
      <c r="E1028">
        <v>12.2</v>
      </c>
      <c r="I1028">
        <v>11.7</v>
      </c>
      <c r="M1028">
        <v>14</v>
      </c>
      <c r="S1028">
        <v>15.6</v>
      </c>
    </row>
    <row r="1029" spans="1:20" x14ac:dyDescent="0.3">
      <c r="A1029" t="s">
        <v>731</v>
      </c>
      <c r="B1029">
        <v>64</v>
      </c>
      <c r="F1029">
        <v>0</v>
      </c>
      <c r="J1029">
        <v>0</v>
      </c>
      <c r="N1029">
        <v>0</v>
      </c>
      <c r="T1029">
        <v>0</v>
      </c>
    </row>
    <row r="1030" spans="1:20" x14ac:dyDescent="0.3">
      <c r="A1030" t="s">
        <v>732</v>
      </c>
      <c r="B1030">
        <v>64</v>
      </c>
      <c r="D1030">
        <v>0</v>
      </c>
      <c r="E1030">
        <v>0</v>
      </c>
      <c r="F1030">
        <v>1</v>
      </c>
      <c r="H1030">
        <v>0</v>
      </c>
      <c r="I1030">
        <v>0</v>
      </c>
      <c r="J1030">
        <v>1</v>
      </c>
      <c r="L1030">
        <v>0</v>
      </c>
      <c r="M1030">
        <v>0</v>
      </c>
      <c r="N1030">
        <v>1</v>
      </c>
      <c r="P1030">
        <v>3</v>
      </c>
      <c r="R1030">
        <v>0</v>
      </c>
      <c r="S1030">
        <v>0</v>
      </c>
      <c r="T1030">
        <v>1</v>
      </c>
    </row>
    <row r="1031" spans="1:20" x14ac:dyDescent="0.3">
      <c r="A1031" t="s">
        <v>733</v>
      </c>
      <c r="B1031">
        <v>64</v>
      </c>
      <c r="D1031">
        <v>0</v>
      </c>
      <c r="E1031">
        <v>0</v>
      </c>
      <c r="F1031">
        <v>0</v>
      </c>
      <c r="H1031">
        <v>0</v>
      </c>
      <c r="I1031">
        <v>0</v>
      </c>
      <c r="J1031">
        <v>0</v>
      </c>
      <c r="L1031">
        <v>0</v>
      </c>
      <c r="M1031">
        <v>0</v>
      </c>
      <c r="N1031">
        <v>0</v>
      </c>
      <c r="P1031">
        <v>0</v>
      </c>
      <c r="R1031">
        <v>0</v>
      </c>
      <c r="S1031">
        <v>0</v>
      </c>
      <c r="T1031">
        <v>0</v>
      </c>
    </row>
    <row r="1032" spans="1:20" x14ac:dyDescent="0.3">
      <c r="A1032" t="s">
        <v>52</v>
      </c>
      <c r="B1032">
        <v>64</v>
      </c>
      <c r="D1032">
        <v>1</v>
      </c>
      <c r="E1032">
        <v>1</v>
      </c>
      <c r="F1032">
        <v>1</v>
      </c>
      <c r="H1032">
        <v>1</v>
      </c>
      <c r="I1032">
        <v>1</v>
      </c>
      <c r="J1032">
        <v>1</v>
      </c>
      <c r="L1032">
        <v>1</v>
      </c>
      <c r="M1032">
        <v>1</v>
      </c>
      <c r="N1032">
        <v>1</v>
      </c>
      <c r="P1032">
        <v>1</v>
      </c>
      <c r="R1032">
        <v>1</v>
      </c>
      <c r="S1032">
        <v>1</v>
      </c>
      <c r="T1032">
        <v>1</v>
      </c>
    </row>
    <row r="1033" spans="1:20" x14ac:dyDescent="0.3">
      <c r="A1033" t="s">
        <v>734</v>
      </c>
      <c r="B1033">
        <v>64</v>
      </c>
      <c r="D1033">
        <v>15</v>
      </c>
      <c r="E1033">
        <v>60</v>
      </c>
      <c r="F1033">
        <v>9</v>
      </c>
      <c r="H1033">
        <v>15</v>
      </c>
      <c r="I1033">
        <v>60</v>
      </c>
      <c r="J1033">
        <v>9</v>
      </c>
      <c r="L1033">
        <v>15</v>
      </c>
      <c r="M1033">
        <v>60</v>
      </c>
      <c r="N1033">
        <v>9</v>
      </c>
      <c r="P1033">
        <v>9</v>
      </c>
      <c r="R1033">
        <v>15</v>
      </c>
      <c r="S1033">
        <v>60</v>
      </c>
      <c r="T1033">
        <v>9</v>
      </c>
    </row>
    <row r="1034" spans="1:20" x14ac:dyDescent="0.3">
      <c r="A1034" t="s">
        <v>43</v>
      </c>
      <c r="B1034">
        <v>64</v>
      </c>
      <c r="D1034">
        <v>20</v>
      </c>
      <c r="F1034">
        <v>20</v>
      </c>
      <c r="H1034">
        <v>20</v>
      </c>
      <c r="J1034">
        <v>20</v>
      </c>
      <c r="L1034">
        <v>20</v>
      </c>
      <c r="M1034">
        <v>100</v>
      </c>
      <c r="N1034">
        <v>20</v>
      </c>
      <c r="R1034">
        <v>20</v>
      </c>
      <c r="S1034">
        <v>100</v>
      </c>
    </row>
    <row r="1035" spans="1:20" x14ac:dyDescent="0.3">
      <c r="A1035" t="s">
        <v>44</v>
      </c>
      <c r="B1035">
        <v>64</v>
      </c>
      <c r="D1035">
        <v>0</v>
      </c>
      <c r="F1035">
        <v>0</v>
      </c>
      <c r="H1035">
        <v>0</v>
      </c>
      <c r="J1035">
        <v>0</v>
      </c>
      <c r="L1035">
        <v>0</v>
      </c>
      <c r="M1035">
        <v>0</v>
      </c>
      <c r="N1035">
        <v>0</v>
      </c>
      <c r="R1035">
        <v>0</v>
      </c>
      <c r="S1035">
        <v>0</v>
      </c>
    </row>
    <row r="1036" spans="1:20" x14ac:dyDescent="0.3">
      <c r="A1036" t="s">
        <v>47</v>
      </c>
      <c r="B1036">
        <v>64</v>
      </c>
      <c r="D1036">
        <v>4</v>
      </c>
      <c r="F1036">
        <v>4</v>
      </c>
      <c r="H1036">
        <v>8</v>
      </c>
      <c r="J1036">
        <v>8</v>
      </c>
      <c r="L1036">
        <v>1</v>
      </c>
      <c r="M1036">
        <v>6</v>
      </c>
      <c r="N1036">
        <v>6</v>
      </c>
      <c r="R1036">
        <v>2</v>
      </c>
      <c r="S1036">
        <v>2</v>
      </c>
    </row>
    <row r="1037" spans="1:20" x14ac:dyDescent="0.3">
      <c r="A1037" t="s">
        <v>735</v>
      </c>
      <c r="B1037">
        <v>64</v>
      </c>
      <c r="D1037">
        <v>0</v>
      </c>
      <c r="F1037">
        <v>0</v>
      </c>
      <c r="H1037">
        <v>0</v>
      </c>
      <c r="J1037">
        <v>0</v>
      </c>
      <c r="L1037">
        <v>0</v>
      </c>
      <c r="M1037">
        <v>0</v>
      </c>
      <c r="N1037">
        <v>0</v>
      </c>
      <c r="R1037">
        <v>0</v>
      </c>
      <c r="S1037">
        <v>0</v>
      </c>
    </row>
    <row r="1038" spans="1:20" x14ac:dyDescent="0.3">
      <c r="A1038" t="s">
        <v>736</v>
      </c>
      <c r="B1038">
        <v>64</v>
      </c>
      <c r="D1038">
        <v>0</v>
      </c>
      <c r="F1038">
        <v>0</v>
      </c>
      <c r="H1038">
        <v>0</v>
      </c>
      <c r="J1038">
        <v>0</v>
      </c>
      <c r="L1038">
        <v>0</v>
      </c>
      <c r="M1038">
        <v>0</v>
      </c>
      <c r="N1038">
        <v>0</v>
      </c>
      <c r="R1038">
        <v>0</v>
      </c>
      <c r="S1038">
        <v>0</v>
      </c>
    </row>
    <row r="1039" spans="1:20" x14ac:dyDescent="0.3">
      <c r="A1039" t="s">
        <v>737</v>
      </c>
      <c r="B1039">
        <v>64</v>
      </c>
      <c r="D1039">
        <v>0</v>
      </c>
      <c r="F1039">
        <v>0</v>
      </c>
      <c r="H1039">
        <v>0</v>
      </c>
      <c r="J1039">
        <v>0</v>
      </c>
      <c r="L1039">
        <v>0</v>
      </c>
      <c r="M1039">
        <v>0</v>
      </c>
      <c r="N1039">
        <v>0</v>
      </c>
      <c r="R1039">
        <v>0</v>
      </c>
      <c r="S1039">
        <v>0</v>
      </c>
    </row>
    <row r="1040" spans="1:20" x14ac:dyDescent="0.3">
      <c r="A1040" t="s">
        <v>738</v>
      </c>
      <c r="B1040">
        <v>64</v>
      </c>
      <c r="D1040">
        <v>0</v>
      </c>
      <c r="F1040">
        <v>0</v>
      </c>
      <c r="H1040">
        <v>0</v>
      </c>
      <c r="J1040">
        <v>0</v>
      </c>
      <c r="L1040">
        <v>0</v>
      </c>
      <c r="M1040">
        <v>0</v>
      </c>
      <c r="N1040">
        <v>0</v>
      </c>
      <c r="R1040">
        <v>0</v>
      </c>
      <c r="S1040">
        <v>0</v>
      </c>
    </row>
    <row r="1041" spans="1:20" x14ac:dyDescent="0.3">
      <c r="A1041" t="s">
        <v>739</v>
      </c>
      <c r="B1041">
        <v>64</v>
      </c>
      <c r="D1041">
        <v>1</v>
      </c>
      <c r="F1041">
        <v>1</v>
      </c>
      <c r="H1041">
        <v>1</v>
      </c>
      <c r="J1041">
        <v>1</v>
      </c>
      <c r="L1041">
        <v>1</v>
      </c>
      <c r="M1041">
        <v>2</v>
      </c>
      <c r="N1041">
        <v>1</v>
      </c>
      <c r="R1041">
        <v>1</v>
      </c>
      <c r="S1041">
        <v>2</v>
      </c>
    </row>
    <row r="1042" spans="1:20" x14ac:dyDescent="0.3">
      <c r="A1042" t="s">
        <v>740</v>
      </c>
      <c r="B1042">
        <v>64</v>
      </c>
      <c r="D1042">
        <v>0</v>
      </c>
      <c r="F1042">
        <v>0</v>
      </c>
      <c r="H1042">
        <v>0</v>
      </c>
      <c r="J1042">
        <v>0</v>
      </c>
      <c r="L1042">
        <v>0</v>
      </c>
      <c r="M1042">
        <v>0</v>
      </c>
      <c r="N1042">
        <v>0</v>
      </c>
      <c r="R1042">
        <v>0</v>
      </c>
      <c r="S1042">
        <v>0</v>
      </c>
    </row>
    <row r="1043" spans="1:20" x14ac:dyDescent="0.3">
      <c r="A1043" t="s">
        <v>741</v>
      </c>
      <c r="B1043">
        <v>64</v>
      </c>
      <c r="D1043">
        <v>20</v>
      </c>
      <c r="F1043">
        <v>20</v>
      </c>
      <c r="H1043">
        <v>20</v>
      </c>
      <c r="J1043">
        <v>20</v>
      </c>
      <c r="L1043">
        <v>20</v>
      </c>
      <c r="M1043">
        <v>6</v>
      </c>
      <c r="N1043">
        <v>20</v>
      </c>
      <c r="R1043">
        <v>20</v>
      </c>
      <c r="S1043">
        <v>6</v>
      </c>
    </row>
    <row r="1044" spans="1:20" x14ac:dyDescent="0.3">
      <c r="A1044" t="s">
        <v>742</v>
      </c>
      <c r="B1044">
        <v>64</v>
      </c>
      <c r="D1044">
        <v>3</v>
      </c>
      <c r="F1044">
        <v>3</v>
      </c>
      <c r="H1044">
        <v>3</v>
      </c>
      <c r="J1044">
        <v>3</v>
      </c>
      <c r="L1044">
        <v>3</v>
      </c>
      <c r="M1044">
        <v>3</v>
      </c>
      <c r="N1044">
        <v>3</v>
      </c>
      <c r="R1044">
        <v>3</v>
      </c>
      <c r="S1044">
        <v>3</v>
      </c>
    </row>
    <row r="1045" spans="1:20" x14ac:dyDescent="0.3">
      <c r="A1045" t="s">
        <v>743</v>
      </c>
      <c r="B1045">
        <v>64</v>
      </c>
      <c r="D1045">
        <v>0</v>
      </c>
      <c r="F1045">
        <v>0</v>
      </c>
      <c r="H1045">
        <v>0</v>
      </c>
      <c r="J1045">
        <v>0</v>
      </c>
      <c r="L1045">
        <v>0</v>
      </c>
      <c r="M1045">
        <v>0</v>
      </c>
      <c r="N1045">
        <v>0</v>
      </c>
      <c r="R1045">
        <v>0</v>
      </c>
      <c r="S1045">
        <v>0</v>
      </c>
    </row>
    <row r="1046" spans="1:20" x14ac:dyDescent="0.3">
      <c r="A1046" t="s">
        <v>744</v>
      </c>
      <c r="B1046">
        <v>64</v>
      </c>
      <c r="D1046">
        <v>0</v>
      </c>
      <c r="F1046">
        <v>0</v>
      </c>
      <c r="H1046">
        <v>0</v>
      </c>
      <c r="J1046">
        <v>0</v>
      </c>
      <c r="L1046">
        <v>0</v>
      </c>
      <c r="M1046">
        <v>0</v>
      </c>
      <c r="N1046">
        <v>0</v>
      </c>
      <c r="R1046">
        <v>0</v>
      </c>
      <c r="S1046">
        <v>0</v>
      </c>
    </row>
    <row r="1047" spans="1:20" x14ac:dyDescent="0.3">
      <c r="A1047" t="s">
        <v>745</v>
      </c>
      <c r="B1047">
        <v>64</v>
      </c>
      <c r="D1047">
        <v>0</v>
      </c>
      <c r="F1047">
        <v>0</v>
      </c>
      <c r="H1047">
        <v>0</v>
      </c>
      <c r="J1047">
        <v>0</v>
      </c>
      <c r="L1047">
        <v>0</v>
      </c>
      <c r="M1047">
        <v>0</v>
      </c>
      <c r="N1047">
        <v>0</v>
      </c>
      <c r="R1047">
        <v>0</v>
      </c>
      <c r="S1047">
        <v>0</v>
      </c>
    </row>
    <row r="1048" spans="1:20" x14ac:dyDescent="0.3">
      <c r="A1048" t="s">
        <v>746</v>
      </c>
      <c r="B1048">
        <v>64</v>
      </c>
      <c r="M1048">
        <v>94</v>
      </c>
      <c r="S1048">
        <v>94</v>
      </c>
    </row>
    <row r="1049" spans="1:20" x14ac:dyDescent="0.3">
      <c r="A1049" t="s">
        <v>747</v>
      </c>
      <c r="B1049">
        <v>64</v>
      </c>
      <c r="M1049">
        <v>6</v>
      </c>
      <c r="S1049">
        <v>6</v>
      </c>
    </row>
    <row r="1050" spans="1:20" x14ac:dyDescent="0.3">
      <c r="A1050" t="s">
        <v>748</v>
      </c>
      <c r="B1050">
        <v>64</v>
      </c>
      <c r="M1050">
        <v>3</v>
      </c>
      <c r="S1050">
        <v>3</v>
      </c>
    </row>
    <row r="1051" spans="1:20" x14ac:dyDescent="0.3">
      <c r="A1051" t="s">
        <v>749</v>
      </c>
      <c r="B1051">
        <v>64</v>
      </c>
      <c r="M1051">
        <v>0</v>
      </c>
      <c r="S1051">
        <v>0</v>
      </c>
    </row>
    <row r="1052" spans="1:20" x14ac:dyDescent="0.3">
      <c r="A1052" t="s">
        <v>750</v>
      </c>
      <c r="B1052">
        <v>64</v>
      </c>
      <c r="E1052">
        <v>0</v>
      </c>
      <c r="I1052">
        <v>0</v>
      </c>
      <c r="M1052">
        <v>0</v>
      </c>
      <c r="S1052">
        <v>0</v>
      </c>
    </row>
    <row r="1053" spans="1:20" x14ac:dyDescent="0.3">
      <c r="A1053" t="s">
        <v>405</v>
      </c>
      <c r="B1053">
        <v>64</v>
      </c>
      <c r="E1053">
        <v>0</v>
      </c>
    </row>
    <row r="1054" spans="1:20" x14ac:dyDescent="0.3">
      <c r="A1054" t="s">
        <v>751</v>
      </c>
      <c r="B1054">
        <v>64</v>
      </c>
      <c r="D1054">
        <v>198</v>
      </c>
      <c r="E1054">
        <v>0</v>
      </c>
      <c r="F1054">
        <v>85</v>
      </c>
      <c r="H1054">
        <v>171</v>
      </c>
      <c r="I1054">
        <v>0</v>
      </c>
      <c r="J1054">
        <v>148</v>
      </c>
      <c r="L1054">
        <v>61</v>
      </c>
      <c r="M1054">
        <v>1373</v>
      </c>
      <c r="N1054">
        <v>99</v>
      </c>
      <c r="P1054">
        <v>0</v>
      </c>
      <c r="R1054">
        <v>28</v>
      </c>
      <c r="S1054">
        <v>1450</v>
      </c>
      <c r="T1054">
        <v>0</v>
      </c>
    </row>
    <row r="1055" spans="1:20" x14ac:dyDescent="0.3">
      <c r="A1055" t="s">
        <v>34</v>
      </c>
      <c r="B1055">
        <v>67</v>
      </c>
      <c r="D1055">
        <v>69</v>
      </c>
      <c r="E1055">
        <v>69</v>
      </c>
      <c r="F1055">
        <v>69</v>
      </c>
      <c r="H1055">
        <v>68</v>
      </c>
      <c r="I1055">
        <v>68</v>
      </c>
      <c r="J1055">
        <v>68</v>
      </c>
      <c r="L1055">
        <v>64</v>
      </c>
      <c r="M1055">
        <v>64</v>
      </c>
      <c r="N1055">
        <v>64</v>
      </c>
      <c r="P1055">
        <v>70</v>
      </c>
      <c r="R1055">
        <v>70</v>
      </c>
      <c r="S1055">
        <v>70</v>
      </c>
      <c r="T1055">
        <v>70</v>
      </c>
    </row>
    <row r="1056" spans="1:20" x14ac:dyDescent="0.3">
      <c r="A1056" t="s">
        <v>35</v>
      </c>
      <c r="B1056">
        <v>67</v>
      </c>
      <c r="D1056">
        <v>64</v>
      </c>
      <c r="E1056">
        <v>68</v>
      </c>
      <c r="F1056">
        <v>70</v>
      </c>
      <c r="H1056">
        <v>70</v>
      </c>
      <c r="I1056">
        <v>69</v>
      </c>
      <c r="J1056">
        <v>64</v>
      </c>
      <c r="L1056">
        <v>68</v>
      </c>
      <c r="M1056">
        <v>70</v>
      </c>
      <c r="N1056">
        <v>69</v>
      </c>
      <c r="P1056">
        <v>70</v>
      </c>
      <c r="R1056">
        <v>69</v>
      </c>
      <c r="S1056">
        <v>64</v>
      </c>
      <c r="T1056">
        <v>68</v>
      </c>
    </row>
    <row r="1057" spans="1:20" x14ac:dyDescent="0.3">
      <c r="A1057" t="s">
        <v>36</v>
      </c>
      <c r="B1057">
        <v>67</v>
      </c>
      <c r="D1057">
        <v>1</v>
      </c>
      <c r="E1057">
        <v>2</v>
      </c>
      <c r="F1057">
        <v>0</v>
      </c>
      <c r="H1057">
        <v>1</v>
      </c>
      <c r="I1057">
        <v>2</v>
      </c>
      <c r="J1057">
        <v>0</v>
      </c>
      <c r="L1057">
        <v>1</v>
      </c>
      <c r="M1057">
        <v>3</v>
      </c>
      <c r="N1057">
        <v>0</v>
      </c>
      <c r="P1057">
        <v>0</v>
      </c>
      <c r="R1057">
        <v>1</v>
      </c>
      <c r="S1057">
        <v>3</v>
      </c>
      <c r="T1057">
        <v>0</v>
      </c>
    </row>
    <row r="1058" spans="1:20" x14ac:dyDescent="0.3">
      <c r="A1058" t="s">
        <v>37</v>
      </c>
      <c r="B1058">
        <v>67</v>
      </c>
      <c r="D1058">
        <v>0</v>
      </c>
      <c r="E1058">
        <v>2</v>
      </c>
      <c r="H1058">
        <v>0</v>
      </c>
      <c r="I1058">
        <v>0</v>
      </c>
      <c r="L1058">
        <v>0</v>
      </c>
      <c r="M1058">
        <v>2</v>
      </c>
      <c r="R1058">
        <v>0</v>
      </c>
      <c r="S1058">
        <v>2</v>
      </c>
    </row>
    <row r="1059" spans="1:20" x14ac:dyDescent="0.3">
      <c r="A1059" t="s">
        <v>38</v>
      </c>
      <c r="B1059">
        <v>67</v>
      </c>
      <c r="D1059">
        <v>12</v>
      </c>
      <c r="E1059">
        <v>12</v>
      </c>
      <c r="F1059">
        <v>12</v>
      </c>
      <c r="H1059">
        <v>12</v>
      </c>
      <c r="I1059">
        <v>12</v>
      </c>
      <c r="J1059">
        <v>12</v>
      </c>
      <c r="L1059">
        <v>12</v>
      </c>
      <c r="M1059">
        <v>12</v>
      </c>
      <c r="N1059">
        <v>12</v>
      </c>
      <c r="P1059">
        <v>12</v>
      </c>
      <c r="R1059">
        <v>12</v>
      </c>
      <c r="S1059">
        <v>12</v>
      </c>
      <c r="T1059">
        <v>12</v>
      </c>
    </row>
    <row r="1060" spans="1:20" x14ac:dyDescent="0.3">
      <c r="A1060" t="s">
        <v>39</v>
      </c>
      <c r="B1060">
        <v>67</v>
      </c>
      <c r="D1060">
        <v>253</v>
      </c>
      <c r="H1060">
        <v>157</v>
      </c>
      <c r="L1060">
        <v>250</v>
      </c>
      <c r="R1060">
        <v>152</v>
      </c>
    </row>
    <row r="1061" spans="1:20" x14ac:dyDescent="0.3">
      <c r="A1061" t="s">
        <v>726</v>
      </c>
      <c r="B1061">
        <v>67</v>
      </c>
      <c r="D1061">
        <v>25</v>
      </c>
      <c r="H1061">
        <v>25</v>
      </c>
      <c r="L1061">
        <v>25</v>
      </c>
      <c r="R1061">
        <v>25</v>
      </c>
    </row>
    <row r="1062" spans="1:20" x14ac:dyDescent="0.3">
      <c r="A1062" t="s">
        <v>40</v>
      </c>
      <c r="B1062">
        <v>67</v>
      </c>
      <c r="D1062">
        <v>1</v>
      </c>
      <c r="H1062">
        <v>1</v>
      </c>
      <c r="L1062">
        <v>1</v>
      </c>
      <c r="R1062">
        <v>1</v>
      </c>
    </row>
    <row r="1063" spans="1:20" x14ac:dyDescent="0.3">
      <c r="A1063" t="s">
        <v>41</v>
      </c>
      <c r="B1063">
        <v>67</v>
      </c>
    </row>
    <row r="1064" spans="1:20" x14ac:dyDescent="0.3">
      <c r="A1064" t="s">
        <v>42</v>
      </c>
      <c r="B1064">
        <v>67</v>
      </c>
      <c r="E1064">
        <v>40</v>
      </c>
      <c r="I1064">
        <v>40</v>
      </c>
      <c r="M1064">
        <v>45</v>
      </c>
      <c r="S1064">
        <v>45</v>
      </c>
    </row>
    <row r="1065" spans="1:20" x14ac:dyDescent="0.3">
      <c r="A1065" t="s">
        <v>45</v>
      </c>
      <c r="B1065">
        <v>67</v>
      </c>
      <c r="D1065">
        <v>7</v>
      </c>
      <c r="E1065">
        <v>4</v>
      </c>
      <c r="H1065">
        <v>3</v>
      </c>
      <c r="I1065">
        <v>8</v>
      </c>
      <c r="L1065">
        <v>1</v>
      </c>
      <c r="M1065">
        <v>6</v>
      </c>
      <c r="R1065">
        <v>5</v>
      </c>
      <c r="S1065">
        <v>2</v>
      </c>
    </row>
    <row r="1066" spans="1:20" x14ac:dyDescent="0.3">
      <c r="A1066" t="s">
        <v>46</v>
      </c>
      <c r="B1066">
        <v>67</v>
      </c>
      <c r="D1066">
        <v>4</v>
      </c>
      <c r="H1066">
        <v>8</v>
      </c>
      <c r="L1066">
        <v>6</v>
      </c>
      <c r="R1066">
        <v>2</v>
      </c>
    </row>
    <row r="1067" spans="1:20" x14ac:dyDescent="0.3">
      <c r="A1067" t="s">
        <v>49</v>
      </c>
      <c r="B1067">
        <v>67</v>
      </c>
      <c r="D1067">
        <v>4</v>
      </c>
      <c r="E1067">
        <v>5.9</v>
      </c>
      <c r="F1067">
        <v>4</v>
      </c>
      <c r="H1067">
        <v>4</v>
      </c>
      <c r="I1067">
        <v>5.9</v>
      </c>
      <c r="J1067">
        <v>4</v>
      </c>
      <c r="L1067">
        <v>4</v>
      </c>
      <c r="M1067">
        <v>5.4</v>
      </c>
      <c r="N1067">
        <v>4</v>
      </c>
      <c r="P1067">
        <v>4</v>
      </c>
      <c r="R1067">
        <v>4</v>
      </c>
      <c r="S1067">
        <v>5.4</v>
      </c>
      <c r="T1067">
        <v>4</v>
      </c>
    </row>
    <row r="1068" spans="1:20" x14ac:dyDescent="0.3">
      <c r="A1068" t="s">
        <v>727</v>
      </c>
      <c r="B1068">
        <v>67</v>
      </c>
      <c r="D1068">
        <v>0</v>
      </c>
      <c r="E1068">
        <v>0</v>
      </c>
      <c r="F1068">
        <v>0</v>
      </c>
      <c r="H1068">
        <v>0</v>
      </c>
      <c r="I1068">
        <v>0</v>
      </c>
      <c r="J1068">
        <v>0</v>
      </c>
      <c r="L1068">
        <v>0</v>
      </c>
      <c r="M1068">
        <v>0</v>
      </c>
      <c r="N1068">
        <v>0</v>
      </c>
      <c r="P1068">
        <v>0</v>
      </c>
      <c r="R1068">
        <v>0</v>
      </c>
      <c r="S1068">
        <v>0</v>
      </c>
      <c r="T1068">
        <v>0</v>
      </c>
    </row>
    <row r="1069" spans="1:20" x14ac:dyDescent="0.3">
      <c r="A1069" t="s">
        <v>48</v>
      </c>
      <c r="B1069">
        <v>67</v>
      </c>
      <c r="D1069">
        <v>1900</v>
      </c>
      <c r="E1069">
        <v>1900</v>
      </c>
      <c r="F1069">
        <v>1900</v>
      </c>
      <c r="H1069">
        <v>1900</v>
      </c>
      <c r="I1069">
        <v>1900</v>
      </c>
      <c r="J1069">
        <v>1900</v>
      </c>
      <c r="L1069">
        <v>1900</v>
      </c>
      <c r="M1069">
        <v>1900</v>
      </c>
      <c r="N1069">
        <v>1900</v>
      </c>
      <c r="P1069">
        <v>1900</v>
      </c>
      <c r="R1069">
        <v>1900</v>
      </c>
      <c r="S1069">
        <v>1900</v>
      </c>
      <c r="T1069">
        <v>1900</v>
      </c>
    </row>
    <row r="1070" spans="1:20" x14ac:dyDescent="0.3">
      <c r="A1070" t="s">
        <v>728</v>
      </c>
      <c r="B1070">
        <v>67</v>
      </c>
      <c r="D1070">
        <v>1770</v>
      </c>
      <c r="E1070">
        <v>3306</v>
      </c>
      <c r="F1070">
        <v>0</v>
      </c>
      <c r="H1070">
        <v>1770</v>
      </c>
      <c r="I1070">
        <v>3295</v>
      </c>
      <c r="J1070">
        <v>0</v>
      </c>
      <c r="L1070">
        <v>1770</v>
      </c>
      <c r="M1070">
        <v>4979</v>
      </c>
      <c r="N1070">
        <v>0</v>
      </c>
      <c r="P1070">
        <v>0</v>
      </c>
      <c r="R1070">
        <v>1770</v>
      </c>
      <c r="S1070">
        <v>5040</v>
      </c>
      <c r="T1070">
        <v>0</v>
      </c>
    </row>
    <row r="1071" spans="1:20" x14ac:dyDescent="0.3">
      <c r="A1071" t="s">
        <v>50</v>
      </c>
      <c r="B1071">
        <v>67</v>
      </c>
      <c r="D1071">
        <v>872</v>
      </c>
      <c r="E1071">
        <v>3306</v>
      </c>
      <c r="F1071">
        <v>0</v>
      </c>
      <c r="H1071">
        <v>1025</v>
      </c>
      <c r="I1071">
        <v>3295</v>
      </c>
      <c r="J1071">
        <v>0</v>
      </c>
      <c r="L1071">
        <v>253</v>
      </c>
      <c r="M1071">
        <v>4979</v>
      </c>
      <c r="N1071">
        <v>0</v>
      </c>
      <c r="P1071">
        <v>0</v>
      </c>
      <c r="R1071">
        <v>320</v>
      </c>
      <c r="S1071">
        <v>5040</v>
      </c>
      <c r="T1071">
        <v>0</v>
      </c>
    </row>
    <row r="1072" spans="1:20" x14ac:dyDescent="0.3">
      <c r="A1072" t="s">
        <v>729</v>
      </c>
      <c r="B1072">
        <v>67</v>
      </c>
      <c r="D1072">
        <v>1</v>
      </c>
      <c r="E1072">
        <v>1</v>
      </c>
      <c r="F1072">
        <v>1</v>
      </c>
      <c r="H1072">
        <v>1</v>
      </c>
      <c r="I1072">
        <v>1</v>
      </c>
      <c r="J1072">
        <v>1</v>
      </c>
      <c r="L1072">
        <v>1</v>
      </c>
      <c r="M1072">
        <v>1</v>
      </c>
      <c r="N1072">
        <v>1</v>
      </c>
      <c r="P1072">
        <v>1</v>
      </c>
      <c r="R1072">
        <v>1</v>
      </c>
      <c r="S1072">
        <v>1</v>
      </c>
      <c r="T1072">
        <v>1</v>
      </c>
    </row>
    <row r="1073" spans="1:20" x14ac:dyDescent="0.3">
      <c r="A1073" t="s">
        <v>51</v>
      </c>
      <c r="B1073">
        <v>67</v>
      </c>
      <c r="D1073">
        <v>0</v>
      </c>
      <c r="E1073">
        <v>147</v>
      </c>
      <c r="F1073">
        <v>0</v>
      </c>
      <c r="H1073">
        <v>0</v>
      </c>
      <c r="I1073">
        <v>130</v>
      </c>
      <c r="J1073">
        <v>0</v>
      </c>
      <c r="L1073">
        <v>0</v>
      </c>
      <c r="M1073">
        <v>32</v>
      </c>
      <c r="N1073">
        <v>0</v>
      </c>
      <c r="P1073">
        <v>0</v>
      </c>
      <c r="R1073">
        <v>0</v>
      </c>
      <c r="S1073">
        <v>10</v>
      </c>
      <c r="T1073">
        <v>0</v>
      </c>
    </row>
    <row r="1074" spans="1:20" x14ac:dyDescent="0.3">
      <c r="A1074" t="s">
        <v>53</v>
      </c>
      <c r="B1074">
        <v>67</v>
      </c>
      <c r="D1074">
        <v>178</v>
      </c>
      <c r="E1074">
        <v>173</v>
      </c>
      <c r="F1074">
        <v>135</v>
      </c>
      <c r="H1074">
        <v>67</v>
      </c>
      <c r="I1074">
        <v>142</v>
      </c>
      <c r="J1074">
        <v>120</v>
      </c>
      <c r="L1074">
        <v>94</v>
      </c>
      <c r="M1074">
        <v>904</v>
      </c>
      <c r="N1074">
        <v>144</v>
      </c>
      <c r="P1074">
        <v>0</v>
      </c>
      <c r="R1074">
        <v>143</v>
      </c>
      <c r="S1074">
        <v>1077</v>
      </c>
      <c r="T1074">
        <v>69</v>
      </c>
    </row>
    <row r="1075" spans="1:20" x14ac:dyDescent="0.3">
      <c r="A1075" t="s">
        <v>54</v>
      </c>
      <c r="B1075">
        <v>67</v>
      </c>
      <c r="D1075">
        <v>0</v>
      </c>
      <c r="E1075">
        <v>0</v>
      </c>
      <c r="F1075">
        <v>0</v>
      </c>
      <c r="H1075">
        <v>0</v>
      </c>
      <c r="I1075">
        <v>0</v>
      </c>
      <c r="J1075">
        <v>0</v>
      </c>
      <c r="L1075">
        <v>0</v>
      </c>
      <c r="M1075">
        <v>0</v>
      </c>
      <c r="N1075">
        <v>0</v>
      </c>
      <c r="P1075">
        <v>0</v>
      </c>
      <c r="R1075">
        <v>0</v>
      </c>
      <c r="S1075">
        <v>0</v>
      </c>
      <c r="T1075">
        <v>0</v>
      </c>
    </row>
    <row r="1076" spans="1:20" x14ac:dyDescent="0.3">
      <c r="A1076" t="s">
        <v>55</v>
      </c>
      <c r="B1076">
        <v>67</v>
      </c>
      <c r="D1076">
        <v>0</v>
      </c>
      <c r="E1076">
        <v>0</v>
      </c>
      <c r="F1076">
        <v>0</v>
      </c>
      <c r="H1076">
        <v>0</v>
      </c>
      <c r="I1076">
        <v>0</v>
      </c>
      <c r="J1076">
        <v>0</v>
      </c>
      <c r="L1076">
        <v>0</v>
      </c>
      <c r="M1076">
        <v>0</v>
      </c>
      <c r="N1076">
        <v>0</v>
      </c>
      <c r="P1076">
        <v>0</v>
      </c>
      <c r="R1076">
        <v>0</v>
      </c>
      <c r="S1076">
        <v>0</v>
      </c>
      <c r="T1076">
        <v>0</v>
      </c>
    </row>
    <row r="1077" spans="1:20" x14ac:dyDescent="0.3">
      <c r="A1077" t="s">
        <v>56</v>
      </c>
      <c r="B1077">
        <v>67</v>
      </c>
      <c r="D1077">
        <v>0.92</v>
      </c>
      <c r="E1077">
        <v>0.92</v>
      </c>
      <c r="F1077">
        <v>0.92</v>
      </c>
      <c r="H1077">
        <v>0.92</v>
      </c>
      <c r="I1077">
        <v>0.92</v>
      </c>
      <c r="J1077">
        <v>0.92</v>
      </c>
      <c r="L1077">
        <v>0.92</v>
      </c>
      <c r="M1077">
        <v>0.92</v>
      </c>
      <c r="N1077">
        <v>0.92</v>
      </c>
      <c r="P1077">
        <v>0.92</v>
      </c>
      <c r="R1077">
        <v>0.92</v>
      </c>
      <c r="S1077">
        <v>0.92</v>
      </c>
      <c r="T1077">
        <v>0.92</v>
      </c>
    </row>
    <row r="1078" spans="1:20" x14ac:dyDescent="0.3">
      <c r="A1078" t="s">
        <v>57</v>
      </c>
      <c r="B1078">
        <v>67</v>
      </c>
      <c r="D1078">
        <v>100</v>
      </c>
      <c r="E1078">
        <v>100</v>
      </c>
      <c r="F1078">
        <v>100</v>
      </c>
      <c r="H1078">
        <v>100</v>
      </c>
      <c r="I1078">
        <v>100</v>
      </c>
      <c r="J1078">
        <v>100</v>
      </c>
      <c r="L1078">
        <v>100</v>
      </c>
      <c r="M1078">
        <v>100</v>
      </c>
      <c r="N1078">
        <v>100</v>
      </c>
      <c r="P1078">
        <v>100</v>
      </c>
      <c r="R1078">
        <v>100</v>
      </c>
      <c r="S1078">
        <v>100</v>
      </c>
      <c r="T1078">
        <v>100</v>
      </c>
    </row>
    <row r="1079" spans="1:20" x14ac:dyDescent="0.3">
      <c r="A1079" t="s">
        <v>58</v>
      </c>
      <c r="B1079">
        <v>67</v>
      </c>
      <c r="D1079">
        <v>2</v>
      </c>
      <c r="E1079">
        <v>2</v>
      </c>
      <c r="F1079">
        <v>2</v>
      </c>
      <c r="H1079">
        <v>2</v>
      </c>
      <c r="I1079">
        <v>2</v>
      </c>
      <c r="J1079">
        <v>2</v>
      </c>
      <c r="L1079">
        <v>2</v>
      </c>
      <c r="M1079">
        <v>2</v>
      </c>
      <c r="N1079">
        <v>2</v>
      </c>
      <c r="P1079">
        <v>2</v>
      </c>
      <c r="R1079">
        <v>2</v>
      </c>
      <c r="S1079">
        <v>2</v>
      </c>
      <c r="T1079">
        <v>2</v>
      </c>
    </row>
    <row r="1080" spans="1:20" x14ac:dyDescent="0.3">
      <c r="A1080" t="s">
        <v>59</v>
      </c>
      <c r="B1080">
        <v>67</v>
      </c>
      <c r="D1080">
        <v>0</v>
      </c>
      <c r="E1080">
        <v>0</v>
      </c>
      <c r="F1080">
        <v>0</v>
      </c>
      <c r="H1080">
        <v>0</v>
      </c>
      <c r="I1080">
        <v>0</v>
      </c>
      <c r="J1080">
        <v>0</v>
      </c>
      <c r="L1080">
        <v>0</v>
      </c>
      <c r="M1080">
        <v>0</v>
      </c>
      <c r="N1080">
        <v>0</v>
      </c>
      <c r="P1080">
        <v>0</v>
      </c>
      <c r="R1080">
        <v>0</v>
      </c>
      <c r="S1080">
        <v>0</v>
      </c>
      <c r="T1080">
        <v>0</v>
      </c>
    </row>
    <row r="1081" spans="1:20" x14ac:dyDescent="0.3">
      <c r="A1081" t="s">
        <v>730</v>
      </c>
      <c r="B1081">
        <v>67</v>
      </c>
      <c r="E1081">
        <v>0</v>
      </c>
      <c r="I1081">
        <v>0</v>
      </c>
      <c r="M1081">
        <v>0</v>
      </c>
      <c r="S1081">
        <v>0</v>
      </c>
    </row>
    <row r="1082" spans="1:20" x14ac:dyDescent="0.3">
      <c r="A1082" t="s">
        <v>679</v>
      </c>
      <c r="B1082">
        <v>67</v>
      </c>
      <c r="E1082">
        <v>766</v>
      </c>
      <c r="I1082">
        <v>638</v>
      </c>
      <c r="M1082">
        <v>913</v>
      </c>
      <c r="S1082">
        <v>2943</v>
      </c>
    </row>
    <row r="1083" spans="1:20" x14ac:dyDescent="0.3">
      <c r="A1083" t="s">
        <v>78</v>
      </c>
      <c r="B1083">
        <v>67</v>
      </c>
      <c r="E1083">
        <v>13.1</v>
      </c>
      <c r="I1083">
        <v>10.9</v>
      </c>
      <c r="M1083">
        <v>13.8</v>
      </c>
      <c r="S1083">
        <v>44.6</v>
      </c>
    </row>
    <row r="1084" spans="1:20" x14ac:dyDescent="0.3">
      <c r="A1084" t="s">
        <v>731</v>
      </c>
      <c r="B1084">
        <v>67</v>
      </c>
      <c r="F1084">
        <v>0</v>
      </c>
      <c r="J1084">
        <v>0</v>
      </c>
      <c r="N1084">
        <v>0</v>
      </c>
      <c r="T1084">
        <v>0</v>
      </c>
    </row>
    <row r="1085" spans="1:20" x14ac:dyDescent="0.3">
      <c r="A1085" t="s">
        <v>732</v>
      </c>
      <c r="B1085">
        <v>67</v>
      </c>
      <c r="D1085">
        <v>0</v>
      </c>
      <c r="E1085">
        <v>0</v>
      </c>
      <c r="F1085">
        <v>1</v>
      </c>
      <c r="H1085">
        <v>0</v>
      </c>
      <c r="I1085">
        <v>0</v>
      </c>
      <c r="J1085">
        <v>1</v>
      </c>
      <c r="L1085">
        <v>0</v>
      </c>
      <c r="M1085">
        <v>0</v>
      </c>
      <c r="N1085">
        <v>1</v>
      </c>
      <c r="P1085">
        <v>3</v>
      </c>
      <c r="R1085">
        <v>0</v>
      </c>
      <c r="S1085">
        <v>0</v>
      </c>
      <c r="T1085">
        <v>1</v>
      </c>
    </row>
    <row r="1086" spans="1:20" x14ac:dyDescent="0.3">
      <c r="A1086" t="s">
        <v>733</v>
      </c>
      <c r="B1086">
        <v>67</v>
      </c>
      <c r="D1086">
        <v>0</v>
      </c>
      <c r="E1086">
        <v>0</v>
      </c>
      <c r="F1086">
        <v>0</v>
      </c>
      <c r="H1086">
        <v>0</v>
      </c>
      <c r="I1086">
        <v>0</v>
      </c>
      <c r="J1086">
        <v>0</v>
      </c>
      <c r="L1086">
        <v>0</v>
      </c>
      <c r="M1086">
        <v>0</v>
      </c>
      <c r="N1086">
        <v>0</v>
      </c>
      <c r="P1086">
        <v>0</v>
      </c>
      <c r="R1086">
        <v>0</v>
      </c>
      <c r="S1086">
        <v>0</v>
      </c>
      <c r="T1086">
        <v>0</v>
      </c>
    </row>
    <row r="1087" spans="1:20" x14ac:dyDescent="0.3">
      <c r="A1087" t="s">
        <v>52</v>
      </c>
      <c r="B1087">
        <v>67</v>
      </c>
      <c r="D1087">
        <v>1</v>
      </c>
      <c r="E1087">
        <v>1</v>
      </c>
      <c r="F1087">
        <v>1</v>
      </c>
      <c r="H1087">
        <v>1</v>
      </c>
      <c r="I1087">
        <v>1</v>
      </c>
      <c r="J1087">
        <v>1</v>
      </c>
      <c r="L1087">
        <v>1</v>
      </c>
      <c r="M1087">
        <v>1</v>
      </c>
      <c r="N1087">
        <v>1</v>
      </c>
      <c r="P1087">
        <v>1</v>
      </c>
      <c r="R1087">
        <v>1</v>
      </c>
      <c r="S1087">
        <v>1</v>
      </c>
      <c r="T1087">
        <v>1</v>
      </c>
    </row>
    <row r="1088" spans="1:20" x14ac:dyDescent="0.3">
      <c r="A1088" t="s">
        <v>734</v>
      </c>
      <c r="B1088">
        <v>67</v>
      </c>
      <c r="D1088">
        <v>15</v>
      </c>
      <c r="E1088">
        <v>60</v>
      </c>
      <c r="F1088">
        <v>9</v>
      </c>
      <c r="H1088">
        <v>15</v>
      </c>
      <c r="I1088">
        <v>60</v>
      </c>
      <c r="J1088">
        <v>9</v>
      </c>
      <c r="L1088">
        <v>15</v>
      </c>
      <c r="M1088">
        <v>60</v>
      </c>
      <c r="N1088">
        <v>9</v>
      </c>
      <c r="P1088">
        <v>9</v>
      </c>
      <c r="R1088">
        <v>15</v>
      </c>
      <c r="S1088">
        <v>60</v>
      </c>
      <c r="T1088">
        <v>9</v>
      </c>
    </row>
    <row r="1089" spans="1:19" x14ac:dyDescent="0.3">
      <c r="A1089" t="s">
        <v>43</v>
      </c>
      <c r="B1089">
        <v>67</v>
      </c>
      <c r="D1089">
        <v>20</v>
      </c>
      <c r="E1089">
        <v>100</v>
      </c>
      <c r="H1089">
        <v>20</v>
      </c>
      <c r="I1089">
        <v>100</v>
      </c>
      <c r="L1089">
        <v>20</v>
      </c>
      <c r="M1089">
        <v>100</v>
      </c>
      <c r="R1089">
        <v>20</v>
      </c>
      <c r="S1089">
        <v>100</v>
      </c>
    </row>
    <row r="1090" spans="1:19" x14ac:dyDescent="0.3">
      <c r="A1090" t="s">
        <v>44</v>
      </c>
      <c r="B1090">
        <v>67</v>
      </c>
      <c r="D1090">
        <v>0</v>
      </c>
      <c r="E1090">
        <v>0</v>
      </c>
      <c r="H1090">
        <v>0</v>
      </c>
      <c r="I1090">
        <v>0</v>
      </c>
      <c r="L1090">
        <v>0</v>
      </c>
      <c r="M1090">
        <v>0</v>
      </c>
      <c r="R1090">
        <v>0</v>
      </c>
      <c r="S1090">
        <v>0</v>
      </c>
    </row>
    <row r="1091" spans="1:19" x14ac:dyDescent="0.3">
      <c r="A1091" t="s">
        <v>47</v>
      </c>
      <c r="B1091">
        <v>67</v>
      </c>
      <c r="D1091">
        <v>7</v>
      </c>
      <c r="E1091">
        <v>4</v>
      </c>
      <c r="H1091">
        <v>3</v>
      </c>
      <c r="I1091">
        <v>8</v>
      </c>
      <c r="L1091">
        <v>1</v>
      </c>
      <c r="M1091">
        <v>6</v>
      </c>
      <c r="R1091">
        <v>5</v>
      </c>
      <c r="S1091">
        <v>2</v>
      </c>
    </row>
    <row r="1092" spans="1:19" x14ac:dyDescent="0.3">
      <c r="A1092" t="s">
        <v>735</v>
      </c>
      <c r="B1092">
        <v>67</v>
      </c>
      <c r="D1092">
        <v>0</v>
      </c>
      <c r="E1092">
        <v>0</v>
      </c>
      <c r="H1092">
        <v>0</v>
      </c>
      <c r="I1092">
        <v>0</v>
      </c>
      <c r="L1092">
        <v>0</v>
      </c>
      <c r="M1092">
        <v>0</v>
      </c>
      <c r="R1092">
        <v>0</v>
      </c>
      <c r="S1092">
        <v>0</v>
      </c>
    </row>
    <row r="1093" spans="1:19" x14ac:dyDescent="0.3">
      <c r="A1093" t="s">
        <v>736</v>
      </c>
      <c r="B1093">
        <v>67</v>
      </c>
      <c r="D1093">
        <v>0</v>
      </c>
      <c r="E1093">
        <v>0</v>
      </c>
      <c r="H1093">
        <v>0</v>
      </c>
      <c r="I1093">
        <v>0</v>
      </c>
      <c r="L1093">
        <v>0</v>
      </c>
      <c r="M1093">
        <v>0</v>
      </c>
      <c r="R1093">
        <v>0</v>
      </c>
      <c r="S1093">
        <v>0</v>
      </c>
    </row>
    <row r="1094" spans="1:19" x14ac:dyDescent="0.3">
      <c r="A1094" t="s">
        <v>737</v>
      </c>
      <c r="B1094">
        <v>67</v>
      </c>
      <c r="D1094">
        <v>0</v>
      </c>
      <c r="E1094">
        <v>0</v>
      </c>
      <c r="H1094">
        <v>0</v>
      </c>
      <c r="I1094">
        <v>0</v>
      </c>
      <c r="L1094">
        <v>0</v>
      </c>
      <c r="M1094">
        <v>0</v>
      </c>
      <c r="R1094">
        <v>0</v>
      </c>
      <c r="S1094">
        <v>0</v>
      </c>
    </row>
    <row r="1095" spans="1:19" x14ac:dyDescent="0.3">
      <c r="A1095" t="s">
        <v>738</v>
      </c>
      <c r="B1095">
        <v>67</v>
      </c>
      <c r="D1095">
        <v>0</v>
      </c>
      <c r="E1095">
        <v>0</v>
      </c>
      <c r="H1095">
        <v>0</v>
      </c>
      <c r="I1095">
        <v>0</v>
      </c>
      <c r="L1095">
        <v>0</v>
      </c>
      <c r="M1095">
        <v>0</v>
      </c>
      <c r="R1095">
        <v>0</v>
      </c>
      <c r="S1095">
        <v>0</v>
      </c>
    </row>
    <row r="1096" spans="1:19" x14ac:dyDescent="0.3">
      <c r="A1096" t="s">
        <v>739</v>
      </c>
      <c r="B1096">
        <v>67</v>
      </c>
      <c r="D1096">
        <v>1</v>
      </c>
      <c r="E1096">
        <v>2</v>
      </c>
      <c r="H1096">
        <v>1</v>
      </c>
      <c r="I1096">
        <v>2</v>
      </c>
      <c r="L1096">
        <v>1</v>
      </c>
      <c r="M1096">
        <v>2</v>
      </c>
      <c r="R1096">
        <v>1</v>
      </c>
      <c r="S1096">
        <v>2</v>
      </c>
    </row>
    <row r="1097" spans="1:19" x14ac:dyDescent="0.3">
      <c r="A1097" t="s">
        <v>740</v>
      </c>
      <c r="B1097">
        <v>67</v>
      </c>
      <c r="D1097">
        <v>0</v>
      </c>
      <c r="E1097">
        <v>0</v>
      </c>
      <c r="H1097">
        <v>0</v>
      </c>
      <c r="I1097">
        <v>0</v>
      </c>
      <c r="L1097">
        <v>0</v>
      </c>
      <c r="M1097">
        <v>0</v>
      </c>
      <c r="R1097">
        <v>0</v>
      </c>
      <c r="S1097">
        <v>0</v>
      </c>
    </row>
    <row r="1098" spans="1:19" x14ac:dyDescent="0.3">
      <c r="A1098" t="s">
        <v>741</v>
      </c>
      <c r="B1098">
        <v>67</v>
      </c>
      <c r="D1098">
        <v>20</v>
      </c>
      <c r="E1098">
        <v>6</v>
      </c>
      <c r="H1098">
        <v>20</v>
      </c>
      <c r="I1098">
        <v>6</v>
      </c>
      <c r="L1098">
        <v>20</v>
      </c>
      <c r="M1098">
        <v>6</v>
      </c>
      <c r="R1098">
        <v>20</v>
      </c>
      <c r="S1098">
        <v>6</v>
      </c>
    </row>
    <row r="1099" spans="1:19" x14ac:dyDescent="0.3">
      <c r="A1099" t="s">
        <v>742</v>
      </c>
      <c r="B1099">
        <v>67</v>
      </c>
      <c r="D1099">
        <v>3</v>
      </c>
      <c r="E1099">
        <v>3</v>
      </c>
      <c r="H1099">
        <v>3</v>
      </c>
      <c r="I1099">
        <v>3</v>
      </c>
      <c r="L1099">
        <v>3</v>
      </c>
      <c r="M1099">
        <v>3</v>
      </c>
      <c r="R1099">
        <v>3</v>
      </c>
      <c r="S1099">
        <v>3</v>
      </c>
    </row>
    <row r="1100" spans="1:19" x14ac:dyDescent="0.3">
      <c r="A1100" t="s">
        <v>743</v>
      </c>
      <c r="B1100">
        <v>67</v>
      </c>
      <c r="D1100">
        <v>0</v>
      </c>
      <c r="E1100">
        <v>0</v>
      </c>
      <c r="H1100">
        <v>0</v>
      </c>
      <c r="I1100">
        <v>0</v>
      </c>
      <c r="L1100">
        <v>0</v>
      </c>
      <c r="M1100">
        <v>0</v>
      </c>
      <c r="R1100">
        <v>0</v>
      </c>
      <c r="S1100">
        <v>0</v>
      </c>
    </row>
    <row r="1101" spans="1:19" x14ac:dyDescent="0.3">
      <c r="A1101" t="s">
        <v>744</v>
      </c>
      <c r="B1101">
        <v>67</v>
      </c>
      <c r="D1101">
        <v>0</v>
      </c>
      <c r="E1101">
        <v>0</v>
      </c>
      <c r="H1101">
        <v>0</v>
      </c>
      <c r="I1101">
        <v>0</v>
      </c>
      <c r="L1101">
        <v>0</v>
      </c>
      <c r="M1101">
        <v>0</v>
      </c>
      <c r="R1101">
        <v>0</v>
      </c>
      <c r="S1101">
        <v>0</v>
      </c>
    </row>
    <row r="1102" spans="1:19" x14ac:dyDescent="0.3">
      <c r="A1102" t="s">
        <v>745</v>
      </c>
      <c r="B1102">
        <v>67</v>
      </c>
      <c r="D1102">
        <v>0</v>
      </c>
      <c r="E1102">
        <v>0</v>
      </c>
      <c r="H1102">
        <v>0</v>
      </c>
      <c r="I1102">
        <v>0</v>
      </c>
      <c r="L1102">
        <v>0</v>
      </c>
      <c r="M1102">
        <v>0</v>
      </c>
      <c r="R1102">
        <v>0</v>
      </c>
      <c r="S1102">
        <v>0</v>
      </c>
    </row>
    <row r="1103" spans="1:19" x14ac:dyDescent="0.3">
      <c r="A1103" t="s">
        <v>746</v>
      </c>
      <c r="B1103">
        <v>67</v>
      </c>
      <c r="E1103">
        <v>94</v>
      </c>
      <c r="I1103">
        <v>94</v>
      </c>
      <c r="M1103">
        <v>94</v>
      </c>
      <c r="S1103">
        <v>94</v>
      </c>
    </row>
    <row r="1104" spans="1:19" x14ac:dyDescent="0.3">
      <c r="A1104" t="s">
        <v>747</v>
      </c>
      <c r="B1104">
        <v>67</v>
      </c>
      <c r="E1104">
        <v>6</v>
      </c>
      <c r="I1104">
        <v>6</v>
      </c>
      <c r="M1104">
        <v>6</v>
      </c>
      <c r="S1104">
        <v>6</v>
      </c>
    </row>
    <row r="1105" spans="1:20" x14ac:dyDescent="0.3">
      <c r="A1105" t="s">
        <v>748</v>
      </c>
      <c r="B1105">
        <v>67</v>
      </c>
      <c r="E1105">
        <v>3</v>
      </c>
      <c r="I1105">
        <v>3</v>
      </c>
      <c r="M1105">
        <v>3</v>
      </c>
      <c r="S1105">
        <v>3</v>
      </c>
    </row>
    <row r="1106" spans="1:20" x14ac:dyDescent="0.3">
      <c r="A1106" t="s">
        <v>749</v>
      </c>
      <c r="B1106">
        <v>67</v>
      </c>
      <c r="E1106">
        <v>0</v>
      </c>
      <c r="I1106">
        <v>0</v>
      </c>
      <c r="M1106">
        <v>0</v>
      </c>
      <c r="S1106">
        <v>0</v>
      </c>
    </row>
    <row r="1107" spans="1:20" x14ac:dyDescent="0.3">
      <c r="A1107" t="s">
        <v>750</v>
      </c>
      <c r="B1107">
        <v>67</v>
      </c>
      <c r="E1107">
        <v>0</v>
      </c>
      <c r="I1107">
        <v>0</v>
      </c>
      <c r="M1107">
        <v>0</v>
      </c>
      <c r="S1107">
        <v>0</v>
      </c>
    </row>
    <row r="1108" spans="1:20" x14ac:dyDescent="0.3">
      <c r="A1108" t="s">
        <v>405</v>
      </c>
      <c r="B1108">
        <v>67</v>
      </c>
      <c r="E1108">
        <v>0</v>
      </c>
    </row>
    <row r="1109" spans="1:20" x14ac:dyDescent="0.3">
      <c r="A1109" t="s">
        <v>751</v>
      </c>
      <c r="B1109">
        <v>67</v>
      </c>
      <c r="D1109">
        <v>193</v>
      </c>
      <c r="E1109">
        <v>335</v>
      </c>
      <c r="F1109">
        <v>0</v>
      </c>
      <c r="H1109">
        <v>73</v>
      </c>
      <c r="I1109">
        <v>284</v>
      </c>
      <c r="J1109">
        <v>0</v>
      </c>
      <c r="L1109">
        <v>102</v>
      </c>
      <c r="M1109">
        <v>1140</v>
      </c>
      <c r="N1109">
        <v>0</v>
      </c>
      <c r="P1109">
        <v>0</v>
      </c>
      <c r="R1109">
        <v>155</v>
      </c>
      <c r="S1109">
        <v>1246</v>
      </c>
      <c r="T1109">
        <v>0</v>
      </c>
    </row>
    <row r="1110" spans="1:20" x14ac:dyDescent="0.3">
      <c r="A1110" t="s">
        <v>34</v>
      </c>
      <c r="B1110">
        <v>70</v>
      </c>
      <c r="D1110">
        <v>72</v>
      </c>
      <c r="E1110">
        <v>72</v>
      </c>
      <c r="F1110">
        <v>72</v>
      </c>
      <c r="H1110">
        <v>71</v>
      </c>
      <c r="I1110">
        <v>71</v>
      </c>
      <c r="J1110">
        <v>71</v>
      </c>
      <c r="L1110">
        <v>67</v>
      </c>
      <c r="M1110">
        <v>67</v>
      </c>
      <c r="N1110">
        <v>67</v>
      </c>
      <c r="P1110">
        <v>5</v>
      </c>
      <c r="R1110">
        <v>5</v>
      </c>
      <c r="S1110">
        <v>5</v>
      </c>
      <c r="T1110">
        <v>5</v>
      </c>
    </row>
    <row r="1111" spans="1:20" x14ac:dyDescent="0.3">
      <c r="A1111" t="s">
        <v>35</v>
      </c>
      <c r="B1111">
        <v>70</v>
      </c>
      <c r="D1111">
        <v>67</v>
      </c>
      <c r="E1111">
        <v>71</v>
      </c>
      <c r="F1111">
        <v>5</v>
      </c>
      <c r="H1111">
        <v>5</v>
      </c>
      <c r="I1111">
        <v>72</v>
      </c>
      <c r="J1111">
        <v>67</v>
      </c>
      <c r="L1111">
        <v>71</v>
      </c>
      <c r="M1111">
        <v>5</v>
      </c>
      <c r="N1111">
        <v>72</v>
      </c>
      <c r="P1111">
        <v>5</v>
      </c>
      <c r="R1111">
        <v>72</v>
      </c>
      <c r="S1111">
        <v>67</v>
      </c>
      <c r="T1111">
        <v>71</v>
      </c>
    </row>
    <row r="1112" spans="1:20" x14ac:dyDescent="0.3">
      <c r="A1112" t="s">
        <v>36</v>
      </c>
      <c r="B1112">
        <v>70</v>
      </c>
      <c r="D1112">
        <v>1</v>
      </c>
      <c r="E1112">
        <v>1</v>
      </c>
      <c r="F1112">
        <v>0</v>
      </c>
      <c r="H1112">
        <v>1</v>
      </c>
      <c r="I1112">
        <v>1</v>
      </c>
      <c r="J1112">
        <v>0</v>
      </c>
      <c r="L1112">
        <v>1</v>
      </c>
      <c r="M1112">
        <v>3</v>
      </c>
      <c r="N1112">
        <v>0</v>
      </c>
      <c r="P1112">
        <v>0</v>
      </c>
      <c r="R1112">
        <v>1</v>
      </c>
      <c r="S1112">
        <v>3</v>
      </c>
      <c r="T1112">
        <v>0</v>
      </c>
    </row>
    <row r="1113" spans="1:20" x14ac:dyDescent="0.3">
      <c r="A1113" t="s">
        <v>37</v>
      </c>
      <c r="B1113">
        <v>70</v>
      </c>
      <c r="D1113">
        <v>0</v>
      </c>
      <c r="E1113">
        <v>2</v>
      </c>
      <c r="H1113">
        <v>0</v>
      </c>
      <c r="I1113">
        <v>2</v>
      </c>
      <c r="L1113">
        <v>0</v>
      </c>
      <c r="M1113">
        <v>2</v>
      </c>
      <c r="R1113">
        <v>0</v>
      </c>
      <c r="S1113">
        <v>2</v>
      </c>
    </row>
    <row r="1114" spans="1:20" x14ac:dyDescent="0.3">
      <c r="A1114" t="s">
        <v>38</v>
      </c>
      <c r="B1114">
        <v>70</v>
      </c>
      <c r="D1114">
        <v>12</v>
      </c>
      <c r="E1114">
        <v>12</v>
      </c>
      <c r="F1114">
        <v>12</v>
      </c>
      <c r="H1114">
        <v>12</v>
      </c>
      <c r="I1114">
        <v>12</v>
      </c>
      <c r="J1114">
        <v>12</v>
      </c>
      <c r="L1114">
        <v>12</v>
      </c>
      <c r="M1114">
        <v>12</v>
      </c>
      <c r="N1114">
        <v>12</v>
      </c>
      <c r="P1114">
        <v>12</v>
      </c>
      <c r="R1114">
        <v>12</v>
      </c>
      <c r="S1114">
        <v>12</v>
      </c>
      <c r="T1114">
        <v>12</v>
      </c>
    </row>
    <row r="1115" spans="1:20" x14ac:dyDescent="0.3">
      <c r="A1115" t="s">
        <v>39</v>
      </c>
      <c r="B1115">
        <v>70</v>
      </c>
      <c r="D1115">
        <v>146</v>
      </c>
      <c r="H1115">
        <v>160</v>
      </c>
      <c r="L1115">
        <v>120</v>
      </c>
      <c r="R1115">
        <v>105</v>
      </c>
    </row>
    <row r="1116" spans="1:20" x14ac:dyDescent="0.3">
      <c r="A1116" t="s">
        <v>726</v>
      </c>
      <c r="B1116">
        <v>70</v>
      </c>
      <c r="D1116">
        <v>25</v>
      </c>
      <c r="H1116">
        <v>25</v>
      </c>
      <c r="L1116">
        <v>25</v>
      </c>
      <c r="R1116">
        <v>25</v>
      </c>
    </row>
    <row r="1117" spans="1:20" x14ac:dyDescent="0.3">
      <c r="A1117" t="s">
        <v>40</v>
      </c>
      <c r="B1117">
        <v>70</v>
      </c>
      <c r="D1117">
        <v>1</v>
      </c>
      <c r="H1117">
        <v>1</v>
      </c>
      <c r="L1117">
        <v>1</v>
      </c>
      <c r="R1117">
        <v>1</v>
      </c>
    </row>
    <row r="1118" spans="1:20" x14ac:dyDescent="0.3">
      <c r="A1118" t="s">
        <v>41</v>
      </c>
      <c r="B1118">
        <v>70</v>
      </c>
    </row>
    <row r="1119" spans="1:20" x14ac:dyDescent="0.3">
      <c r="A1119" t="s">
        <v>42</v>
      </c>
      <c r="B1119">
        <v>70</v>
      </c>
      <c r="E1119">
        <v>40</v>
      </c>
      <c r="I1119">
        <v>30</v>
      </c>
      <c r="M1119">
        <v>45</v>
      </c>
      <c r="S1119">
        <v>45</v>
      </c>
    </row>
    <row r="1120" spans="1:20" x14ac:dyDescent="0.3">
      <c r="A1120" t="s">
        <v>45</v>
      </c>
      <c r="B1120">
        <v>70</v>
      </c>
      <c r="E1120">
        <v>4</v>
      </c>
      <c r="I1120">
        <v>8</v>
      </c>
      <c r="L1120">
        <v>1</v>
      </c>
      <c r="M1120">
        <v>6</v>
      </c>
      <c r="R1120">
        <v>5</v>
      </c>
      <c r="S1120">
        <v>2</v>
      </c>
    </row>
    <row r="1121" spans="1:20" x14ac:dyDescent="0.3">
      <c r="A1121" t="s">
        <v>46</v>
      </c>
      <c r="B1121">
        <v>70</v>
      </c>
      <c r="D1121">
        <v>4</v>
      </c>
      <c r="H1121">
        <v>8</v>
      </c>
      <c r="L1121">
        <v>6</v>
      </c>
      <c r="R1121">
        <v>2</v>
      </c>
    </row>
    <row r="1122" spans="1:20" x14ac:dyDescent="0.3">
      <c r="A1122" t="s">
        <v>49</v>
      </c>
      <c r="B1122">
        <v>70</v>
      </c>
      <c r="D1122">
        <v>5.6</v>
      </c>
      <c r="E1122">
        <v>5.6</v>
      </c>
      <c r="F1122">
        <v>4</v>
      </c>
      <c r="H1122">
        <v>5.6</v>
      </c>
      <c r="I1122">
        <v>5.6</v>
      </c>
      <c r="J1122">
        <v>4</v>
      </c>
      <c r="L1122">
        <v>4</v>
      </c>
      <c r="M1122">
        <v>5.3</v>
      </c>
      <c r="N1122">
        <v>4</v>
      </c>
      <c r="P1122">
        <v>4</v>
      </c>
      <c r="R1122">
        <v>4</v>
      </c>
      <c r="S1122">
        <v>5.3</v>
      </c>
      <c r="T1122">
        <v>4</v>
      </c>
    </row>
    <row r="1123" spans="1:20" x14ac:dyDescent="0.3">
      <c r="A1123" t="s">
        <v>727</v>
      </c>
      <c r="B1123">
        <v>70</v>
      </c>
      <c r="D1123">
        <v>0</v>
      </c>
      <c r="E1123">
        <v>0</v>
      </c>
      <c r="F1123">
        <v>0</v>
      </c>
      <c r="H1123">
        <v>0</v>
      </c>
      <c r="I1123">
        <v>0</v>
      </c>
      <c r="J1123">
        <v>0</v>
      </c>
      <c r="L1123">
        <v>0</v>
      </c>
      <c r="M1123">
        <v>0</v>
      </c>
      <c r="N1123">
        <v>0</v>
      </c>
      <c r="P1123">
        <v>0</v>
      </c>
      <c r="R1123">
        <v>0</v>
      </c>
      <c r="S1123">
        <v>0</v>
      </c>
      <c r="T1123">
        <v>0</v>
      </c>
    </row>
    <row r="1124" spans="1:20" x14ac:dyDescent="0.3">
      <c r="A1124" t="s">
        <v>48</v>
      </c>
      <c r="B1124">
        <v>70</v>
      </c>
      <c r="D1124">
        <v>1900</v>
      </c>
      <c r="E1124">
        <v>1900</v>
      </c>
      <c r="F1124">
        <v>1900</v>
      </c>
      <c r="H1124">
        <v>1900</v>
      </c>
      <c r="I1124">
        <v>1900</v>
      </c>
      <c r="J1124">
        <v>1900</v>
      </c>
      <c r="L1124">
        <v>1900</v>
      </c>
      <c r="M1124">
        <v>1900</v>
      </c>
      <c r="N1124">
        <v>1900</v>
      </c>
      <c r="P1124">
        <v>1900</v>
      </c>
      <c r="R1124">
        <v>1900</v>
      </c>
      <c r="S1124">
        <v>1900</v>
      </c>
      <c r="T1124">
        <v>1900</v>
      </c>
    </row>
    <row r="1125" spans="1:20" x14ac:dyDescent="0.3">
      <c r="A1125" t="s">
        <v>728</v>
      </c>
      <c r="B1125">
        <v>70</v>
      </c>
      <c r="D1125">
        <v>1770</v>
      </c>
      <c r="E1125">
        <v>1703</v>
      </c>
      <c r="F1125">
        <v>0</v>
      </c>
      <c r="H1125">
        <v>1770</v>
      </c>
      <c r="I1125">
        <v>1676</v>
      </c>
      <c r="J1125">
        <v>0</v>
      </c>
      <c r="L1125">
        <v>1770</v>
      </c>
      <c r="M1125">
        <v>5060</v>
      </c>
      <c r="N1125">
        <v>0</v>
      </c>
      <c r="P1125">
        <v>0</v>
      </c>
      <c r="R1125">
        <v>1770</v>
      </c>
      <c r="S1125">
        <v>5029</v>
      </c>
      <c r="T1125">
        <v>0</v>
      </c>
    </row>
    <row r="1126" spans="1:20" x14ac:dyDescent="0.3">
      <c r="A1126" t="s">
        <v>50</v>
      </c>
      <c r="B1126">
        <v>70</v>
      </c>
      <c r="D1126">
        <v>1282</v>
      </c>
      <c r="E1126">
        <v>1703</v>
      </c>
      <c r="F1126">
        <v>0</v>
      </c>
      <c r="H1126">
        <v>1261</v>
      </c>
      <c r="I1126">
        <v>1676</v>
      </c>
      <c r="J1126">
        <v>0</v>
      </c>
      <c r="L1126">
        <v>250</v>
      </c>
      <c r="M1126">
        <v>5060</v>
      </c>
      <c r="N1126">
        <v>0</v>
      </c>
      <c r="P1126">
        <v>0</v>
      </c>
      <c r="R1126">
        <v>296</v>
      </c>
      <c r="S1126">
        <v>5029</v>
      </c>
      <c r="T1126">
        <v>0</v>
      </c>
    </row>
    <row r="1127" spans="1:20" x14ac:dyDescent="0.3">
      <c r="A1127" t="s">
        <v>729</v>
      </c>
      <c r="B1127">
        <v>70</v>
      </c>
      <c r="D1127">
        <v>1</v>
      </c>
      <c r="E1127">
        <v>1</v>
      </c>
      <c r="F1127">
        <v>1</v>
      </c>
      <c r="H1127">
        <v>1</v>
      </c>
      <c r="I1127">
        <v>1</v>
      </c>
      <c r="J1127">
        <v>1</v>
      </c>
      <c r="L1127">
        <v>1</v>
      </c>
      <c r="M1127">
        <v>1</v>
      </c>
      <c r="N1127">
        <v>1</v>
      </c>
      <c r="P1127">
        <v>1</v>
      </c>
      <c r="R1127">
        <v>1</v>
      </c>
      <c r="S1127">
        <v>1</v>
      </c>
      <c r="T1127">
        <v>1</v>
      </c>
    </row>
    <row r="1128" spans="1:20" x14ac:dyDescent="0.3">
      <c r="A1128" t="s">
        <v>51</v>
      </c>
      <c r="B1128">
        <v>70</v>
      </c>
      <c r="D1128">
        <v>0</v>
      </c>
      <c r="E1128">
        <v>57</v>
      </c>
      <c r="F1128">
        <v>0</v>
      </c>
      <c r="H1128">
        <v>0</v>
      </c>
      <c r="I1128">
        <v>71</v>
      </c>
      <c r="J1128">
        <v>0</v>
      </c>
      <c r="L1128">
        <v>0</v>
      </c>
      <c r="M1128">
        <v>6</v>
      </c>
      <c r="N1128">
        <v>0</v>
      </c>
      <c r="P1128">
        <v>0</v>
      </c>
      <c r="R1128">
        <v>0</v>
      </c>
      <c r="S1128">
        <v>15</v>
      </c>
      <c r="T1128">
        <v>0</v>
      </c>
    </row>
    <row r="1129" spans="1:20" x14ac:dyDescent="0.3">
      <c r="A1129" t="s">
        <v>53</v>
      </c>
      <c r="B1129">
        <v>70</v>
      </c>
      <c r="D1129">
        <v>67</v>
      </c>
      <c r="E1129">
        <v>46</v>
      </c>
      <c r="F1129">
        <v>62</v>
      </c>
      <c r="H1129">
        <v>58</v>
      </c>
      <c r="I1129">
        <v>33</v>
      </c>
      <c r="J1129">
        <v>65</v>
      </c>
      <c r="L1129">
        <v>60</v>
      </c>
      <c r="M1129">
        <v>1135</v>
      </c>
      <c r="N1129">
        <v>39</v>
      </c>
      <c r="P1129">
        <v>0</v>
      </c>
      <c r="R1129">
        <v>48</v>
      </c>
      <c r="S1129">
        <v>1188</v>
      </c>
      <c r="T1129">
        <v>90</v>
      </c>
    </row>
    <row r="1130" spans="1:20" x14ac:dyDescent="0.3">
      <c r="A1130" t="s">
        <v>54</v>
      </c>
      <c r="B1130">
        <v>70</v>
      </c>
      <c r="D1130">
        <v>0</v>
      </c>
      <c r="E1130">
        <v>0</v>
      </c>
      <c r="F1130">
        <v>0</v>
      </c>
      <c r="H1130">
        <v>0</v>
      </c>
      <c r="I1130">
        <v>0</v>
      </c>
      <c r="J1130">
        <v>0</v>
      </c>
      <c r="L1130">
        <v>0</v>
      </c>
      <c r="M1130">
        <v>0</v>
      </c>
      <c r="N1130">
        <v>0</v>
      </c>
      <c r="P1130">
        <v>0</v>
      </c>
      <c r="R1130">
        <v>0</v>
      </c>
      <c r="S1130">
        <v>0</v>
      </c>
      <c r="T1130">
        <v>0</v>
      </c>
    </row>
    <row r="1131" spans="1:20" x14ac:dyDescent="0.3">
      <c r="A1131" t="s">
        <v>55</v>
      </c>
      <c r="B1131">
        <v>70</v>
      </c>
      <c r="D1131">
        <v>0</v>
      </c>
      <c r="E1131">
        <v>0</v>
      </c>
      <c r="F1131">
        <v>0</v>
      </c>
      <c r="H1131">
        <v>0</v>
      </c>
      <c r="I1131">
        <v>0</v>
      </c>
      <c r="J1131">
        <v>0</v>
      </c>
      <c r="L1131">
        <v>0</v>
      </c>
      <c r="M1131">
        <v>0</v>
      </c>
      <c r="N1131">
        <v>0</v>
      </c>
      <c r="P1131">
        <v>0</v>
      </c>
      <c r="R1131">
        <v>0</v>
      </c>
      <c r="S1131">
        <v>0</v>
      </c>
      <c r="T1131">
        <v>0</v>
      </c>
    </row>
    <row r="1132" spans="1:20" x14ac:dyDescent="0.3">
      <c r="A1132" t="s">
        <v>56</v>
      </c>
      <c r="B1132">
        <v>70</v>
      </c>
      <c r="D1132">
        <v>0.92</v>
      </c>
      <c r="E1132">
        <v>0.92</v>
      </c>
      <c r="F1132">
        <v>0.92</v>
      </c>
      <c r="H1132">
        <v>0.92</v>
      </c>
      <c r="I1132">
        <v>0.92</v>
      </c>
      <c r="J1132">
        <v>0.92</v>
      </c>
      <c r="L1132">
        <v>0.92</v>
      </c>
      <c r="M1132">
        <v>0.92</v>
      </c>
      <c r="N1132">
        <v>0.92</v>
      </c>
      <c r="P1132">
        <v>0.92</v>
      </c>
      <c r="R1132">
        <v>0.92</v>
      </c>
      <c r="S1132">
        <v>0.92</v>
      </c>
      <c r="T1132">
        <v>0.92</v>
      </c>
    </row>
    <row r="1133" spans="1:20" x14ac:dyDescent="0.3">
      <c r="A1133" t="s">
        <v>57</v>
      </c>
      <c r="B1133">
        <v>70</v>
      </c>
      <c r="D1133">
        <v>100</v>
      </c>
      <c r="E1133">
        <v>100</v>
      </c>
      <c r="F1133">
        <v>100</v>
      </c>
      <c r="H1133">
        <v>100</v>
      </c>
      <c r="I1133">
        <v>100</v>
      </c>
      <c r="J1133">
        <v>100</v>
      </c>
      <c r="L1133">
        <v>100</v>
      </c>
      <c r="M1133">
        <v>100</v>
      </c>
      <c r="N1133">
        <v>100</v>
      </c>
      <c r="P1133">
        <v>100</v>
      </c>
      <c r="R1133">
        <v>100</v>
      </c>
      <c r="S1133">
        <v>100</v>
      </c>
      <c r="T1133">
        <v>100</v>
      </c>
    </row>
    <row r="1134" spans="1:20" x14ac:dyDescent="0.3">
      <c r="A1134" t="s">
        <v>58</v>
      </c>
      <c r="B1134">
        <v>70</v>
      </c>
      <c r="D1134">
        <v>2</v>
      </c>
      <c r="E1134">
        <v>2</v>
      </c>
      <c r="F1134">
        <v>2</v>
      </c>
      <c r="H1134">
        <v>2</v>
      </c>
      <c r="I1134">
        <v>2</v>
      </c>
      <c r="J1134">
        <v>2</v>
      </c>
      <c r="L1134">
        <v>2</v>
      </c>
      <c r="M1134">
        <v>2</v>
      </c>
      <c r="N1134">
        <v>2</v>
      </c>
      <c r="P1134">
        <v>2</v>
      </c>
      <c r="R1134">
        <v>2</v>
      </c>
      <c r="S1134">
        <v>2</v>
      </c>
      <c r="T1134">
        <v>2</v>
      </c>
    </row>
    <row r="1135" spans="1:20" x14ac:dyDescent="0.3">
      <c r="A1135" t="s">
        <v>59</v>
      </c>
      <c r="B1135">
        <v>70</v>
      </c>
      <c r="D1135">
        <v>0</v>
      </c>
      <c r="E1135">
        <v>0</v>
      </c>
      <c r="F1135">
        <v>0</v>
      </c>
      <c r="H1135">
        <v>0</v>
      </c>
      <c r="I1135">
        <v>0</v>
      </c>
      <c r="J1135">
        <v>0</v>
      </c>
      <c r="L1135">
        <v>0</v>
      </c>
      <c r="M1135">
        <v>0</v>
      </c>
      <c r="N1135">
        <v>0</v>
      </c>
      <c r="P1135">
        <v>0</v>
      </c>
      <c r="R1135">
        <v>0</v>
      </c>
      <c r="S1135">
        <v>0</v>
      </c>
      <c r="T1135">
        <v>0</v>
      </c>
    </row>
    <row r="1136" spans="1:20" x14ac:dyDescent="0.3">
      <c r="A1136" t="s">
        <v>730</v>
      </c>
      <c r="B1136">
        <v>70</v>
      </c>
      <c r="E1136">
        <v>0</v>
      </c>
      <c r="I1136">
        <v>0</v>
      </c>
      <c r="M1136">
        <v>0</v>
      </c>
      <c r="S1136">
        <v>0</v>
      </c>
    </row>
    <row r="1137" spans="1:20" x14ac:dyDescent="0.3">
      <c r="A1137" t="s">
        <v>679</v>
      </c>
      <c r="B1137">
        <v>70</v>
      </c>
      <c r="E1137">
        <v>599</v>
      </c>
      <c r="I1137">
        <v>592</v>
      </c>
      <c r="M1137">
        <v>2943</v>
      </c>
      <c r="S1137">
        <v>1781</v>
      </c>
    </row>
    <row r="1138" spans="1:20" x14ac:dyDescent="0.3">
      <c r="A1138" t="s">
        <v>78</v>
      </c>
      <c r="B1138">
        <v>70</v>
      </c>
      <c r="E1138">
        <v>10.199999999999999</v>
      </c>
      <c r="I1138">
        <v>13.5</v>
      </c>
      <c r="M1138">
        <v>44.6</v>
      </c>
      <c r="S1138">
        <v>27</v>
      </c>
    </row>
    <row r="1139" spans="1:20" x14ac:dyDescent="0.3">
      <c r="A1139" t="s">
        <v>731</v>
      </c>
      <c r="B1139">
        <v>70</v>
      </c>
      <c r="F1139">
        <v>0</v>
      </c>
      <c r="J1139">
        <v>0</v>
      </c>
      <c r="N1139">
        <v>0</v>
      </c>
      <c r="T1139">
        <v>0</v>
      </c>
    </row>
    <row r="1140" spans="1:20" x14ac:dyDescent="0.3">
      <c r="A1140" t="s">
        <v>732</v>
      </c>
      <c r="B1140">
        <v>70</v>
      </c>
      <c r="D1140">
        <v>0</v>
      </c>
      <c r="E1140">
        <v>0</v>
      </c>
      <c r="F1140">
        <v>1</v>
      </c>
      <c r="H1140">
        <v>0</v>
      </c>
      <c r="I1140">
        <v>0</v>
      </c>
      <c r="J1140">
        <v>1</v>
      </c>
      <c r="L1140">
        <v>0</v>
      </c>
      <c r="M1140">
        <v>0</v>
      </c>
      <c r="N1140">
        <v>1</v>
      </c>
      <c r="P1140">
        <v>3</v>
      </c>
      <c r="R1140">
        <v>0</v>
      </c>
      <c r="S1140">
        <v>0</v>
      </c>
      <c r="T1140">
        <v>1</v>
      </c>
    </row>
    <row r="1141" spans="1:20" x14ac:dyDescent="0.3">
      <c r="A1141" t="s">
        <v>733</v>
      </c>
      <c r="B1141">
        <v>70</v>
      </c>
      <c r="D1141">
        <v>0</v>
      </c>
      <c r="E1141">
        <v>0</v>
      </c>
      <c r="F1141">
        <v>0</v>
      </c>
      <c r="H1141">
        <v>0</v>
      </c>
      <c r="I1141">
        <v>0</v>
      </c>
      <c r="J1141">
        <v>0</v>
      </c>
      <c r="L1141">
        <v>0</v>
      </c>
      <c r="M1141">
        <v>0</v>
      </c>
      <c r="N1141">
        <v>0</v>
      </c>
      <c r="P1141">
        <v>0</v>
      </c>
      <c r="R1141">
        <v>0</v>
      </c>
      <c r="S1141">
        <v>0</v>
      </c>
      <c r="T1141">
        <v>0</v>
      </c>
    </row>
    <row r="1142" spans="1:20" x14ac:dyDescent="0.3">
      <c r="A1142" t="s">
        <v>52</v>
      </c>
      <c r="B1142">
        <v>70</v>
      </c>
      <c r="D1142">
        <v>1</v>
      </c>
      <c r="E1142">
        <v>1</v>
      </c>
      <c r="F1142">
        <v>1</v>
      </c>
      <c r="H1142">
        <v>1</v>
      </c>
      <c r="I1142">
        <v>1</v>
      </c>
      <c r="J1142">
        <v>1</v>
      </c>
      <c r="L1142">
        <v>1</v>
      </c>
      <c r="M1142">
        <v>1</v>
      </c>
      <c r="N1142">
        <v>1</v>
      </c>
      <c r="P1142">
        <v>1</v>
      </c>
      <c r="R1142">
        <v>1</v>
      </c>
      <c r="S1142">
        <v>1</v>
      </c>
      <c r="T1142">
        <v>1</v>
      </c>
    </row>
    <row r="1143" spans="1:20" x14ac:dyDescent="0.3">
      <c r="A1143" t="s">
        <v>734</v>
      </c>
      <c r="B1143">
        <v>70</v>
      </c>
      <c r="D1143">
        <v>15</v>
      </c>
      <c r="E1143">
        <v>60</v>
      </c>
      <c r="F1143">
        <v>9</v>
      </c>
      <c r="H1143">
        <v>15</v>
      </c>
      <c r="I1143">
        <v>60</v>
      </c>
      <c r="J1143">
        <v>9</v>
      </c>
      <c r="L1143">
        <v>15</v>
      </c>
      <c r="M1143">
        <v>60</v>
      </c>
      <c r="N1143">
        <v>9</v>
      </c>
      <c r="P1143">
        <v>9</v>
      </c>
      <c r="R1143">
        <v>15</v>
      </c>
      <c r="S1143">
        <v>60</v>
      </c>
      <c r="T1143">
        <v>9</v>
      </c>
    </row>
    <row r="1144" spans="1:20" x14ac:dyDescent="0.3">
      <c r="A1144" t="s">
        <v>43</v>
      </c>
      <c r="B1144">
        <v>70</v>
      </c>
      <c r="D1144">
        <v>20</v>
      </c>
      <c r="E1144">
        <v>100</v>
      </c>
      <c r="H1144">
        <v>20</v>
      </c>
      <c r="I1144">
        <v>100</v>
      </c>
      <c r="L1144">
        <v>20</v>
      </c>
      <c r="M1144">
        <v>100</v>
      </c>
      <c r="R1144">
        <v>20</v>
      </c>
      <c r="S1144">
        <v>100</v>
      </c>
    </row>
    <row r="1145" spans="1:20" x14ac:dyDescent="0.3">
      <c r="A1145" t="s">
        <v>44</v>
      </c>
      <c r="B1145">
        <v>70</v>
      </c>
      <c r="D1145">
        <v>0</v>
      </c>
      <c r="E1145">
        <v>0</v>
      </c>
      <c r="H1145">
        <v>0</v>
      </c>
      <c r="I1145">
        <v>0</v>
      </c>
      <c r="L1145">
        <v>0</v>
      </c>
      <c r="M1145">
        <v>0</v>
      </c>
      <c r="R1145">
        <v>0</v>
      </c>
      <c r="S1145">
        <v>0</v>
      </c>
    </row>
    <row r="1146" spans="1:20" x14ac:dyDescent="0.3">
      <c r="A1146" t="s">
        <v>47</v>
      </c>
      <c r="B1146">
        <v>70</v>
      </c>
      <c r="D1146">
        <v>4</v>
      </c>
      <c r="E1146">
        <v>4</v>
      </c>
      <c r="H1146">
        <v>8</v>
      </c>
      <c r="I1146">
        <v>8</v>
      </c>
      <c r="L1146">
        <v>1</v>
      </c>
      <c r="M1146">
        <v>6</v>
      </c>
      <c r="R1146">
        <v>5</v>
      </c>
      <c r="S1146">
        <v>2</v>
      </c>
    </row>
    <row r="1147" spans="1:20" x14ac:dyDescent="0.3">
      <c r="A1147" t="s">
        <v>735</v>
      </c>
      <c r="B1147">
        <v>70</v>
      </c>
      <c r="D1147">
        <v>0</v>
      </c>
      <c r="E1147">
        <v>0</v>
      </c>
      <c r="H1147">
        <v>0</v>
      </c>
      <c r="I1147">
        <v>0</v>
      </c>
      <c r="L1147">
        <v>0</v>
      </c>
      <c r="M1147">
        <v>0</v>
      </c>
      <c r="R1147">
        <v>0</v>
      </c>
      <c r="S1147">
        <v>0</v>
      </c>
    </row>
    <row r="1148" spans="1:20" x14ac:dyDescent="0.3">
      <c r="A1148" t="s">
        <v>736</v>
      </c>
      <c r="B1148">
        <v>70</v>
      </c>
      <c r="D1148">
        <v>0</v>
      </c>
      <c r="E1148">
        <v>0</v>
      </c>
      <c r="H1148">
        <v>0</v>
      </c>
      <c r="I1148">
        <v>0</v>
      </c>
      <c r="L1148">
        <v>0</v>
      </c>
      <c r="M1148">
        <v>0</v>
      </c>
      <c r="R1148">
        <v>0</v>
      </c>
      <c r="S1148">
        <v>0</v>
      </c>
    </row>
    <row r="1149" spans="1:20" x14ac:dyDescent="0.3">
      <c r="A1149" t="s">
        <v>737</v>
      </c>
      <c r="B1149">
        <v>70</v>
      </c>
      <c r="D1149">
        <v>0</v>
      </c>
      <c r="E1149">
        <v>0</v>
      </c>
      <c r="H1149">
        <v>0</v>
      </c>
      <c r="I1149">
        <v>0</v>
      </c>
      <c r="L1149">
        <v>0</v>
      </c>
      <c r="M1149">
        <v>0</v>
      </c>
      <c r="R1149">
        <v>0</v>
      </c>
      <c r="S1149">
        <v>0</v>
      </c>
    </row>
    <row r="1150" spans="1:20" x14ac:dyDescent="0.3">
      <c r="A1150" t="s">
        <v>738</v>
      </c>
      <c r="B1150">
        <v>70</v>
      </c>
      <c r="D1150">
        <v>0</v>
      </c>
      <c r="E1150">
        <v>0</v>
      </c>
      <c r="H1150">
        <v>0</v>
      </c>
      <c r="I1150">
        <v>0</v>
      </c>
      <c r="L1150">
        <v>0</v>
      </c>
      <c r="M1150">
        <v>0</v>
      </c>
      <c r="R1150">
        <v>0</v>
      </c>
      <c r="S1150">
        <v>0</v>
      </c>
    </row>
    <row r="1151" spans="1:20" x14ac:dyDescent="0.3">
      <c r="A1151" t="s">
        <v>739</v>
      </c>
      <c r="B1151">
        <v>70</v>
      </c>
      <c r="D1151">
        <v>1</v>
      </c>
      <c r="E1151">
        <v>2</v>
      </c>
      <c r="H1151">
        <v>1</v>
      </c>
      <c r="I1151">
        <v>2</v>
      </c>
      <c r="L1151">
        <v>1</v>
      </c>
      <c r="M1151">
        <v>2</v>
      </c>
      <c r="R1151">
        <v>1</v>
      </c>
      <c r="S1151">
        <v>2</v>
      </c>
    </row>
    <row r="1152" spans="1:20" x14ac:dyDescent="0.3">
      <c r="A1152" t="s">
        <v>740</v>
      </c>
      <c r="B1152">
        <v>70</v>
      </c>
      <c r="D1152">
        <v>0</v>
      </c>
      <c r="E1152">
        <v>0</v>
      </c>
      <c r="H1152">
        <v>0</v>
      </c>
      <c r="I1152">
        <v>0</v>
      </c>
      <c r="L1152">
        <v>0</v>
      </c>
      <c r="M1152">
        <v>0</v>
      </c>
      <c r="R1152">
        <v>0</v>
      </c>
      <c r="S1152">
        <v>0</v>
      </c>
    </row>
    <row r="1153" spans="1:20" x14ac:dyDescent="0.3">
      <c r="A1153" t="s">
        <v>741</v>
      </c>
      <c r="B1153">
        <v>70</v>
      </c>
      <c r="D1153">
        <v>20</v>
      </c>
      <c r="E1153">
        <v>6</v>
      </c>
      <c r="H1153">
        <v>20</v>
      </c>
      <c r="I1153">
        <v>6</v>
      </c>
      <c r="L1153">
        <v>20</v>
      </c>
      <c r="M1153">
        <v>6</v>
      </c>
      <c r="R1153">
        <v>20</v>
      </c>
      <c r="S1153">
        <v>6</v>
      </c>
    </row>
    <row r="1154" spans="1:20" x14ac:dyDescent="0.3">
      <c r="A1154" t="s">
        <v>742</v>
      </c>
      <c r="B1154">
        <v>70</v>
      </c>
      <c r="D1154">
        <v>3</v>
      </c>
      <c r="E1154">
        <v>3</v>
      </c>
      <c r="H1154">
        <v>3</v>
      </c>
      <c r="I1154">
        <v>3</v>
      </c>
      <c r="L1154">
        <v>3</v>
      </c>
      <c r="M1154">
        <v>3</v>
      </c>
      <c r="R1154">
        <v>3</v>
      </c>
      <c r="S1154">
        <v>3</v>
      </c>
    </row>
    <row r="1155" spans="1:20" x14ac:dyDescent="0.3">
      <c r="A1155" t="s">
        <v>743</v>
      </c>
      <c r="B1155">
        <v>70</v>
      </c>
      <c r="D1155">
        <v>0</v>
      </c>
      <c r="E1155">
        <v>0</v>
      </c>
      <c r="H1155">
        <v>0</v>
      </c>
      <c r="I1155">
        <v>0</v>
      </c>
      <c r="L1155">
        <v>0</v>
      </c>
      <c r="M1155">
        <v>0</v>
      </c>
      <c r="R1155">
        <v>0</v>
      </c>
      <c r="S1155">
        <v>0</v>
      </c>
    </row>
    <row r="1156" spans="1:20" x14ac:dyDescent="0.3">
      <c r="A1156" t="s">
        <v>744</v>
      </c>
      <c r="B1156">
        <v>70</v>
      </c>
      <c r="D1156">
        <v>0</v>
      </c>
      <c r="E1156">
        <v>0</v>
      </c>
      <c r="H1156">
        <v>0</v>
      </c>
      <c r="I1156">
        <v>0</v>
      </c>
      <c r="L1156">
        <v>0</v>
      </c>
      <c r="M1156">
        <v>0</v>
      </c>
      <c r="R1156">
        <v>0</v>
      </c>
      <c r="S1156">
        <v>0</v>
      </c>
    </row>
    <row r="1157" spans="1:20" x14ac:dyDescent="0.3">
      <c r="A1157" t="s">
        <v>745</v>
      </c>
      <c r="B1157">
        <v>70</v>
      </c>
      <c r="D1157">
        <v>0</v>
      </c>
      <c r="E1157">
        <v>0</v>
      </c>
      <c r="H1157">
        <v>0</v>
      </c>
      <c r="I1157">
        <v>0</v>
      </c>
      <c r="L1157">
        <v>0</v>
      </c>
      <c r="M1157">
        <v>0</v>
      </c>
      <c r="R1157">
        <v>0</v>
      </c>
      <c r="S1157">
        <v>0</v>
      </c>
    </row>
    <row r="1158" spans="1:20" x14ac:dyDescent="0.3">
      <c r="A1158" t="s">
        <v>746</v>
      </c>
      <c r="B1158">
        <v>70</v>
      </c>
      <c r="E1158">
        <v>94</v>
      </c>
      <c r="I1158">
        <v>94</v>
      </c>
      <c r="M1158">
        <v>94</v>
      </c>
      <c r="S1158">
        <v>94</v>
      </c>
    </row>
    <row r="1159" spans="1:20" x14ac:dyDescent="0.3">
      <c r="A1159" t="s">
        <v>747</v>
      </c>
      <c r="B1159">
        <v>70</v>
      </c>
      <c r="E1159">
        <v>6</v>
      </c>
      <c r="I1159">
        <v>6</v>
      </c>
      <c r="M1159">
        <v>6</v>
      </c>
      <c r="S1159">
        <v>6</v>
      </c>
    </row>
    <row r="1160" spans="1:20" x14ac:dyDescent="0.3">
      <c r="A1160" t="s">
        <v>748</v>
      </c>
      <c r="B1160">
        <v>70</v>
      </c>
      <c r="E1160">
        <v>3</v>
      </c>
      <c r="I1160">
        <v>3</v>
      </c>
      <c r="M1160">
        <v>3</v>
      </c>
      <c r="S1160">
        <v>3</v>
      </c>
    </row>
    <row r="1161" spans="1:20" x14ac:dyDescent="0.3">
      <c r="A1161" t="s">
        <v>749</v>
      </c>
      <c r="B1161">
        <v>70</v>
      </c>
      <c r="E1161">
        <v>0</v>
      </c>
      <c r="I1161">
        <v>0</v>
      </c>
      <c r="M1161">
        <v>0</v>
      </c>
      <c r="S1161">
        <v>0</v>
      </c>
    </row>
    <row r="1162" spans="1:20" x14ac:dyDescent="0.3">
      <c r="A1162" t="s">
        <v>750</v>
      </c>
      <c r="B1162">
        <v>70</v>
      </c>
      <c r="E1162">
        <v>0</v>
      </c>
      <c r="I1162">
        <v>0</v>
      </c>
      <c r="M1162">
        <v>0</v>
      </c>
      <c r="S1162">
        <v>0</v>
      </c>
    </row>
    <row r="1163" spans="1:20" x14ac:dyDescent="0.3">
      <c r="A1163" t="s">
        <v>405</v>
      </c>
      <c r="B1163">
        <v>70</v>
      </c>
      <c r="E1163">
        <v>0</v>
      </c>
    </row>
    <row r="1164" spans="1:20" x14ac:dyDescent="0.3">
      <c r="A1164" t="s">
        <v>751</v>
      </c>
      <c r="B1164">
        <v>70</v>
      </c>
      <c r="D1164">
        <v>73</v>
      </c>
      <c r="E1164">
        <v>117</v>
      </c>
      <c r="F1164">
        <v>0</v>
      </c>
      <c r="H1164">
        <v>63</v>
      </c>
      <c r="I1164">
        <v>107</v>
      </c>
      <c r="J1164">
        <v>0</v>
      </c>
      <c r="L1164">
        <v>65</v>
      </c>
      <c r="M1164">
        <v>1276</v>
      </c>
      <c r="N1164">
        <v>0</v>
      </c>
      <c r="P1164">
        <v>0</v>
      </c>
      <c r="R1164">
        <v>52</v>
      </c>
      <c r="S1164">
        <v>1389</v>
      </c>
      <c r="T1164">
        <v>0</v>
      </c>
    </row>
    <row r="1165" spans="1:20" x14ac:dyDescent="0.3">
      <c r="A1165" t="s">
        <v>34</v>
      </c>
      <c r="B1165">
        <v>73</v>
      </c>
      <c r="D1165">
        <v>74</v>
      </c>
      <c r="F1165">
        <v>74</v>
      </c>
      <c r="M1165">
        <v>27</v>
      </c>
      <c r="N1165">
        <v>27</v>
      </c>
      <c r="P1165">
        <v>32</v>
      </c>
      <c r="R1165">
        <v>32</v>
      </c>
      <c r="S1165">
        <v>32</v>
      </c>
    </row>
    <row r="1166" spans="1:20" x14ac:dyDescent="0.3">
      <c r="A1166" t="s">
        <v>35</v>
      </c>
      <c r="B1166">
        <v>73</v>
      </c>
      <c r="D1166">
        <v>27</v>
      </c>
      <c r="F1166">
        <v>32</v>
      </c>
      <c r="M1166">
        <v>32</v>
      </c>
      <c r="N1166">
        <v>74</v>
      </c>
      <c r="P1166">
        <v>32</v>
      </c>
      <c r="R1166">
        <v>74</v>
      </c>
      <c r="S1166">
        <v>27</v>
      </c>
    </row>
    <row r="1167" spans="1:20" x14ac:dyDescent="0.3">
      <c r="A1167" t="s">
        <v>36</v>
      </c>
      <c r="B1167">
        <v>73</v>
      </c>
      <c r="D1167">
        <v>1</v>
      </c>
      <c r="F1167">
        <v>1</v>
      </c>
      <c r="M1167">
        <v>3</v>
      </c>
      <c r="N1167">
        <v>0</v>
      </c>
      <c r="P1167">
        <v>0</v>
      </c>
      <c r="R1167">
        <v>1</v>
      </c>
      <c r="S1167">
        <v>3</v>
      </c>
    </row>
    <row r="1168" spans="1:20" x14ac:dyDescent="0.3">
      <c r="A1168" t="s">
        <v>37</v>
      </c>
      <c r="B1168">
        <v>73</v>
      </c>
      <c r="D1168">
        <v>0</v>
      </c>
      <c r="M1168">
        <v>2</v>
      </c>
      <c r="R1168">
        <v>0</v>
      </c>
      <c r="S1168">
        <v>0</v>
      </c>
    </row>
    <row r="1169" spans="1:19" x14ac:dyDescent="0.3">
      <c r="A1169" t="s">
        <v>38</v>
      </c>
      <c r="B1169">
        <v>73</v>
      </c>
      <c r="D1169">
        <v>12</v>
      </c>
      <c r="F1169">
        <v>12</v>
      </c>
      <c r="M1169">
        <v>12</v>
      </c>
      <c r="N1169">
        <v>12</v>
      </c>
      <c r="P1169">
        <v>12</v>
      </c>
      <c r="R1169">
        <v>12</v>
      </c>
      <c r="S1169">
        <v>12</v>
      </c>
    </row>
    <row r="1170" spans="1:19" x14ac:dyDescent="0.3">
      <c r="A1170" t="s">
        <v>39</v>
      </c>
      <c r="B1170">
        <v>73</v>
      </c>
      <c r="R1170">
        <v>110</v>
      </c>
    </row>
    <row r="1171" spans="1:19" x14ac:dyDescent="0.3">
      <c r="A1171" t="s">
        <v>726</v>
      </c>
      <c r="B1171">
        <v>73</v>
      </c>
      <c r="R1171">
        <v>25</v>
      </c>
    </row>
    <row r="1172" spans="1:19" x14ac:dyDescent="0.3">
      <c r="A1172" t="s">
        <v>40</v>
      </c>
      <c r="B1172">
        <v>73</v>
      </c>
      <c r="R1172">
        <v>1</v>
      </c>
    </row>
    <row r="1173" spans="1:19" x14ac:dyDescent="0.3">
      <c r="A1173" t="s">
        <v>41</v>
      </c>
      <c r="B1173">
        <v>73</v>
      </c>
    </row>
    <row r="1174" spans="1:19" x14ac:dyDescent="0.3">
      <c r="A1174" t="s">
        <v>42</v>
      </c>
      <c r="B1174">
        <v>73</v>
      </c>
      <c r="D1174">
        <v>30</v>
      </c>
      <c r="M1174">
        <v>45</v>
      </c>
      <c r="S1174">
        <v>40</v>
      </c>
    </row>
    <row r="1175" spans="1:19" x14ac:dyDescent="0.3">
      <c r="A1175" t="s">
        <v>45</v>
      </c>
      <c r="B1175">
        <v>73</v>
      </c>
      <c r="D1175">
        <v>4</v>
      </c>
      <c r="F1175">
        <v>4</v>
      </c>
      <c r="M1175">
        <v>6</v>
      </c>
      <c r="R1175">
        <v>5</v>
      </c>
      <c r="S1175">
        <v>6</v>
      </c>
    </row>
    <row r="1176" spans="1:19" x14ac:dyDescent="0.3">
      <c r="A1176" t="s">
        <v>46</v>
      </c>
      <c r="B1176">
        <v>73</v>
      </c>
      <c r="M1176">
        <v>2</v>
      </c>
      <c r="R1176">
        <v>6</v>
      </c>
      <c r="S1176">
        <v>2</v>
      </c>
    </row>
    <row r="1177" spans="1:19" x14ac:dyDescent="0.3">
      <c r="A1177" t="s">
        <v>49</v>
      </c>
      <c r="B1177">
        <v>73</v>
      </c>
      <c r="D1177">
        <v>5.6</v>
      </c>
      <c r="F1177">
        <v>5.6</v>
      </c>
      <c r="M1177">
        <v>5.3</v>
      </c>
      <c r="N1177">
        <v>4</v>
      </c>
      <c r="P1177">
        <v>4</v>
      </c>
      <c r="R1177">
        <v>4</v>
      </c>
      <c r="S1177">
        <v>5.3</v>
      </c>
    </row>
    <row r="1178" spans="1:19" x14ac:dyDescent="0.3">
      <c r="A1178" t="s">
        <v>727</v>
      </c>
      <c r="B1178">
        <v>73</v>
      </c>
      <c r="D1178">
        <v>0</v>
      </c>
      <c r="F1178">
        <v>0</v>
      </c>
      <c r="M1178">
        <v>0</v>
      </c>
      <c r="N1178">
        <v>0</v>
      </c>
      <c r="P1178">
        <v>0</v>
      </c>
      <c r="R1178">
        <v>0</v>
      </c>
      <c r="S1178">
        <v>0</v>
      </c>
    </row>
    <row r="1179" spans="1:19" x14ac:dyDescent="0.3">
      <c r="A1179" t="s">
        <v>48</v>
      </c>
      <c r="B1179">
        <v>73</v>
      </c>
      <c r="D1179">
        <v>1900</v>
      </c>
      <c r="F1179">
        <v>1900</v>
      </c>
      <c r="M1179">
        <v>1900</v>
      </c>
      <c r="N1179">
        <v>1900</v>
      </c>
      <c r="P1179">
        <v>1900</v>
      </c>
      <c r="R1179">
        <v>1900</v>
      </c>
      <c r="S1179">
        <v>1900</v>
      </c>
    </row>
    <row r="1180" spans="1:19" x14ac:dyDescent="0.3">
      <c r="A1180" t="s">
        <v>728</v>
      </c>
      <c r="B1180">
        <v>73</v>
      </c>
      <c r="D1180">
        <v>1770</v>
      </c>
      <c r="F1180">
        <v>1583</v>
      </c>
      <c r="M1180">
        <v>5085</v>
      </c>
      <c r="N1180">
        <v>0</v>
      </c>
      <c r="P1180">
        <v>0</v>
      </c>
      <c r="R1180">
        <v>1770</v>
      </c>
      <c r="S1180">
        <v>5085</v>
      </c>
    </row>
    <row r="1181" spans="1:19" x14ac:dyDescent="0.3">
      <c r="A1181" t="s">
        <v>50</v>
      </c>
      <c r="B1181">
        <v>73</v>
      </c>
      <c r="D1181">
        <v>1770</v>
      </c>
      <c r="F1181">
        <v>1583</v>
      </c>
      <c r="M1181">
        <v>5085</v>
      </c>
      <c r="N1181">
        <v>0</v>
      </c>
      <c r="P1181">
        <v>0</v>
      </c>
      <c r="R1181">
        <v>378</v>
      </c>
      <c r="S1181">
        <v>5085</v>
      </c>
    </row>
    <row r="1182" spans="1:19" x14ac:dyDescent="0.3">
      <c r="A1182" t="s">
        <v>729</v>
      </c>
      <c r="B1182">
        <v>73</v>
      </c>
      <c r="D1182">
        <v>1</v>
      </c>
      <c r="F1182">
        <v>1</v>
      </c>
      <c r="M1182">
        <v>1</v>
      </c>
      <c r="N1182">
        <v>1</v>
      </c>
      <c r="P1182">
        <v>1</v>
      </c>
      <c r="R1182">
        <v>1</v>
      </c>
      <c r="S1182">
        <v>1</v>
      </c>
    </row>
    <row r="1183" spans="1:19" x14ac:dyDescent="0.3">
      <c r="A1183" t="s">
        <v>51</v>
      </c>
      <c r="B1183">
        <v>73</v>
      </c>
      <c r="D1183">
        <v>0</v>
      </c>
      <c r="F1183">
        <v>11</v>
      </c>
      <c r="M1183">
        <v>0</v>
      </c>
      <c r="N1183">
        <v>0</v>
      </c>
      <c r="P1183">
        <v>0</v>
      </c>
      <c r="R1183">
        <v>0</v>
      </c>
      <c r="S1183">
        <v>0</v>
      </c>
    </row>
    <row r="1184" spans="1:19" x14ac:dyDescent="0.3">
      <c r="A1184" t="s">
        <v>53</v>
      </c>
      <c r="B1184">
        <v>73</v>
      </c>
      <c r="D1184">
        <v>10</v>
      </c>
      <c r="F1184">
        <v>10</v>
      </c>
      <c r="M1184">
        <v>1186</v>
      </c>
      <c r="N1184">
        <v>0</v>
      </c>
      <c r="P1184">
        <v>0</v>
      </c>
      <c r="R1184">
        <v>10</v>
      </c>
      <c r="S1184">
        <v>998</v>
      </c>
    </row>
    <row r="1185" spans="1:19" x14ac:dyDescent="0.3">
      <c r="A1185" t="s">
        <v>54</v>
      </c>
      <c r="B1185">
        <v>73</v>
      </c>
      <c r="D1185">
        <v>0</v>
      </c>
      <c r="F1185">
        <v>0</v>
      </c>
      <c r="M1185">
        <v>0</v>
      </c>
      <c r="N1185">
        <v>0</v>
      </c>
      <c r="P1185">
        <v>0</v>
      </c>
      <c r="R1185">
        <v>0</v>
      </c>
      <c r="S1185">
        <v>0</v>
      </c>
    </row>
    <row r="1186" spans="1:19" x14ac:dyDescent="0.3">
      <c r="A1186" t="s">
        <v>55</v>
      </c>
      <c r="B1186">
        <v>73</v>
      </c>
      <c r="D1186">
        <v>0</v>
      </c>
      <c r="F1186">
        <v>0</v>
      </c>
      <c r="M1186">
        <v>0</v>
      </c>
      <c r="N1186">
        <v>0</v>
      </c>
      <c r="P1186">
        <v>0</v>
      </c>
      <c r="R1186">
        <v>0</v>
      </c>
      <c r="S1186">
        <v>0</v>
      </c>
    </row>
    <row r="1187" spans="1:19" x14ac:dyDescent="0.3">
      <c r="A1187" t="s">
        <v>56</v>
      </c>
      <c r="B1187">
        <v>73</v>
      </c>
      <c r="D1187">
        <v>0.92</v>
      </c>
      <c r="F1187">
        <v>0.92</v>
      </c>
      <c r="M1187">
        <v>0.92</v>
      </c>
      <c r="N1187">
        <v>0.92</v>
      </c>
      <c r="P1187">
        <v>0.92</v>
      </c>
      <c r="R1187">
        <v>0.92</v>
      </c>
      <c r="S1187">
        <v>0.92</v>
      </c>
    </row>
    <row r="1188" spans="1:19" x14ac:dyDescent="0.3">
      <c r="A1188" t="s">
        <v>57</v>
      </c>
      <c r="B1188">
        <v>73</v>
      </c>
      <c r="D1188">
        <v>100</v>
      </c>
      <c r="F1188">
        <v>100</v>
      </c>
      <c r="M1188">
        <v>100</v>
      </c>
      <c r="N1188">
        <v>100</v>
      </c>
      <c r="P1188">
        <v>100</v>
      </c>
      <c r="R1188">
        <v>100</v>
      </c>
      <c r="S1188">
        <v>100</v>
      </c>
    </row>
    <row r="1189" spans="1:19" x14ac:dyDescent="0.3">
      <c r="A1189" t="s">
        <v>58</v>
      </c>
      <c r="B1189">
        <v>73</v>
      </c>
      <c r="D1189">
        <v>2</v>
      </c>
      <c r="F1189">
        <v>2</v>
      </c>
      <c r="M1189">
        <v>2</v>
      </c>
      <c r="N1189">
        <v>2</v>
      </c>
      <c r="P1189">
        <v>2</v>
      </c>
      <c r="R1189">
        <v>2</v>
      </c>
      <c r="S1189">
        <v>2</v>
      </c>
    </row>
    <row r="1190" spans="1:19" x14ac:dyDescent="0.3">
      <c r="A1190" t="s">
        <v>59</v>
      </c>
      <c r="B1190">
        <v>73</v>
      </c>
      <c r="D1190">
        <v>0</v>
      </c>
      <c r="F1190">
        <v>0</v>
      </c>
      <c r="M1190">
        <v>0</v>
      </c>
      <c r="N1190">
        <v>0</v>
      </c>
      <c r="P1190">
        <v>0</v>
      </c>
      <c r="R1190">
        <v>0</v>
      </c>
      <c r="S1190">
        <v>0</v>
      </c>
    </row>
    <row r="1191" spans="1:19" x14ac:dyDescent="0.3">
      <c r="A1191" t="s">
        <v>730</v>
      </c>
      <c r="B1191">
        <v>73</v>
      </c>
      <c r="D1191">
        <v>0</v>
      </c>
      <c r="M1191">
        <v>0</v>
      </c>
      <c r="S1191">
        <v>0</v>
      </c>
    </row>
    <row r="1192" spans="1:19" x14ac:dyDescent="0.3">
      <c r="A1192" t="s">
        <v>679</v>
      </c>
      <c r="B1192">
        <v>73</v>
      </c>
      <c r="D1192">
        <v>616</v>
      </c>
      <c r="M1192">
        <v>1322</v>
      </c>
      <c r="S1192">
        <v>1302</v>
      </c>
    </row>
    <row r="1193" spans="1:19" x14ac:dyDescent="0.3">
      <c r="A1193" t="s">
        <v>78</v>
      </c>
      <c r="B1193">
        <v>73</v>
      </c>
      <c r="D1193">
        <v>14</v>
      </c>
      <c r="M1193">
        <v>20</v>
      </c>
      <c r="S1193">
        <v>22.2</v>
      </c>
    </row>
    <row r="1194" spans="1:19" x14ac:dyDescent="0.3">
      <c r="A1194" t="s">
        <v>731</v>
      </c>
      <c r="B1194">
        <v>73</v>
      </c>
      <c r="F1194">
        <v>0</v>
      </c>
      <c r="N1194">
        <v>0</v>
      </c>
      <c r="S1194">
        <v>0</v>
      </c>
    </row>
    <row r="1195" spans="1:19" x14ac:dyDescent="0.3">
      <c r="A1195" t="s">
        <v>732</v>
      </c>
      <c r="B1195">
        <v>73</v>
      </c>
      <c r="D1195">
        <v>0</v>
      </c>
      <c r="F1195">
        <v>1</v>
      </c>
      <c r="M1195">
        <v>0</v>
      </c>
      <c r="N1195">
        <v>1</v>
      </c>
      <c r="P1195">
        <v>3</v>
      </c>
      <c r="R1195">
        <v>0</v>
      </c>
      <c r="S1195">
        <v>0</v>
      </c>
    </row>
    <row r="1196" spans="1:19" x14ac:dyDescent="0.3">
      <c r="A1196" t="s">
        <v>733</v>
      </c>
      <c r="B1196">
        <v>73</v>
      </c>
      <c r="D1196">
        <v>0</v>
      </c>
      <c r="F1196">
        <v>0</v>
      </c>
      <c r="M1196">
        <v>0</v>
      </c>
      <c r="N1196">
        <v>0</v>
      </c>
      <c r="P1196">
        <v>0</v>
      </c>
      <c r="R1196">
        <v>0</v>
      </c>
      <c r="S1196">
        <v>0</v>
      </c>
    </row>
    <row r="1197" spans="1:19" x14ac:dyDescent="0.3">
      <c r="A1197" t="s">
        <v>52</v>
      </c>
      <c r="B1197">
        <v>73</v>
      </c>
      <c r="D1197">
        <v>1</v>
      </c>
      <c r="F1197">
        <v>1</v>
      </c>
      <c r="M1197">
        <v>1</v>
      </c>
      <c r="N1197">
        <v>1</v>
      </c>
      <c r="P1197">
        <v>1</v>
      </c>
      <c r="R1197">
        <v>1</v>
      </c>
      <c r="S1197">
        <v>1</v>
      </c>
    </row>
    <row r="1198" spans="1:19" x14ac:dyDescent="0.3">
      <c r="A1198" t="s">
        <v>734</v>
      </c>
      <c r="B1198">
        <v>73</v>
      </c>
      <c r="D1198">
        <v>15</v>
      </c>
      <c r="F1198">
        <v>9</v>
      </c>
      <c r="M1198">
        <v>60</v>
      </c>
      <c r="N1198">
        <v>9</v>
      </c>
      <c r="P1198">
        <v>9</v>
      </c>
      <c r="R1198">
        <v>15</v>
      </c>
      <c r="S1198">
        <v>60</v>
      </c>
    </row>
    <row r="1199" spans="1:19" x14ac:dyDescent="0.3">
      <c r="A1199" t="s">
        <v>43</v>
      </c>
      <c r="B1199">
        <v>73</v>
      </c>
      <c r="D1199">
        <v>20</v>
      </c>
      <c r="F1199">
        <v>20</v>
      </c>
      <c r="M1199">
        <v>100</v>
      </c>
      <c r="R1199">
        <v>20</v>
      </c>
      <c r="S1199">
        <v>100</v>
      </c>
    </row>
    <row r="1200" spans="1:19" x14ac:dyDescent="0.3">
      <c r="A1200" t="s">
        <v>44</v>
      </c>
      <c r="B1200">
        <v>73</v>
      </c>
      <c r="D1200">
        <v>0</v>
      </c>
      <c r="F1200">
        <v>0</v>
      </c>
      <c r="M1200">
        <v>0</v>
      </c>
      <c r="R1200">
        <v>0</v>
      </c>
      <c r="S1200">
        <v>0</v>
      </c>
    </row>
    <row r="1201" spans="1:19" x14ac:dyDescent="0.3">
      <c r="A1201" t="s">
        <v>47</v>
      </c>
      <c r="B1201">
        <v>73</v>
      </c>
      <c r="D1201">
        <v>4</v>
      </c>
      <c r="F1201">
        <v>4</v>
      </c>
      <c r="M1201">
        <v>6</v>
      </c>
      <c r="R1201">
        <v>5</v>
      </c>
      <c r="S1201">
        <v>6</v>
      </c>
    </row>
    <row r="1202" spans="1:19" x14ac:dyDescent="0.3">
      <c r="A1202" t="s">
        <v>735</v>
      </c>
      <c r="B1202">
        <v>73</v>
      </c>
      <c r="D1202">
        <v>0</v>
      </c>
      <c r="F1202">
        <v>0</v>
      </c>
      <c r="M1202">
        <v>0</v>
      </c>
      <c r="R1202">
        <v>0</v>
      </c>
      <c r="S1202">
        <v>0</v>
      </c>
    </row>
    <row r="1203" spans="1:19" x14ac:dyDescent="0.3">
      <c r="A1203" t="s">
        <v>736</v>
      </c>
      <c r="B1203">
        <v>73</v>
      </c>
      <c r="D1203">
        <v>0</v>
      </c>
      <c r="F1203">
        <v>0</v>
      </c>
      <c r="M1203">
        <v>0</v>
      </c>
      <c r="R1203">
        <v>0</v>
      </c>
      <c r="S1203">
        <v>0</v>
      </c>
    </row>
    <row r="1204" spans="1:19" x14ac:dyDescent="0.3">
      <c r="A1204" t="s">
        <v>737</v>
      </c>
      <c r="B1204">
        <v>73</v>
      </c>
      <c r="D1204">
        <v>0</v>
      </c>
      <c r="F1204">
        <v>0</v>
      </c>
      <c r="M1204">
        <v>0</v>
      </c>
      <c r="R1204">
        <v>0</v>
      </c>
      <c r="S1204">
        <v>0</v>
      </c>
    </row>
    <row r="1205" spans="1:19" x14ac:dyDescent="0.3">
      <c r="A1205" t="s">
        <v>738</v>
      </c>
      <c r="B1205">
        <v>73</v>
      </c>
      <c r="D1205">
        <v>0</v>
      </c>
      <c r="F1205">
        <v>0</v>
      </c>
      <c r="M1205">
        <v>0</v>
      </c>
      <c r="R1205">
        <v>0</v>
      </c>
      <c r="S1205">
        <v>0</v>
      </c>
    </row>
    <row r="1206" spans="1:19" x14ac:dyDescent="0.3">
      <c r="A1206" t="s">
        <v>739</v>
      </c>
      <c r="B1206">
        <v>73</v>
      </c>
      <c r="D1206">
        <v>1</v>
      </c>
      <c r="F1206">
        <v>1</v>
      </c>
      <c r="M1206">
        <v>2</v>
      </c>
      <c r="R1206">
        <v>1</v>
      </c>
      <c r="S1206">
        <v>2</v>
      </c>
    </row>
    <row r="1207" spans="1:19" x14ac:dyDescent="0.3">
      <c r="A1207" t="s">
        <v>740</v>
      </c>
      <c r="B1207">
        <v>73</v>
      </c>
      <c r="D1207">
        <v>0</v>
      </c>
      <c r="F1207">
        <v>0</v>
      </c>
      <c r="M1207">
        <v>0</v>
      </c>
      <c r="R1207">
        <v>0</v>
      </c>
      <c r="S1207">
        <v>0</v>
      </c>
    </row>
    <row r="1208" spans="1:19" x14ac:dyDescent="0.3">
      <c r="A1208" t="s">
        <v>741</v>
      </c>
      <c r="B1208">
        <v>73</v>
      </c>
      <c r="D1208">
        <v>20</v>
      </c>
      <c r="F1208">
        <v>20</v>
      </c>
      <c r="M1208">
        <v>6</v>
      </c>
      <c r="R1208">
        <v>20</v>
      </c>
      <c r="S1208">
        <v>6</v>
      </c>
    </row>
    <row r="1209" spans="1:19" x14ac:dyDescent="0.3">
      <c r="A1209" t="s">
        <v>742</v>
      </c>
      <c r="B1209">
        <v>73</v>
      </c>
      <c r="D1209">
        <v>3</v>
      </c>
      <c r="F1209">
        <v>3</v>
      </c>
      <c r="M1209">
        <v>3</v>
      </c>
      <c r="R1209">
        <v>3</v>
      </c>
      <c r="S1209">
        <v>3</v>
      </c>
    </row>
    <row r="1210" spans="1:19" x14ac:dyDescent="0.3">
      <c r="A1210" t="s">
        <v>743</v>
      </c>
      <c r="B1210">
        <v>73</v>
      </c>
      <c r="D1210">
        <v>0</v>
      </c>
      <c r="F1210">
        <v>0</v>
      </c>
      <c r="M1210">
        <v>0</v>
      </c>
      <c r="R1210">
        <v>0</v>
      </c>
      <c r="S1210">
        <v>0</v>
      </c>
    </row>
    <row r="1211" spans="1:19" x14ac:dyDescent="0.3">
      <c r="A1211" t="s">
        <v>744</v>
      </c>
      <c r="B1211">
        <v>73</v>
      </c>
      <c r="D1211">
        <v>0</v>
      </c>
      <c r="F1211">
        <v>0</v>
      </c>
      <c r="M1211">
        <v>0</v>
      </c>
      <c r="R1211">
        <v>0</v>
      </c>
      <c r="S1211">
        <v>0</v>
      </c>
    </row>
    <row r="1212" spans="1:19" x14ac:dyDescent="0.3">
      <c r="A1212" t="s">
        <v>745</v>
      </c>
      <c r="B1212">
        <v>73</v>
      </c>
      <c r="D1212">
        <v>0</v>
      </c>
      <c r="F1212">
        <v>0</v>
      </c>
      <c r="M1212">
        <v>0</v>
      </c>
      <c r="R1212">
        <v>0</v>
      </c>
      <c r="S1212">
        <v>0</v>
      </c>
    </row>
    <row r="1213" spans="1:19" x14ac:dyDescent="0.3">
      <c r="A1213" t="s">
        <v>746</v>
      </c>
      <c r="B1213">
        <v>73</v>
      </c>
      <c r="M1213">
        <v>94</v>
      </c>
      <c r="S1213">
        <v>94</v>
      </c>
    </row>
    <row r="1214" spans="1:19" x14ac:dyDescent="0.3">
      <c r="A1214" t="s">
        <v>747</v>
      </c>
      <c r="B1214">
        <v>73</v>
      </c>
      <c r="M1214">
        <v>6</v>
      </c>
      <c r="S1214">
        <v>6</v>
      </c>
    </row>
    <row r="1215" spans="1:19" x14ac:dyDescent="0.3">
      <c r="A1215" t="s">
        <v>748</v>
      </c>
      <c r="B1215">
        <v>73</v>
      </c>
      <c r="M1215">
        <v>3</v>
      </c>
      <c r="S1215">
        <v>3</v>
      </c>
    </row>
    <row r="1216" spans="1:19" x14ac:dyDescent="0.3">
      <c r="A1216" t="s">
        <v>749</v>
      </c>
      <c r="B1216">
        <v>73</v>
      </c>
      <c r="M1216">
        <v>0</v>
      </c>
      <c r="S1216">
        <v>0</v>
      </c>
    </row>
    <row r="1217" spans="1:20" x14ac:dyDescent="0.3">
      <c r="A1217" t="s">
        <v>750</v>
      </c>
      <c r="B1217">
        <v>73</v>
      </c>
      <c r="D1217">
        <v>0</v>
      </c>
      <c r="M1217">
        <v>0</v>
      </c>
      <c r="S1217">
        <v>0</v>
      </c>
    </row>
    <row r="1218" spans="1:20" x14ac:dyDescent="0.3">
      <c r="A1218" t="s">
        <v>405</v>
      </c>
      <c r="B1218">
        <v>73</v>
      </c>
      <c r="D1218">
        <v>0</v>
      </c>
    </row>
    <row r="1219" spans="1:20" x14ac:dyDescent="0.3">
      <c r="A1219" t="s">
        <v>751</v>
      </c>
      <c r="B1219">
        <v>73</v>
      </c>
      <c r="D1219">
        <v>11</v>
      </c>
      <c r="F1219">
        <v>11</v>
      </c>
      <c r="M1219">
        <v>1289</v>
      </c>
      <c r="N1219">
        <v>0</v>
      </c>
      <c r="P1219">
        <v>0</v>
      </c>
      <c r="R1219">
        <v>11</v>
      </c>
      <c r="S1219">
        <v>1085</v>
      </c>
    </row>
    <row r="1220" spans="1:20" x14ac:dyDescent="0.3">
      <c r="A1220" t="s">
        <v>34</v>
      </c>
      <c r="B1220">
        <v>97</v>
      </c>
      <c r="D1220">
        <v>99</v>
      </c>
      <c r="F1220">
        <v>99</v>
      </c>
      <c r="G1220">
        <v>99</v>
      </c>
      <c r="L1220">
        <v>53</v>
      </c>
      <c r="M1220">
        <v>53</v>
      </c>
      <c r="N1220">
        <v>53</v>
      </c>
      <c r="P1220">
        <v>56</v>
      </c>
      <c r="R1220">
        <v>56</v>
      </c>
      <c r="S1220">
        <v>56</v>
      </c>
      <c r="T1220">
        <v>56</v>
      </c>
    </row>
    <row r="1221" spans="1:20" x14ac:dyDescent="0.3">
      <c r="A1221" t="s">
        <v>35</v>
      </c>
      <c r="B1221">
        <v>97</v>
      </c>
      <c r="D1221">
        <v>53</v>
      </c>
      <c r="F1221">
        <v>60</v>
      </c>
      <c r="G1221">
        <v>56</v>
      </c>
      <c r="L1221">
        <v>60</v>
      </c>
      <c r="M1221">
        <v>56</v>
      </c>
      <c r="N1221">
        <v>99</v>
      </c>
      <c r="P1221">
        <v>56</v>
      </c>
      <c r="R1221">
        <v>99</v>
      </c>
      <c r="S1221">
        <v>53</v>
      </c>
      <c r="T1221">
        <v>60</v>
      </c>
    </row>
    <row r="1222" spans="1:20" x14ac:dyDescent="0.3">
      <c r="A1222" t="s">
        <v>36</v>
      </c>
      <c r="B1222">
        <v>97</v>
      </c>
      <c r="D1222">
        <v>0</v>
      </c>
      <c r="F1222">
        <v>0</v>
      </c>
      <c r="G1222">
        <v>0</v>
      </c>
      <c r="L1222">
        <v>0</v>
      </c>
      <c r="M1222">
        <v>3</v>
      </c>
      <c r="N1222">
        <v>1</v>
      </c>
      <c r="P1222">
        <v>0</v>
      </c>
      <c r="R1222">
        <v>0</v>
      </c>
      <c r="S1222">
        <v>3</v>
      </c>
      <c r="T1222">
        <v>0</v>
      </c>
    </row>
    <row r="1223" spans="1:20" x14ac:dyDescent="0.3">
      <c r="A1223" t="s">
        <v>37</v>
      </c>
      <c r="B1223">
        <v>97</v>
      </c>
      <c r="D1223">
        <v>0</v>
      </c>
      <c r="F1223">
        <v>0</v>
      </c>
      <c r="L1223">
        <v>0</v>
      </c>
      <c r="M1223">
        <v>0</v>
      </c>
      <c r="R1223">
        <v>0</v>
      </c>
      <c r="S1223">
        <v>0</v>
      </c>
    </row>
    <row r="1224" spans="1:20" x14ac:dyDescent="0.3">
      <c r="A1224" t="s">
        <v>38</v>
      </c>
      <c r="B1224">
        <v>97</v>
      </c>
      <c r="D1224">
        <v>12</v>
      </c>
      <c r="F1224">
        <v>12</v>
      </c>
      <c r="G1224">
        <v>12</v>
      </c>
      <c r="L1224">
        <v>12</v>
      </c>
      <c r="M1224">
        <v>12</v>
      </c>
      <c r="N1224">
        <v>12</v>
      </c>
      <c r="P1224">
        <v>12</v>
      </c>
      <c r="R1224">
        <v>12</v>
      </c>
      <c r="S1224">
        <v>12</v>
      </c>
      <c r="T1224">
        <v>12</v>
      </c>
    </row>
    <row r="1225" spans="1:20" x14ac:dyDescent="0.3">
      <c r="A1225" t="s">
        <v>39</v>
      </c>
      <c r="B1225">
        <v>97</v>
      </c>
      <c r="N1225">
        <v>244</v>
      </c>
    </row>
    <row r="1226" spans="1:20" x14ac:dyDescent="0.3">
      <c r="A1226" t="s">
        <v>726</v>
      </c>
      <c r="B1226">
        <v>97</v>
      </c>
      <c r="N1226">
        <v>25</v>
      </c>
    </row>
    <row r="1227" spans="1:20" x14ac:dyDescent="0.3">
      <c r="A1227" t="s">
        <v>40</v>
      </c>
      <c r="B1227">
        <v>97</v>
      </c>
      <c r="N1227">
        <v>1</v>
      </c>
    </row>
    <row r="1228" spans="1:20" x14ac:dyDescent="0.3">
      <c r="A1228" t="s">
        <v>41</v>
      </c>
      <c r="B1228">
        <v>97</v>
      </c>
    </row>
    <row r="1229" spans="1:20" x14ac:dyDescent="0.3">
      <c r="A1229" t="s">
        <v>42</v>
      </c>
      <c r="B1229">
        <v>97</v>
      </c>
      <c r="D1229">
        <v>30</v>
      </c>
      <c r="M1229">
        <v>40</v>
      </c>
      <c r="S1229">
        <v>40</v>
      </c>
    </row>
    <row r="1230" spans="1:20" x14ac:dyDescent="0.3">
      <c r="A1230" t="s">
        <v>754</v>
      </c>
      <c r="B1230">
        <v>97</v>
      </c>
      <c r="D1230">
        <v>0</v>
      </c>
      <c r="M1230">
        <v>0</v>
      </c>
      <c r="S1230">
        <v>0</v>
      </c>
    </row>
    <row r="1231" spans="1:20" x14ac:dyDescent="0.3">
      <c r="A1231" t="s">
        <v>48</v>
      </c>
      <c r="B1231">
        <v>97</v>
      </c>
      <c r="D1231">
        <v>1900</v>
      </c>
      <c r="F1231">
        <v>1900</v>
      </c>
      <c r="G1231">
        <v>1900</v>
      </c>
      <c r="L1231">
        <v>1900</v>
      </c>
      <c r="M1231">
        <v>1900</v>
      </c>
      <c r="N1231">
        <v>1900</v>
      </c>
      <c r="P1231">
        <v>1900</v>
      </c>
      <c r="R1231">
        <v>1900</v>
      </c>
      <c r="S1231">
        <v>1900</v>
      </c>
      <c r="T1231">
        <v>1900</v>
      </c>
    </row>
    <row r="1232" spans="1:20" x14ac:dyDescent="0.3">
      <c r="A1232" t="s">
        <v>728</v>
      </c>
      <c r="B1232">
        <v>97</v>
      </c>
      <c r="D1232">
        <v>0</v>
      </c>
      <c r="F1232">
        <v>0</v>
      </c>
      <c r="G1232">
        <v>0</v>
      </c>
      <c r="L1232">
        <v>0</v>
      </c>
      <c r="M1232">
        <v>5085</v>
      </c>
      <c r="N1232">
        <v>1583</v>
      </c>
      <c r="P1232">
        <v>0</v>
      </c>
      <c r="R1232">
        <v>0</v>
      </c>
      <c r="S1232">
        <v>5085</v>
      </c>
      <c r="T1232">
        <v>0</v>
      </c>
    </row>
    <row r="1233" spans="1:20" x14ac:dyDescent="0.3">
      <c r="A1233" t="s">
        <v>50</v>
      </c>
      <c r="B1233">
        <v>97</v>
      </c>
      <c r="D1233">
        <v>0</v>
      </c>
      <c r="F1233">
        <v>0</v>
      </c>
      <c r="G1233">
        <v>0</v>
      </c>
      <c r="L1233">
        <v>0</v>
      </c>
      <c r="M1233">
        <v>5085</v>
      </c>
      <c r="N1233">
        <v>1583</v>
      </c>
      <c r="P1233">
        <v>0</v>
      </c>
      <c r="R1233">
        <v>0</v>
      </c>
      <c r="S1233">
        <v>5085</v>
      </c>
      <c r="T1233">
        <v>0</v>
      </c>
    </row>
    <row r="1234" spans="1:20" x14ac:dyDescent="0.3">
      <c r="A1234" t="s">
        <v>729</v>
      </c>
      <c r="B1234">
        <v>97</v>
      </c>
      <c r="D1234">
        <v>1</v>
      </c>
      <c r="F1234">
        <v>1</v>
      </c>
      <c r="G1234">
        <v>1</v>
      </c>
      <c r="L1234">
        <v>1</v>
      </c>
      <c r="M1234">
        <v>1</v>
      </c>
      <c r="N1234">
        <v>1</v>
      </c>
      <c r="P1234">
        <v>1</v>
      </c>
      <c r="R1234">
        <v>1</v>
      </c>
      <c r="S1234">
        <v>1</v>
      </c>
      <c r="T1234">
        <v>1</v>
      </c>
    </row>
    <row r="1235" spans="1:20" x14ac:dyDescent="0.3">
      <c r="A1235" t="s">
        <v>51</v>
      </c>
      <c r="B1235">
        <v>97</v>
      </c>
      <c r="D1235">
        <v>0</v>
      </c>
      <c r="F1235">
        <v>0</v>
      </c>
      <c r="G1235">
        <v>0</v>
      </c>
      <c r="L1235">
        <v>0</v>
      </c>
      <c r="M1235">
        <v>0</v>
      </c>
      <c r="N1235">
        <v>419</v>
      </c>
      <c r="P1235">
        <v>0</v>
      </c>
      <c r="R1235">
        <v>0</v>
      </c>
      <c r="S1235">
        <v>0</v>
      </c>
      <c r="T1235">
        <v>0</v>
      </c>
    </row>
    <row r="1236" spans="1:20" x14ac:dyDescent="0.3">
      <c r="A1236" t="s">
        <v>53</v>
      </c>
      <c r="B1236">
        <v>97</v>
      </c>
      <c r="D1236">
        <v>0</v>
      </c>
      <c r="F1236">
        <v>0</v>
      </c>
      <c r="G1236">
        <v>0</v>
      </c>
      <c r="L1236">
        <v>0</v>
      </c>
      <c r="M1236">
        <v>696</v>
      </c>
      <c r="N1236">
        <v>368</v>
      </c>
      <c r="P1236">
        <v>0</v>
      </c>
      <c r="R1236">
        <v>0</v>
      </c>
      <c r="S1236">
        <v>1645</v>
      </c>
      <c r="T1236">
        <v>0</v>
      </c>
    </row>
    <row r="1237" spans="1:20" x14ac:dyDescent="0.3">
      <c r="A1237" t="s">
        <v>54</v>
      </c>
      <c r="B1237">
        <v>97</v>
      </c>
      <c r="D1237">
        <v>0</v>
      </c>
      <c r="F1237">
        <v>0</v>
      </c>
      <c r="G1237">
        <v>0</v>
      </c>
      <c r="L1237">
        <v>0</v>
      </c>
      <c r="M1237">
        <v>0</v>
      </c>
      <c r="N1237">
        <v>0</v>
      </c>
      <c r="P1237">
        <v>0</v>
      </c>
      <c r="R1237">
        <v>0</v>
      </c>
      <c r="S1237">
        <v>0</v>
      </c>
      <c r="T1237">
        <v>0</v>
      </c>
    </row>
    <row r="1238" spans="1:20" x14ac:dyDescent="0.3">
      <c r="A1238" t="s">
        <v>55</v>
      </c>
      <c r="B1238">
        <v>97</v>
      </c>
      <c r="D1238">
        <v>0</v>
      </c>
      <c r="F1238">
        <v>0</v>
      </c>
      <c r="G1238">
        <v>0</v>
      </c>
      <c r="L1238">
        <v>0</v>
      </c>
      <c r="M1238">
        <v>0</v>
      </c>
      <c r="N1238">
        <v>0</v>
      </c>
      <c r="P1238">
        <v>0</v>
      </c>
      <c r="R1238">
        <v>0</v>
      </c>
      <c r="S1238">
        <v>0</v>
      </c>
      <c r="T1238">
        <v>0</v>
      </c>
    </row>
    <row r="1239" spans="1:20" x14ac:dyDescent="0.3">
      <c r="A1239" t="s">
        <v>56</v>
      </c>
      <c r="B1239">
        <v>97</v>
      </c>
      <c r="D1239">
        <v>0.92</v>
      </c>
      <c r="F1239">
        <v>0.92</v>
      </c>
      <c r="G1239">
        <v>0.92</v>
      </c>
      <c r="L1239">
        <v>0.92</v>
      </c>
      <c r="M1239">
        <v>0.92</v>
      </c>
      <c r="N1239">
        <v>0.92</v>
      </c>
      <c r="P1239">
        <v>0.92</v>
      </c>
      <c r="R1239">
        <v>0.92</v>
      </c>
      <c r="S1239">
        <v>0.92</v>
      </c>
      <c r="T1239">
        <v>0.92</v>
      </c>
    </row>
    <row r="1240" spans="1:20" x14ac:dyDescent="0.3">
      <c r="A1240" t="s">
        <v>57</v>
      </c>
      <c r="B1240">
        <v>97</v>
      </c>
      <c r="D1240">
        <v>100</v>
      </c>
      <c r="F1240">
        <v>100</v>
      </c>
      <c r="G1240">
        <v>100</v>
      </c>
      <c r="L1240">
        <v>100</v>
      </c>
      <c r="M1240">
        <v>100</v>
      </c>
      <c r="N1240">
        <v>100</v>
      </c>
      <c r="P1240">
        <v>100</v>
      </c>
      <c r="R1240">
        <v>100</v>
      </c>
      <c r="S1240">
        <v>100</v>
      </c>
      <c r="T1240">
        <v>100</v>
      </c>
    </row>
    <row r="1241" spans="1:20" x14ac:dyDescent="0.3">
      <c r="A1241" t="s">
        <v>58</v>
      </c>
      <c r="B1241">
        <v>97</v>
      </c>
      <c r="D1241">
        <v>2</v>
      </c>
      <c r="F1241">
        <v>2</v>
      </c>
      <c r="G1241">
        <v>2</v>
      </c>
      <c r="L1241">
        <v>2</v>
      </c>
      <c r="M1241">
        <v>2</v>
      </c>
      <c r="N1241">
        <v>2</v>
      </c>
      <c r="P1241">
        <v>2</v>
      </c>
      <c r="R1241">
        <v>2</v>
      </c>
      <c r="S1241">
        <v>2</v>
      </c>
      <c r="T1241">
        <v>2</v>
      </c>
    </row>
    <row r="1242" spans="1:20" x14ac:dyDescent="0.3">
      <c r="A1242" t="s">
        <v>59</v>
      </c>
      <c r="B1242">
        <v>97</v>
      </c>
      <c r="D1242">
        <v>0</v>
      </c>
      <c r="F1242">
        <v>0</v>
      </c>
      <c r="G1242">
        <v>0</v>
      </c>
      <c r="L1242">
        <v>0</v>
      </c>
      <c r="M1242">
        <v>0</v>
      </c>
      <c r="N1242">
        <v>0</v>
      </c>
      <c r="P1242">
        <v>0</v>
      </c>
      <c r="R1242">
        <v>0</v>
      </c>
      <c r="S1242">
        <v>0</v>
      </c>
      <c r="T1242">
        <v>0</v>
      </c>
    </row>
    <row r="1243" spans="1:20" x14ac:dyDescent="0.3">
      <c r="A1243" t="s">
        <v>730</v>
      </c>
      <c r="B1243">
        <v>97</v>
      </c>
      <c r="D1243">
        <v>0</v>
      </c>
      <c r="M1243">
        <v>0</v>
      </c>
      <c r="S1243">
        <v>0</v>
      </c>
    </row>
    <row r="1244" spans="1:20" x14ac:dyDescent="0.3">
      <c r="A1244" t="s">
        <v>679</v>
      </c>
      <c r="B1244">
        <v>97</v>
      </c>
      <c r="D1244">
        <v>233</v>
      </c>
      <c r="M1244">
        <v>1087</v>
      </c>
      <c r="S1244">
        <v>283</v>
      </c>
    </row>
    <row r="1245" spans="1:20" x14ac:dyDescent="0.3">
      <c r="A1245" t="s">
        <v>78</v>
      </c>
      <c r="B1245">
        <v>97</v>
      </c>
      <c r="D1245">
        <v>5.3</v>
      </c>
      <c r="M1245">
        <v>18.5</v>
      </c>
      <c r="S1245">
        <v>4.8</v>
      </c>
    </row>
    <row r="1246" spans="1:20" x14ac:dyDescent="0.3">
      <c r="A1246" t="s">
        <v>731</v>
      </c>
      <c r="B1246">
        <v>97</v>
      </c>
      <c r="G1246">
        <v>0</v>
      </c>
      <c r="N1246">
        <v>2</v>
      </c>
      <c r="T1246">
        <v>0</v>
      </c>
    </row>
    <row r="1247" spans="1:20" x14ac:dyDescent="0.3">
      <c r="A1247" t="s">
        <v>752</v>
      </c>
      <c r="B1247">
        <v>97</v>
      </c>
      <c r="N1247">
        <v>200</v>
      </c>
    </row>
    <row r="1248" spans="1:20" x14ac:dyDescent="0.3">
      <c r="A1248" t="s">
        <v>753</v>
      </c>
      <c r="B1248">
        <v>97</v>
      </c>
      <c r="N1248">
        <v>0</v>
      </c>
    </row>
    <row r="1249" spans="1:20" x14ac:dyDescent="0.3">
      <c r="A1249" t="s">
        <v>732</v>
      </c>
      <c r="B1249">
        <v>97</v>
      </c>
      <c r="D1249">
        <v>0</v>
      </c>
      <c r="F1249">
        <v>1</v>
      </c>
      <c r="G1249">
        <v>1</v>
      </c>
      <c r="L1249">
        <v>0</v>
      </c>
      <c r="M1249">
        <v>0</v>
      </c>
      <c r="N1249">
        <v>1</v>
      </c>
      <c r="P1249">
        <v>3</v>
      </c>
      <c r="R1249">
        <v>0</v>
      </c>
      <c r="S1249">
        <v>0</v>
      </c>
      <c r="T1249">
        <v>1</v>
      </c>
    </row>
    <row r="1250" spans="1:20" x14ac:dyDescent="0.3">
      <c r="A1250" t="s">
        <v>733</v>
      </c>
      <c r="B1250">
        <v>97</v>
      </c>
      <c r="D1250">
        <v>0</v>
      </c>
      <c r="F1250">
        <v>0</v>
      </c>
      <c r="G1250">
        <v>0</v>
      </c>
      <c r="L1250">
        <v>0</v>
      </c>
      <c r="M1250">
        <v>0</v>
      </c>
      <c r="N1250">
        <v>0</v>
      </c>
      <c r="P1250">
        <v>0</v>
      </c>
      <c r="R1250">
        <v>0</v>
      </c>
      <c r="S1250">
        <v>0</v>
      </c>
      <c r="T1250">
        <v>0</v>
      </c>
    </row>
    <row r="1251" spans="1:20" x14ac:dyDescent="0.3">
      <c r="A1251" t="s">
        <v>52</v>
      </c>
      <c r="B1251">
        <v>97</v>
      </c>
      <c r="D1251">
        <v>1</v>
      </c>
      <c r="F1251">
        <v>1</v>
      </c>
      <c r="G1251">
        <v>1</v>
      </c>
      <c r="L1251">
        <v>1</v>
      </c>
      <c r="M1251">
        <v>1</v>
      </c>
      <c r="N1251">
        <v>1</v>
      </c>
      <c r="P1251">
        <v>1</v>
      </c>
      <c r="R1251">
        <v>1</v>
      </c>
      <c r="S1251">
        <v>1</v>
      </c>
      <c r="T1251">
        <v>1</v>
      </c>
    </row>
    <row r="1252" spans="1:20" x14ac:dyDescent="0.3">
      <c r="A1252" t="s">
        <v>734</v>
      </c>
      <c r="B1252">
        <v>97</v>
      </c>
      <c r="D1252">
        <v>15</v>
      </c>
      <c r="F1252">
        <v>9</v>
      </c>
      <c r="G1252">
        <v>9</v>
      </c>
      <c r="L1252">
        <v>15</v>
      </c>
      <c r="M1252">
        <v>60</v>
      </c>
      <c r="N1252">
        <v>9</v>
      </c>
      <c r="P1252">
        <v>9</v>
      </c>
      <c r="R1252">
        <v>15</v>
      </c>
      <c r="S1252">
        <v>60</v>
      </c>
      <c r="T1252">
        <v>9</v>
      </c>
    </row>
    <row r="1253" spans="1:20" x14ac:dyDescent="0.3">
      <c r="A1253" t="s">
        <v>43</v>
      </c>
      <c r="B1253">
        <v>97</v>
      </c>
      <c r="M1253">
        <v>100</v>
      </c>
      <c r="N1253">
        <v>20</v>
      </c>
      <c r="S1253">
        <v>100</v>
      </c>
    </row>
    <row r="1254" spans="1:20" x14ac:dyDescent="0.3">
      <c r="A1254" t="s">
        <v>44</v>
      </c>
      <c r="B1254">
        <v>97</v>
      </c>
      <c r="M1254">
        <v>0</v>
      </c>
      <c r="N1254">
        <v>0</v>
      </c>
      <c r="S1254">
        <v>0</v>
      </c>
    </row>
    <row r="1255" spans="1:20" x14ac:dyDescent="0.3">
      <c r="A1255" t="s">
        <v>750</v>
      </c>
      <c r="B1255">
        <v>97</v>
      </c>
      <c r="D1255">
        <v>0</v>
      </c>
      <c r="M1255">
        <v>0</v>
      </c>
      <c r="S1255">
        <v>0</v>
      </c>
    </row>
    <row r="1256" spans="1:20" x14ac:dyDescent="0.3">
      <c r="A1256" t="s">
        <v>405</v>
      </c>
      <c r="B1256">
        <v>97</v>
      </c>
      <c r="D1256">
        <v>0</v>
      </c>
    </row>
    <row r="1257" spans="1:20" x14ac:dyDescent="0.3">
      <c r="A1257" t="s">
        <v>751</v>
      </c>
      <c r="B1257">
        <v>97</v>
      </c>
      <c r="D1257">
        <v>0</v>
      </c>
      <c r="F1257">
        <v>0</v>
      </c>
      <c r="G1257">
        <v>0</v>
      </c>
      <c r="L1257">
        <v>0</v>
      </c>
      <c r="M1257">
        <v>757</v>
      </c>
      <c r="N1257">
        <v>400</v>
      </c>
      <c r="P1257">
        <v>0</v>
      </c>
      <c r="R1257">
        <v>0</v>
      </c>
      <c r="S1257">
        <v>1788</v>
      </c>
      <c r="T1257">
        <v>0</v>
      </c>
    </row>
    <row r="1258" spans="1:20" x14ac:dyDescent="0.3">
      <c r="A1258" t="s">
        <v>34</v>
      </c>
      <c r="B1258">
        <v>99</v>
      </c>
      <c r="D1258">
        <v>59</v>
      </c>
      <c r="E1258">
        <v>59</v>
      </c>
      <c r="I1258">
        <v>56</v>
      </c>
      <c r="J1258">
        <v>56</v>
      </c>
    </row>
    <row r="1259" spans="1:20" x14ac:dyDescent="0.3">
      <c r="A1259" t="s">
        <v>35</v>
      </c>
      <c r="B1259">
        <v>99</v>
      </c>
      <c r="D1259">
        <v>97</v>
      </c>
      <c r="E1259">
        <v>56</v>
      </c>
      <c r="I1259">
        <v>59</v>
      </c>
      <c r="J1259">
        <v>97</v>
      </c>
    </row>
    <row r="1260" spans="1:20" x14ac:dyDescent="0.3">
      <c r="A1260" t="s">
        <v>36</v>
      </c>
      <c r="B1260">
        <v>99</v>
      </c>
      <c r="D1260">
        <v>0</v>
      </c>
      <c r="E1260">
        <v>0</v>
      </c>
      <c r="I1260">
        <v>2</v>
      </c>
      <c r="J1260">
        <v>0</v>
      </c>
    </row>
    <row r="1261" spans="1:20" x14ac:dyDescent="0.3">
      <c r="A1261" t="s">
        <v>37</v>
      </c>
      <c r="B1261">
        <v>99</v>
      </c>
      <c r="D1261">
        <v>0</v>
      </c>
      <c r="E1261">
        <v>0</v>
      </c>
      <c r="I1261">
        <v>0</v>
      </c>
    </row>
    <row r="1262" spans="1:20" x14ac:dyDescent="0.3">
      <c r="A1262" t="s">
        <v>38</v>
      </c>
      <c r="B1262">
        <v>99</v>
      </c>
      <c r="D1262">
        <v>12</v>
      </c>
      <c r="E1262">
        <v>12</v>
      </c>
      <c r="I1262">
        <v>12</v>
      </c>
      <c r="J1262">
        <v>12</v>
      </c>
    </row>
    <row r="1263" spans="1:20" x14ac:dyDescent="0.3">
      <c r="A1263" t="s">
        <v>39</v>
      </c>
      <c r="B1263">
        <v>99</v>
      </c>
    </row>
    <row r="1264" spans="1:20" x14ac:dyDescent="0.3">
      <c r="A1264" t="s">
        <v>726</v>
      </c>
      <c r="B1264">
        <v>99</v>
      </c>
    </row>
    <row r="1265" spans="1:10" x14ac:dyDescent="0.3">
      <c r="A1265" t="s">
        <v>40</v>
      </c>
      <c r="B1265">
        <v>99</v>
      </c>
    </row>
    <row r="1266" spans="1:10" x14ac:dyDescent="0.3">
      <c r="A1266" t="s">
        <v>41</v>
      </c>
      <c r="B1266">
        <v>99</v>
      </c>
    </row>
    <row r="1267" spans="1:10" x14ac:dyDescent="0.3">
      <c r="A1267" t="s">
        <v>42</v>
      </c>
      <c r="B1267">
        <v>99</v>
      </c>
      <c r="E1267">
        <v>30</v>
      </c>
      <c r="I1267">
        <v>30</v>
      </c>
    </row>
    <row r="1268" spans="1:10" x14ac:dyDescent="0.3">
      <c r="A1268" t="s">
        <v>754</v>
      </c>
      <c r="B1268">
        <v>99</v>
      </c>
      <c r="E1268">
        <v>1</v>
      </c>
      <c r="I1268">
        <v>1</v>
      </c>
    </row>
    <row r="1269" spans="1:10" x14ac:dyDescent="0.3">
      <c r="A1269" t="s">
        <v>48</v>
      </c>
      <c r="B1269">
        <v>99</v>
      </c>
      <c r="D1269">
        <v>1900</v>
      </c>
      <c r="E1269">
        <v>1900</v>
      </c>
      <c r="I1269">
        <v>1900</v>
      </c>
      <c r="J1269">
        <v>1900</v>
      </c>
    </row>
    <row r="1270" spans="1:10" x14ac:dyDescent="0.3">
      <c r="A1270" t="s">
        <v>728</v>
      </c>
      <c r="B1270">
        <v>99</v>
      </c>
      <c r="D1270">
        <v>0</v>
      </c>
      <c r="E1270">
        <v>0</v>
      </c>
      <c r="I1270">
        <v>3539</v>
      </c>
      <c r="J1270">
        <v>0</v>
      </c>
    </row>
    <row r="1271" spans="1:10" x14ac:dyDescent="0.3">
      <c r="A1271" t="s">
        <v>50</v>
      </c>
      <c r="B1271">
        <v>99</v>
      </c>
      <c r="D1271">
        <v>0</v>
      </c>
      <c r="E1271">
        <v>0</v>
      </c>
      <c r="I1271">
        <v>3539</v>
      </c>
      <c r="J1271">
        <v>0</v>
      </c>
    </row>
    <row r="1272" spans="1:10" x14ac:dyDescent="0.3">
      <c r="A1272" t="s">
        <v>729</v>
      </c>
      <c r="B1272">
        <v>99</v>
      </c>
      <c r="D1272">
        <v>1</v>
      </c>
      <c r="E1272">
        <v>1</v>
      </c>
      <c r="I1272">
        <v>1</v>
      </c>
      <c r="J1272">
        <v>1</v>
      </c>
    </row>
    <row r="1273" spans="1:10" x14ac:dyDescent="0.3">
      <c r="A1273" t="s">
        <v>51</v>
      </c>
      <c r="B1273">
        <v>99</v>
      </c>
      <c r="D1273">
        <v>0</v>
      </c>
      <c r="E1273">
        <v>0</v>
      </c>
      <c r="I1273">
        <v>0</v>
      </c>
      <c r="J1273">
        <v>0</v>
      </c>
    </row>
    <row r="1274" spans="1:10" x14ac:dyDescent="0.3">
      <c r="A1274" t="s">
        <v>53</v>
      </c>
      <c r="B1274">
        <v>99</v>
      </c>
      <c r="D1274">
        <v>0</v>
      </c>
      <c r="E1274">
        <v>0</v>
      </c>
      <c r="I1274">
        <v>0</v>
      </c>
      <c r="J1274">
        <v>0</v>
      </c>
    </row>
    <row r="1275" spans="1:10" x14ac:dyDescent="0.3">
      <c r="A1275" t="s">
        <v>54</v>
      </c>
      <c r="B1275">
        <v>99</v>
      </c>
      <c r="D1275">
        <v>0</v>
      </c>
      <c r="E1275">
        <v>0</v>
      </c>
      <c r="I1275">
        <v>0</v>
      </c>
      <c r="J1275">
        <v>0</v>
      </c>
    </row>
    <row r="1276" spans="1:10" x14ac:dyDescent="0.3">
      <c r="A1276" t="s">
        <v>55</v>
      </c>
      <c r="B1276">
        <v>99</v>
      </c>
      <c r="D1276">
        <v>0</v>
      </c>
      <c r="E1276">
        <v>0</v>
      </c>
      <c r="I1276">
        <v>0</v>
      </c>
      <c r="J1276">
        <v>0</v>
      </c>
    </row>
    <row r="1277" spans="1:10" x14ac:dyDescent="0.3">
      <c r="A1277" t="s">
        <v>56</v>
      </c>
      <c r="B1277">
        <v>99</v>
      </c>
      <c r="D1277">
        <v>0.92</v>
      </c>
      <c r="E1277">
        <v>0.92</v>
      </c>
      <c r="I1277">
        <v>0.92</v>
      </c>
      <c r="J1277">
        <v>0.92</v>
      </c>
    </row>
    <row r="1278" spans="1:10" x14ac:dyDescent="0.3">
      <c r="A1278" t="s">
        <v>57</v>
      </c>
      <c r="B1278">
        <v>99</v>
      </c>
      <c r="D1278">
        <v>100</v>
      </c>
      <c r="E1278">
        <v>100</v>
      </c>
      <c r="I1278">
        <v>100</v>
      </c>
      <c r="J1278">
        <v>100</v>
      </c>
    </row>
    <row r="1279" spans="1:10" x14ac:dyDescent="0.3">
      <c r="A1279" t="s">
        <v>58</v>
      </c>
      <c r="B1279">
        <v>99</v>
      </c>
      <c r="D1279">
        <v>2</v>
      </c>
      <c r="E1279">
        <v>2</v>
      </c>
      <c r="I1279">
        <v>2</v>
      </c>
      <c r="J1279">
        <v>2</v>
      </c>
    </row>
    <row r="1280" spans="1:10" x14ac:dyDescent="0.3">
      <c r="A1280" t="s">
        <v>59</v>
      </c>
      <c r="B1280">
        <v>99</v>
      </c>
      <c r="D1280">
        <v>0</v>
      </c>
      <c r="E1280">
        <v>0</v>
      </c>
      <c r="I1280">
        <v>0</v>
      </c>
      <c r="J1280">
        <v>0</v>
      </c>
    </row>
    <row r="1281" spans="1:10" x14ac:dyDescent="0.3">
      <c r="A1281" t="s">
        <v>730</v>
      </c>
      <c r="B1281">
        <v>99</v>
      </c>
      <c r="E1281">
        <v>0</v>
      </c>
      <c r="I1281">
        <v>0</v>
      </c>
    </row>
    <row r="1282" spans="1:10" x14ac:dyDescent="0.3">
      <c r="A1282" t="s">
        <v>679</v>
      </c>
      <c r="B1282">
        <v>99</v>
      </c>
      <c r="E1282">
        <v>383</v>
      </c>
      <c r="I1282">
        <v>289</v>
      </c>
    </row>
    <row r="1283" spans="1:10" x14ac:dyDescent="0.3">
      <c r="A1283" t="s">
        <v>78</v>
      </c>
      <c r="B1283">
        <v>99</v>
      </c>
      <c r="E1283">
        <v>8.6999999999999993</v>
      </c>
      <c r="I1283">
        <v>6.6</v>
      </c>
    </row>
    <row r="1284" spans="1:10" x14ac:dyDescent="0.3">
      <c r="A1284" t="s">
        <v>731</v>
      </c>
      <c r="B1284">
        <v>99</v>
      </c>
      <c r="E1284">
        <v>0</v>
      </c>
      <c r="J1284">
        <v>0</v>
      </c>
    </row>
    <row r="1285" spans="1:10" x14ac:dyDescent="0.3">
      <c r="A1285" t="s">
        <v>752</v>
      </c>
      <c r="B1285">
        <v>99</v>
      </c>
    </row>
    <row r="1286" spans="1:10" x14ac:dyDescent="0.3">
      <c r="A1286" t="s">
        <v>753</v>
      </c>
      <c r="B1286">
        <v>99</v>
      </c>
    </row>
    <row r="1287" spans="1:10" x14ac:dyDescent="0.3">
      <c r="A1287" t="s">
        <v>732</v>
      </c>
      <c r="B1287">
        <v>99</v>
      </c>
      <c r="D1287">
        <v>0</v>
      </c>
      <c r="E1287">
        <v>0</v>
      </c>
      <c r="I1287">
        <v>0</v>
      </c>
      <c r="J1287">
        <v>1</v>
      </c>
    </row>
    <row r="1288" spans="1:10" x14ac:dyDescent="0.3">
      <c r="A1288" t="s">
        <v>733</v>
      </c>
      <c r="B1288">
        <v>99</v>
      </c>
      <c r="D1288">
        <v>0</v>
      </c>
      <c r="E1288">
        <v>0</v>
      </c>
      <c r="I1288">
        <v>0</v>
      </c>
      <c r="J1288">
        <v>0</v>
      </c>
    </row>
    <row r="1289" spans="1:10" x14ac:dyDescent="0.3">
      <c r="A1289" t="s">
        <v>52</v>
      </c>
      <c r="B1289">
        <v>99</v>
      </c>
      <c r="D1289">
        <v>1</v>
      </c>
      <c r="E1289">
        <v>1</v>
      </c>
      <c r="I1289">
        <v>1</v>
      </c>
      <c r="J1289">
        <v>1</v>
      </c>
    </row>
    <row r="1290" spans="1:10" x14ac:dyDescent="0.3">
      <c r="A1290" t="s">
        <v>734</v>
      </c>
      <c r="B1290">
        <v>99</v>
      </c>
      <c r="D1290">
        <v>15</v>
      </c>
      <c r="E1290">
        <v>60</v>
      </c>
      <c r="I1290">
        <v>60</v>
      </c>
      <c r="J1290">
        <v>9</v>
      </c>
    </row>
    <row r="1291" spans="1:10" x14ac:dyDescent="0.3">
      <c r="A1291" t="s">
        <v>43</v>
      </c>
      <c r="B1291">
        <v>99</v>
      </c>
      <c r="I1291">
        <v>100</v>
      </c>
    </row>
    <row r="1292" spans="1:10" x14ac:dyDescent="0.3">
      <c r="A1292" t="s">
        <v>44</v>
      </c>
      <c r="B1292">
        <v>99</v>
      </c>
      <c r="I1292">
        <v>0</v>
      </c>
    </row>
    <row r="1293" spans="1:10" x14ac:dyDescent="0.3">
      <c r="A1293" t="s">
        <v>750</v>
      </c>
      <c r="B1293">
        <v>99</v>
      </c>
      <c r="E1293">
        <v>0</v>
      </c>
      <c r="I1293">
        <v>0</v>
      </c>
    </row>
    <row r="1294" spans="1:10" x14ac:dyDescent="0.3">
      <c r="A1294" t="s">
        <v>405</v>
      </c>
      <c r="B1294">
        <v>99</v>
      </c>
      <c r="E1294">
        <v>0</v>
      </c>
    </row>
    <row r="1295" spans="1:10" x14ac:dyDescent="0.3">
      <c r="A1295" t="s">
        <v>751</v>
      </c>
      <c r="B1295">
        <v>99</v>
      </c>
      <c r="D1295">
        <v>0</v>
      </c>
      <c r="E1295">
        <v>0</v>
      </c>
      <c r="I1295">
        <v>0</v>
      </c>
      <c r="J1295">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203"/>
  <sheetViews>
    <sheetView workbookViewId="0"/>
  </sheetViews>
  <sheetFormatPr defaultRowHeight="14.4" x14ac:dyDescent="0.3"/>
  <sheetData>
    <row r="1" spans="1:3" x14ac:dyDescent="0.3">
      <c r="A1" t="s">
        <v>565</v>
      </c>
    </row>
    <row r="2" spans="1:3" x14ac:dyDescent="0.3">
      <c r="A2" t="s">
        <v>755</v>
      </c>
    </row>
    <row r="3" spans="1:3" x14ac:dyDescent="0.3">
      <c r="A3" t="s">
        <v>0</v>
      </c>
      <c r="B3" t="s">
        <v>1</v>
      </c>
      <c r="C3" t="s">
        <v>644</v>
      </c>
    </row>
    <row r="4" spans="1:3" x14ac:dyDescent="0.3">
      <c r="A4" t="s">
        <v>756</v>
      </c>
      <c r="B4">
        <v>3</v>
      </c>
      <c r="C4">
        <v>0</v>
      </c>
    </row>
    <row r="5" spans="1:3" x14ac:dyDescent="0.3">
      <c r="A5" t="s">
        <v>757</v>
      </c>
      <c r="B5">
        <v>3</v>
      </c>
      <c r="C5">
        <v>120</v>
      </c>
    </row>
    <row r="6" spans="1:3" x14ac:dyDescent="0.3">
      <c r="A6" t="s">
        <v>758</v>
      </c>
      <c r="B6">
        <v>3</v>
      </c>
      <c r="C6">
        <v>1</v>
      </c>
    </row>
    <row r="7" spans="1:3" x14ac:dyDescent="0.3">
      <c r="A7" t="s">
        <v>759</v>
      </c>
      <c r="B7">
        <v>3</v>
      </c>
      <c r="C7">
        <v>0</v>
      </c>
    </row>
    <row r="8" spans="1:3" x14ac:dyDescent="0.3">
      <c r="A8" t="s">
        <v>760</v>
      </c>
      <c r="B8">
        <v>3</v>
      </c>
      <c r="C8">
        <v>206</v>
      </c>
    </row>
    <row r="9" spans="1:3" x14ac:dyDescent="0.3">
      <c r="A9" t="s">
        <v>563</v>
      </c>
      <c r="B9">
        <v>3</v>
      </c>
      <c r="C9">
        <v>0</v>
      </c>
    </row>
    <row r="10" spans="1:3" x14ac:dyDescent="0.3">
      <c r="A10" t="s">
        <v>761</v>
      </c>
      <c r="B10">
        <v>3</v>
      </c>
      <c r="C10">
        <v>0</v>
      </c>
    </row>
    <row r="11" spans="1:3" x14ac:dyDescent="0.3">
      <c r="A11" t="s">
        <v>272</v>
      </c>
      <c r="B11">
        <v>3</v>
      </c>
      <c r="C11">
        <v>0</v>
      </c>
    </row>
    <row r="12" spans="1:3" x14ac:dyDescent="0.3">
      <c r="A12" t="s">
        <v>762</v>
      </c>
      <c r="B12">
        <v>3</v>
      </c>
      <c r="C12">
        <v>3</v>
      </c>
    </row>
    <row r="13" spans="1:3" x14ac:dyDescent="0.3">
      <c r="A13" t="s">
        <v>763</v>
      </c>
      <c r="B13">
        <v>3</v>
      </c>
      <c r="C13">
        <v>0</v>
      </c>
    </row>
    <row r="14" spans="1:3" x14ac:dyDescent="0.3">
      <c r="A14" t="s">
        <v>756</v>
      </c>
      <c r="B14">
        <v>6</v>
      </c>
      <c r="C14">
        <v>0</v>
      </c>
    </row>
    <row r="15" spans="1:3" x14ac:dyDescent="0.3">
      <c r="A15" t="s">
        <v>757</v>
      </c>
      <c r="B15">
        <v>6</v>
      </c>
      <c r="C15">
        <v>120</v>
      </c>
    </row>
    <row r="16" spans="1:3" x14ac:dyDescent="0.3">
      <c r="A16" t="s">
        <v>758</v>
      </c>
      <c r="B16">
        <v>6</v>
      </c>
      <c r="C16">
        <v>1</v>
      </c>
    </row>
    <row r="17" spans="1:3" x14ac:dyDescent="0.3">
      <c r="A17" t="s">
        <v>759</v>
      </c>
      <c r="B17">
        <v>6</v>
      </c>
      <c r="C17">
        <v>0</v>
      </c>
    </row>
    <row r="18" spans="1:3" x14ac:dyDescent="0.3">
      <c r="A18" t="s">
        <v>760</v>
      </c>
      <c r="B18">
        <v>6</v>
      </c>
      <c r="C18">
        <v>206</v>
      </c>
    </row>
    <row r="19" spans="1:3" x14ac:dyDescent="0.3">
      <c r="A19" t="s">
        <v>563</v>
      </c>
      <c r="B19">
        <v>6</v>
      </c>
      <c r="C19">
        <v>0</v>
      </c>
    </row>
    <row r="20" spans="1:3" x14ac:dyDescent="0.3">
      <c r="A20" t="s">
        <v>761</v>
      </c>
      <c r="B20">
        <v>6</v>
      </c>
      <c r="C20">
        <v>1</v>
      </c>
    </row>
    <row r="21" spans="1:3" x14ac:dyDescent="0.3">
      <c r="A21" t="s">
        <v>272</v>
      </c>
      <c r="B21">
        <v>6</v>
      </c>
      <c r="C21">
        <v>0</v>
      </c>
    </row>
    <row r="22" spans="1:3" x14ac:dyDescent="0.3">
      <c r="A22" t="s">
        <v>762</v>
      </c>
      <c r="B22">
        <v>6</v>
      </c>
      <c r="C22">
        <v>6</v>
      </c>
    </row>
    <row r="23" spans="1:3" x14ac:dyDescent="0.3">
      <c r="A23" t="s">
        <v>763</v>
      </c>
      <c r="B23">
        <v>6</v>
      </c>
      <c r="C23">
        <v>0</v>
      </c>
    </row>
    <row r="24" spans="1:3" x14ac:dyDescent="0.3">
      <c r="A24" t="s">
        <v>756</v>
      </c>
      <c r="B24">
        <v>10</v>
      </c>
      <c r="C24">
        <v>0</v>
      </c>
    </row>
    <row r="25" spans="1:3" x14ac:dyDescent="0.3">
      <c r="A25" t="s">
        <v>757</v>
      </c>
      <c r="B25">
        <v>10</v>
      </c>
      <c r="C25">
        <v>120</v>
      </c>
    </row>
    <row r="26" spans="1:3" x14ac:dyDescent="0.3">
      <c r="A26" t="s">
        <v>758</v>
      </c>
      <c r="B26">
        <v>10</v>
      </c>
      <c r="C26">
        <v>1</v>
      </c>
    </row>
    <row r="27" spans="1:3" x14ac:dyDescent="0.3">
      <c r="A27" t="s">
        <v>759</v>
      </c>
      <c r="B27">
        <v>10</v>
      </c>
      <c r="C27">
        <v>0</v>
      </c>
    </row>
    <row r="28" spans="1:3" x14ac:dyDescent="0.3">
      <c r="A28" t="s">
        <v>760</v>
      </c>
      <c r="B28">
        <v>10</v>
      </c>
      <c r="C28">
        <v>2</v>
      </c>
    </row>
    <row r="29" spans="1:3" x14ac:dyDescent="0.3">
      <c r="A29" t="s">
        <v>563</v>
      </c>
      <c r="B29">
        <v>10</v>
      </c>
      <c r="C29">
        <v>0</v>
      </c>
    </row>
    <row r="30" spans="1:3" x14ac:dyDescent="0.3">
      <c r="A30" t="s">
        <v>761</v>
      </c>
      <c r="B30">
        <v>10</v>
      </c>
      <c r="C30">
        <v>0</v>
      </c>
    </row>
    <row r="31" spans="1:3" x14ac:dyDescent="0.3">
      <c r="A31" t="s">
        <v>272</v>
      </c>
      <c r="B31">
        <v>10</v>
      </c>
      <c r="C31">
        <v>0</v>
      </c>
    </row>
    <row r="32" spans="1:3" x14ac:dyDescent="0.3">
      <c r="A32" t="s">
        <v>762</v>
      </c>
      <c r="B32">
        <v>10</v>
      </c>
      <c r="C32">
        <v>10</v>
      </c>
    </row>
    <row r="33" spans="1:3" x14ac:dyDescent="0.3">
      <c r="A33" t="s">
        <v>763</v>
      </c>
      <c r="B33">
        <v>10</v>
      </c>
      <c r="C33">
        <v>0</v>
      </c>
    </row>
    <row r="34" spans="1:3" x14ac:dyDescent="0.3">
      <c r="A34" t="s">
        <v>756</v>
      </c>
      <c r="B34">
        <v>13</v>
      </c>
      <c r="C34">
        <v>0</v>
      </c>
    </row>
    <row r="35" spans="1:3" x14ac:dyDescent="0.3">
      <c r="A35" t="s">
        <v>757</v>
      </c>
      <c r="B35">
        <v>13</v>
      </c>
      <c r="C35">
        <v>120</v>
      </c>
    </row>
    <row r="36" spans="1:3" x14ac:dyDescent="0.3">
      <c r="A36" t="s">
        <v>758</v>
      </c>
      <c r="B36">
        <v>13</v>
      </c>
      <c r="C36">
        <v>1</v>
      </c>
    </row>
    <row r="37" spans="1:3" x14ac:dyDescent="0.3">
      <c r="A37" t="s">
        <v>759</v>
      </c>
      <c r="B37">
        <v>13</v>
      </c>
      <c r="C37">
        <v>0</v>
      </c>
    </row>
    <row r="38" spans="1:3" x14ac:dyDescent="0.3">
      <c r="A38" t="s">
        <v>760</v>
      </c>
      <c r="B38">
        <v>13</v>
      </c>
      <c r="C38">
        <v>2</v>
      </c>
    </row>
    <row r="39" spans="1:3" x14ac:dyDescent="0.3">
      <c r="A39" t="s">
        <v>563</v>
      </c>
      <c r="B39">
        <v>13</v>
      </c>
      <c r="C39">
        <v>0</v>
      </c>
    </row>
    <row r="40" spans="1:3" x14ac:dyDescent="0.3">
      <c r="A40" t="s">
        <v>761</v>
      </c>
      <c r="B40">
        <v>13</v>
      </c>
      <c r="C40">
        <v>0</v>
      </c>
    </row>
    <row r="41" spans="1:3" x14ac:dyDescent="0.3">
      <c r="A41" t="s">
        <v>272</v>
      </c>
      <c r="B41">
        <v>13</v>
      </c>
      <c r="C41">
        <v>0</v>
      </c>
    </row>
    <row r="42" spans="1:3" x14ac:dyDescent="0.3">
      <c r="A42" t="s">
        <v>762</v>
      </c>
      <c r="B42">
        <v>13</v>
      </c>
      <c r="C42">
        <v>13</v>
      </c>
    </row>
    <row r="43" spans="1:3" x14ac:dyDescent="0.3">
      <c r="A43" t="s">
        <v>763</v>
      </c>
      <c r="B43">
        <v>13</v>
      </c>
      <c r="C43">
        <v>0</v>
      </c>
    </row>
    <row r="44" spans="1:3" x14ac:dyDescent="0.3">
      <c r="A44" t="s">
        <v>756</v>
      </c>
      <c r="B44">
        <v>16</v>
      </c>
      <c r="C44">
        <v>0</v>
      </c>
    </row>
    <row r="45" spans="1:3" x14ac:dyDescent="0.3">
      <c r="A45" t="s">
        <v>757</v>
      </c>
      <c r="B45">
        <v>16</v>
      </c>
      <c r="C45">
        <v>120</v>
      </c>
    </row>
    <row r="46" spans="1:3" x14ac:dyDescent="0.3">
      <c r="A46" t="s">
        <v>758</v>
      </c>
      <c r="B46">
        <v>16</v>
      </c>
      <c r="C46">
        <v>1</v>
      </c>
    </row>
    <row r="47" spans="1:3" x14ac:dyDescent="0.3">
      <c r="A47" t="s">
        <v>759</v>
      </c>
      <c r="B47">
        <v>16</v>
      </c>
      <c r="C47">
        <v>0</v>
      </c>
    </row>
    <row r="48" spans="1:3" x14ac:dyDescent="0.3">
      <c r="A48" t="s">
        <v>760</v>
      </c>
      <c r="B48">
        <v>16</v>
      </c>
      <c r="C48">
        <v>2</v>
      </c>
    </row>
    <row r="49" spans="1:3" x14ac:dyDescent="0.3">
      <c r="A49" t="s">
        <v>563</v>
      </c>
      <c r="B49">
        <v>16</v>
      </c>
      <c r="C49">
        <v>0</v>
      </c>
    </row>
    <row r="50" spans="1:3" x14ac:dyDescent="0.3">
      <c r="A50" t="s">
        <v>761</v>
      </c>
      <c r="B50">
        <v>16</v>
      </c>
      <c r="C50">
        <v>0</v>
      </c>
    </row>
    <row r="51" spans="1:3" x14ac:dyDescent="0.3">
      <c r="A51" t="s">
        <v>272</v>
      </c>
      <c r="B51">
        <v>16</v>
      </c>
      <c r="C51">
        <v>0</v>
      </c>
    </row>
    <row r="52" spans="1:3" x14ac:dyDescent="0.3">
      <c r="A52" t="s">
        <v>762</v>
      </c>
      <c r="B52">
        <v>16</v>
      </c>
      <c r="C52">
        <v>16</v>
      </c>
    </row>
    <row r="53" spans="1:3" x14ac:dyDescent="0.3">
      <c r="A53" t="s">
        <v>763</v>
      </c>
      <c r="B53">
        <v>16</v>
      </c>
      <c r="C53">
        <v>0</v>
      </c>
    </row>
    <row r="54" spans="1:3" x14ac:dyDescent="0.3">
      <c r="A54" t="s">
        <v>756</v>
      </c>
      <c r="B54">
        <v>21</v>
      </c>
      <c r="C54">
        <v>0</v>
      </c>
    </row>
    <row r="55" spans="1:3" x14ac:dyDescent="0.3">
      <c r="A55" t="s">
        <v>757</v>
      </c>
      <c r="B55">
        <v>21</v>
      </c>
      <c r="C55">
        <v>120</v>
      </c>
    </row>
    <row r="56" spans="1:3" x14ac:dyDescent="0.3">
      <c r="A56" t="s">
        <v>758</v>
      </c>
      <c r="B56">
        <v>21</v>
      </c>
      <c r="C56">
        <v>0</v>
      </c>
    </row>
    <row r="57" spans="1:3" x14ac:dyDescent="0.3">
      <c r="A57" t="s">
        <v>759</v>
      </c>
      <c r="B57">
        <v>21</v>
      </c>
      <c r="C57">
        <v>0</v>
      </c>
    </row>
    <row r="58" spans="1:3" x14ac:dyDescent="0.3">
      <c r="A58" t="s">
        <v>760</v>
      </c>
      <c r="B58">
        <v>21</v>
      </c>
      <c r="C58">
        <v>2</v>
      </c>
    </row>
    <row r="59" spans="1:3" x14ac:dyDescent="0.3">
      <c r="A59" t="s">
        <v>563</v>
      </c>
      <c r="B59">
        <v>21</v>
      </c>
      <c r="C59">
        <v>67</v>
      </c>
    </row>
    <row r="60" spans="1:3" x14ac:dyDescent="0.3">
      <c r="A60" t="s">
        <v>761</v>
      </c>
      <c r="B60">
        <v>21</v>
      </c>
      <c r="C60">
        <v>0</v>
      </c>
    </row>
    <row r="61" spans="1:3" x14ac:dyDescent="0.3">
      <c r="A61" t="s">
        <v>272</v>
      </c>
      <c r="B61">
        <v>21</v>
      </c>
      <c r="C61">
        <v>0</v>
      </c>
    </row>
    <row r="62" spans="1:3" x14ac:dyDescent="0.3">
      <c r="A62" t="s">
        <v>762</v>
      </c>
      <c r="B62">
        <v>21</v>
      </c>
      <c r="C62">
        <v>21</v>
      </c>
    </row>
    <row r="63" spans="1:3" x14ac:dyDescent="0.3">
      <c r="A63" t="s">
        <v>763</v>
      </c>
      <c r="B63">
        <v>21</v>
      </c>
      <c r="C63">
        <v>0</v>
      </c>
    </row>
    <row r="64" spans="1:3" x14ac:dyDescent="0.3">
      <c r="A64" t="s">
        <v>756</v>
      </c>
      <c r="B64">
        <v>24</v>
      </c>
      <c r="C64">
        <v>0</v>
      </c>
    </row>
    <row r="65" spans="1:3" x14ac:dyDescent="0.3">
      <c r="A65" t="s">
        <v>757</v>
      </c>
      <c r="B65">
        <v>24</v>
      </c>
      <c r="C65">
        <v>60</v>
      </c>
    </row>
    <row r="66" spans="1:3" x14ac:dyDescent="0.3">
      <c r="A66" t="s">
        <v>758</v>
      </c>
      <c r="B66">
        <v>24</v>
      </c>
      <c r="C66">
        <v>0</v>
      </c>
    </row>
    <row r="67" spans="1:3" x14ac:dyDescent="0.3">
      <c r="A67" t="s">
        <v>759</v>
      </c>
      <c r="B67">
        <v>24</v>
      </c>
      <c r="C67">
        <v>0</v>
      </c>
    </row>
    <row r="68" spans="1:3" x14ac:dyDescent="0.3">
      <c r="A68" t="s">
        <v>760</v>
      </c>
      <c r="B68">
        <v>24</v>
      </c>
      <c r="C68">
        <v>1</v>
      </c>
    </row>
    <row r="69" spans="1:3" x14ac:dyDescent="0.3">
      <c r="A69" t="s">
        <v>563</v>
      </c>
      <c r="B69">
        <v>24</v>
      </c>
      <c r="C69">
        <v>14</v>
      </c>
    </row>
    <row r="70" spans="1:3" x14ac:dyDescent="0.3">
      <c r="A70" t="s">
        <v>761</v>
      </c>
      <c r="B70">
        <v>24</v>
      </c>
      <c r="C70">
        <v>0</v>
      </c>
    </row>
    <row r="71" spans="1:3" x14ac:dyDescent="0.3">
      <c r="A71" t="s">
        <v>272</v>
      </c>
      <c r="B71">
        <v>24</v>
      </c>
      <c r="C71">
        <v>0</v>
      </c>
    </row>
    <row r="72" spans="1:3" x14ac:dyDescent="0.3">
      <c r="A72" t="s">
        <v>762</v>
      </c>
      <c r="B72">
        <v>24</v>
      </c>
      <c r="C72">
        <v>24</v>
      </c>
    </row>
    <row r="73" spans="1:3" x14ac:dyDescent="0.3">
      <c r="A73" t="s">
        <v>763</v>
      </c>
      <c r="B73">
        <v>24</v>
      </c>
      <c r="C73">
        <v>0</v>
      </c>
    </row>
    <row r="74" spans="1:3" x14ac:dyDescent="0.3">
      <c r="A74" t="s">
        <v>756</v>
      </c>
      <c r="B74">
        <v>27</v>
      </c>
      <c r="C74">
        <v>0</v>
      </c>
    </row>
    <row r="75" spans="1:3" x14ac:dyDescent="0.3">
      <c r="A75" t="s">
        <v>757</v>
      </c>
      <c r="B75">
        <v>27</v>
      </c>
      <c r="C75">
        <v>120</v>
      </c>
    </row>
    <row r="76" spans="1:3" x14ac:dyDescent="0.3">
      <c r="A76" t="s">
        <v>758</v>
      </c>
      <c r="B76">
        <v>27</v>
      </c>
      <c r="C76">
        <v>0</v>
      </c>
    </row>
    <row r="77" spans="1:3" x14ac:dyDescent="0.3">
      <c r="A77" t="s">
        <v>759</v>
      </c>
      <c r="B77">
        <v>27</v>
      </c>
      <c r="C77">
        <v>0</v>
      </c>
    </row>
    <row r="78" spans="1:3" x14ac:dyDescent="0.3">
      <c r="A78" t="s">
        <v>760</v>
      </c>
      <c r="B78">
        <v>27</v>
      </c>
      <c r="C78">
        <v>1</v>
      </c>
    </row>
    <row r="79" spans="1:3" x14ac:dyDescent="0.3">
      <c r="A79" t="s">
        <v>563</v>
      </c>
      <c r="B79">
        <v>27</v>
      </c>
      <c r="C79">
        <v>0</v>
      </c>
    </row>
    <row r="80" spans="1:3" x14ac:dyDescent="0.3">
      <c r="A80" t="s">
        <v>761</v>
      </c>
      <c r="B80">
        <v>27</v>
      </c>
      <c r="C80">
        <v>0</v>
      </c>
    </row>
    <row r="81" spans="1:3" x14ac:dyDescent="0.3">
      <c r="A81" t="s">
        <v>272</v>
      </c>
      <c r="B81">
        <v>27</v>
      </c>
      <c r="C81">
        <v>0</v>
      </c>
    </row>
    <row r="82" spans="1:3" x14ac:dyDescent="0.3">
      <c r="A82" t="s">
        <v>762</v>
      </c>
      <c r="B82">
        <v>27</v>
      </c>
      <c r="C82">
        <v>27</v>
      </c>
    </row>
    <row r="83" spans="1:3" x14ac:dyDescent="0.3">
      <c r="A83" t="s">
        <v>763</v>
      </c>
      <c r="B83">
        <v>27</v>
      </c>
      <c r="C83">
        <v>0</v>
      </c>
    </row>
    <row r="84" spans="1:3" x14ac:dyDescent="0.3">
      <c r="A84" t="s">
        <v>756</v>
      </c>
      <c r="B84">
        <v>32</v>
      </c>
      <c r="C84">
        <v>0</v>
      </c>
    </row>
    <row r="85" spans="1:3" x14ac:dyDescent="0.3">
      <c r="A85" t="s">
        <v>757</v>
      </c>
      <c r="B85">
        <v>32</v>
      </c>
      <c r="C85">
        <v>120</v>
      </c>
    </row>
    <row r="86" spans="1:3" x14ac:dyDescent="0.3">
      <c r="A86" t="s">
        <v>758</v>
      </c>
      <c r="B86">
        <v>32</v>
      </c>
      <c r="C86">
        <v>0</v>
      </c>
    </row>
    <row r="87" spans="1:3" x14ac:dyDescent="0.3">
      <c r="A87" t="s">
        <v>759</v>
      </c>
      <c r="B87">
        <v>32</v>
      </c>
      <c r="C87">
        <v>0</v>
      </c>
    </row>
    <row r="88" spans="1:3" x14ac:dyDescent="0.3">
      <c r="A88" t="s">
        <v>760</v>
      </c>
      <c r="B88">
        <v>32</v>
      </c>
      <c r="C88">
        <v>206</v>
      </c>
    </row>
    <row r="89" spans="1:3" x14ac:dyDescent="0.3">
      <c r="A89" t="s">
        <v>563</v>
      </c>
      <c r="B89">
        <v>32</v>
      </c>
      <c r="C89">
        <v>70</v>
      </c>
    </row>
    <row r="90" spans="1:3" x14ac:dyDescent="0.3">
      <c r="A90" t="s">
        <v>761</v>
      </c>
      <c r="B90">
        <v>32</v>
      </c>
      <c r="C90">
        <v>0</v>
      </c>
    </row>
    <row r="91" spans="1:3" x14ac:dyDescent="0.3">
      <c r="A91" t="s">
        <v>272</v>
      </c>
      <c r="B91">
        <v>32</v>
      </c>
      <c r="C91">
        <v>0</v>
      </c>
    </row>
    <row r="92" spans="1:3" x14ac:dyDescent="0.3">
      <c r="A92" t="s">
        <v>762</v>
      </c>
      <c r="B92">
        <v>32</v>
      </c>
      <c r="C92">
        <v>32</v>
      </c>
    </row>
    <row r="93" spans="1:3" x14ac:dyDescent="0.3">
      <c r="A93" t="s">
        <v>763</v>
      </c>
      <c r="B93">
        <v>32</v>
      </c>
      <c r="C93">
        <v>0</v>
      </c>
    </row>
    <row r="94" spans="1:3" x14ac:dyDescent="0.3">
      <c r="A94" t="s">
        <v>756</v>
      </c>
      <c r="B94">
        <v>35</v>
      </c>
      <c r="C94">
        <v>0</v>
      </c>
    </row>
    <row r="95" spans="1:3" x14ac:dyDescent="0.3">
      <c r="A95" t="s">
        <v>757</v>
      </c>
      <c r="B95">
        <v>35</v>
      </c>
      <c r="C95">
        <v>120</v>
      </c>
    </row>
    <row r="96" spans="1:3" x14ac:dyDescent="0.3">
      <c r="A96" t="s">
        <v>758</v>
      </c>
      <c r="B96">
        <v>35</v>
      </c>
      <c r="C96">
        <v>0</v>
      </c>
    </row>
    <row r="97" spans="1:3" x14ac:dyDescent="0.3">
      <c r="A97" t="s">
        <v>759</v>
      </c>
      <c r="B97">
        <v>35</v>
      </c>
      <c r="C97">
        <v>0</v>
      </c>
    </row>
    <row r="98" spans="1:3" x14ac:dyDescent="0.3">
      <c r="A98" t="s">
        <v>760</v>
      </c>
      <c r="B98">
        <v>35</v>
      </c>
      <c r="C98">
        <v>1</v>
      </c>
    </row>
    <row r="99" spans="1:3" x14ac:dyDescent="0.3">
      <c r="A99" t="s">
        <v>563</v>
      </c>
      <c r="B99">
        <v>35</v>
      </c>
      <c r="C99">
        <v>0</v>
      </c>
    </row>
    <row r="100" spans="1:3" x14ac:dyDescent="0.3">
      <c r="A100" t="s">
        <v>761</v>
      </c>
      <c r="B100">
        <v>35</v>
      </c>
      <c r="C100">
        <v>0</v>
      </c>
    </row>
    <row r="101" spans="1:3" x14ac:dyDescent="0.3">
      <c r="A101" t="s">
        <v>272</v>
      </c>
      <c r="B101">
        <v>35</v>
      </c>
      <c r="C101">
        <v>0</v>
      </c>
    </row>
    <row r="102" spans="1:3" x14ac:dyDescent="0.3">
      <c r="A102" t="s">
        <v>762</v>
      </c>
      <c r="B102">
        <v>35</v>
      </c>
      <c r="C102">
        <v>35</v>
      </c>
    </row>
    <row r="103" spans="1:3" x14ac:dyDescent="0.3">
      <c r="A103" t="s">
        <v>763</v>
      </c>
      <c r="B103">
        <v>35</v>
      </c>
      <c r="C103">
        <v>0</v>
      </c>
    </row>
    <row r="104" spans="1:3" x14ac:dyDescent="0.3">
      <c r="A104" t="s">
        <v>756</v>
      </c>
      <c r="B104">
        <v>41</v>
      </c>
      <c r="C104">
        <v>0</v>
      </c>
    </row>
    <row r="105" spans="1:3" x14ac:dyDescent="0.3">
      <c r="A105" t="s">
        <v>757</v>
      </c>
      <c r="B105">
        <v>41</v>
      </c>
      <c r="C105">
        <v>120</v>
      </c>
    </row>
    <row r="106" spans="1:3" x14ac:dyDescent="0.3">
      <c r="A106" t="s">
        <v>758</v>
      </c>
      <c r="B106">
        <v>41</v>
      </c>
      <c r="C106">
        <v>0</v>
      </c>
    </row>
    <row r="107" spans="1:3" x14ac:dyDescent="0.3">
      <c r="A107" t="s">
        <v>759</v>
      </c>
      <c r="B107">
        <v>41</v>
      </c>
      <c r="C107">
        <v>0</v>
      </c>
    </row>
    <row r="108" spans="1:3" x14ac:dyDescent="0.3">
      <c r="A108" t="s">
        <v>760</v>
      </c>
      <c r="B108">
        <v>41</v>
      </c>
      <c r="C108">
        <v>2</v>
      </c>
    </row>
    <row r="109" spans="1:3" x14ac:dyDescent="0.3">
      <c r="A109" t="s">
        <v>563</v>
      </c>
      <c r="B109">
        <v>41</v>
      </c>
      <c r="C109">
        <v>68</v>
      </c>
    </row>
    <row r="110" spans="1:3" x14ac:dyDescent="0.3">
      <c r="A110" t="s">
        <v>761</v>
      </c>
      <c r="B110">
        <v>41</v>
      </c>
      <c r="C110">
        <v>0</v>
      </c>
    </row>
    <row r="111" spans="1:3" x14ac:dyDescent="0.3">
      <c r="A111" t="s">
        <v>272</v>
      </c>
      <c r="B111">
        <v>41</v>
      </c>
      <c r="C111">
        <v>0</v>
      </c>
    </row>
    <row r="112" spans="1:3" x14ac:dyDescent="0.3">
      <c r="A112" t="s">
        <v>762</v>
      </c>
      <c r="B112">
        <v>41</v>
      </c>
      <c r="C112">
        <v>41</v>
      </c>
    </row>
    <row r="113" spans="1:3" x14ac:dyDescent="0.3">
      <c r="A113" t="s">
        <v>763</v>
      </c>
      <c r="B113">
        <v>41</v>
      </c>
      <c r="C113">
        <v>0</v>
      </c>
    </row>
    <row r="114" spans="1:3" x14ac:dyDescent="0.3">
      <c r="A114" t="s">
        <v>756</v>
      </c>
      <c r="B114">
        <v>44</v>
      </c>
      <c r="C114">
        <v>0</v>
      </c>
    </row>
    <row r="115" spans="1:3" x14ac:dyDescent="0.3">
      <c r="A115" t="s">
        <v>757</v>
      </c>
      <c r="B115">
        <v>44</v>
      </c>
      <c r="C115">
        <v>120</v>
      </c>
    </row>
    <row r="116" spans="1:3" x14ac:dyDescent="0.3">
      <c r="A116" t="s">
        <v>758</v>
      </c>
      <c r="B116">
        <v>44</v>
      </c>
      <c r="C116">
        <v>0</v>
      </c>
    </row>
    <row r="117" spans="1:3" x14ac:dyDescent="0.3">
      <c r="A117" t="s">
        <v>759</v>
      </c>
      <c r="B117">
        <v>44</v>
      </c>
      <c r="C117">
        <v>0</v>
      </c>
    </row>
    <row r="118" spans="1:3" x14ac:dyDescent="0.3">
      <c r="A118" t="s">
        <v>760</v>
      </c>
      <c r="B118">
        <v>44</v>
      </c>
      <c r="C118">
        <v>1</v>
      </c>
    </row>
    <row r="119" spans="1:3" x14ac:dyDescent="0.3">
      <c r="A119" t="s">
        <v>563</v>
      </c>
      <c r="B119">
        <v>44</v>
      </c>
      <c r="C119">
        <v>106</v>
      </c>
    </row>
    <row r="120" spans="1:3" x14ac:dyDescent="0.3">
      <c r="A120" t="s">
        <v>761</v>
      </c>
      <c r="B120">
        <v>44</v>
      </c>
      <c r="C120">
        <v>0</v>
      </c>
    </row>
    <row r="121" spans="1:3" x14ac:dyDescent="0.3">
      <c r="A121" t="s">
        <v>272</v>
      </c>
      <c r="B121">
        <v>44</v>
      </c>
      <c r="C121">
        <v>0</v>
      </c>
    </row>
    <row r="122" spans="1:3" x14ac:dyDescent="0.3">
      <c r="A122" t="s">
        <v>762</v>
      </c>
      <c r="B122">
        <v>44</v>
      </c>
      <c r="C122">
        <v>44</v>
      </c>
    </row>
    <row r="123" spans="1:3" x14ac:dyDescent="0.3">
      <c r="A123" t="s">
        <v>763</v>
      </c>
      <c r="B123">
        <v>44</v>
      </c>
      <c r="C123">
        <v>0</v>
      </c>
    </row>
    <row r="124" spans="1:3" x14ac:dyDescent="0.3">
      <c r="A124" t="s">
        <v>756</v>
      </c>
      <c r="B124">
        <v>48</v>
      </c>
      <c r="C124">
        <v>0</v>
      </c>
    </row>
    <row r="125" spans="1:3" x14ac:dyDescent="0.3">
      <c r="A125" t="s">
        <v>757</v>
      </c>
      <c r="B125">
        <v>48</v>
      </c>
      <c r="C125">
        <v>120</v>
      </c>
    </row>
    <row r="126" spans="1:3" x14ac:dyDescent="0.3">
      <c r="A126" t="s">
        <v>758</v>
      </c>
      <c r="B126">
        <v>48</v>
      </c>
      <c r="C126">
        <v>0</v>
      </c>
    </row>
    <row r="127" spans="1:3" x14ac:dyDescent="0.3">
      <c r="A127" t="s">
        <v>759</v>
      </c>
      <c r="B127">
        <v>48</v>
      </c>
      <c r="C127">
        <v>0</v>
      </c>
    </row>
    <row r="128" spans="1:3" x14ac:dyDescent="0.3">
      <c r="A128" t="s">
        <v>760</v>
      </c>
      <c r="B128">
        <v>48</v>
      </c>
      <c r="C128">
        <v>206</v>
      </c>
    </row>
    <row r="129" spans="1:3" x14ac:dyDescent="0.3">
      <c r="A129" t="s">
        <v>563</v>
      </c>
      <c r="B129">
        <v>48</v>
      </c>
      <c r="C129">
        <v>114</v>
      </c>
    </row>
    <row r="130" spans="1:3" x14ac:dyDescent="0.3">
      <c r="A130" t="s">
        <v>761</v>
      </c>
      <c r="B130">
        <v>48</v>
      </c>
      <c r="C130">
        <v>0</v>
      </c>
    </row>
    <row r="131" spans="1:3" x14ac:dyDescent="0.3">
      <c r="A131" t="s">
        <v>272</v>
      </c>
      <c r="B131">
        <v>48</v>
      </c>
      <c r="C131">
        <v>0</v>
      </c>
    </row>
    <row r="132" spans="1:3" x14ac:dyDescent="0.3">
      <c r="A132" t="s">
        <v>762</v>
      </c>
      <c r="B132">
        <v>48</v>
      </c>
      <c r="C132">
        <v>48</v>
      </c>
    </row>
    <row r="133" spans="1:3" x14ac:dyDescent="0.3">
      <c r="A133" t="s">
        <v>763</v>
      </c>
      <c r="B133">
        <v>48</v>
      </c>
      <c r="C133">
        <v>0</v>
      </c>
    </row>
    <row r="134" spans="1:3" x14ac:dyDescent="0.3">
      <c r="A134" t="s">
        <v>756</v>
      </c>
      <c r="B134">
        <v>49</v>
      </c>
      <c r="C134">
        <v>0</v>
      </c>
    </row>
    <row r="135" spans="1:3" x14ac:dyDescent="0.3">
      <c r="A135" t="s">
        <v>757</v>
      </c>
      <c r="B135">
        <v>49</v>
      </c>
      <c r="C135">
        <v>120</v>
      </c>
    </row>
    <row r="136" spans="1:3" x14ac:dyDescent="0.3">
      <c r="A136" t="s">
        <v>758</v>
      </c>
      <c r="B136">
        <v>49</v>
      </c>
      <c r="C136">
        <v>0</v>
      </c>
    </row>
    <row r="137" spans="1:3" x14ac:dyDescent="0.3">
      <c r="A137" t="s">
        <v>759</v>
      </c>
      <c r="B137">
        <v>49</v>
      </c>
      <c r="C137">
        <v>0</v>
      </c>
    </row>
    <row r="138" spans="1:3" x14ac:dyDescent="0.3">
      <c r="A138" t="s">
        <v>760</v>
      </c>
      <c r="B138">
        <v>49</v>
      </c>
      <c r="C138">
        <v>206</v>
      </c>
    </row>
    <row r="139" spans="1:3" x14ac:dyDescent="0.3">
      <c r="A139" t="s">
        <v>563</v>
      </c>
      <c r="B139">
        <v>49</v>
      </c>
      <c r="C139">
        <v>0</v>
      </c>
    </row>
    <row r="140" spans="1:3" x14ac:dyDescent="0.3">
      <c r="A140" t="s">
        <v>761</v>
      </c>
      <c r="B140">
        <v>49</v>
      </c>
      <c r="C140">
        <v>0</v>
      </c>
    </row>
    <row r="141" spans="1:3" x14ac:dyDescent="0.3">
      <c r="A141" t="s">
        <v>272</v>
      </c>
      <c r="B141">
        <v>49</v>
      </c>
      <c r="C141">
        <v>0</v>
      </c>
    </row>
    <row r="142" spans="1:3" x14ac:dyDescent="0.3">
      <c r="A142" t="s">
        <v>762</v>
      </c>
      <c r="B142">
        <v>49</v>
      </c>
      <c r="C142">
        <v>49</v>
      </c>
    </row>
    <row r="143" spans="1:3" x14ac:dyDescent="0.3">
      <c r="A143" t="s">
        <v>763</v>
      </c>
      <c r="B143">
        <v>49</v>
      </c>
      <c r="C143">
        <v>0</v>
      </c>
    </row>
    <row r="144" spans="1:3" x14ac:dyDescent="0.3">
      <c r="A144" t="s">
        <v>756</v>
      </c>
      <c r="B144">
        <v>53</v>
      </c>
      <c r="C144">
        <v>0</v>
      </c>
    </row>
    <row r="145" spans="1:3" x14ac:dyDescent="0.3">
      <c r="A145" t="s">
        <v>757</v>
      </c>
      <c r="B145">
        <v>53</v>
      </c>
      <c r="C145">
        <v>120</v>
      </c>
    </row>
    <row r="146" spans="1:3" x14ac:dyDescent="0.3">
      <c r="A146" t="s">
        <v>758</v>
      </c>
      <c r="B146">
        <v>53</v>
      </c>
      <c r="C146">
        <v>0</v>
      </c>
    </row>
    <row r="147" spans="1:3" x14ac:dyDescent="0.3">
      <c r="A147" t="s">
        <v>759</v>
      </c>
      <c r="B147">
        <v>53</v>
      </c>
      <c r="C147">
        <v>0</v>
      </c>
    </row>
    <row r="148" spans="1:3" x14ac:dyDescent="0.3">
      <c r="A148" t="s">
        <v>760</v>
      </c>
      <c r="B148">
        <v>53</v>
      </c>
      <c r="C148">
        <v>206</v>
      </c>
    </row>
    <row r="149" spans="1:3" x14ac:dyDescent="0.3">
      <c r="A149" t="s">
        <v>563</v>
      </c>
      <c r="B149">
        <v>53</v>
      </c>
      <c r="C149">
        <v>52</v>
      </c>
    </row>
    <row r="150" spans="1:3" x14ac:dyDescent="0.3">
      <c r="A150" t="s">
        <v>761</v>
      </c>
      <c r="B150">
        <v>53</v>
      </c>
      <c r="C150">
        <v>0</v>
      </c>
    </row>
    <row r="151" spans="1:3" x14ac:dyDescent="0.3">
      <c r="A151" t="s">
        <v>272</v>
      </c>
      <c r="B151">
        <v>53</v>
      </c>
      <c r="C151">
        <v>0</v>
      </c>
    </row>
    <row r="152" spans="1:3" x14ac:dyDescent="0.3">
      <c r="A152" t="s">
        <v>762</v>
      </c>
      <c r="B152">
        <v>53</v>
      </c>
      <c r="C152">
        <v>53</v>
      </c>
    </row>
    <row r="153" spans="1:3" x14ac:dyDescent="0.3">
      <c r="A153" t="s">
        <v>763</v>
      </c>
      <c r="B153">
        <v>53</v>
      </c>
      <c r="C153">
        <v>0</v>
      </c>
    </row>
    <row r="154" spans="1:3" x14ac:dyDescent="0.3">
      <c r="A154" t="s">
        <v>756</v>
      </c>
      <c r="B154">
        <v>56</v>
      </c>
      <c r="C154">
        <v>0</v>
      </c>
    </row>
    <row r="155" spans="1:3" x14ac:dyDescent="0.3">
      <c r="A155" t="s">
        <v>757</v>
      </c>
      <c r="B155">
        <v>56</v>
      </c>
      <c r="C155">
        <v>120</v>
      </c>
    </row>
    <row r="156" spans="1:3" x14ac:dyDescent="0.3">
      <c r="A156" t="s">
        <v>758</v>
      </c>
      <c r="B156">
        <v>56</v>
      </c>
      <c r="C156">
        <v>0</v>
      </c>
    </row>
    <row r="157" spans="1:3" x14ac:dyDescent="0.3">
      <c r="A157" t="s">
        <v>759</v>
      </c>
      <c r="B157">
        <v>56</v>
      </c>
      <c r="C157">
        <v>0</v>
      </c>
    </row>
    <row r="158" spans="1:3" x14ac:dyDescent="0.3">
      <c r="A158" t="s">
        <v>760</v>
      </c>
      <c r="B158">
        <v>56</v>
      </c>
      <c r="C158">
        <v>206</v>
      </c>
    </row>
    <row r="159" spans="1:3" x14ac:dyDescent="0.3">
      <c r="A159" t="s">
        <v>563</v>
      </c>
      <c r="B159">
        <v>56</v>
      </c>
      <c r="C159">
        <v>90</v>
      </c>
    </row>
    <row r="160" spans="1:3" x14ac:dyDescent="0.3">
      <c r="A160" t="s">
        <v>761</v>
      </c>
      <c r="B160">
        <v>56</v>
      </c>
      <c r="C160">
        <v>0</v>
      </c>
    </row>
    <row r="161" spans="1:3" x14ac:dyDescent="0.3">
      <c r="A161" t="s">
        <v>272</v>
      </c>
      <c r="B161">
        <v>56</v>
      </c>
      <c r="C161">
        <v>0</v>
      </c>
    </row>
    <row r="162" spans="1:3" x14ac:dyDescent="0.3">
      <c r="A162" t="s">
        <v>762</v>
      </c>
      <c r="B162">
        <v>56</v>
      </c>
      <c r="C162">
        <v>56</v>
      </c>
    </row>
    <row r="163" spans="1:3" x14ac:dyDescent="0.3">
      <c r="A163" t="s">
        <v>763</v>
      </c>
      <c r="B163">
        <v>56</v>
      </c>
      <c r="C163">
        <v>0</v>
      </c>
    </row>
    <row r="164" spans="1:3" x14ac:dyDescent="0.3">
      <c r="A164" t="s">
        <v>756</v>
      </c>
      <c r="B164">
        <v>64</v>
      </c>
      <c r="C164">
        <v>0</v>
      </c>
    </row>
    <row r="165" spans="1:3" x14ac:dyDescent="0.3">
      <c r="A165" t="s">
        <v>757</v>
      </c>
      <c r="B165">
        <v>64</v>
      </c>
      <c r="C165">
        <v>120</v>
      </c>
    </row>
    <row r="166" spans="1:3" x14ac:dyDescent="0.3">
      <c r="A166" t="s">
        <v>758</v>
      </c>
      <c r="B166">
        <v>64</v>
      </c>
      <c r="C166">
        <v>0</v>
      </c>
    </row>
    <row r="167" spans="1:3" x14ac:dyDescent="0.3">
      <c r="A167" t="s">
        <v>759</v>
      </c>
      <c r="B167">
        <v>64</v>
      </c>
      <c r="C167">
        <v>0</v>
      </c>
    </row>
    <row r="168" spans="1:3" x14ac:dyDescent="0.3">
      <c r="A168" t="s">
        <v>760</v>
      </c>
      <c r="B168">
        <v>64</v>
      </c>
      <c r="C168">
        <v>206</v>
      </c>
    </row>
    <row r="169" spans="1:3" x14ac:dyDescent="0.3">
      <c r="A169" t="s">
        <v>563</v>
      </c>
      <c r="B169">
        <v>64</v>
      </c>
      <c r="C169">
        <v>98</v>
      </c>
    </row>
    <row r="170" spans="1:3" x14ac:dyDescent="0.3">
      <c r="A170" t="s">
        <v>761</v>
      </c>
      <c r="B170">
        <v>64</v>
      </c>
      <c r="C170">
        <v>0</v>
      </c>
    </row>
    <row r="171" spans="1:3" x14ac:dyDescent="0.3">
      <c r="A171" t="s">
        <v>272</v>
      </c>
      <c r="B171">
        <v>64</v>
      </c>
      <c r="C171">
        <v>0</v>
      </c>
    </row>
    <row r="172" spans="1:3" x14ac:dyDescent="0.3">
      <c r="A172" t="s">
        <v>762</v>
      </c>
      <c r="B172">
        <v>64</v>
      </c>
      <c r="C172">
        <v>64</v>
      </c>
    </row>
    <row r="173" spans="1:3" x14ac:dyDescent="0.3">
      <c r="A173" t="s">
        <v>763</v>
      </c>
      <c r="B173">
        <v>64</v>
      </c>
      <c r="C173">
        <v>0</v>
      </c>
    </row>
    <row r="174" spans="1:3" x14ac:dyDescent="0.3">
      <c r="A174" t="s">
        <v>756</v>
      </c>
      <c r="B174">
        <v>67</v>
      </c>
      <c r="C174">
        <v>0</v>
      </c>
    </row>
    <row r="175" spans="1:3" x14ac:dyDescent="0.3">
      <c r="A175" t="s">
        <v>757</v>
      </c>
      <c r="B175">
        <v>67</v>
      </c>
      <c r="C175">
        <v>120</v>
      </c>
    </row>
    <row r="176" spans="1:3" x14ac:dyDescent="0.3">
      <c r="A176" t="s">
        <v>758</v>
      </c>
      <c r="B176">
        <v>67</v>
      </c>
      <c r="C176">
        <v>0</v>
      </c>
    </row>
    <row r="177" spans="1:3" x14ac:dyDescent="0.3">
      <c r="A177" t="s">
        <v>759</v>
      </c>
      <c r="B177">
        <v>67</v>
      </c>
      <c r="C177">
        <v>0</v>
      </c>
    </row>
    <row r="178" spans="1:3" x14ac:dyDescent="0.3">
      <c r="A178" t="s">
        <v>760</v>
      </c>
      <c r="B178">
        <v>67</v>
      </c>
      <c r="C178">
        <v>206</v>
      </c>
    </row>
    <row r="179" spans="1:3" x14ac:dyDescent="0.3">
      <c r="A179" t="s">
        <v>563</v>
      </c>
      <c r="B179">
        <v>67</v>
      </c>
      <c r="C179">
        <v>0</v>
      </c>
    </row>
    <row r="180" spans="1:3" x14ac:dyDescent="0.3">
      <c r="A180" t="s">
        <v>761</v>
      </c>
      <c r="B180">
        <v>67</v>
      </c>
      <c r="C180">
        <v>0</v>
      </c>
    </row>
    <row r="181" spans="1:3" x14ac:dyDescent="0.3">
      <c r="A181" t="s">
        <v>272</v>
      </c>
      <c r="B181">
        <v>67</v>
      </c>
      <c r="C181">
        <v>0</v>
      </c>
    </row>
    <row r="182" spans="1:3" x14ac:dyDescent="0.3">
      <c r="A182" t="s">
        <v>762</v>
      </c>
      <c r="B182">
        <v>67</v>
      </c>
      <c r="C182">
        <v>67</v>
      </c>
    </row>
    <row r="183" spans="1:3" x14ac:dyDescent="0.3">
      <c r="A183" t="s">
        <v>763</v>
      </c>
      <c r="B183">
        <v>67</v>
      </c>
      <c r="C183">
        <v>0</v>
      </c>
    </row>
    <row r="184" spans="1:3" x14ac:dyDescent="0.3">
      <c r="A184" t="s">
        <v>756</v>
      </c>
      <c r="B184">
        <v>70</v>
      </c>
      <c r="C184">
        <v>0</v>
      </c>
    </row>
    <row r="185" spans="1:3" x14ac:dyDescent="0.3">
      <c r="A185" t="s">
        <v>757</v>
      </c>
      <c r="B185">
        <v>70</v>
      </c>
      <c r="C185">
        <v>120</v>
      </c>
    </row>
    <row r="186" spans="1:3" x14ac:dyDescent="0.3">
      <c r="A186" t="s">
        <v>758</v>
      </c>
      <c r="B186">
        <v>70</v>
      </c>
      <c r="C186">
        <v>0</v>
      </c>
    </row>
    <row r="187" spans="1:3" x14ac:dyDescent="0.3">
      <c r="A187" t="s">
        <v>759</v>
      </c>
      <c r="B187">
        <v>70</v>
      </c>
      <c r="C187">
        <v>0</v>
      </c>
    </row>
    <row r="188" spans="1:3" x14ac:dyDescent="0.3">
      <c r="A188" t="s">
        <v>760</v>
      </c>
      <c r="B188">
        <v>70</v>
      </c>
      <c r="C188">
        <v>206</v>
      </c>
    </row>
    <row r="189" spans="1:3" x14ac:dyDescent="0.3">
      <c r="A189" t="s">
        <v>563</v>
      </c>
      <c r="B189">
        <v>70</v>
      </c>
      <c r="C189">
        <v>32</v>
      </c>
    </row>
    <row r="190" spans="1:3" x14ac:dyDescent="0.3">
      <c r="A190" t="s">
        <v>761</v>
      </c>
      <c r="B190">
        <v>70</v>
      </c>
      <c r="C190">
        <v>0</v>
      </c>
    </row>
    <row r="191" spans="1:3" x14ac:dyDescent="0.3">
      <c r="A191" t="s">
        <v>272</v>
      </c>
      <c r="B191">
        <v>70</v>
      </c>
      <c r="C191">
        <v>0</v>
      </c>
    </row>
    <row r="192" spans="1:3" x14ac:dyDescent="0.3">
      <c r="A192" t="s">
        <v>762</v>
      </c>
      <c r="B192">
        <v>70</v>
      </c>
      <c r="C192">
        <v>70</v>
      </c>
    </row>
    <row r="193" spans="1:3" x14ac:dyDescent="0.3">
      <c r="A193" t="s">
        <v>763</v>
      </c>
      <c r="B193">
        <v>70</v>
      </c>
      <c r="C193">
        <v>0</v>
      </c>
    </row>
    <row r="194" spans="1:3" x14ac:dyDescent="0.3">
      <c r="A194" t="s">
        <v>756</v>
      </c>
      <c r="B194">
        <v>73</v>
      </c>
      <c r="C194">
        <v>0</v>
      </c>
    </row>
    <row r="195" spans="1:3" x14ac:dyDescent="0.3">
      <c r="A195" t="s">
        <v>757</v>
      </c>
      <c r="B195">
        <v>73</v>
      </c>
      <c r="C195">
        <v>120</v>
      </c>
    </row>
    <row r="196" spans="1:3" x14ac:dyDescent="0.3">
      <c r="A196" t="s">
        <v>758</v>
      </c>
      <c r="B196">
        <v>73</v>
      </c>
      <c r="C196">
        <v>1</v>
      </c>
    </row>
    <row r="197" spans="1:3" x14ac:dyDescent="0.3">
      <c r="A197" t="s">
        <v>759</v>
      </c>
      <c r="B197">
        <v>73</v>
      </c>
      <c r="C197">
        <v>0</v>
      </c>
    </row>
    <row r="198" spans="1:3" x14ac:dyDescent="0.3">
      <c r="A198" t="s">
        <v>760</v>
      </c>
      <c r="B198">
        <v>73</v>
      </c>
      <c r="C198">
        <v>2</v>
      </c>
    </row>
    <row r="199" spans="1:3" x14ac:dyDescent="0.3">
      <c r="A199" t="s">
        <v>563</v>
      </c>
      <c r="B199">
        <v>73</v>
      </c>
      <c r="C199">
        <v>0</v>
      </c>
    </row>
    <row r="200" spans="1:3" x14ac:dyDescent="0.3">
      <c r="A200" t="s">
        <v>761</v>
      </c>
      <c r="B200">
        <v>73</v>
      </c>
      <c r="C200">
        <v>0</v>
      </c>
    </row>
    <row r="201" spans="1:3" x14ac:dyDescent="0.3">
      <c r="A201" t="s">
        <v>272</v>
      </c>
      <c r="B201">
        <v>73</v>
      </c>
      <c r="C201">
        <v>0</v>
      </c>
    </row>
    <row r="202" spans="1:3" x14ac:dyDescent="0.3">
      <c r="A202" t="s">
        <v>762</v>
      </c>
      <c r="B202">
        <v>73</v>
      </c>
      <c r="C202">
        <v>73</v>
      </c>
    </row>
    <row r="203" spans="1:3" x14ac:dyDescent="0.3">
      <c r="A203" t="s">
        <v>763</v>
      </c>
      <c r="B203">
        <v>73</v>
      </c>
      <c r="C20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81"/>
  <sheetViews>
    <sheetView workbookViewId="0"/>
  </sheetViews>
  <sheetFormatPr defaultRowHeight="14.4" x14ac:dyDescent="0.3"/>
  <sheetData>
    <row r="1" spans="1:18" x14ac:dyDescent="0.3">
      <c r="A1" t="s">
        <v>566</v>
      </c>
    </row>
    <row r="2" spans="1:18" x14ac:dyDescent="0.3">
      <c r="A2" t="s">
        <v>764</v>
      </c>
    </row>
    <row r="3" spans="1:18" x14ac:dyDescent="0.3">
      <c r="A3" t="s">
        <v>0</v>
      </c>
      <c r="B3" t="s">
        <v>1</v>
      </c>
      <c r="C3" t="s">
        <v>246</v>
      </c>
      <c r="D3" t="s">
        <v>247</v>
      </c>
      <c r="E3" t="s">
        <v>248</v>
      </c>
      <c r="F3" t="s">
        <v>249</v>
      </c>
      <c r="G3" t="s">
        <v>250</v>
      </c>
      <c r="H3" t="s">
        <v>251</v>
      </c>
      <c r="I3" t="s">
        <v>252</v>
      </c>
      <c r="J3" t="s">
        <v>253</v>
      </c>
      <c r="K3" t="s">
        <v>765</v>
      </c>
      <c r="L3" t="s">
        <v>766</v>
      </c>
      <c r="M3" t="s">
        <v>767</v>
      </c>
      <c r="N3" t="s">
        <v>768</v>
      </c>
      <c r="O3" t="s">
        <v>769</v>
      </c>
      <c r="P3" t="s">
        <v>770</v>
      </c>
      <c r="Q3" t="s">
        <v>771</v>
      </c>
      <c r="R3" t="s">
        <v>772</v>
      </c>
    </row>
    <row r="4" spans="1:18" x14ac:dyDescent="0.3">
      <c r="A4" t="s">
        <v>254</v>
      </c>
      <c r="B4">
        <v>3</v>
      </c>
      <c r="D4">
        <v>111</v>
      </c>
      <c r="F4">
        <v>211</v>
      </c>
      <c r="H4">
        <v>121</v>
      </c>
      <c r="J4">
        <v>221</v>
      </c>
      <c r="K4">
        <v>311</v>
      </c>
      <c r="L4">
        <v>312</v>
      </c>
      <c r="M4">
        <v>411</v>
      </c>
      <c r="N4">
        <v>412</v>
      </c>
      <c r="O4">
        <v>321</v>
      </c>
      <c r="P4">
        <v>322</v>
      </c>
      <c r="Q4">
        <v>421</v>
      </c>
      <c r="R4">
        <v>422</v>
      </c>
    </row>
    <row r="5" spans="1:18" x14ac:dyDescent="0.3">
      <c r="A5" t="s">
        <v>255</v>
      </c>
      <c r="B5">
        <v>3</v>
      </c>
      <c r="D5">
        <v>15</v>
      </c>
      <c r="F5">
        <v>15</v>
      </c>
      <c r="H5">
        <v>15</v>
      </c>
      <c r="J5">
        <v>15</v>
      </c>
    </row>
    <row r="6" spans="1:18" x14ac:dyDescent="0.3">
      <c r="A6" t="s">
        <v>256</v>
      </c>
      <c r="B6">
        <v>3</v>
      </c>
      <c r="D6">
        <v>76</v>
      </c>
      <c r="F6">
        <v>33.4</v>
      </c>
      <c r="H6">
        <v>76</v>
      </c>
      <c r="J6">
        <v>33.4</v>
      </c>
    </row>
    <row r="7" spans="1:18" x14ac:dyDescent="0.3">
      <c r="A7" t="s">
        <v>257</v>
      </c>
      <c r="B7">
        <v>3</v>
      </c>
      <c r="D7">
        <v>2</v>
      </c>
      <c r="F7">
        <v>2</v>
      </c>
      <c r="H7">
        <v>2</v>
      </c>
      <c r="J7">
        <v>2</v>
      </c>
    </row>
    <row r="8" spans="1:18" x14ac:dyDescent="0.3">
      <c r="A8" t="s">
        <v>258</v>
      </c>
      <c r="B8">
        <v>3</v>
      </c>
      <c r="D8">
        <v>0</v>
      </c>
      <c r="F8">
        <v>0</v>
      </c>
      <c r="H8">
        <v>0</v>
      </c>
      <c r="J8">
        <v>0</v>
      </c>
    </row>
    <row r="9" spans="1:18" x14ac:dyDescent="0.3">
      <c r="A9" t="s">
        <v>259</v>
      </c>
      <c r="B9">
        <v>3</v>
      </c>
      <c r="D9">
        <v>0</v>
      </c>
      <c r="F9">
        <v>0</v>
      </c>
      <c r="H9">
        <v>0</v>
      </c>
      <c r="J9">
        <v>0</v>
      </c>
    </row>
    <row r="10" spans="1:18" x14ac:dyDescent="0.3">
      <c r="A10" t="s">
        <v>260</v>
      </c>
      <c r="B10">
        <v>3</v>
      </c>
      <c r="D10">
        <v>0.2</v>
      </c>
      <c r="F10">
        <v>0.2</v>
      </c>
      <c r="H10">
        <v>0.2</v>
      </c>
      <c r="J10">
        <v>0</v>
      </c>
    </row>
    <row r="11" spans="1:18" x14ac:dyDescent="0.3">
      <c r="A11" t="s">
        <v>261</v>
      </c>
      <c r="B11">
        <v>3</v>
      </c>
      <c r="D11">
        <v>4</v>
      </c>
      <c r="F11">
        <v>3</v>
      </c>
      <c r="H11">
        <v>4</v>
      </c>
      <c r="J11">
        <v>3</v>
      </c>
    </row>
    <row r="12" spans="1:18" x14ac:dyDescent="0.3">
      <c r="A12" t="s">
        <v>262</v>
      </c>
      <c r="B12">
        <v>3</v>
      </c>
      <c r="D12">
        <v>1</v>
      </c>
      <c r="F12">
        <v>2.6</v>
      </c>
      <c r="H12">
        <v>1</v>
      </c>
      <c r="J12">
        <v>2.6</v>
      </c>
    </row>
    <row r="13" spans="1:18" x14ac:dyDescent="0.3">
      <c r="A13" t="s">
        <v>263</v>
      </c>
      <c r="B13">
        <v>3</v>
      </c>
      <c r="D13">
        <v>3</v>
      </c>
      <c r="F13">
        <v>3</v>
      </c>
      <c r="H13">
        <v>3</v>
      </c>
      <c r="J13">
        <v>3</v>
      </c>
    </row>
    <row r="14" spans="1:18" x14ac:dyDescent="0.3">
      <c r="A14" t="s">
        <v>264</v>
      </c>
      <c r="B14">
        <v>3</v>
      </c>
      <c r="D14">
        <v>8</v>
      </c>
      <c r="F14">
        <v>8</v>
      </c>
      <c r="H14">
        <v>8</v>
      </c>
      <c r="J14">
        <v>8</v>
      </c>
    </row>
    <row r="15" spans="1:18" x14ac:dyDescent="0.3">
      <c r="A15" t="s">
        <v>265</v>
      </c>
      <c r="B15">
        <v>3</v>
      </c>
      <c r="D15">
        <v>8</v>
      </c>
      <c r="F15">
        <v>21</v>
      </c>
      <c r="H15">
        <v>8</v>
      </c>
      <c r="J15">
        <v>21</v>
      </c>
    </row>
    <row r="16" spans="1:18" x14ac:dyDescent="0.3">
      <c r="A16" t="s">
        <v>266</v>
      </c>
      <c r="B16">
        <v>3</v>
      </c>
      <c r="D16">
        <v>0</v>
      </c>
      <c r="F16">
        <v>0</v>
      </c>
      <c r="H16">
        <v>0</v>
      </c>
      <c r="J16">
        <v>0</v>
      </c>
    </row>
    <row r="17" spans="1:18" x14ac:dyDescent="0.3">
      <c r="A17" t="s">
        <v>267</v>
      </c>
      <c r="B17">
        <v>3</v>
      </c>
      <c r="D17">
        <v>23.5</v>
      </c>
      <c r="F17">
        <v>34.6</v>
      </c>
      <c r="H17">
        <v>23.5</v>
      </c>
      <c r="J17">
        <v>34.6</v>
      </c>
    </row>
    <row r="18" spans="1:18" x14ac:dyDescent="0.3">
      <c r="A18" t="s">
        <v>268</v>
      </c>
      <c r="B18">
        <v>3</v>
      </c>
      <c r="D18">
        <v>1</v>
      </c>
      <c r="F18">
        <v>1</v>
      </c>
      <c r="H18">
        <v>1</v>
      </c>
      <c r="J18">
        <v>1</v>
      </c>
    </row>
    <row r="19" spans="1:18" x14ac:dyDescent="0.3">
      <c r="A19" t="s">
        <v>269</v>
      </c>
      <c r="B19">
        <v>3</v>
      </c>
      <c r="D19">
        <v>1</v>
      </c>
      <c r="F19">
        <v>1</v>
      </c>
      <c r="H19">
        <v>1</v>
      </c>
      <c r="J19">
        <v>1</v>
      </c>
    </row>
    <row r="20" spans="1:18" x14ac:dyDescent="0.3">
      <c r="A20" t="s">
        <v>270</v>
      </c>
      <c r="B20">
        <v>3</v>
      </c>
      <c r="D20">
        <v>0</v>
      </c>
      <c r="F20">
        <v>81</v>
      </c>
      <c r="H20">
        <v>0</v>
      </c>
      <c r="J20">
        <v>81</v>
      </c>
    </row>
    <row r="21" spans="1:18" x14ac:dyDescent="0.3">
      <c r="A21" t="s">
        <v>271</v>
      </c>
      <c r="B21">
        <v>3</v>
      </c>
      <c r="D21">
        <v>81</v>
      </c>
      <c r="F21">
        <v>0</v>
      </c>
      <c r="H21">
        <v>81</v>
      </c>
      <c r="J21">
        <v>0</v>
      </c>
    </row>
    <row r="22" spans="1:18" x14ac:dyDescent="0.3">
      <c r="A22" t="s">
        <v>272</v>
      </c>
      <c r="B22">
        <v>3</v>
      </c>
      <c r="D22">
        <v>76</v>
      </c>
      <c r="F22">
        <v>114.4</v>
      </c>
      <c r="H22">
        <v>76</v>
      </c>
      <c r="J22">
        <v>114.4</v>
      </c>
    </row>
    <row r="23" spans="1:18" x14ac:dyDescent="0.3">
      <c r="A23" t="s">
        <v>273</v>
      </c>
      <c r="B23">
        <v>3</v>
      </c>
      <c r="D23">
        <v>68</v>
      </c>
      <c r="F23">
        <v>93.4</v>
      </c>
      <c r="H23">
        <v>68</v>
      </c>
      <c r="J23">
        <v>93.4</v>
      </c>
    </row>
    <row r="24" spans="1:18" x14ac:dyDescent="0.3">
      <c r="A24" t="s">
        <v>274</v>
      </c>
      <c r="B24">
        <v>3</v>
      </c>
      <c r="D24">
        <v>0</v>
      </c>
      <c r="F24">
        <v>81</v>
      </c>
      <c r="H24">
        <v>0</v>
      </c>
      <c r="J24">
        <v>81</v>
      </c>
    </row>
    <row r="25" spans="1:18" x14ac:dyDescent="0.3">
      <c r="A25" t="s">
        <v>275</v>
      </c>
      <c r="B25">
        <v>3</v>
      </c>
      <c r="D25">
        <v>76</v>
      </c>
      <c r="F25">
        <v>114.4</v>
      </c>
      <c r="H25">
        <v>76</v>
      </c>
      <c r="J25">
        <v>114.4</v>
      </c>
    </row>
    <row r="26" spans="1:18" x14ac:dyDescent="0.3">
      <c r="A26" t="s">
        <v>276</v>
      </c>
      <c r="B26">
        <v>3</v>
      </c>
      <c r="D26">
        <v>68</v>
      </c>
      <c r="F26">
        <v>93.4</v>
      </c>
      <c r="H26">
        <v>68</v>
      </c>
      <c r="J26">
        <v>93.4</v>
      </c>
    </row>
    <row r="27" spans="1:18" x14ac:dyDescent="0.3">
      <c r="A27" t="s">
        <v>567</v>
      </c>
      <c r="B27">
        <v>3</v>
      </c>
      <c r="D27">
        <v>76</v>
      </c>
      <c r="F27">
        <v>33.4</v>
      </c>
      <c r="H27">
        <v>76</v>
      </c>
      <c r="J27">
        <v>33.4</v>
      </c>
    </row>
    <row r="28" spans="1:18" x14ac:dyDescent="0.3">
      <c r="A28" t="s">
        <v>254</v>
      </c>
      <c r="B28">
        <v>6</v>
      </c>
      <c r="C28">
        <v>111</v>
      </c>
      <c r="D28">
        <v>112</v>
      </c>
      <c r="F28">
        <v>311</v>
      </c>
      <c r="G28">
        <v>121</v>
      </c>
      <c r="H28">
        <v>122</v>
      </c>
      <c r="J28">
        <v>211</v>
      </c>
      <c r="M28">
        <v>411</v>
      </c>
      <c r="N28">
        <v>412</v>
      </c>
      <c r="Q28">
        <v>421</v>
      </c>
      <c r="R28">
        <v>422</v>
      </c>
    </row>
    <row r="29" spans="1:18" x14ac:dyDescent="0.3">
      <c r="A29" t="s">
        <v>255</v>
      </c>
      <c r="B29">
        <v>6</v>
      </c>
      <c r="C29">
        <v>5</v>
      </c>
      <c r="D29">
        <v>15</v>
      </c>
      <c r="F29">
        <v>5</v>
      </c>
      <c r="G29">
        <v>5</v>
      </c>
      <c r="H29">
        <v>15</v>
      </c>
      <c r="J29">
        <v>5</v>
      </c>
    </row>
    <row r="30" spans="1:18" x14ac:dyDescent="0.3">
      <c r="A30" t="s">
        <v>256</v>
      </c>
      <c r="B30">
        <v>6</v>
      </c>
      <c r="C30">
        <v>5.5</v>
      </c>
      <c r="D30">
        <v>48.9</v>
      </c>
      <c r="F30">
        <v>16.7</v>
      </c>
      <c r="G30">
        <v>5.5</v>
      </c>
      <c r="H30">
        <v>48.9</v>
      </c>
      <c r="J30">
        <v>28</v>
      </c>
    </row>
    <row r="31" spans="1:18" x14ac:dyDescent="0.3">
      <c r="A31" t="s">
        <v>257</v>
      </c>
      <c r="B31">
        <v>6</v>
      </c>
      <c r="C31">
        <v>2</v>
      </c>
      <c r="D31">
        <v>1</v>
      </c>
      <c r="F31">
        <v>2</v>
      </c>
      <c r="G31">
        <v>2</v>
      </c>
      <c r="H31">
        <v>1</v>
      </c>
      <c r="J31">
        <v>2</v>
      </c>
    </row>
    <row r="32" spans="1:18" x14ac:dyDescent="0.3">
      <c r="A32" t="s">
        <v>258</v>
      </c>
      <c r="B32">
        <v>6</v>
      </c>
      <c r="C32">
        <v>0</v>
      </c>
      <c r="D32">
        <v>0</v>
      </c>
      <c r="F32">
        <v>0</v>
      </c>
      <c r="G32">
        <v>0</v>
      </c>
      <c r="H32">
        <v>0</v>
      </c>
      <c r="J32">
        <v>0</v>
      </c>
    </row>
    <row r="33" spans="1:10" x14ac:dyDescent="0.3">
      <c r="A33" t="s">
        <v>259</v>
      </c>
      <c r="B33">
        <v>6</v>
      </c>
      <c r="C33">
        <v>0</v>
      </c>
      <c r="D33">
        <v>0</v>
      </c>
      <c r="F33">
        <v>0</v>
      </c>
      <c r="G33">
        <v>0</v>
      </c>
      <c r="H33">
        <v>0</v>
      </c>
      <c r="J33">
        <v>0</v>
      </c>
    </row>
    <row r="34" spans="1:10" x14ac:dyDescent="0.3">
      <c r="A34" t="s">
        <v>260</v>
      </c>
      <c r="B34">
        <v>6</v>
      </c>
      <c r="C34">
        <v>0.2</v>
      </c>
      <c r="D34">
        <v>0</v>
      </c>
      <c r="F34">
        <v>0</v>
      </c>
      <c r="G34">
        <v>0</v>
      </c>
      <c r="H34">
        <v>0</v>
      </c>
      <c r="J34">
        <v>0</v>
      </c>
    </row>
    <row r="35" spans="1:10" x14ac:dyDescent="0.3">
      <c r="A35" t="s">
        <v>261</v>
      </c>
      <c r="B35">
        <v>6</v>
      </c>
      <c r="C35">
        <v>3</v>
      </c>
      <c r="D35">
        <v>4</v>
      </c>
      <c r="F35">
        <v>3.2</v>
      </c>
      <c r="G35">
        <v>3</v>
      </c>
      <c r="H35">
        <v>4</v>
      </c>
      <c r="J35">
        <v>3.2</v>
      </c>
    </row>
    <row r="36" spans="1:10" x14ac:dyDescent="0.3">
      <c r="A36" t="s">
        <v>262</v>
      </c>
      <c r="B36">
        <v>6</v>
      </c>
      <c r="C36">
        <v>1</v>
      </c>
      <c r="D36">
        <v>1.3</v>
      </c>
      <c r="F36">
        <v>2.6</v>
      </c>
      <c r="G36">
        <v>1</v>
      </c>
      <c r="H36">
        <v>1.3</v>
      </c>
      <c r="J36">
        <v>2.6</v>
      </c>
    </row>
    <row r="37" spans="1:10" x14ac:dyDescent="0.3">
      <c r="A37" t="s">
        <v>263</v>
      </c>
      <c r="B37">
        <v>6</v>
      </c>
      <c r="C37">
        <v>3</v>
      </c>
      <c r="D37">
        <v>3</v>
      </c>
      <c r="F37">
        <v>3</v>
      </c>
      <c r="G37">
        <v>3</v>
      </c>
      <c r="H37">
        <v>3</v>
      </c>
      <c r="J37">
        <v>3</v>
      </c>
    </row>
    <row r="38" spans="1:10" x14ac:dyDescent="0.3">
      <c r="A38" t="s">
        <v>264</v>
      </c>
      <c r="B38">
        <v>6</v>
      </c>
      <c r="D38">
        <v>8</v>
      </c>
      <c r="H38">
        <v>8</v>
      </c>
      <c r="J38">
        <v>8</v>
      </c>
    </row>
    <row r="39" spans="1:10" x14ac:dyDescent="0.3">
      <c r="A39" t="s">
        <v>265</v>
      </c>
      <c r="B39">
        <v>6</v>
      </c>
      <c r="D39">
        <v>15</v>
      </c>
      <c r="H39">
        <v>15</v>
      </c>
      <c r="J39">
        <v>20</v>
      </c>
    </row>
    <row r="40" spans="1:10" x14ac:dyDescent="0.3">
      <c r="A40" t="s">
        <v>266</v>
      </c>
      <c r="B40">
        <v>6</v>
      </c>
      <c r="D40">
        <v>0</v>
      </c>
      <c r="H40">
        <v>0</v>
      </c>
      <c r="J40">
        <v>0</v>
      </c>
    </row>
    <row r="41" spans="1:10" x14ac:dyDescent="0.3">
      <c r="A41" t="s">
        <v>267</v>
      </c>
      <c r="B41">
        <v>6</v>
      </c>
      <c r="C41">
        <v>9.5</v>
      </c>
      <c r="D41">
        <v>28.3</v>
      </c>
      <c r="F41">
        <v>22.5</v>
      </c>
      <c r="G41">
        <v>9.5</v>
      </c>
      <c r="H41">
        <v>28.3</v>
      </c>
      <c r="J41">
        <v>33.799999999999997</v>
      </c>
    </row>
    <row r="42" spans="1:10" x14ac:dyDescent="0.3">
      <c r="A42" t="s">
        <v>268</v>
      </c>
      <c r="B42">
        <v>6</v>
      </c>
      <c r="C42">
        <v>0</v>
      </c>
      <c r="D42">
        <v>1</v>
      </c>
      <c r="F42">
        <v>0</v>
      </c>
      <c r="G42">
        <v>0</v>
      </c>
      <c r="H42">
        <v>1</v>
      </c>
      <c r="J42">
        <v>0</v>
      </c>
    </row>
    <row r="43" spans="1:10" x14ac:dyDescent="0.3">
      <c r="A43" t="s">
        <v>269</v>
      </c>
      <c r="B43">
        <v>6</v>
      </c>
      <c r="C43">
        <v>1</v>
      </c>
      <c r="D43">
        <v>1</v>
      </c>
      <c r="F43">
        <v>1</v>
      </c>
      <c r="G43">
        <v>1</v>
      </c>
      <c r="H43">
        <v>1</v>
      </c>
      <c r="J43">
        <v>1</v>
      </c>
    </row>
    <row r="44" spans="1:10" x14ac:dyDescent="0.3">
      <c r="A44" t="s">
        <v>270</v>
      </c>
      <c r="B44">
        <v>6</v>
      </c>
      <c r="C44">
        <v>110.5</v>
      </c>
      <c r="D44">
        <v>0</v>
      </c>
      <c r="F44">
        <v>88</v>
      </c>
      <c r="G44">
        <v>110.5</v>
      </c>
      <c r="H44">
        <v>0</v>
      </c>
      <c r="J44">
        <v>54.2</v>
      </c>
    </row>
    <row r="45" spans="1:10" x14ac:dyDescent="0.3">
      <c r="A45" t="s">
        <v>271</v>
      </c>
      <c r="B45">
        <v>6</v>
      </c>
      <c r="C45">
        <v>0</v>
      </c>
      <c r="D45">
        <v>54.2</v>
      </c>
      <c r="F45">
        <v>110.5</v>
      </c>
      <c r="G45">
        <v>0</v>
      </c>
      <c r="H45">
        <v>54.2</v>
      </c>
      <c r="J45">
        <v>88</v>
      </c>
    </row>
    <row r="46" spans="1:10" x14ac:dyDescent="0.3">
      <c r="A46" t="s">
        <v>272</v>
      </c>
      <c r="B46">
        <v>6</v>
      </c>
      <c r="C46">
        <v>116</v>
      </c>
      <c r="D46">
        <v>48.9</v>
      </c>
      <c r="F46">
        <v>104.7</v>
      </c>
      <c r="G46">
        <v>116</v>
      </c>
      <c r="H46">
        <v>48.9</v>
      </c>
      <c r="J46">
        <v>82.2</v>
      </c>
    </row>
    <row r="47" spans="1:10" x14ac:dyDescent="0.3">
      <c r="A47" t="s">
        <v>273</v>
      </c>
      <c r="B47">
        <v>6</v>
      </c>
      <c r="C47">
        <v>116</v>
      </c>
      <c r="D47">
        <v>33.9</v>
      </c>
      <c r="F47">
        <v>104.7</v>
      </c>
      <c r="G47">
        <v>116</v>
      </c>
      <c r="H47">
        <v>33.9</v>
      </c>
      <c r="J47">
        <v>62.2</v>
      </c>
    </row>
    <row r="48" spans="1:10" x14ac:dyDescent="0.3">
      <c r="A48" t="s">
        <v>274</v>
      </c>
      <c r="B48">
        <v>6</v>
      </c>
      <c r="C48">
        <v>110.5</v>
      </c>
      <c r="D48">
        <v>0</v>
      </c>
      <c r="F48">
        <v>88</v>
      </c>
      <c r="G48">
        <v>110.5</v>
      </c>
      <c r="H48">
        <v>0</v>
      </c>
      <c r="J48">
        <v>54.2</v>
      </c>
    </row>
    <row r="49" spans="1:18" x14ac:dyDescent="0.3">
      <c r="A49" t="s">
        <v>275</v>
      </c>
      <c r="B49">
        <v>6</v>
      </c>
      <c r="C49">
        <v>116</v>
      </c>
      <c r="D49">
        <v>48.9</v>
      </c>
      <c r="F49">
        <v>104.7</v>
      </c>
      <c r="G49">
        <v>116</v>
      </c>
      <c r="H49">
        <v>48.9</v>
      </c>
      <c r="J49">
        <v>82.2</v>
      </c>
    </row>
    <row r="50" spans="1:18" x14ac:dyDescent="0.3">
      <c r="A50" t="s">
        <v>276</v>
      </c>
      <c r="B50">
        <v>6</v>
      </c>
      <c r="C50">
        <v>116</v>
      </c>
      <c r="D50">
        <v>33.9</v>
      </c>
      <c r="F50">
        <v>104.7</v>
      </c>
      <c r="G50">
        <v>116</v>
      </c>
      <c r="H50">
        <v>33.9</v>
      </c>
      <c r="J50">
        <v>62.2</v>
      </c>
    </row>
    <row r="51" spans="1:18" x14ac:dyDescent="0.3">
      <c r="A51" t="s">
        <v>567</v>
      </c>
      <c r="B51">
        <v>6</v>
      </c>
      <c r="C51">
        <v>5.5</v>
      </c>
      <c r="D51">
        <v>48.9</v>
      </c>
      <c r="F51">
        <v>16.7</v>
      </c>
      <c r="G51">
        <v>5.5</v>
      </c>
      <c r="H51">
        <v>48.9</v>
      </c>
      <c r="J51">
        <v>28</v>
      </c>
    </row>
    <row r="52" spans="1:18" x14ac:dyDescent="0.3">
      <c r="A52" t="s">
        <v>254</v>
      </c>
      <c r="B52">
        <v>10</v>
      </c>
      <c r="C52">
        <v>111</v>
      </c>
      <c r="D52">
        <v>112</v>
      </c>
      <c r="E52">
        <v>211</v>
      </c>
      <c r="F52">
        <v>212</v>
      </c>
      <c r="G52">
        <v>121</v>
      </c>
      <c r="H52">
        <v>122</v>
      </c>
      <c r="I52">
        <v>221</v>
      </c>
      <c r="J52">
        <v>222</v>
      </c>
      <c r="K52">
        <v>311</v>
      </c>
      <c r="L52">
        <v>312</v>
      </c>
      <c r="M52">
        <v>411</v>
      </c>
      <c r="N52">
        <v>412</v>
      </c>
      <c r="O52">
        <v>321</v>
      </c>
      <c r="P52">
        <v>322</v>
      </c>
      <c r="Q52">
        <v>421</v>
      </c>
      <c r="R52">
        <v>422</v>
      </c>
    </row>
    <row r="53" spans="1:18" x14ac:dyDescent="0.3">
      <c r="A53" t="s">
        <v>255</v>
      </c>
      <c r="B53">
        <v>10</v>
      </c>
      <c r="C53">
        <v>5</v>
      </c>
      <c r="D53">
        <v>15</v>
      </c>
      <c r="E53">
        <v>5</v>
      </c>
      <c r="F53">
        <v>5</v>
      </c>
      <c r="G53">
        <v>5</v>
      </c>
      <c r="H53">
        <v>15</v>
      </c>
      <c r="I53">
        <v>5</v>
      </c>
      <c r="J53">
        <v>5</v>
      </c>
    </row>
    <row r="54" spans="1:18" x14ac:dyDescent="0.3">
      <c r="A54" t="s">
        <v>256</v>
      </c>
      <c r="B54">
        <v>10</v>
      </c>
      <c r="C54">
        <v>19</v>
      </c>
      <c r="D54">
        <v>30.7</v>
      </c>
      <c r="E54">
        <v>17</v>
      </c>
      <c r="F54">
        <v>33.9</v>
      </c>
      <c r="G54">
        <v>9</v>
      </c>
      <c r="H54">
        <v>40.700000000000003</v>
      </c>
      <c r="I54">
        <v>19</v>
      </c>
      <c r="J54">
        <v>31.9</v>
      </c>
    </row>
    <row r="55" spans="1:18" x14ac:dyDescent="0.3">
      <c r="A55" t="s">
        <v>257</v>
      </c>
      <c r="B55">
        <v>10</v>
      </c>
      <c r="C55">
        <v>2</v>
      </c>
      <c r="D55">
        <v>1</v>
      </c>
      <c r="E55">
        <v>2</v>
      </c>
      <c r="F55">
        <v>2</v>
      </c>
      <c r="G55">
        <v>2</v>
      </c>
      <c r="H55">
        <v>1</v>
      </c>
      <c r="I55">
        <v>2</v>
      </c>
      <c r="J55">
        <v>2</v>
      </c>
    </row>
    <row r="56" spans="1:18" x14ac:dyDescent="0.3">
      <c r="A56" t="s">
        <v>258</v>
      </c>
      <c r="B56">
        <v>10</v>
      </c>
      <c r="C56">
        <v>0</v>
      </c>
      <c r="D56">
        <v>0</v>
      </c>
      <c r="E56">
        <v>0</v>
      </c>
      <c r="F56">
        <v>0</v>
      </c>
      <c r="G56">
        <v>0</v>
      </c>
      <c r="H56">
        <v>0</v>
      </c>
      <c r="I56">
        <v>0</v>
      </c>
      <c r="J56">
        <v>0</v>
      </c>
    </row>
    <row r="57" spans="1:18" x14ac:dyDescent="0.3">
      <c r="A57" t="s">
        <v>259</v>
      </c>
      <c r="B57">
        <v>10</v>
      </c>
      <c r="C57">
        <v>0</v>
      </c>
      <c r="D57">
        <v>0</v>
      </c>
      <c r="E57">
        <v>0</v>
      </c>
      <c r="F57">
        <v>0</v>
      </c>
      <c r="G57">
        <v>0</v>
      </c>
      <c r="H57">
        <v>0</v>
      </c>
      <c r="I57">
        <v>0</v>
      </c>
      <c r="J57">
        <v>0</v>
      </c>
    </row>
    <row r="58" spans="1:18" x14ac:dyDescent="0.3">
      <c r="A58" t="s">
        <v>260</v>
      </c>
      <c r="B58">
        <v>10</v>
      </c>
      <c r="C58">
        <v>0</v>
      </c>
      <c r="D58">
        <v>0</v>
      </c>
      <c r="E58">
        <v>0</v>
      </c>
      <c r="F58">
        <v>0</v>
      </c>
      <c r="G58">
        <v>0</v>
      </c>
      <c r="H58">
        <v>0</v>
      </c>
      <c r="I58">
        <v>0</v>
      </c>
      <c r="J58">
        <v>0</v>
      </c>
    </row>
    <row r="59" spans="1:18" x14ac:dyDescent="0.3">
      <c r="A59" t="s">
        <v>261</v>
      </c>
      <c r="B59">
        <v>10</v>
      </c>
      <c r="C59">
        <v>3</v>
      </c>
      <c r="D59">
        <v>4.3</v>
      </c>
      <c r="E59">
        <v>3</v>
      </c>
      <c r="F59">
        <v>4</v>
      </c>
      <c r="G59">
        <v>3</v>
      </c>
      <c r="H59">
        <v>4.3</v>
      </c>
      <c r="I59">
        <v>3</v>
      </c>
      <c r="J59">
        <v>4</v>
      </c>
    </row>
    <row r="60" spans="1:18" x14ac:dyDescent="0.3">
      <c r="A60" t="s">
        <v>262</v>
      </c>
      <c r="B60">
        <v>10</v>
      </c>
      <c r="C60">
        <v>1</v>
      </c>
      <c r="D60">
        <v>1</v>
      </c>
      <c r="E60">
        <v>1</v>
      </c>
      <c r="F60">
        <v>2.1</v>
      </c>
      <c r="G60">
        <v>1</v>
      </c>
      <c r="H60">
        <v>1</v>
      </c>
      <c r="I60">
        <v>1</v>
      </c>
      <c r="J60">
        <v>2.1</v>
      </c>
    </row>
    <row r="61" spans="1:18" x14ac:dyDescent="0.3">
      <c r="A61" t="s">
        <v>263</v>
      </c>
      <c r="B61">
        <v>10</v>
      </c>
      <c r="C61">
        <v>3</v>
      </c>
      <c r="D61">
        <v>3</v>
      </c>
      <c r="E61">
        <v>3</v>
      </c>
      <c r="F61">
        <v>3</v>
      </c>
      <c r="G61">
        <v>3</v>
      </c>
      <c r="H61">
        <v>3</v>
      </c>
      <c r="I61">
        <v>3</v>
      </c>
      <c r="J61">
        <v>3</v>
      </c>
    </row>
    <row r="62" spans="1:18" x14ac:dyDescent="0.3">
      <c r="A62" t="s">
        <v>264</v>
      </c>
      <c r="B62">
        <v>10</v>
      </c>
      <c r="D62">
        <v>8</v>
      </c>
      <c r="F62">
        <v>8</v>
      </c>
      <c r="H62">
        <v>8</v>
      </c>
      <c r="J62">
        <v>8</v>
      </c>
    </row>
    <row r="63" spans="1:18" x14ac:dyDescent="0.3">
      <c r="A63" t="s">
        <v>265</v>
      </c>
      <c r="B63">
        <v>10</v>
      </c>
      <c r="D63">
        <v>13</v>
      </c>
      <c r="F63">
        <v>23</v>
      </c>
      <c r="H63">
        <v>13</v>
      </c>
      <c r="J63">
        <v>23</v>
      </c>
    </row>
    <row r="64" spans="1:18" x14ac:dyDescent="0.3">
      <c r="A64" t="s">
        <v>266</v>
      </c>
      <c r="B64">
        <v>10</v>
      </c>
      <c r="D64">
        <v>0</v>
      </c>
      <c r="F64">
        <v>0</v>
      </c>
      <c r="H64">
        <v>0</v>
      </c>
      <c r="J64">
        <v>0</v>
      </c>
    </row>
    <row r="65" spans="1:18" x14ac:dyDescent="0.3">
      <c r="A65" t="s">
        <v>267</v>
      </c>
      <c r="B65">
        <v>10</v>
      </c>
      <c r="C65">
        <v>22.5</v>
      </c>
      <c r="D65">
        <v>26.3</v>
      </c>
      <c r="E65">
        <v>9.5</v>
      </c>
      <c r="F65">
        <v>37.1</v>
      </c>
      <c r="G65">
        <v>9.5</v>
      </c>
      <c r="H65">
        <v>26.3</v>
      </c>
      <c r="I65">
        <v>22.5</v>
      </c>
      <c r="J65">
        <v>37.1</v>
      </c>
    </row>
    <row r="66" spans="1:18" x14ac:dyDescent="0.3">
      <c r="A66" t="s">
        <v>268</v>
      </c>
      <c r="B66">
        <v>10</v>
      </c>
      <c r="C66">
        <v>0</v>
      </c>
      <c r="D66">
        <v>1</v>
      </c>
      <c r="E66">
        <v>0</v>
      </c>
      <c r="F66">
        <v>1</v>
      </c>
      <c r="G66">
        <v>0</v>
      </c>
      <c r="H66">
        <v>1</v>
      </c>
      <c r="I66">
        <v>0</v>
      </c>
      <c r="J66">
        <v>1</v>
      </c>
    </row>
    <row r="67" spans="1:18" x14ac:dyDescent="0.3">
      <c r="A67" t="s">
        <v>269</v>
      </c>
      <c r="B67">
        <v>10</v>
      </c>
      <c r="C67">
        <v>1</v>
      </c>
      <c r="D67">
        <v>1</v>
      </c>
      <c r="E67">
        <v>1</v>
      </c>
      <c r="F67">
        <v>1</v>
      </c>
      <c r="G67">
        <v>1</v>
      </c>
      <c r="H67">
        <v>1</v>
      </c>
      <c r="I67">
        <v>1</v>
      </c>
      <c r="J67">
        <v>1</v>
      </c>
    </row>
    <row r="68" spans="1:18" x14ac:dyDescent="0.3">
      <c r="A68" t="s">
        <v>270</v>
      </c>
      <c r="B68">
        <v>10</v>
      </c>
      <c r="C68">
        <v>97</v>
      </c>
      <c r="D68">
        <v>0</v>
      </c>
      <c r="E68">
        <v>36</v>
      </c>
      <c r="F68">
        <v>57</v>
      </c>
      <c r="G68">
        <v>97</v>
      </c>
      <c r="H68">
        <v>110</v>
      </c>
      <c r="I68">
        <v>36</v>
      </c>
      <c r="J68">
        <v>59</v>
      </c>
    </row>
    <row r="69" spans="1:18" x14ac:dyDescent="0.3">
      <c r="A69" t="s">
        <v>271</v>
      </c>
      <c r="B69">
        <v>10</v>
      </c>
      <c r="C69">
        <v>0</v>
      </c>
      <c r="D69">
        <v>36</v>
      </c>
      <c r="E69">
        <v>57</v>
      </c>
      <c r="F69">
        <v>97</v>
      </c>
      <c r="G69">
        <v>110</v>
      </c>
      <c r="H69">
        <v>36</v>
      </c>
      <c r="I69">
        <v>59</v>
      </c>
      <c r="J69">
        <v>97</v>
      </c>
    </row>
    <row r="70" spans="1:18" x14ac:dyDescent="0.3">
      <c r="A70" t="s">
        <v>272</v>
      </c>
      <c r="B70">
        <v>10</v>
      </c>
      <c r="C70">
        <v>116</v>
      </c>
      <c r="D70">
        <v>30.7</v>
      </c>
      <c r="E70">
        <v>53</v>
      </c>
      <c r="F70">
        <v>90.9</v>
      </c>
      <c r="G70">
        <v>106</v>
      </c>
      <c r="H70">
        <v>30.7</v>
      </c>
      <c r="I70">
        <v>55</v>
      </c>
      <c r="J70">
        <v>90.9</v>
      </c>
    </row>
    <row r="71" spans="1:18" x14ac:dyDescent="0.3">
      <c r="A71" t="s">
        <v>273</v>
      </c>
      <c r="B71">
        <v>10</v>
      </c>
      <c r="C71">
        <v>116</v>
      </c>
      <c r="D71">
        <v>17.7</v>
      </c>
      <c r="E71">
        <v>53</v>
      </c>
      <c r="F71">
        <v>67.900000000000006</v>
      </c>
      <c r="G71">
        <v>106</v>
      </c>
      <c r="H71">
        <v>17.7</v>
      </c>
      <c r="I71">
        <v>55</v>
      </c>
      <c r="J71">
        <v>67.900000000000006</v>
      </c>
    </row>
    <row r="72" spans="1:18" x14ac:dyDescent="0.3">
      <c r="A72" t="s">
        <v>274</v>
      </c>
      <c r="B72">
        <v>10</v>
      </c>
      <c r="C72">
        <v>97</v>
      </c>
      <c r="D72">
        <v>0</v>
      </c>
      <c r="E72">
        <v>36</v>
      </c>
      <c r="F72">
        <v>57</v>
      </c>
      <c r="G72">
        <v>97</v>
      </c>
      <c r="H72">
        <v>110</v>
      </c>
      <c r="I72">
        <v>36</v>
      </c>
      <c r="J72">
        <v>59</v>
      </c>
    </row>
    <row r="73" spans="1:18" x14ac:dyDescent="0.3">
      <c r="A73" t="s">
        <v>275</v>
      </c>
      <c r="B73">
        <v>10</v>
      </c>
      <c r="C73">
        <v>116</v>
      </c>
      <c r="D73">
        <v>30.7</v>
      </c>
      <c r="E73">
        <v>53</v>
      </c>
      <c r="F73">
        <v>90.9</v>
      </c>
      <c r="G73">
        <v>106</v>
      </c>
      <c r="H73">
        <v>30.7</v>
      </c>
      <c r="I73">
        <v>55</v>
      </c>
      <c r="J73">
        <v>90.9</v>
      </c>
    </row>
    <row r="74" spans="1:18" x14ac:dyDescent="0.3">
      <c r="A74" t="s">
        <v>276</v>
      </c>
      <c r="B74">
        <v>10</v>
      </c>
      <c r="C74">
        <v>116</v>
      </c>
      <c r="D74">
        <v>17.7</v>
      </c>
      <c r="E74">
        <v>53</v>
      </c>
      <c r="F74">
        <v>67.900000000000006</v>
      </c>
      <c r="G74">
        <v>106</v>
      </c>
      <c r="H74">
        <v>17.7</v>
      </c>
      <c r="I74">
        <v>55</v>
      </c>
      <c r="J74">
        <v>67.900000000000006</v>
      </c>
    </row>
    <row r="75" spans="1:18" x14ac:dyDescent="0.3">
      <c r="A75" t="s">
        <v>567</v>
      </c>
      <c r="B75">
        <v>10</v>
      </c>
      <c r="C75">
        <v>19</v>
      </c>
      <c r="D75">
        <v>30.7</v>
      </c>
      <c r="E75">
        <v>17</v>
      </c>
      <c r="F75">
        <v>33.9</v>
      </c>
      <c r="G75">
        <v>9</v>
      </c>
      <c r="H75">
        <v>40.700000000000003</v>
      </c>
      <c r="I75">
        <v>19</v>
      </c>
      <c r="J75">
        <v>31.9</v>
      </c>
    </row>
    <row r="76" spans="1:18" x14ac:dyDescent="0.3">
      <c r="A76" t="s">
        <v>254</v>
      </c>
      <c r="B76">
        <v>13</v>
      </c>
      <c r="C76">
        <v>111</v>
      </c>
      <c r="D76">
        <v>211</v>
      </c>
      <c r="K76">
        <v>311</v>
      </c>
      <c r="L76">
        <v>312</v>
      </c>
      <c r="M76">
        <v>411</v>
      </c>
      <c r="N76">
        <v>412</v>
      </c>
      <c r="O76">
        <v>321</v>
      </c>
      <c r="P76">
        <v>322</v>
      </c>
      <c r="Q76">
        <v>421</v>
      </c>
      <c r="R76">
        <v>422</v>
      </c>
    </row>
    <row r="77" spans="1:18" x14ac:dyDescent="0.3">
      <c r="A77" t="s">
        <v>255</v>
      </c>
      <c r="B77">
        <v>13</v>
      </c>
      <c r="C77">
        <v>15</v>
      </c>
      <c r="D77">
        <v>5</v>
      </c>
    </row>
    <row r="78" spans="1:18" x14ac:dyDescent="0.3">
      <c r="A78" t="s">
        <v>256</v>
      </c>
      <c r="B78">
        <v>13</v>
      </c>
      <c r="C78">
        <v>76</v>
      </c>
      <c r="D78">
        <v>33.4</v>
      </c>
    </row>
    <row r="79" spans="1:18" x14ac:dyDescent="0.3">
      <c r="A79" t="s">
        <v>257</v>
      </c>
      <c r="B79">
        <v>13</v>
      </c>
      <c r="C79">
        <v>1</v>
      </c>
      <c r="D79">
        <v>2</v>
      </c>
    </row>
    <row r="80" spans="1:18" x14ac:dyDescent="0.3">
      <c r="A80" t="s">
        <v>258</v>
      </c>
      <c r="B80">
        <v>13</v>
      </c>
      <c r="C80">
        <v>0</v>
      </c>
      <c r="D80">
        <v>0</v>
      </c>
    </row>
    <row r="81" spans="1:4" x14ac:dyDescent="0.3">
      <c r="A81" t="s">
        <v>259</v>
      </c>
      <c r="B81">
        <v>13</v>
      </c>
      <c r="C81">
        <v>0</v>
      </c>
      <c r="D81">
        <v>0</v>
      </c>
    </row>
    <row r="82" spans="1:4" x14ac:dyDescent="0.3">
      <c r="A82" t="s">
        <v>260</v>
      </c>
      <c r="B82">
        <v>13</v>
      </c>
      <c r="C82">
        <v>0</v>
      </c>
      <c r="D82">
        <v>0</v>
      </c>
    </row>
    <row r="83" spans="1:4" x14ac:dyDescent="0.3">
      <c r="A83" t="s">
        <v>261</v>
      </c>
      <c r="B83">
        <v>13</v>
      </c>
      <c r="C83">
        <v>4</v>
      </c>
      <c r="D83">
        <v>3</v>
      </c>
    </row>
    <row r="84" spans="1:4" x14ac:dyDescent="0.3">
      <c r="A84" t="s">
        <v>262</v>
      </c>
      <c r="B84">
        <v>13</v>
      </c>
      <c r="C84">
        <v>1</v>
      </c>
      <c r="D84">
        <v>2.6</v>
      </c>
    </row>
    <row r="85" spans="1:4" x14ac:dyDescent="0.3">
      <c r="A85" t="s">
        <v>263</v>
      </c>
      <c r="B85">
        <v>13</v>
      </c>
      <c r="C85">
        <v>3</v>
      </c>
      <c r="D85">
        <v>3</v>
      </c>
    </row>
    <row r="86" spans="1:4" x14ac:dyDescent="0.3">
      <c r="A86" t="s">
        <v>264</v>
      </c>
      <c r="B86">
        <v>13</v>
      </c>
      <c r="C86">
        <v>8</v>
      </c>
      <c r="D86">
        <v>8</v>
      </c>
    </row>
    <row r="87" spans="1:4" x14ac:dyDescent="0.3">
      <c r="A87" t="s">
        <v>265</v>
      </c>
      <c r="B87">
        <v>13</v>
      </c>
      <c r="C87">
        <v>8</v>
      </c>
      <c r="D87">
        <v>20</v>
      </c>
    </row>
    <row r="88" spans="1:4" x14ac:dyDescent="0.3">
      <c r="A88" t="s">
        <v>266</v>
      </c>
      <c r="B88">
        <v>13</v>
      </c>
      <c r="C88">
        <v>0</v>
      </c>
      <c r="D88">
        <v>0</v>
      </c>
    </row>
    <row r="89" spans="1:4" x14ac:dyDescent="0.3">
      <c r="A89" t="s">
        <v>267</v>
      </c>
      <c r="B89">
        <v>13</v>
      </c>
      <c r="C89">
        <v>23.5</v>
      </c>
      <c r="D89">
        <v>33.6</v>
      </c>
    </row>
    <row r="90" spans="1:4" x14ac:dyDescent="0.3">
      <c r="A90" t="s">
        <v>268</v>
      </c>
      <c r="B90">
        <v>13</v>
      </c>
      <c r="C90">
        <v>0</v>
      </c>
      <c r="D90">
        <v>0</v>
      </c>
    </row>
    <row r="91" spans="1:4" x14ac:dyDescent="0.3">
      <c r="A91" t="s">
        <v>269</v>
      </c>
      <c r="B91">
        <v>13</v>
      </c>
      <c r="C91">
        <v>1</v>
      </c>
      <c r="D91">
        <v>1</v>
      </c>
    </row>
    <row r="92" spans="1:4" x14ac:dyDescent="0.3">
      <c r="A92" t="s">
        <v>270</v>
      </c>
      <c r="B92">
        <v>13</v>
      </c>
      <c r="C92">
        <v>39</v>
      </c>
      <c r="D92">
        <v>0</v>
      </c>
    </row>
    <row r="93" spans="1:4" x14ac:dyDescent="0.3">
      <c r="A93" t="s">
        <v>271</v>
      </c>
      <c r="B93">
        <v>13</v>
      </c>
      <c r="C93">
        <v>0</v>
      </c>
      <c r="D93">
        <v>39</v>
      </c>
    </row>
    <row r="94" spans="1:4" x14ac:dyDescent="0.3">
      <c r="A94" t="s">
        <v>272</v>
      </c>
      <c r="B94">
        <v>13</v>
      </c>
      <c r="C94">
        <v>115</v>
      </c>
      <c r="D94">
        <v>33.4</v>
      </c>
    </row>
    <row r="95" spans="1:4" x14ac:dyDescent="0.3">
      <c r="A95" t="s">
        <v>273</v>
      </c>
      <c r="B95">
        <v>13</v>
      </c>
      <c r="C95">
        <v>107</v>
      </c>
      <c r="D95">
        <v>13.4</v>
      </c>
    </row>
    <row r="96" spans="1:4" x14ac:dyDescent="0.3">
      <c r="A96" t="s">
        <v>274</v>
      </c>
      <c r="B96">
        <v>13</v>
      </c>
      <c r="C96">
        <v>39</v>
      </c>
      <c r="D96">
        <v>0</v>
      </c>
    </row>
    <row r="97" spans="1:4" x14ac:dyDescent="0.3">
      <c r="A97" t="s">
        <v>275</v>
      </c>
      <c r="B97">
        <v>13</v>
      </c>
      <c r="C97">
        <v>115</v>
      </c>
      <c r="D97">
        <v>33.4</v>
      </c>
    </row>
    <row r="98" spans="1:4" x14ac:dyDescent="0.3">
      <c r="A98" t="s">
        <v>276</v>
      </c>
      <c r="B98">
        <v>13</v>
      </c>
      <c r="C98">
        <v>107</v>
      </c>
      <c r="D98">
        <v>13.4</v>
      </c>
    </row>
    <row r="99" spans="1:4" x14ac:dyDescent="0.3">
      <c r="A99" t="s">
        <v>567</v>
      </c>
      <c r="B99">
        <v>13</v>
      </c>
      <c r="C99">
        <v>76</v>
      </c>
      <c r="D99">
        <v>33.4</v>
      </c>
    </row>
    <row r="100" spans="1:4" x14ac:dyDescent="0.3">
      <c r="A100" t="s">
        <v>254</v>
      </c>
      <c r="B100">
        <v>16</v>
      </c>
      <c r="C100">
        <v>111</v>
      </c>
      <c r="D100">
        <v>211</v>
      </c>
    </row>
    <row r="101" spans="1:4" x14ac:dyDescent="0.3">
      <c r="A101" t="s">
        <v>255</v>
      </c>
      <c r="B101">
        <v>16</v>
      </c>
      <c r="C101">
        <v>15</v>
      </c>
      <c r="D101">
        <v>5</v>
      </c>
    </row>
    <row r="102" spans="1:4" x14ac:dyDescent="0.3">
      <c r="A102" t="s">
        <v>256</v>
      </c>
      <c r="B102">
        <v>16</v>
      </c>
      <c r="C102">
        <v>75</v>
      </c>
      <c r="D102">
        <v>33.799999999999997</v>
      </c>
    </row>
    <row r="103" spans="1:4" x14ac:dyDescent="0.3">
      <c r="A103" t="s">
        <v>257</v>
      </c>
      <c r="B103">
        <v>16</v>
      </c>
      <c r="C103">
        <v>1</v>
      </c>
      <c r="D103">
        <v>2</v>
      </c>
    </row>
    <row r="104" spans="1:4" x14ac:dyDescent="0.3">
      <c r="A104" t="s">
        <v>258</v>
      </c>
      <c r="B104">
        <v>16</v>
      </c>
      <c r="C104">
        <v>0</v>
      </c>
      <c r="D104">
        <v>0</v>
      </c>
    </row>
    <row r="105" spans="1:4" x14ac:dyDescent="0.3">
      <c r="A105" t="s">
        <v>259</v>
      </c>
      <c r="B105">
        <v>16</v>
      </c>
      <c r="C105">
        <v>0</v>
      </c>
      <c r="D105">
        <v>0</v>
      </c>
    </row>
    <row r="106" spans="1:4" x14ac:dyDescent="0.3">
      <c r="A106" t="s">
        <v>260</v>
      </c>
      <c r="B106">
        <v>16</v>
      </c>
      <c r="C106">
        <v>0</v>
      </c>
      <c r="D106">
        <v>0</v>
      </c>
    </row>
    <row r="107" spans="1:4" x14ac:dyDescent="0.3">
      <c r="A107" t="s">
        <v>261</v>
      </c>
      <c r="B107">
        <v>16</v>
      </c>
      <c r="C107">
        <v>4</v>
      </c>
      <c r="D107">
        <v>3</v>
      </c>
    </row>
    <row r="108" spans="1:4" x14ac:dyDescent="0.3">
      <c r="A108" t="s">
        <v>262</v>
      </c>
      <c r="B108">
        <v>16</v>
      </c>
      <c r="C108">
        <v>1</v>
      </c>
      <c r="D108">
        <v>3.2</v>
      </c>
    </row>
    <row r="109" spans="1:4" x14ac:dyDescent="0.3">
      <c r="A109" t="s">
        <v>263</v>
      </c>
      <c r="B109">
        <v>16</v>
      </c>
      <c r="C109">
        <v>3</v>
      </c>
      <c r="D109">
        <v>3</v>
      </c>
    </row>
    <row r="110" spans="1:4" x14ac:dyDescent="0.3">
      <c r="A110" t="s">
        <v>264</v>
      </c>
      <c r="B110">
        <v>16</v>
      </c>
      <c r="C110">
        <v>8</v>
      </c>
      <c r="D110">
        <v>8</v>
      </c>
    </row>
    <row r="111" spans="1:4" x14ac:dyDescent="0.3">
      <c r="A111" t="s">
        <v>265</v>
      </c>
      <c r="B111">
        <v>16</v>
      </c>
      <c r="C111">
        <v>12</v>
      </c>
      <c r="D111">
        <v>24</v>
      </c>
    </row>
    <row r="112" spans="1:4" x14ac:dyDescent="0.3">
      <c r="A112" t="s">
        <v>266</v>
      </c>
      <c r="B112">
        <v>16</v>
      </c>
      <c r="C112">
        <v>0</v>
      </c>
      <c r="D112">
        <v>0</v>
      </c>
    </row>
    <row r="113" spans="1:18" x14ac:dyDescent="0.3">
      <c r="A113" t="s">
        <v>267</v>
      </c>
      <c r="B113">
        <v>16</v>
      </c>
      <c r="C113">
        <v>25</v>
      </c>
      <c r="D113">
        <v>38.200000000000003</v>
      </c>
    </row>
    <row r="114" spans="1:18" x14ac:dyDescent="0.3">
      <c r="A114" t="s">
        <v>268</v>
      </c>
      <c r="B114">
        <v>16</v>
      </c>
      <c r="C114">
        <v>0</v>
      </c>
      <c r="D114">
        <v>0</v>
      </c>
    </row>
    <row r="115" spans="1:18" x14ac:dyDescent="0.3">
      <c r="A115" t="s">
        <v>269</v>
      </c>
      <c r="B115">
        <v>16</v>
      </c>
      <c r="C115">
        <v>1</v>
      </c>
      <c r="D115">
        <v>1</v>
      </c>
    </row>
    <row r="116" spans="1:18" x14ac:dyDescent="0.3">
      <c r="A116" t="s">
        <v>270</v>
      </c>
      <c r="B116">
        <v>16</v>
      </c>
      <c r="C116">
        <v>40</v>
      </c>
      <c r="D116">
        <v>0</v>
      </c>
    </row>
    <row r="117" spans="1:18" x14ac:dyDescent="0.3">
      <c r="A117" t="s">
        <v>271</v>
      </c>
      <c r="B117">
        <v>16</v>
      </c>
      <c r="C117">
        <v>0</v>
      </c>
      <c r="D117">
        <v>40</v>
      </c>
    </row>
    <row r="118" spans="1:18" x14ac:dyDescent="0.3">
      <c r="A118" t="s">
        <v>272</v>
      </c>
      <c r="B118">
        <v>16</v>
      </c>
      <c r="C118">
        <v>115</v>
      </c>
      <c r="D118">
        <v>33.799999999999997</v>
      </c>
    </row>
    <row r="119" spans="1:18" x14ac:dyDescent="0.3">
      <c r="A119" t="s">
        <v>273</v>
      </c>
      <c r="B119">
        <v>16</v>
      </c>
      <c r="C119">
        <v>103</v>
      </c>
      <c r="D119">
        <v>9.8000000000000007</v>
      </c>
    </row>
    <row r="120" spans="1:18" x14ac:dyDescent="0.3">
      <c r="A120" t="s">
        <v>274</v>
      </c>
      <c r="B120">
        <v>16</v>
      </c>
      <c r="C120">
        <v>40</v>
      </c>
      <c r="D120">
        <v>0</v>
      </c>
    </row>
    <row r="121" spans="1:18" x14ac:dyDescent="0.3">
      <c r="A121" t="s">
        <v>275</v>
      </c>
      <c r="B121">
        <v>16</v>
      </c>
      <c r="C121">
        <v>115</v>
      </c>
      <c r="D121">
        <v>33.799999999999997</v>
      </c>
    </row>
    <row r="122" spans="1:18" x14ac:dyDescent="0.3">
      <c r="A122" t="s">
        <v>276</v>
      </c>
      <c r="B122">
        <v>16</v>
      </c>
      <c r="C122">
        <v>103</v>
      </c>
      <c r="D122">
        <v>9.8000000000000007</v>
      </c>
    </row>
    <row r="123" spans="1:18" x14ac:dyDescent="0.3">
      <c r="A123" t="s">
        <v>567</v>
      </c>
      <c r="B123">
        <v>16</v>
      </c>
      <c r="C123">
        <v>75</v>
      </c>
      <c r="D123">
        <v>33.799999999999997</v>
      </c>
    </row>
    <row r="124" spans="1:18" x14ac:dyDescent="0.3">
      <c r="A124" t="s">
        <v>254</v>
      </c>
      <c r="B124">
        <v>21</v>
      </c>
      <c r="C124">
        <v>111</v>
      </c>
      <c r="D124">
        <v>112</v>
      </c>
      <c r="E124">
        <v>211</v>
      </c>
      <c r="F124">
        <v>212</v>
      </c>
      <c r="G124">
        <v>121</v>
      </c>
      <c r="H124">
        <v>122</v>
      </c>
      <c r="I124">
        <v>222</v>
      </c>
      <c r="J124">
        <v>221</v>
      </c>
      <c r="K124">
        <v>311</v>
      </c>
      <c r="L124">
        <v>312</v>
      </c>
      <c r="M124">
        <v>411</v>
      </c>
      <c r="N124">
        <v>412</v>
      </c>
      <c r="O124">
        <v>321</v>
      </c>
      <c r="P124">
        <v>322</v>
      </c>
      <c r="Q124">
        <v>421</v>
      </c>
      <c r="R124">
        <v>422</v>
      </c>
    </row>
    <row r="125" spans="1:18" x14ac:dyDescent="0.3">
      <c r="A125" t="s">
        <v>255</v>
      </c>
      <c r="B125">
        <v>21</v>
      </c>
      <c r="C125">
        <v>5</v>
      </c>
      <c r="D125">
        <v>15</v>
      </c>
      <c r="E125">
        <v>5</v>
      </c>
      <c r="F125">
        <v>15</v>
      </c>
      <c r="G125">
        <v>5</v>
      </c>
      <c r="H125">
        <v>15</v>
      </c>
      <c r="I125">
        <v>5</v>
      </c>
      <c r="J125">
        <v>15</v>
      </c>
    </row>
    <row r="126" spans="1:18" x14ac:dyDescent="0.3">
      <c r="A126" t="s">
        <v>256</v>
      </c>
      <c r="B126">
        <v>21</v>
      </c>
      <c r="C126">
        <v>18</v>
      </c>
      <c r="D126">
        <v>47.4</v>
      </c>
      <c r="E126">
        <v>5</v>
      </c>
      <c r="F126">
        <v>27.9</v>
      </c>
      <c r="G126">
        <v>5</v>
      </c>
      <c r="H126">
        <v>60.4</v>
      </c>
      <c r="I126">
        <v>5</v>
      </c>
      <c r="J126">
        <v>27.9</v>
      </c>
    </row>
    <row r="127" spans="1:18" x14ac:dyDescent="0.3">
      <c r="A127" t="s">
        <v>257</v>
      </c>
      <c r="B127">
        <v>21</v>
      </c>
      <c r="C127">
        <v>2</v>
      </c>
      <c r="D127">
        <v>1</v>
      </c>
      <c r="E127">
        <v>2</v>
      </c>
      <c r="F127">
        <v>1</v>
      </c>
      <c r="G127">
        <v>2</v>
      </c>
      <c r="H127">
        <v>1</v>
      </c>
      <c r="I127">
        <v>2</v>
      </c>
      <c r="J127">
        <v>1</v>
      </c>
    </row>
    <row r="128" spans="1:18" x14ac:dyDescent="0.3">
      <c r="A128" t="s">
        <v>258</v>
      </c>
      <c r="B128">
        <v>21</v>
      </c>
      <c r="C128">
        <v>0</v>
      </c>
      <c r="D128">
        <v>0</v>
      </c>
      <c r="E128">
        <v>0</v>
      </c>
      <c r="F128">
        <v>0</v>
      </c>
      <c r="G128">
        <v>0</v>
      </c>
      <c r="H128">
        <v>0</v>
      </c>
      <c r="I128">
        <v>0</v>
      </c>
      <c r="J128">
        <v>0</v>
      </c>
    </row>
    <row r="129" spans="1:10" x14ac:dyDescent="0.3">
      <c r="A129" t="s">
        <v>259</v>
      </c>
      <c r="B129">
        <v>21</v>
      </c>
      <c r="C129">
        <v>0</v>
      </c>
      <c r="D129">
        <v>0</v>
      </c>
      <c r="E129">
        <v>0</v>
      </c>
      <c r="F129">
        <v>0</v>
      </c>
      <c r="G129">
        <v>0</v>
      </c>
      <c r="H129">
        <v>0</v>
      </c>
      <c r="I129">
        <v>0</v>
      </c>
      <c r="J129">
        <v>0</v>
      </c>
    </row>
    <row r="130" spans="1:10" x14ac:dyDescent="0.3">
      <c r="A130" t="s">
        <v>260</v>
      </c>
      <c r="B130">
        <v>21</v>
      </c>
      <c r="C130">
        <v>0</v>
      </c>
      <c r="D130">
        <v>0</v>
      </c>
      <c r="E130">
        <v>0</v>
      </c>
      <c r="F130">
        <v>0</v>
      </c>
      <c r="G130">
        <v>0</v>
      </c>
      <c r="H130">
        <v>0</v>
      </c>
      <c r="I130">
        <v>0</v>
      </c>
      <c r="J130">
        <v>0</v>
      </c>
    </row>
    <row r="131" spans="1:10" x14ac:dyDescent="0.3">
      <c r="A131" t="s">
        <v>261</v>
      </c>
      <c r="B131">
        <v>21</v>
      </c>
      <c r="C131">
        <v>4</v>
      </c>
      <c r="D131">
        <v>4</v>
      </c>
      <c r="E131">
        <v>4</v>
      </c>
      <c r="F131">
        <v>4.3</v>
      </c>
      <c r="G131">
        <v>4</v>
      </c>
      <c r="H131">
        <v>4</v>
      </c>
      <c r="I131">
        <v>4</v>
      </c>
      <c r="J131">
        <v>4.3</v>
      </c>
    </row>
    <row r="132" spans="1:10" x14ac:dyDescent="0.3">
      <c r="A132" t="s">
        <v>262</v>
      </c>
      <c r="B132">
        <v>21</v>
      </c>
      <c r="C132">
        <v>1</v>
      </c>
      <c r="D132">
        <v>1.6</v>
      </c>
      <c r="E132">
        <v>1</v>
      </c>
      <c r="F132">
        <v>1.8</v>
      </c>
      <c r="G132">
        <v>1</v>
      </c>
      <c r="H132">
        <v>1.6</v>
      </c>
      <c r="I132">
        <v>1</v>
      </c>
      <c r="J132">
        <v>1.8</v>
      </c>
    </row>
    <row r="133" spans="1:10" x14ac:dyDescent="0.3">
      <c r="A133" t="s">
        <v>263</v>
      </c>
      <c r="B133">
        <v>21</v>
      </c>
      <c r="C133">
        <v>3</v>
      </c>
      <c r="D133">
        <v>3</v>
      </c>
      <c r="E133">
        <v>3</v>
      </c>
      <c r="F133">
        <v>3</v>
      </c>
      <c r="G133">
        <v>3</v>
      </c>
      <c r="H133">
        <v>3</v>
      </c>
      <c r="I133">
        <v>3</v>
      </c>
      <c r="J133">
        <v>3</v>
      </c>
    </row>
    <row r="134" spans="1:10" x14ac:dyDescent="0.3">
      <c r="A134" t="s">
        <v>264</v>
      </c>
      <c r="B134">
        <v>21</v>
      </c>
      <c r="D134">
        <v>7</v>
      </c>
      <c r="F134">
        <v>7</v>
      </c>
      <c r="H134">
        <v>7</v>
      </c>
      <c r="J134">
        <v>7</v>
      </c>
    </row>
    <row r="135" spans="1:10" x14ac:dyDescent="0.3">
      <c r="A135" t="s">
        <v>265</v>
      </c>
      <c r="B135">
        <v>21</v>
      </c>
      <c r="D135">
        <v>18</v>
      </c>
      <c r="F135">
        <v>20</v>
      </c>
      <c r="H135">
        <v>18</v>
      </c>
      <c r="J135">
        <v>20</v>
      </c>
    </row>
    <row r="136" spans="1:10" x14ac:dyDescent="0.3">
      <c r="A136" t="s">
        <v>266</v>
      </c>
      <c r="B136">
        <v>21</v>
      </c>
      <c r="D136">
        <v>0</v>
      </c>
      <c r="F136">
        <v>0</v>
      </c>
      <c r="H136">
        <v>0</v>
      </c>
      <c r="J136">
        <v>0</v>
      </c>
    </row>
    <row r="137" spans="1:10" x14ac:dyDescent="0.3">
      <c r="A137" t="s">
        <v>267</v>
      </c>
      <c r="B137">
        <v>21</v>
      </c>
      <c r="C137">
        <v>23</v>
      </c>
      <c r="D137">
        <v>30.6</v>
      </c>
      <c r="E137">
        <v>10</v>
      </c>
      <c r="F137">
        <v>33.1</v>
      </c>
      <c r="G137">
        <v>10</v>
      </c>
      <c r="H137">
        <v>30.6</v>
      </c>
      <c r="I137">
        <v>10</v>
      </c>
      <c r="J137">
        <v>33.1</v>
      </c>
    </row>
    <row r="138" spans="1:10" x14ac:dyDescent="0.3">
      <c r="A138" t="s">
        <v>268</v>
      </c>
      <c r="B138">
        <v>21</v>
      </c>
      <c r="C138">
        <v>0</v>
      </c>
      <c r="D138">
        <v>1</v>
      </c>
      <c r="E138">
        <v>0</v>
      </c>
      <c r="F138">
        <v>1</v>
      </c>
      <c r="G138">
        <v>0</v>
      </c>
      <c r="H138">
        <v>1</v>
      </c>
      <c r="I138">
        <v>0</v>
      </c>
      <c r="J138">
        <v>1</v>
      </c>
    </row>
    <row r="139" spans="1:10" x14ac:dyDescent="0.3">
      <c r="A139" t="s">
        <v>269</v>
      </c>
      <c r="B139">
        <v>21</v>
      </c>
      <c r="C139">
        <v>1</v>
      </c>
      <c r="D139">
        <v>1</v>
      </c>
      <c r="E139">
        <v>1</v>
      </c>
      <c r="F139">
        <v>1</v>
      </c>
      <c r="G139">
        <v>1</v>
      </c>
      <c r="H139">
        <v>1</v>
      </c>
      <c r="I139">
        <v>1</v>
      </c>
      <c r="J139">
        <v>1</v>
      </c>
    </row>
    <row r="140" spans="1:10" x14ac:dyDescent="0.3">
      <c r="A140" t="s">
        <v>270</v>
      </c>
      <c r="B140">
        <v>21</v>
      </c>
      <c r="C140">
        <v>44</v>
      </c>
      <c r="D140">
        <v>67</v>
      </c>
      <c r="E140">
        <v>0</v>
      </c>
      <c r="F140">
        <v>10</v>
      </c>
      <c r="G140">
        <v>44</v>
      </c>
      <c r="H140">
        <v>54</v>
      </c>
      <c r="I140">
        <v>34</v>
      </c>
      <c r="J140">
        <v>0</v>
      </c>
    </row>
    <row r="141" spans="1:10" x14ac:dyDescent="0.3">
      <c r="A141" t="s">
        <v>271</v>
      </c>
      <c r="B141">
        <v>21</v>
      </c>
      <c r="C141">
        <v>67</v>
      </c>
      <c r="D141">
        <v>0</v>
      </c>
      <c r="E141">
        <v>10</v>
      </c>
      <c r="F141">
        <v>44</v>
      </c>
      <c r="G141">
        <v>54</v>
      </c>
      <c r="H141">
        <v>0</v>
      </c>
      <c r="I141">
        <v>44</v>
      </c>
      <c r="J141">
        <v>34</v>
      </c>
    </row>
    <row r="142" spans="1:10" x14ac:dyDescent="0.3">
      <c r="A142" t="s">
        <v>272</v>
      </c>
      <c r="B142">
        <v>21</v>
      </c>
      <c r="C142">
        <v>62</v>
      </c>
      <c r="D142">
        <v>114.4</v>
      </c>
      <c r="E142">
        <v>5</v>
      </c>
      <c r="F142">
        <v>37.9</v>
      </c>
      <c r="G142">
        <v>49</v>
      </c>
      <c r="H142">
        <v>114.4</v>
      </c>
      <c r="I142">
        <v>39</v>
      </c>
      <c r="J142">
        <v>27.9</v>
      </c>
    </row>
    <row r="143" spans="1:10" x14ac:dyDescent="0.3">
      <c r="A143" t="s">
        <v>273</v>
      </c>
      <c r="B143">
        <v>21</v>
      </c>
      <c r="C143">
        <v>62</v>
      </c>
      <c r="D143">
        <v>96.4</v>
      </c>
      <c r="E143">
        <v>5</v>
      </c>
      <c r="F143">
        <v>17.899999999999999</v>
      </c>
      <c r="G143">
        <v>49</v>
      </c>
      <c r="H143">
        <v>96.4</v>
      </c>
      <c r="I143">
        <v>39</v>
      </c>
      <c r="J143">
        <v>7.9</v>
      </c>
    </row>
    <row r="144" spans="1:10" x14ac:dyDescent="0.3">
      <c r="A144" t="s">
        <v>274</v>
      </c>
      <c r="B144">
        <v>21</v>
      </c>
      <c r="C144">
        <v>97</v>
      </c>
      <c r="D144">
        <v>0</v>
      </c>
      <c r="E144">
        <v>53</v>
      </c>
      <c r="F144">
        <v>63</v>
      </c>
      <c r="G144">
        <v>97</v>
      </c>
      <c r="H144">
        <v>107</v>
      </c>
      <c r="I144">
        <v>87</v>
      </c>
      <c r="J144">
        <v>53</v>
      </c>
    </row>
    <row r="145" spans="1:18" x14ac:dyDescent="0.3">
      <c r="A145" t="s">
        <v>275</v>
      </c>
      <c r="B145">
        <v>21</v>
      </c>
      <c r="C145">
        <v>115</v>
      </c>
      <c r="D145">
        <v>47.4</v>
      </c>
      <c r="E145">
        <v>58</v>
      </c>
      <c r="F145">
        <v>90.9</v>
      </c>
      <c r="G145">
        <v>102</v>
      </c>
      <c r="H145">
        <v>47.4</v>
      </c>
      <c r="I145">
        <v>92</v>
      </c>
      <c r="J145">
        <v>80.900000000000006</v>
      </c>
    </row>
    <row r="146" spans="1:18" x14ac:dyDescent="0.3">
      <c r="A146" t="s">
        <v>276</v>
      </c>
      <c r="B146">
        <v>21</v>
      </c>
      <c r="C146">
        <v>115</v>
      </c>
      <c r="D146">
        <v>29.4</v>
      </c>
      <c r="E146">
        <v>58</v>
      </c>
      <c r="F146">
        <v>70.900000000000006</v>
      </c>
      <c r="G146">
        <v>102</v>
      </c>
      <c r="H146">
        <v>29.4</v>
      </c>
      <c r="I146">
        <v>92</v>
      </c>
      <c r="J146">
        <v>60.9</v>
      </c>
    </row>
    <row r="147" spans="1:18" x14ac:dyDescent="0.3">
      <c r="A147" t="s">
        <v>567</v>
      </c>
      <c r="B147">
        <v>21</v>
      </c>
      <c r="C147">
        <v>18</v>
      </c>
      <c r="D147">
        <v>47.4</v>
      </c>
      <c r="E147">
        <v>5</v>
      </c>
      <c r="F147">
        <v>27.9</v>
      </c>
      <c r="G147">
        <v>5</v>
      </c>
      <c r="H147">
        <v>60.4</v>
      </c>
      <c r="I147">
        <v>5</v>
      </c>
      <c r="J147">
        <v>27.9</v>
      </c>
    </row>
    <row r="148" spans="1:18" x14ac:dyDescent="0.3">
      <c r="A148" t="s">
        <v>254</v>
      </c>
      <c r="B148">
        <v>24</v>
      </c>
      <c r="C148">
        <v>111</v>
      </c>
      <c r="D148">
        <v>211</v>
      </c>
      <c r="K148">
        <v>311</v>
      </c>
      <c r="L148">
        <v>312</v>
      </c>
      <c r="M148">
        <v>411</v>
      </c>
      <c r="N148">
        <v>412</v>
      </c>
      <c r="O148">
        <v>321</v>
      </c>
      <c r="P148">
        <v>322</v>
      </c>
      <c r="Q148">
        <v>421</v>
      </c>
      <c r="R148">
        <v>422</v>
      </c>
    </row>
    <row r="149" spans="1:18" x14ac:dyDescent="0.3">
      <c r="A149" t="s">
        <v>255</v>
      </c>
      <c r="B149">
        <v>24</v>
      </c>
      <c r="C149">
        <v>15</v>
      </c>
      <c r="D149">
        <v>5</v>
      </c>
    </row>
    <row r="150" spans="1:18" x14ac:dyDescent="0.3">
      <c r="A150" t="s">
        <v>256</v>
      </c>
      <c r="B150">
        <v>24</v>
      </c>
      <c r="C150">
        <v>23.4</v>
      </c>
      <c r="D150">
        <v>26</v>
      </c>
    </row>
    <row r="151" spans="1:18" x14ac:dyDescent="0.3">
      <c r="A151" t="s">
        <v>257</v>
      </c>
      <c r="B151">
        <v>24</v>
      </c>
      <c r="C151">
        <v>1</v>
      </c>
      <c r="D151">
        <v>2</v>
      </c>
    </row>
    <row r="152" spans="1:18" x14ac:dyDescent="0.3">
      <c r="A152" t="s">
        <v>258</v>
      </c>
      <c r="B152">
        <v>24</v>
      </c>
      <c r="C152">
        <v>0</v>
      </c>
      <c r="D152">
        <v>0</v>
      </c>
    </row>
    <row r="153" spans="1:18" x14ac:dyDescent="0.3">
      <c r="A153" t="s">
        <v>259</v>
      </c>
      <c r="B153">
        <v>24</v>
      </c>
      <c r="C153">
        <v>0</v>
      </c>
      <c r="D153">
        <v>0</v>
      </c>
    </row>
    <row r="154" spans="1:18" x14ac:dyDescent="0.3">
      <c r="A154" t="s">
        <v>260</v>
      </c>
      <c r="B154">
        <v>24</v>
      </c>
      <c r="C154">
        <v>0</v>
      </c>
      <c r="D154">
        <v>0</v>
      </c>
    </row>
    <row r="155" spans="1:18" x14ac:dyDescent="0.3">
      <c r="A155" t="s">
        <v>261</v>
      </c>
      <c r="B155">
        <v>24</v>
      </c>
      <c r="C155">
        <v>4</v>
      </c>
      <c r="D155">
        <v>3</v>
      </c>
    </row>
    <row r="156" spans="1:18" x14ac:dyDescent="0.3">
      <c r="A156" t="s">
        <v>262</v>
      </c>
      <c r="B156">
        <v>24</v>
      </c>
      <c r="C156">
        <v>1</v>
      </c>
      <c r="D156">
        <v>2.6</v>
      </c>
    </row>
    <row r="157" spans="1:18" x14ac:dyDescent="0.3">
      <c r="A157" t="s">
        <v>263</v>
      </c>
      <c r="B157">
        <v>24</v>
      </c>
      <c r="C157">
        <v>3</v>
      </c>
      <c r="D157">
        <v>3</v>
      </c>
    </row>
    <row r="158" spans="1:18" x14ac:dyDescent="0.3">
      <c r="A158" t="s">
        <v>264</v>
      </c>
      <c r="B158">
        <v>24</v>
      </c>
      <c r="C158">
        <v>8</v>
      </c>
      <c r="D158">
        <v>8</v>
      </c>
    </row>
    <row r="159" spans="1:18" x14ac:dyDescent="0.3">
      <c r="A159" t="s">
        <v>265</v>
      </c>
      <c r="B159">
        <v>24</v>
      </c>
      <c r="C159">
        <v>7</v>
      </c>
      <c r="D159">
        <v>18</v>
      </c>
    </row>
    <row r="160" spans="1:18" x14ac:dyDescent="0.3">
      <c r="A160" t="s">
        <v>266</v>
      </c>
      <c r="B160">
        <v>24</v>
      </c>
      <c r="C160">
        <v>0</v>
      </c>
      <c r="D160">
        <v>0</v>
      </c>
    </row>
    <row r="161" spans="1:18" x14ac:dyDescent="0.3">
      <c r="A161" t="s">
        <v>267</v>
      </c>
      <c r="B161">
        <v>24</v>
      </c>
      <c r="C161">
        <v>24</v>
      </c>
      <c r="D161">
        <v>31.6</v>
      </c>
    </row>
    <row r="162" spans="1:18" x14ac:dyDescent="0.3">
      <c r="A162" t="s">
        <v>268</v>
      </c>
      <c r="B162">
        <v>24</v>
      </c>
      <c r="C162">
        <v>0</v>
      </c>
      <c r="D162">
        <v>0</v>
      </c>
    </row>
    <row r="163" spans="1:18" x14ac:dyDescent="0.3">
      <c r="A163" t="s">
        <v>269</v>
      </c>
      <c r="B163">
        <v>24</v>
      </c>
      <c r="C163">
        <v>1</v>
      </c>
      <c r="D163">
        <v>1</v>
      </c>
    </row>
    <row r="164" spans="1:18" x14ac:dyDescent="0.3">
      <c r="A164" t="s">
        <v>270</v>
      </c>
      <c r="B164">
        <v>24</v>
      </c>
      <c r="C164">
        <v>14</v>
      </c>
      <c r="D164">
        <v>42.4</v>
      </c>
    </row>
    <row r="165" spans="1:18" x14ac:dyDescent="0.3">
      <c r="A165" t="s">
        <v>271</v>
      </c>
      <c r="B165">
        <v>24</v>
      </c>
      <c r="C165">
        <v>42.4</v>
      </c>
      <c r="D165">
        <v>14</v>
      </c>
    </row>
    <row r="166" spans="1:18" x14ac:dyDescent="0.3">
      <c r="A166" t="s">
        <v>272</v>
      </c>
      <c r="B166">
        <v>24</v>
      </c>
      <c r="C166">
        <v>37.4</v>
      </c>
      <c r="D166">
        <v>8.4</v>
      </c>
    </row>
    <row r="167" spans="1:18" x14ac:dyDescent="0.3">
      <c r="A167" t="s">
        <v>273</v>
      </c>
      <c r="B167">
        <v>24</v>
      </c>
      <c r="C167">
        <v>30.4</v>
      </c>
      <c r="D167">
        <v>50.4</v>
      </c>
    </row>
    <row r="168" spans="1:18" x14ac:dyDescent="0.3">
      <c r="A168" t="s">
        <v>274</v>
      </c>
      <c r="B168">
        <v>24</v>
      </c>
      <c r="C168">
        <v>0</v>
      </c>
      <c r="D168">
        <v>28.4</v>
      </c>
    </row>
    <row r="169" spans="1:18" x14ac:dyDescent="0.3">
      <c r="A169" t="s">
        <v>275</v>
      </c>
      <c r="B169">
        <v>24</v>
      </c>
      <c r="C169">
        <v>23.4</v>
      </c>
      <c r="D169">
        <v>54.4</v>
      </c>
    </row>
    <row r="170" spans="1:18" x14ac:dyDescent="0.3">
      <c r="A170" t="s">
        <v>276</v>
      </c>
      <c r="B170">
        <v>24</v>
      </c>
      <c r="C170">
        <v>16.399999999999999</v>
      </c>
      <c r="D170">
        <v>36.4</v>
      </c>
    </row>
    <row r="171" spans="1:18" x14ac:dyDescent="0.3">
      <c r="A171" t="s">
        <v>567</v>
      </c>
      <c r="B171">
        <v>24</v>
      </c>
      <c r="C171">
        <v>23.4</v>
      </c>
      <c r="D171">
        <v>26</v>
      </c>
    </row>
    <row r="172" spans="1:18" x14ac:dyDescent="0.3">
      <c r="A172" t="s">
        <v>254</v>
      </c>
      <c r="B172">
        <v>27</v>
      </c>
      <c r="C172">
        <v>111</v>
      </c>
      <c r="D172">
        <v>211</v>
      </c>
      <c r="K172">
        <v>311</v>
      </c>
      <c r="L172">
        <v>312</v>
      </c>
      <c r="M172">
        <v>411</v>
      </c>
      <c r="N172">
        <v>412</v>
      </c>
      <c r="O172">
        <v>321</v>
      </c>
      <c r="P172">
        <v>322</v>
      </c>
      <c r="Q172">
        <v>421</v>
      </c>
      <c r="R172">
        <v>422</v>
      </c>
    </row>
    <row r="173" spans="1:18" x14ac:dyDescent="0.3">
      <c r="A173" t="s">
        <v>255</v>
      </c>
      <c r="B173">
        <v>27</v>
      </c>
      <c r="C173">
        <v>15</v>
      </c>
      <c r="D173">
        <v>5</v>
      </c>
    </row>
    <row r="174" spans="1:18" x14ac:dyDescent="0.3">
      <c r="A174" t="s">
        <v>256</v>
      </c>
      <c r="B174">
        <v>27</v>
      </c>
      <c r="C174">
        <v>80.7</v>
      </c>
      <c r="D174">
        <v>28.2</v>
      </c>
    </row>
    <row r="175" spans="1:18" x14ac:dyDescent="0.3">
      <c r="A175" t="s">
        <v>257</v>
      </c>
      <c r="B175">
        <v>27</v>
      </c>
      <c r="C175">
        <v>0.2</v>
      </c>
      <c r="D175">
        <v>2</v>
      </c>
    </row>
    <row r="176" spans="1:18" x14ac:dyDescent="0.3">
      <c r="A176" t="s">
        <v>258</v>
      </c>
      <c r="B176">
        <v>27</v>
      </c>
      <c r="C176">
        <v>0</v>
      </c>
      <c r="D176">
        <v>0</v>
      </c>
    </row>
    <row r="177" spans="1:4" x14ac:dyDescent="0.3">
      <c r="A177" t="s">
        <v>259</v>
      </c>
      <c r="B177">
        <v>27</v>
      </c>
      <c r="C177">
        <v>0</v>
      </c>
      <c r="D177">
        <v>0</v>
      </c>
    </row>
    <row r="178" spans="1:4" x14ac:dyDescent="0.3">
      <c r="A178" t="s">
        <v>260</v>
      </c>
      <c r="B178">
        <v>27</v>
      </c>
      <c r="C178">
        <v>0</v>
      </c>
      <c r="D178">
        <v>0</v>
      </c>
    </row>
    <row r="179" spans="1:4" x14ac:dyDescent="0.3">
      <c r="A179" t="s">
        <v>261</v>
      </c>
      <c r="B179">
        <v>27</v>
      </c>
      <c r="C179">
        <v>4.3</v>
      </c>
      <c r="D179">
        <v>3.2</v>
      </c>
    </row>
    <row r="180" spans="1:4" x14ac:dyDescent="0.3">
      <c r="A180" t="s">
        <v>262</v>
      </c>
      <c r="B180">
        <v>27</v>
      </c>
      <c r="C180">
        <v>1</v>
      </c>
      <c r="D180">
        <v>2.6</v>
      </c>
    </row>
    <row r="181" spans="1:4" x14ac:dyDescent="0.3">
      <c r="A181" t="s">
        <v>263</v>
      </c>
      <c r="B181">
        <v>27</v>
      </c>
      <c r="C181">
        <v>3</v>
      </c>
      <c r="D181">
        <v>3</v>
      </c>
    </row>
    <row r="182" spans="1:4" x14ac:dyDescent="0.3">
      <c r="A182" t="s">
        <v>264</v>
      </c>
      <c r="B182">
        <v>27</v>
      </c>
      <c r="C182">
        <v>8</v>
      </c>
      <c r="D182">
        <v>8</v>
      </c>
    </row>
    <row r="183" spans="1:4" x14ac:dyDescent="0.3">
      <c r="A183" t="s">
        <v>265</v>
      </c>
      <c r="B183">
        <v>27</v>
      </c>
      <c r="C183">
        <v>20</v>
      </c>
      <c r="D183">
        <v>18</v>
      </c>
    </row>
    <row r="184" spans="1:4" x14ac:dyDescent="0.3">
      <c r="A184" t="s">
        <v>266</v>
      </c>
      <c r="B184">
        <v>27</v>
      </c>
      <c r="C184">
        <v>0</v>
      </c>
      <c r="D184">
        <v>0</v>
      </c>
    </row>
    <row r="185" spans="1:4" x14ac:dyDescent="0.3">
      <c r="A185" t="s">
        <v>267</v>
      </c>
      <c r="B185">
        <v>27</v>
      </c>
      <c r="C185">
        <v>33.299999999999997</v>
      </c>
      <c r="D185">
        <v>10.8</v>
      </c>
    </row>
    <row r="186" spans="1:4" x14ac:dyDescent="0.3">
      <c r="A186" t="s">
        <v>268</v>
      </c>
      <c r="B186">
        <v>27</v>
      </c>
      <c r="C186">
        <v>0</v>
      </c>
      <c r="D186">
        <v>0</v>
      </c>
    </row>
    <row r="187" spans="1:4" x14ac:dyDescent="0.3">
      <c r="A187" t="s">
        <v>269</v>
      </c>
      <c r="B187">
        <v>27</v>
      </c>
      <c r="C187">
        <v>1</v>
      </c>
      <c r="D187">
        <v>1</v>
      </c>
    </row>
    <row r="188" spans="1:4" x14ac:dyDescent="0.3">
      <c r="A188" t="s">
        <v>270</v>
      </c>
      <c r="B188">
        <v>27</v>
      </c>
      <c r="C188">
        <v>0</v>
      </c>
      <c r="D188">
        <v>86</v>
      </c>
    </row>
    <row r="189" spans="1:4" x14ac:dyDescent="0.3">
      <c r="A189" t="s">
        <v>271</v>
      </c>
      <c r="B189">
        <v>27</v>
      </c>
      <c r="C189">
        <v>86</v>
      </c>
      <c r="D189">
        <v>0</v>
      </c>
    </row>
    <row r="190" spans="1:4" x14ac:dyDescent="0.3">
      <c r="A190" t="s">
        <v>272</v>
      </c>
      <c r="B190">
        <v>27</v>
      </c>
      <c r="C190">
        <v>80.7</v>
      </c>
      <c r="D190">
        <v>114.2</v>
      </c>
    </row>
    <row r="191" spans="1:4" x14ac:dyDescent="0.3">
      <c r="A191" t="s">
        <v>273</v>
      </c>
      <c r="B191">
        <v>27</v>
      </c>
      <c r="C191">
        <v>60.7</v>
      </c>
      <c r="D191">
        <v>96.2</v>
      </c>
    </row>
    <row r="192" spans="1:4" x14ac:dyDescent="0.3">
      <c r="A192" t="s">
        <v>274</v>
      </c>
      <c r="B192">
        <v>27</v>
      </c>
      <c r="C192">
        <v>0</v>
      </c>
      <c r="D192">
        <v>86</v>
      </c>
    </row>
    <row r="193" spans="1:18" x14ac:dyDescent="0.3">
      <c r="A193" t="s">
        <v>275</v>
      </c>
      <c r="B193">
        <v>27</v>
      </c>
      <c r="C193">
        <v>80.7</v>
      </c>
      <c r="D193">
        <v>114.2</v>
      </c>
    </row>
    <row r="194" spans="1:18" x14ac:dyDescent="0.3">
      <c r="A194" t="s">
        <v>276</v>
      </c>
      <c r="B194">
        <v>27</v>
      </c>
      <c r="C194">
        <v>60.7</v>
      </c>
      <c r="D194">
        <v>96.2</v>
      </c>
    </row>
    <row r="195" spans="1:18" x14ac:dyDescent="0.3">
      <c r="A195" t="s">
        <v>567</v>
      </c>
      <c r="B195">
        <v>27</v>
      </c>
      <c r="C195">
        <v>80.7</v>
      </c>
      <c r="D195">
        <v>28.2</v>
      </c>
    </row>
    <row r="196" spans="1:18" x14ac:dyDescent="0.3">
      <c r="A196" t="s">
        <v>254</v>
      </c>
      <c r="B196">
        <v>32</v>
      </c>
      <c r="C196">
        <v>111</v>
      </c>
      <c r="D196">
        <v>112</v>
      </c>
      <c r="F196">
        <v>211</v>
      </c>
      <c r="H196">
        <v>121</v>
      </c>
      <c r="J196">
        <v>221</v>
      </c>
      <c r="K196">
        <v>311</v>
      </c>
      <c r="L196">
        <v>312</v>
      </c>
      <c r="M196">
        <v>411</v>
      </c>
      <c r="N196">
        <v>412</v>
      </c>
      <c r="O196">
        <v>321</v>
      </c>
      <c r="P196">
        <v>322</v>
      </c>
      <c r="Q196">
        <v>421</v>
      </c>
      <c r="R196">
        <v>422</v>
      </c>
    </row>
    <row r="197" spans="1:18" x14ac:dyDescent="0.3">
      <c r="A197" t="s">
        <v>255</v>
      </c>
      <c r="B197">
        <v>32</v>
      </c>
      <c r="C197">
        <v>5</v>
      </c>
      <c r="D197">
        <v>15</v>
      </c>
      <c r="F197">
        <v>5</v>
      </c>
      <c r="H197">
        <v>15</v>
      </c>
      <c r="J197">
        <v>5</v>
      </c>
    </row>
    <row r="198" spans="1:18" x14ac:dyDescent="0.3">
      <c r="A198" t="s">
        <v>256</v>
      </c>
      <c r="B198">
        <v>32</v>
      </c>
      <c r="C198">
        <v>5.6</v>
      </c>
      <c r="D198">
        <v>70.099999999999994</v>
      </c>
      <c r="F198">
        <v>29</v>
      </c>
      <c r="H198">
        <v>79.7</v>
      </c>
      <c r="J198">
        <v>29</v>
      </c>
    </row>
    <row r="199" spans="1:18" x14ac:dyDescent="0.3">
      <c r="A199" t="s">
        <v>257</v>
      </c>
      <c r="B199">
        <v>32</v>
      </c>
      <c r="C199">
        <v>2</v>
      </c>
      <c r="D199">
        <v>1</v>
      </c>
      <c r="F199">
        <v>2</v>
      </c>
      <c r="H199">
        <v>1</v>
      </c>
      <c r="J199">
        <v>2</v>
      </c>
    </row>
    <row r="200" spans="1:18" x14ac:dyDescent="0.3">
      <c r="A200" t="s">
        <v>258</v>
      </c>
      <c r="B200">
        <v>32</v>
      </c>
      <c r="C200">
        <v>0</v>
      </c>
      <c r="D200">
        <v>0</v>
      </c>
      <c r="F200">
        <v>0</v>
      </c>
      <c r="H200">
        <v>0</v>
      </c>
      <c r="J200">
        <v>0</v>
      </c>
    </row>
    <row r="201" spans="1:18" x14ac:dyDescent="0.3">
      <c r="A201" t="s">
        <v>259</v>
      </c>
      <c r="B201">
        <v>32</v>
      </c>
      <c r="C201">
        <v>0</v>
      </c>
      <c r="D201">
        <v>0</v>
      </c>
      <c r="F201">
        <v>0</v>
      </c>
      <c r="H201">
        <v>0</v>
      </c>
      <c r="J201">
        <v>0</v>
      </c>
    </row>
    <row r="202" spans="1:18" x14ac:dyDescent="0.3">
      <c r="A202" t="s">
        <v>260</v>
      </c>
      <c r="B202">
        <v>32</v>
      </c>
      <c r="C202">
        <v>0</v>
      </c>
      <c r="D202">
        <v>0</v>
      </c>
      <c r="F202">
        <v>0</v>
      </c>
      <c r="H202">
        <v>0</v>
      </c>
      <c r="J202">
        <v>0</v>
      </c>
    </row>
    <row r="203" spans="1:18" x14ac:dyDescent="0.3">
      <c r="A203" t="s">
        <v>261</v>
      </c>
      <c r="B203">
        <v>32</v>
      </c>
      <c r="C203">
        <v>3</v>
      </c>
      <c r="D203">
        <v>4.3</v>
      </c>
      <c r="F203">
        <v>3.6</v>
      </c>
      <c r="H203">
        <v>4.3</v>
      </c>
      <c r="J203">
        <v>3.6</v>
      </c>
    </row>
    <row r="204" spans="1:18" x14ac:dyDescent="0.3">
      <c r="A204" t="s">
        <v>262</v>
      </c>
      <c r="B204">
        <v>32</v>
      </c>
      <c r="C204">
        <v>1</v>
      </c>
      <c r="D204">
        <v>1</v>
      </c>
      <c r="F204">
        <v>2.4</v>
      </c>
      <c r="H204">
        <v>1</v>
      </c>
      <c r="J204">
        <v>2.4</v>
      </c>
    </row>
    <row r="205" spans="1:18" x14ac:dyDescent="0.3">
      <c r="A205" t="s">
        <v>263</v>
      </c>
      <c r="B205">
        <v>32</v>
      </c>
      <c r="C205">
        <v>3</v>
      </c>
      <c r="D205">
        <v>3</v>
      </c>
      <c r="F205">
        <v>3</v>
      </c>
      <c r="H205">
        <v>3</v>
      </c>
      <c r="J205">
        <v>3</v>
      </c>
    </row>
    <row r="206" spans="1:18" x14ac:dyDescent="0.3">
      <c r="A206" t="s">
        <v>264</v>
      </c>
      <c r="B206">
        <v>32</v>
      </c>
      <c r="D206">
        <v>8</v>
      </c>
      <c r="F206">
        <v>8</v>
      </c>
      <c r="H206">
        <v>8</v>
      </c>
      <c r="J206">
        <v>8</v>
      </c>
    </row>
    <row r="207" spans="1:18" x14ac:dyDescent="0.3">
      <c r="A207" t="s">
        <v>265</v>
      </c>
      <c r="B207">
        <v>32</v>
      </c>
      <c r="D207">
        <v>12</v>
      </c>
      <c r="F207">
        <v>21</v>
      </c>
      <c r="H207">
        <v>12</v>
      </c>
      <c r="J207">
        <v>21</v>
      </c>
    </row>
    <row r="208" spans="1:18" x14ac:dyDescent="0.3">
      <c r="A208" t="s">
        <v>266</v>
      </c>
      <c r="B208">
        <v>32</v>
      </c>
      <c r="D208">
        <v>0</v>
      </c>
      <c r="F208">
        <v>0</v>
      </c>
      <c r="H208">
        <v>0</v>
      </c>
      <c r="J208">
        <v>0</v>
      </c>
    </row>
    <row r="209" spans="1:18" x14ac:dyDescent="0.3">
      <c r="A209" t="s">
        <v>267</v>
      </c>
      <c r="B209">
        <v>32</v>
      </c>
      <c r="C209">
        <v>9.5</v>
      </c>
      <c r="D209">
        <v>25.3</v>
      </c>
      <c r="F209">
        <v>35</v>
      </c>
      <c r="H209">
        <v>25.3</v>
      </c>
      <c r="J209">
        <v>35</v>
      </c>
    </row>
    <row r="210" spans="1:18" x14ac:dyDescent="0.3">
      <c r="A210" t="s">
        <v>268</v>
      </c>
      <c r="B210">
        <v>32</v>
      </c>
      <c r="C210">
        <v>0</v>
      </c>
      <c r="D210">
        <v>1</v>
      </c>
      <c r="F210">
        <v>1</v>
      </c>
      <c r="H210">
        <v>1</v>
      </c>
      <c r="J210">
        <v>1</v>
      </c>
    </row>
    <row r="211" spans="1:18" x14ac:dyDescent="0.3">
      <c r="A211" t="s">
        <v>269</v>
      </c>
      <c r="B211">
        <v>32</v>
      </c>
      <c r="C211">
        <v>1</v>
      </c>
      <c r="D211">
        <v>1</v>
      </c>
      <c r="F211">
        <v>1</v>
      </c>
      <c r="H211">
        <v>1</v>
      </c>
      <c r="J211">
        <v>1</v>
      </c>
    </row>
    <row r="212" spans="1:18" x14ac:dyDescent="0.3">
      <c r="A212" t="s">
        <v>270</v>
      </c>
      <c r="B212">
        <v>32</v>
      </c>
      <c r="C212">
        <v>60.4</v>
      </c>
      <c r="D212">
        <v>70</v>
      </c>
      <c r="F212">
        <v>25.4</v>
      </c>
      <c r="H212">
        <v>60.4</v>
      </c>
      <c r="J212">
        <v>25.4</v>
      </c>
    </row>
    <row r="213" spans="1:18" x14ac:dyDescent="0.3">
      <c r="A213" t="s">
        <v>271</v>
      </c>
      <c r="B213">
        <v>32</v>
      </c>
      <c r="C213">
        <v>70</v>
      </c>
      <c r="D213">
        <v>25.4</v>
      </c>
      <c r="F213">
        <v>60.4</v>
      </c>
      <c r="H213">
        <v>25.4</v>
      </c>
      <c r="J213">
        <v>60.4</v>
      </c>
    </row>
    <row r="214" spans="1:18" x14ac:dyDescent="0.3">
      <c r="A214" t="s">
        <v>272</v>
      </c>
      <c r="B214">
        <v>32</v>
      </c>
      <c r="C214">
        <v>66</v>
      </c>
      <c r="D214">
        <v>20.100000000000001</v>
      </c>
      <c r="F214">
        <v>54.4</v>
      </c>
      <c r="H214">
        <v>20.100000000000001</v>
      </c>
      <c r="J214">
        <v>54.4</v>
      </c>
    </row>
    <row r="215" spans="1:18" x14ac:dyDescent="0.3">
      <c r="A215" t="s">
        <v>273</v>
      </c>
      <c r="B215">
        <v>32</v>
      </c>
      <c r="C215">
        <v>66</v>
      </c>
      <c r="D215">
        <v>8.1</v>
      </c>
      <c r="F215">
        <v>33.4</v>
      </c>
      <c r="H215">
        <v>8.1</v>
      </c>
      <c r="J215">
        <v>33.4</v>
      </c>
    </row>
    <row r="216" spans="1:18" x14ac:dyDescent="0.3">
      <c r="A216" t="s">
        <v>274</v>
      </c>
      <c r="B216">
        <v>32</v>
      </c>
      <c r="C216">
        <v>110.4</v>
      </c>
      <c r="D216">
        <v>0</v>
      </c>
      <c r="F216">
        <v>75.400000000000006</v>
      </c>
      <c r="H216">
        <v>110.4</v>
      </c>
      <c r="J216">
        <v>75.400000000000006</v>
      </c>
    </row>
    <row r="217" spans="1:18" x14ac:dyDescent="0.3">
      <c r="A217" t="s">
        <v>275</v>
      </c>
      <c r="B217">
        <v>32</v>
      </c>
      <c r="C217">
        <v>116</v>
      </c>
      <c r="D217">
        <v>70.099999999999994</v>
      </c>
      <c r="F217">
        <v>104.4</v>
      </c>
      <c r="H217">
        <v>70.099999999999994</v>
      </c>
      <c r="J217">
        <v>104.4</v>
      </c>
    </row>
    <row r="218" spans="1:18" x14ac:dyDescent="0.3">
      <c r="A218" t="s">
        <v>276</v>
      </c>
      <c r="B218">
        <v>32</v>
      </c>
      <c r="C218">
        <v>116</v>
      </c>
      <c r="D218">
        <v>58.1</v>
      </c>
      <c r="F218">
        <v>83.4</v>
      </c>
      <c r="H218">
        <v>58.1</v>
      </c>
      <c r="J218">
        <v>83.4</v>
      </c>
    </row>
    <row r="219" spans="1:18" x14ac:dyDescent="0.3">
      <c r="A219" t="s">
        <v>567</v>
      </c>
      <c r="B219">
        <v>32</v>
      </c>
      <c r="C219">
        <v>5.6</v>
      </c>
      <c r="D219">
        <v>70.099999999999994</v>
      </c>
      <c r="F219">
        <v>29</v>
      </c>
      <c r="H219">
        <v>79.7</v>
      </c>
      <c r="J219">
        <v>29</v>
      </c>
    </row>
    <row r="220" spans="1:18" x14ac:dyDescent="0.3">
      <c r="A220" t="s">
        <v>254</v>
      </c>
      <c r="B220">
        <v>35</v>
      </c>
      <c r="C220">
        <v>111</v>
      </c>
      <c r="D220">
        <v>211</v>
      </c>
      <c r="K220">
        <v>311</v>
      </c>
      <c r="L220">
        <v>312</v>
      </c>
      <c r="M220">
        <v>411</v>
      </c>
      <c r="N220">
        <v>412</v>
      </c>
      <c r="O220">
        <v>321</v>
      </c>
      <c r="P220">
        <v>322</v>
      </c>
      <c r="Q220">
        <v>421</v>
      </c>
      <c r="R220">
        <v>422</v>
      </c>
    </row>
    <row r="221" spans="1:18" x14ac:dyDescent="0.3">
      <c r="A221" t="s">
        <v>255</v>
      </c>
      <c r="B221">
        <v>35</v>
      </c>
      <c r="C221">
        <v>15</v>
      </c>
      <c r="D221">
        <v>4</v>
      </c>
    </row>
    <row r="222" spans="1:18" x14ac:dyDescent="0.3">
      <c r="A222" t="s">
        <v>256</v>
      </c>
      <c r="B222">
        <v>35</v>
      </c>
      <c r="C222">
        <v>82.3</v>
      </c>
      <c r="D222">
        <v>26.8</v>
      </c>
    </row>
    <row r="223" spans="1:18" x14ac:dyDescent="0.3">
      <c r="A223" t="s">
        <v>257</v>
      </c>
      <c r="B223">
        <v>35</v>
      </c>
      <c r="C223">
        <v>0.2</v>
      </c>
      <c r="D223">
        <v>2</v>
      </c>
    </row>
    <row r="224" spans="1:18" x14ac:dyDescent="0.3">
      <c r="A224" t="s">
        <v>258</v>
      </c>
      <c r="B224">
        <v>35</v>
      </c>
      <c r="C224">
        <v>0</v>
      </c>
      <c r="D224">
        <v>0</v>
      </c>
    </row>
    <row r="225" spans="1:4" x14ac:dyDescent="0.3">
      <c r="A225" t="s">
        <v>259</v>
      </c>
      <c r="B225">
        <v>35</v>
      </c>
      <c r="C225">
        <v>0</v>
      </c>
      <c r="D225">
        <v>0</v>
      </c>
    </row>
    <row r="226" spans="1:4" x14ac:dyDescent="0.3">
      <c r="A226" t="s">
        <v>260</v>
      </c>
      <c r="B226">
        <v>35</v>
      </c>
      <c r="C226">
        <v>0</v>
      </c>
      <c r="D226">
        <v>0</v>
      </c>
    </row>
    <row r="227" spans="1:4" x14ac:dyDescent="0.3">
      <c r="A227" t="s">
        <v>261</v>
      </c>
      <c r="B227">
        <v>35</v>
      </c>
      <c r="C227">
        <v>4.3</v>
      </c>
      <c r="D227">
        <v>3</v>
      </c>
    </row>
    <row r="228" spans="1:4" x14ac:dyDescent="0.3">
      <c r="A228" t="s">
        <v>262</v>
      </c>
      <c r="B228">
        <v>35</v>
      </c>
      <c r="C228">
        <v>1</v>
      </c>
      <c r="D228">
        <v>2.6</v>
      </c>
    </row>
    <row r="229" spans="1:4" x14ac:dyDescent="0.3">
      <c r="A229" t="s">
        <v>263</v>
      </c>
      <c r="B229">
        <v>35</v>
      </c>
      <c r="C229">
        <v>3</v>
      </c>
      <c r="D229">
        <v>3</v>
      </c>
    </row>
    <row r="230" spans="1:4" x14ac:dyDescent="0.3">
      <c r="A230" t="s">
        <v>264</v>
      </c>
      <c r="B230">
        <v>35</v>
      </c>
      <c r="C230">
        <v>8</v>
      </c>
      <c r="D230">
        <v>8</v>
      </c>
    </row>
    <row r="231" spans="1:4" x14ac:dyDescent="0.3">
      <c r="A231" t="s">
        <v>265</v>
      </c>
      <c r="B231">
        <v>35</v>
      </c>
      <c r="C231">
        <v>9</v>
      </c>
      <c r="D231">
        <v>18</v>
      </c>
    </row>
    <row r="232" spans="1:4" x14ac:dyDescent="0.3">
      <c r="A232" t="s">
        <v>266</v>
      </c>
      <c r="B232">
        <v>35</v>
      </c>
      <c r="C232">
        <v>0</v>
      </c>
      <c r="D232">
        <v>0</v>
      </c>
    </row>
    <row r="233" spans="1:4" x14ac:dyDescent="0.3">
      <c r="A233" t="s">
        <v>267</v>
      </c>
      <c r="B233">
        <v>35</v>
      </c>
      <c r="C233">
        <v>24.3</v>
      </c>
      <c r="D233">
        <v>31.6</v>
      </c>
    </row>
    <row r="234" spans="1:4" x14ac:dyDescent="0.3">
      <c r="A234" t="s">
        <v>268</v>
      </c>
      <c r="B234">
        <v>35</v>
      </c>
      <c r="C234">
        <v>0</v>
      </c>
      <c r="D234">
        <v>0</v>
      </c>
    </row>
    <row r="235" spans="1:4" x14ac:dyDescent="0.3">
      <c r="A235" t="s">
        <v>269</v>
      </c>
      <c r="B235">
        <v>35</v>
      </c>
      <c r="C235">
        <v>1</v>
      </c>
      <c r="D235">
        <v>1</v>
      </c>
    </row>
    <row r="236" spans="1:4" x14ac:dyDescent="0.3">
      <c r="A236" t="s">
        <v>270</v>
      </c>
      <c r="B236">
        <v>35</v>
      </c>
      <c r="C236">
        <v>0</v>
      </c>
      <c r="D236">
        <v>87.6</v>
      </c>
    </row>
    <row r="237" spans="1:4" x14ac:dyDescent="0.3">
      <c r="A237" t="s">
        <v>271</v>
      </c>
      <c r="B237">
        <v>35</v>
      </c>
      <c r="C237">
        <v>87.6</v>
      </c>
      <c r="D237">
        <v>0</v>
      </c>
    </row>
    <row r="238" spans="1:4" x14ac:dyDescent="0.3">
      <c r="A238" t="s">
        <v>272</v>
      </c>
      <c r="B238">
        <v>35</v>
      </c>
      <c r="C238">
        <v>82.3</v>
      </c>
      <c r="D238">
        <v>114.4</v>
      </c>
    </row>
    <row r="239" spans="1:4" x14ac:dyDescent="0.3">
      <c r="A239" t="s">
        <v>273</v>
      </c>
      <c r="B239">
        <v>35</v>
      </c>
      <c r="C239">
        <v>73.3</v>
      </c>
      <c r="D239">
        <v>96.4</v>
      </c>
    </row>
    <row r="240" spans="1:4" x14ac:dyDescent="0.3">
      <c r="A240" t="s">
        <v>274</v>
      </c>
      <c r="B240">
        <v>35</v>
      </c>
      <c r="C240">
        <v>0</v>
      </c>
      <c r="D240">
        <v>87.6</v>
      </c>
    </row>
    <row r="241" spans="1:18" x14ac:dyDescent="0.3">
      <c r="A241" t="s">
        <v>275</v>
      </c>
      <c r="B241">
        <v>35</v>
      </c>
      <c r="C241">
        <v>82.3</v>
      </c>
      <c r="D241">
        <v>114.4</v>
      </c>
    </row>
    <row r="242" spans="1:18" x14ac:dyDescent="0.3">
      <c r="A242" t="s">
        <v>276</v>
      </c>
      <c r="B242">
        <v>35</v>
      </c>
      <c r="C242">
        <v>73.3</v>
      </c>
      <c r="D242">
        <v>96.4</v>
      </c>
    </row>
    <row r="243" spans="1:18" x14ac:dyDescent="0.3">
      <c r="A243" t="s">
        <v>567</v>
      </c>
      <c r="B243">
        <v>35</v>
      </c>
      <c r="C243">
        <v>82.3</v>
      </c>
      <c r="D243">
        <v>26.8</v>
      </c>
    </row>
    <row r="244" spans="1:18" x14ac:dyDescent="0.3">
      <c r="A244" t="s">
        <v>254</v>
      </c>
      <c r="B244">
        <v>41</v>
      </c>
      <c r="C244">
        <v>111</v>
      </c>
      <c r="D244">
        <v>112</v>
      </c>
      <c r="E244">
        <v>211</v>
      </c>
      <c r="F244">
        <v>212</v>
      </c>
      <c r="G244">
        <v>121</v>
      </c>
      <c r="H244">
        <v>122</v>
      </c>
      <c r="I244">
        <v>221</v>
      </c>
      <c r="J244">
        <v>222</v>
      </c>
      <c r="K244">
        <v>311</v>
      </c>
      <c r="L244">
        <v>312</v>
      </c>
      <c r="M244">
        <v>411</v>
      </c>
      <c r="N244">
        <v>412</v>
      </c>
      <c r="O244">
        <v>321</v>
      </c>
      <c r="P244">
        <v>322</v>
      </c>
      <c r="Q244">
        <v>421</v>
      </c>
      <c r="R244">
        <v>422</v>
      </c>
    </row>
    <row r="245" spans="1:18" x14ac:dyDescent="0.3">
      <c r="A245" t="s">
        <v>255</v>
      </c>
      <c r="B245">
        <v>41</v>
      </c>
      <c r="C245">
        <v>5</v>
      </c>
      <c r="D245">
        <v>15</v>
      </c>
      <c r="E245">
        <v>5</v>
      </c>
      <c r="F245">
        <v>15</v>
      </c>
      <c r="G245">
        <v>5</v>
      </c>
      <c r="H245">
        <v>15</v>
      </c>
      <c r="I245">
        <v>5</v>
      </c>
      <c r="J245">
        <v>15</v>
      </c>
    </row>
    <row r="246" spans="1:18" x14ac:dyDescent="0.3">
      <c r="A246" t="s">
        <v>256</v>
      </c>
      <c r="B246">
        <v>41</v>
      </c>
      <c r="C246">
        <v>5.6</v>
      </c>
      <c r="D246">
        <v>49.5</v>
      </c>
      <c r="E246">
        <v>14</v>
      </c>
      <c r="F246">
        <v>31</v>
      </c>
      <c r="G246">
        <v>5.5</v>
      </c>
      <c r="H246">
        <v>49.6</v>
      </c>
      <c r="I246">
        <v>10</v>
      </c>
      <c r="J246">
        <v>35</v>
      </c>
    </row>
    <row r="247" spans="1:18" x14ac:dyDescent="0.3">
      <c r="A247" t="s">
        <v>257</v>
      </c>
      <c r="B247">
        <v>41</v>
      </c>
      <c r="C247">
        <v>2</v>
      </c>
      <c r="D247">
        <v>2</v>
      </c>
      <c r="E247">
        <v>2</v>
      </c>
      <c r="F247">
        <v>2</v>
      </c>
      <c r="G247">
        <v>2</v>
      </c>
      <c r="H247">
        <v>2</v>
      </c>
      <c r="I247">
        <v>2</v>
      </c>
      <c r="J247">
        <v>2</v>
      </c>
    </row>
    <row r="248" spans="1:18" x14ac:dyDescent="0.3">
      <c r="A248" t="s">
        <v>258</v>
      </c>
      <c r="B248">
        <v>41</v>
      </c>
      <c r="C248">
        <v>0</v>
      </c>
      <c r="D248">
        <v>0</v>
      </c>
      <c r="E248">
        <v>0</v>
      </c>
      <c r="F248">
        <v>0</v>
      </c>
      <c r="G248">
        <v>0</v>
      </c>
      <c r="H248">
        <v>0</v>
      </c>
      <c r="I248">
        <v>0</v>
      </c>
      <c r="J248">
        <v>0</v>
      </c>
    </row>
    <row r="249" spans="1:18" x14ac:dyDescent="0.3">
      <c r="A249" t="s">
        <v>259</v>
      </c>
      <c r="B249">
        <v>41</v>
      </c>
      <c r="C249">
        <v>0</v>
      </c>
      <c r="D249">
        <v>0</v>
      </c>
      <c r="E249">
        <v>0</v>
      </c>
      <c r="F249">
        <v>0</v>
      </c>
      <c r="G249">
        <v>0</v>
      </c>
      <c r="H249">
        <v>0</v>
      </c>
      <c r="I249">
        <v>0</v>
      </c>
      <c r="J249">
        <v>0</v>
      </c>
    </row>
    <row r="250" spans="1:18" x14ac:dyDescent="0.3">
      <c r="A250" t="s">
        <v>260</v>
      </c>
      <c r="B250">
        <v>41</v>
      </c>
      <c r="C250">
        <v>0</v>
      </c>
      <c r="D250">
        <v>0</v>
      </c>
      <c r="E250">
        <v>0</v>
      </c>
      <c r="F250">
        <v>0</v>
      </c>
      <c r="G250">
        <v>0</v>
      </c>
      <c r="H250">
        <v>0</v>
      </c>
      <c r="I250">
        <v>0</v>
      </c>
      <c r="J250">
        <v>0</v>
      </c>
    </row>
    <row r="251" spans="1:18" x14ac:dyDescent="0.3">
      <c r="A251" t="s">
        <v>261</v>
      </c>
      <c r="B251">
        <v>41</v>
      </c>
      <c r="C251">
        <v>3</v>
      </c>
      <c r="D251">
        <v>4</v>
      </c>
      <c r="E251">
        <v>3</v>
      </c>
      <c r="F251">
        <v>4.3</v>
      </c>
      <c r="G251">
        <v>3</v>
      </c>
      <c r="H251">
        <v>4</v>
      </c>
      <c r="I251">
        <v>3</v>
      </c>
      <c r="J251">
        <v>4.3</v>
      </c>
    </row>
    <row r="252" spans="1:18" x14ac:dyDescent="0.3">
      <c r="A252" t="s">
        <v>262</v>
      </c>
      <c r="B252">
        <v>41</v>
      </c>
      <c r="C252">
        <v>1</v>
      </c>
      <c r="D252">
        <v>1.8</v>
      </c>
      <c r="E252">
        <v>1</v>
      </c>
      <c r="F252">
        <v>1.8</v>
      </c>
      <c r="G252">
        <v>1</v>
      </c>
      <c r="H252">
        <v>1.8</v>
      </c>
      <c r="I252">
        <v>1</v>
      </c>
      <c r="J252">
        <v>1.8</v>
      </c>
    </row>
    <row r="253" spans="1:18" x14ac:dyDescent="0.3">
      <c r="A253" t="s">
        <v>263</v>
      </c>
      <c r="B253">
        <v>41</v>
      </c>
      <c r="C253">
        <v>3</v>
      </c>
      <c r="D253">
        <v>3</v>
      </c>
      <c r="E253">
        <v>3</v>
      </c>
      <c r="F253">
        <v>3</v>
      </c>
      <c r="G253">
        <v>3</v>
      </c>
      <c r="H253">
        <v>3</v>
      </c>
      <c r="I253">
        <v>3</v>
      </c>
      <c r="J253">
        <v>3</v>
      </c>
    </row>
    <row r="254" spans="1:18" x14ac:dyDescent="0.3">
      <c r="A254" t="s">
        <v>264</v>
      </c>
      <c r="B254">
        <v>41</v>
      </c>
      <c r="D254">
        <v>8</v>
      </c>
      <c r="F254">
        <v>8</v>
      </c>
      <c r="H254">
        <v>8</v>
      </c>
      <c r="J254">
        <v>8</v>
      </c>
    </row>
    <row r="255" spans="1:18" x14ac:dyDescent="0.3">
      <c r="A255" t="s">
        <v>265</v>
      </c>
      <c r="B255">
        <v>41</v>
      </c>
      <c r="D255">
        <v>21</v>
      </c>
      <c r="F255">
        <v>23</v>
      </c>
      <c r="H255">
        <v>21</v>
      </c>
      <c r="J255">
        <v>23</v>
      </c>
    </row>
    <row r="256" spans="1:18" x14ac:dyDescent="0.3">
      <c r="A256" t="s">
        <v>266</v>
      </c>
      <c r="B256">
        <v>41</v>
      </c>
      <c r="D256">
        <v>0</v>
      </c>
      <c r="F256">
        <v>0</v>
      </c>
      <c r="H256">
        <v>0</v>
      </c>
      <c r="J256">
        <v>0</v>
      </c>
    </row>
    <row r="257" spans="1:18" x14ac:dyDescent="0.3">
      <c r="A257" t="s">
        <v>267</v>
      </c>
      <c r="B257">
        <v>41</v>
      </c>
      <c r="C257">
        <v>9.5</v>
      </c>
      <c r="D257">
        <v>34.799999999999997</v>
      </c>
      <c r="E257">
        <v>9.5</v>
      </c>
      <c r="F257">
        <v>37.1</v>
      </c>
      <c r="G257">
        <v>9.5</v>
      </c>
      <c r="H257">
        <v>34.799999999999997</v>
      </c>
      <c r="I257">
        <v>9.5</v>
      </c>
      <c r="J257">
        <v>37.1</v>
      </c>
    </row>
    <row r="258" spans="1:18" x14ac:dyDescent="0.3">
      <c r="A258" t="s">
        <v>268</v>
      </c>
      <c r="B258">
        <v>41</v>
      </c>
      <c r="C258">
        <v>0</v>
      </c>
      <c r="D258">
        <v>1</v>
      </c>
      <c r="E258">
        <v>0</v>
      </c>
      <c r="F258">
        <v>1</v>
      </c>
      <c r="G258">
        <v>0</v>
      </c>
      <c r="H258">
        <v>1</v>
      </c>
      <c r="I258">
        <v>0</v>
      </c>
      <c r="J258">
        <v>1</v>
      </c>
    </row>
    <row r="259" spans="1:18" x14ac:dyDescent="0.3">
      <c r="A259" t="s">
        <v>269</v>
      </c>
      <c r="B259">
        <v>41</v>
      </c>
      <c r="C259">
        <v>1</v>
      </c>
      <c r="D259">
        <v>1</v>
      </c>
      <c r="E259">
        <v>1</v>
      </c>
      <c r="F259">
        <v>1</v>
      </c>
      <c r="G259">
        <v>1</v>
      </c>
      <c r="H259">
        <v>1</v>
      </c>
      <c r="I259">
        <v>1</v>
      </c>
      <c r="J259">
        <v>1</v>
      </c>
    </row>
    <row r="260" spans="1:18" x14ac:dyDescent="0.3">
      <c r="A260" t="s">
        <v>270</v>
      </c>
      <c r="B260">
        <v>41</v>
      </c>
      <c r="C260">
        <v>58.4</v>
      </c>
      <c r="D260">
        <v>68</v>
      </c>
      <c r="E260">
        <v>3.3</v>
      </c>
      <c r="F260">
        <v>21.3</v>
      </c>
      <c r="G260">
        <v>58.4</v>
      </c>
      <c r="H260">
        <v>67.900000000000006</v>
      </c>
      <c r="I260">
        <v>3.3</v>
      </c>
      <c r="J260">
        <v>17.3</v>
      </c>
    </row>
    <row r="261" spans="1:18" x14ac:dyDescent="0.3">
      <c r="A261" t="s">
        <v>271</v>
      </c>
      <c r="B261">
        <v>41</v>
      </c>
      <c r="C261">
        <v>68</v>
      </c>
      <c r="D261">
        <v>3.3</v>
      </c>
      <c r="E261">
        <v>21.3</v>
      </c>
      <c r="F261">
        <v>58.4</v>
      </c>
      <c r="G261">
        <v>67.900000000000006</v>
      </c>
      <c r="H261">
        <v>3.3</v>
      </c>
      <c r="I261">
        <v>17.3</v>
      </c>
      <c r="J261">
        <v>58.4</v>
      </c>
    </row>
    <row r="262" spans="1:18" x14ac:dyDescent="0.3">
      <c r="A262" t="s">
        <v>272</v>
      </c>
      <c r="B262">
        <v>41</v>
      </c>
      <c r="C262">
        <v>64</v>
      </c>
      <c r="D262">
        <v>117.5</v>
      </c>
      <c r="E262">
        <v>17.3</v>
      </c>
      <c r="F262">
        <v>52.3</v>
      </c>
      <c r="G262">
        <v>63.9</v>
      </c>
      <c r="H262">
        <v>117.5</v>
      </c>
      <c r="I262">
        <v>13.3</v>
      </c>
      <c r="J262">
        <v>52.3</v>
      </c>
    </row>
    <row r="263" spans="1:18" x14ac:dyDescent="0.3">
      <c r="A263" t="s">
        <v>273</v>
      </c>
      <c r="B263">
        <v>41</v>
      </c>
      <c r="C263">
        <v>64</v>
      </c>
      <c r="D263">
        <v>96.5</v>
      </c>
      <c r="E263">
        <v>17.3</v>
      </c>
      <c r="F263">
        <v>29.3</v>
      </c>
      <c r="G263">
        <v>63.9</v>
      </c>
      <c r="H263">
        <v>96.5</v>
      </c>
      <c r="I263">
        <v>13.3</v>
      </c>
      <c r="J263">
        <v>29.3</v>
      </c>
    </row>
    <row r="264" spans="1:18" x14ac:dyDescent="0.3">
      <c r="A264" t="s">
        <v>274</v>
      </c>
      <c r="B264">
        <v>41</v>
      </c>
      <c r="C264">
        <v>110.4</v>
      </c>
      <c r="D264">
        <v>0</v>
      </c>
      <c r="E264">
        <v>55.3</v>
      </c>
      <c r="F264">
        <v>73.3</v>
      </c>
      <c r="G264">
        <v>110.4</v>
      </c>
      <c r="H264">
        <v>119.9</v>
      </c>
      <c r="I264">
        <v>55.3</v>
      </c>
      <c r="J264">
        <v>69.3</v>
      </c>
    </row>
    <row r="265" spans="1:18" x14ac:dyDescent="0.3">
      <c r="A265" t="s">
        <v>275</v>
      </c>
      <c r="B265">
        <v>41</v>
      </c>
      <c r="C265">
        <v>116</v>
      </c>
      <c r="D265">
        <v>49.5</v>
      </c>
      <c r="E265">
        <v>69.3</v>
      </c>
      <c r="F265">
        <v>104.3</v>
      </c>
      <c r="G265">
        <v>115.9</v>
      </c>
      <c r="H265">
        <v>49.5</v>
      </c>
      <c r="I265">
        <v>65.3</v>
      </c>
      <c r="J265">
        <v>104.3</v>
      </c>
    </row>
    <row r="266" spans="1:18" x14ac:dyDescent="0.3">
      <c r="A266" t="s">
        <v>276</v>
      </c>
      <c r="B266">
        <v>41</v>
      </c>
      <c r="C266">
        <v>116</v>
      </c>
      <c r="D266">
        <v>28.5</v>
      </c>
      <c r="E266">
        <v>69.3</v>
      </c>
      <c r="F266">
        <v>81.3</v>
      </c>
      <c r="G266">
        <v>115.9</v>
      </c>
      <c r="H266">
        <v>28.5</v>
      </c>
      <c r="I266">
        <v>65.3</v>
      </c>
      <c r="J266">
        <v>81.3</v>
      </c>
    </row>
    <row r="267" spans="1:18" x14ac:dyDescent="0.3">
      <c r="A267" t="s">
        <v>567</v>
      </c>
      <c r="B267">
        <v>41</v>
      </c>
      <c r="C267">
        <v>5.6</v>
      </c>
      <c r="D267">
        <v>49.5</v>
      </c>
      <c r="E267">
        <v>14</v>
      </c>
      <c r="F267">
        <v>31</v>
      </c>
      <c r="G267">
        <v>5.5</v>
      </c>
      <c r="H267">
        <v>49.6</v>
      </c>
      <c r="I267">
        <v>10</v>
      </c>
      <c r="J267">
        <v>35</v>
      </c>
    </row>
    <row r="268" spans="1:18" x14ac:dyDescent="0.3">
      <c r="A268" t="s">
        <v>254</v>
      </c>
      <c r="B268">
        <v>44</v>
      </c>
      <c r="C268">
        <v>111</v>
      </c>
      <c r="D268">
        <v>211</v>
      </c>
      <c r="K268">
        <v>311</v>
      </c>
      <c r="L268">
        <v>312</v>
      </c>
      <c r="M268">
        <v>411</v>
      </c>
      <c r="N268">
        <v>412</v>
      </c>
      <c r="O268">
        <v>321</v>
      </c>
      <c r="P268">
        <v>322</v>
      </c>
      <c r="Q268">
        <v>421</v>
      </c>
      <c r="R268">
        <v>422</v>
      </c>
    </row>
    <row r="269" spans="1:18" x14ac:dyDescent="0.3">
      <c r="A269" t="s">
        <v>255</v>
      </c>
      <c r="B269">
        <v>44</v>
      </c>
      <c r="C269">
        <v>15</v>
      </c>
      <c r="D269">
        <v>5</v>
      </c>
    </row>
    <row r="270" spans="1:18" x14ac:dyDescent="0.3">
      <c r="A270" t="s">
        <v>256</v>
      </c>
      <c r="B270">
        <v>44</v>
      </c>
      <c r="C270">
        <v>82</v>
      </c>
      <c r="D270">
        <v>27.4</v>
      </c>
    </row>
    <row r="271" spans="1:18" x14ac:dyDescent="0.3">
      <c r="A271" t="s">
        <v>257</v>
      </c>
      <c r="B271">
        <v>44</v>
      </c>
      <c r="C271">
        <v>0.2</v>
      </c>
      <c r="D271">
        <v>2</v>
      </c>
    </row>
    <row r="272" spans="1:18" x14ac:dyDescent="0.3">
      <c r="A272" t="s">
        <v>258</v>
      </c>
      <c r="B272">
        <v>44</v>
      </c>
      <c r="C272">
        <v>0</v>
      </c>
      <c r="D272">
        <v>0</v>
      </c>
    </row>
    <row r="273" spans="1:4" x14ac:dyDescent="0.3">
      <c r="A273" t="s">
        <v>259</v>
      </c>
      <c r="B273">
        <v>44</v>
      </c>
      <c r="C273">
        <v>0</v>
      </c>
      <c r="D273">
        <v>0</v>
      </c>
    </row>
    <row r="274" spans="1:4" x14ac:dyDescent="0.3">
      <c r="A274" t="s">
        <v>260</v>
      </c>
      <c r="B274">
        <v>44</v>
      </c>
      <c r="C274">
        <v>0</v>
      </c>
      <c r="D274">
        <v>0</v>
      </c>
    </row>
    <row r="275" spans="1:4" x14ac:dyDescent="0.3">
      <c r="A275" t="s">
        <v>261</v>
      </c>
      <c r="B275">
        <v>44</v>
      </c>
      <c r="C275">
        <v>4</v>
      </c>
      <c r="D275">
        <v>3</v>
      </c>
    </row>
    <row r="276" spans="1:4" x14ac:dyDescent="0.3">
      <c r="A276" t="s">
        <v>262</v>
      </c>
      <c r="B276">
        <v>44</v>
      </c>
      <c r="C276">
        <v>1</v>
      </c>
      <c r="D276">
        <v>2.6</v>
      </c>
    </row>
    <row r="277" spans="1:4" x14ac:dyDescent="0.3">
      <c r="A277" t="s">
        <v>263</v>
      </c>
      <c r="B277">
        <v>44</v>
      </c>
      <c r="C277">
        <v>3</v>
      </c>
      <c r="D277">
        <v>3</v>
      </c>
    </row>
    <row r="278" spans="1:4" x14ac:dyDescent="0.3">
      <c r="A278" t="s">
        <v>264</v>
      </c>
      <c r="B278">
        <v>44</v>
      </c>
      <c r="C278">
        <v>8</v>
      </c>
      <c r="D278">
        <v>8</v>
      </c>
    </row>
    <row r="279" spans="1:4" x14ac:dyDescent="0.3">
      <c r="A279" t="s">
        <v>265</v>
      </c>
      <c r="B279">
        <v>44</v>
      </c>
      <c r="C279">
        <v>10</v>
      </c>
      <c r="D279">
        <v>18</v>
      </c>
    </row>
    <row r="280" spans="1:4" x14ac:dyDescent="0.3">
      <c r="A280" t="s">
        <v>266</v>
      </c>
      <c r="B280">
        <v>44</v>
      </c>
      <c r="C280">
        <v>0</v>
      </c>
      <c r="D280">
        <v>0</v>
      </c>
    </row>
    <row r="281" spans="1:4" x14ac:dyDescent="0.3">
      <c r="A281" t="s">
        <v>267</v>
      </c>
      <c r="B281">
        <v>44</v>
      </c>
      <c r="C281">
        <v>23.5</v>
      </c>
      <c r="D281">
        <v>31.6</v>
      </c>
    </row>
    <row r="282" spans="1:4" x14ac:dyDescent="0.3">
      <c r="A282" t="s">
        <v>268</v>
      </c>
      <c r="B282">
        <v>44</v>
      </c>
      <c r="C282">
        <v>0</v>
      </c>
      <c r="D282">
        <v>0</v>
      </c>
    </row>
    <row r="283" spans="1:4" x14ac:dyDescent="0.3">
      <c r="A283" t="s">
        <v>269</v>
      </c>
      <c r="B283">
        <v>44</v>
      </c>
      <c r="C283">
        <v>1</v>
      </c>
      <c r="D283">
        <v>1</v>
      </c>
    </row>
    <row r="284" spans="1:4" x14ac:dyDescent="0.3">
      <c r="A284" t="s">
        <v>270</v>
      </c>
      <c r="B284">
        <v>44</v>
      </c>
      <c r="C284">
        <v>106</v>
      </c>
      <c r="D284">
        <v>73</v>
      </c>
    </row>
    <row r="285" spans="1:4" x14ac:dyDescent="0.3">
      <c r="A285" t="s">
        <v>271</v>
      </c>
      <c r="B285">
        <v>44</v>
      </c>
      <c r="C285">
        <v>73</v>
      </c>
      <c r="D285">
        <v>106</v>
      </c>
    </row>
    <row r="286" spans="1:4" x14ac:dyDescent="0.3">
      <c r="A286" t="s">
        <v>272</v>
      </c>
      <c r="B286">
        <v>44</v>
      </c>
      <c r="C286">
        <v>68</v>
      </c>
      <c r="D286">
        <v>100.4</v>
      </c>
    </row>
    <row r="287" spans="1:4" x14ac:dyDescent="0.3">
      <c r="A287" t="s">
        <v>273</v>
      </c>
      <c r="B287">
        <v>44</v>
      </c>
      <c r="C287">
        <v>58</v>
      </c>
      <c r="D287">
        <v>82.4</v>
      </c>
    </row>
    <row r="288" spans="1:4" x14ac:dyDescent="0.3">
      <c r="A288" t="s">
        <v>274</v>
      </c>
      <c r="B288">
        <v>44</v>
      </c>
      <c r="C288">
        <v>0</v>
      </c>
      <c r="D288">
        <v>87</v>
      </c>
    </row>
    <row r="289" spans="1:18" x14ac:dyDescent="0.3">
      <c r="A289" t="s">
        <v>275</v>
      </c>
      <c r="B289">
        <v>44</v>
      </c>
      <c r="C289">
        <v>82</v>
      </c>
      <c r="D289">
        <v>114.4</v>
      </c>
    </row>
    <row r="290" spans="1:18" x14ac:dyDescent="0.3">
      <c r="A290" t="s">
        <v>276</v>
      </c>
      <c r="B290">
        <v>44</v>
      </c>
      <c r="C290">
        <v>72</v>
      </c>
      <c r="D290">
        <v>96.4</v>
      </c>
    </row>
    <row r="291" spans="1:18" x14ac:dyDescent="0.3">
      <c r="A291" t="s">
        <v>567</v>
      </c>
      <c r="B291">
        <v>44</v>
      </c>
      <c r="C291">
        <v>82</v>
      </c>
      <c r="D291">
        <v>27.4</v>
      </c>
    </row>
    <row r="292" spans="1:18" x14ac:dyDescent="0.3">
      <c r="A292" t="s">
        <v>254</v>
      </c>
      <c r="B292">
        <v>48</v>
      </c>
      <c r="D292">
        <v>111</v>
      </c>
      <c r="F292">
        <v>211</v>
      </c>
      <c r="G292">
        <v>121</v>
      </c>
      <c r="H292">
        <v>122</v>
      </c>
      <c r="K292">
        <v>311</v>
      </c>
      <c r="L292">
        <v>312</v>
      </c>
      <c r="M292">
        <v>411</v>
      </c>
      <c r="N292">
        <v>412</v>
      </c>
      <c r="O292">
        <v>321</v>
      </c>
      <c r="P292">
        <v>322</v>
      </c>
      <c r="Q292">
        <v>421</v>
      </c>
      <c r="R292">
        <v>422</v>
      </c>
    </row>
    <row r="293" spans="1:18" x14ac:dyDescent="0.3">
      <c r="A293" t="s">
        <v>255</v>
      </c>
      <c r="B293">
        <v>48</v>
      </c>
      <c r="D293">
        <v>15</v>
      </c>
      <c r="F293">
        <v>5</v>
      </c>
      <c r="G293">
        <v>5</v>
      </c>
      <c r="H293">
        <v>15</v>
      </c>
    </row>
    <row r="294" spans="1:18" x14ac:dyDescent="0.3">
      <c r="A294" t="s">
        <v>256</v>
      </c>
      <c r="B294">
        <v>48</v>
      </c>
      <c r="D294">
        <v>83.4</v>
      </c>
      <c r="F294">
        <v>26</v>
      </c>
      <c r="G294">
        <v>8.3000000000000007</v>
      </c>
      <c r="H294">
        <v>71.099999999999994</v>
      </c>
    </row>
    <row r="295" spans="1:18" x14ac:dyDescent="0.3">
      <c r="A295" t="s">
        <v>257</v>
      </c>
      <c r="B295">
        <v>48</v>
      </c>
      <c r="D295">
        <v>3</v>
      </c>
      <c r="F295">
        <v>3</v>
      </c>
      <c r="G295">
        <v>3</v>
      </c>
      <c r="H295">
        <v>3</v>
      </c>
    </row>
    <row r="296" spans="1:18" x14ac:dyDescent="0.3">
      <c r="A296" t="s">
        <v>258</v>
      </c>
      <c r="B296">
        <v>48</v>
      </c>
      <c r="D296">
        <v>0</v>
      </c>
      <c r="F296">
        <v>0</v>
      </c>
      <c r="G296">
        <v>0</v>
      </c>
      <c r="H296">
        <v>0</v>
      </c>
    </row>
    <row r="297" spans="1:18" x14ac:dyDescent="0.3">
      <c r="A297" t="s">
        <v>259</v>
      </c>
      <c r="B297">
        <v>48</v>
      </c>
      <c r="D297">
        <v>0</v>
      </c>
      <c r="F297">
        <v>0</v>
      </c>
      <c r="G297">
        <v>0</v>
      </c>
      <c r="H297">
        <v>0</v>
      </c>
    </row>
    <row r="298" spans="1:18" x14ac:dyDescent="0.3">
      <c r="A298" t="s">
        <v>260</v>
      </c>
      <c r="B298">
        <v>48</v>
      </c>
      <c r="D298">
        <v>0</v>
      </c>
      <c r="F298">
        <v>0</v>
      </c>
      <c r="G298">
        <v>0</v>
      </c>
      <c r="H298">
        <v>0</v>
      </c>
    </row>
    <row r="299" spans="1:18" x14ac:dyDescent="0.3">
      <c r="A299" t="s">
        <v>261</v>
      </c>
      <c r="B299">
        <v>48</v>
      </c>
      <c r="D299">
        <v>4</v>
      </c>
      <c r="F299">
        <v>3</v>
      </c>
      <c r="G299">
        <v>3</v>
      </c>
      <c r="H299">
        <v>4</v>
      </c>
    </row>
    <row r="300" spans="1:18" x14ac:dyDescent="0.3">
      <c r="A300" t="s">
        <v>262</v>
      </c>
      <c r="B300">
        <v>48</v>
      </c>
      <c r="D300">
        <v>1</v>
      </c>
      <c r="F300">
        <v>2.6</v>
      </c>
      <c r="G300">
        <v>1</v>
      </c>
      <c r="H300">
        <v>1</v>
      </c>
    </row>
    <row r="301" spans="1:18" x14ac:dyDescent="0.3">
      <c r="A301" t="s">
        <v>263</v>
      </c>
      <c r="B301">
        <v>48</v>
      </c>
      <c r="D301">
        <v>3</v>
      </c>
      <c r="F301">
        <v>3</v>
      </c>
      <c r="G301">
        <v>3</v>
      </c>
      <c r="H301">
        <v>3</v>
      </c>
    </row>
    <row r="302" spans="1:18" x14ac:dyDescent="0.3">
      <c r="A302" t="s">
        <v>264</v>
      </c>
      <c r="B302">
        <v>48</v>
      </c>
      <c r="D302">
        <v>8</v>
      </c>
      <c r="F302">
        <v>8</v>
      </c>
      <c r="H302">
        <v>8</v>
      </c>
    </row>
    <row r="303" spans="1:18" x14ac:dyDescent="0.3">
      <c r="A303" t="s">
        <v>265</v>
      </c>
      <c r="B303">
        <v>48</v>
      </c>
      <c r="D303">
        <v>7</v>
      </c>
      <c r="F303">
        <v>18</v>
      </c>
      <c r="H303">
        <v>7</v>
      </c>
    </row>
    <row r="304" spans="1:18" x14ac:dyDescent="0.3">
      <c r="A304" t="s">
        <v>266</v>
      </c>
      <c r="B304">
        <v>48</v>
      </c>
      <c r="D304">
        <v>0</v>
      </c>
      <c r="F304">
        <v>0</v>
      </c>
      <c r="H304">
        <v>0</v>
      </c>
    </row>
    <row r="305" spans="1:18" x14ac:dyDescent="0.3">
      <c r="A305" t="s">
        <v>267</v>
      </c>
      <c r="B305">
        <v>48</v>
      </c>
      <c r="D305">
        <v>23.5</v>
      </c>
      <c r="F305">
        <v>31.6</v>
      </c>
      <c r="G305">
        <v>9.5</v>
      </c>
      <c r="H305">
        <v>23.5</v>
      </c>
    </row>
    <row r="306" spans="1:18" x14ac:dyDescent="0.3">
      <c r="A306" t="s">
        <v>268</v>
      </c>
      <c r="B306">
        <v>48</v>
      </c>
      <c r="D306">
        <v>1</v>
      </c>
      <c r="F306">
        <v>1</v>
      </c>
      <c r="G306">
        <v>0</v>
      </c>
      <c r="H306">
        <v>1</v>
      </c>
    </row>
    <row r="307" spans="1:18" x14ac:dyDescent="0.3">
      <c r="A307" t="s">
        <v>269</v>
      </c>
      <c r="B307">
        <v>48</v>
      </c>
      <c r="D307">
        <v>1</v>
      </c>
      <c r="F307">
        <v>1</v>
      </c>
      <c r="G307">
        <v>1</v>
      </c>
      <c r="H307">
        <v>1</v>
      </c>
    </row>
    <row r="308" spans="1:18" x14ac:dyDescent="0.3">
      <c r="A308" t="s">
        <v>270</v>
      </c>
      <c r="B308">
        <v>48</v>
      </c>
      <c r="D308">
        <v>101.7</v>
      </c>
      <c r="F308">
        <v>70.099999999999994</v>
      </c>
      <c r="G308">
        <v>101.7</v>
      </c>
      <c r="H308">
        <v>114</v>
      </c>
    </row>
    <row r="309" spans="1:18" x14ac:dyDescent="0.3">
      <c r="A309" t="s">
        <v>271</v>
      </c>
      <c r="B309">
        <v>48</v>
      </c>
      <c r="D309">
        <v>70.099999999999994</v>
      </c>
      <c r="F309">
        <v>101.7</v>
      </c>
      <c r="G309">
        <v>114</v>
      </c>
      <c r="H309">
        <v>70.099999999999994</v>
      </c>
    </row>
    <row r="310" spans="1:18" x14ac:dyDescent="0.3">
      <c r="A310" t="s">
        <v>272</v>
      </c>
      <c r="B310">
        <v>48</v>
      </c>
      <c r="D310">
        <v>65.099999999999994</v>
      </c>
      <c r="F310">
        <v>96.1</v>
      </c>
      <c r="G310">
        <v>110</v>
      </c>
      <c r="H310">
        <v>65.099999999999994</v>
      </c>
    </row>
    <row r="311" spans="1:18" x14ac:dyDescent="0.3">
      <c r="A311" t="s">
        <v>273</v>
      </c>
      <c r="B311">
        <v>48</v>
      </c>
      <c r="D311">
        <v>58.1</v>
      </c>
      <c r="F311">
        <v>78.099999999999994</v>
      </c>
      <c r="G311">
        <v>110</v>
      </c>
      <c r="H311">
        <v>58.1</v>
      </c>
    </row>
    <row r="312" spans="1:18" x14ac:dyDescent="0.3">
      <c r="A312" t="s">
        <v>274</v>
      </c>
      <c r="B312">
        <v>48</v>
      </c>
      <c r="D312">
        <v>107.7</v>
      </c>
      <c r="F312">
        <v>76.099999999999994</v>
      </c>
      <c r="G312">
        <v>107.7</v>
      </c>
      <c r="H312">
        <v>0</v>
      </c>
    </row>
    <row r="313" spans="1:18" x14ac:dyDescent="0.3">
      <c r="A313" t="s">
        <v>275</v>
      </c>
      <c r="B313">
        <v>48</v>
      </c>
      <c r="D313">
        <v>71.099999999999994</v>
      </c>
      <c r="F313">
        <v>102.1</v>
      </c>
      <c r="G313">
        <v>116</v>
      </c>
      <c r="H313">
        <v>71.099999999999994</v>
      </c>
    </row>
    <row r="314" spans="1:18" x14ac:dyDescent="0.3">
      <c r="A314" t="s">
        <v>276</v>
      </c>
      <c r="B314">
        <v>48</v>
      </c>
      <c r="D314">
        <v>64.099999999999994</v>
      </c>
      <c r="F314">
        <v>84.1</v>
      </c>
      <c r="G314">
        <v>116</v>
      </c>
      <c r="H314">
        <v>64.099999999999994</v>
      </c>
    </row>
    <row r="315" spans="1:18" x14ac:dyDescent="0.3">
      <c r="A315" t="s">
        <v>567</v>
      </c>
      <c r="B315">
        <v>48</v>
      </c>
      <c r="D315">
        <v>83.4</v>
      </c>
      <c r="F315">
        <v>26</v>
      </c>
      <c r="G315">
        <v>8.3000000000000007</v>
      </c>
      <c r="H315">
        <v>71.099999999999994</v>
      </c>
    </row>
    <row r="316" spans="1:18" x14ac:dyDescent="0.3">
      <c r="A316" t="s">
        <v>254</v>
      </c>
      <c r="B316">
        <v>49</v>
      </c>
      <c r="C316">
        <v>111</v>
      </c>
      <c r="D316">
        <v>112</v>
      </c>
      <c r="E316">
        <v>211</v>
      </c>
      <c r="F316">
        <v>212</v>
      </c>
      <c r="G316">
        <v>122</v>
      </c>
      <c r="H316">
        <v>121</v>
      </c>
      <c r="I316">
        <v>221</v>
      </c>
      <c r="J316">
        <v>222</v>
      </c>
      <c r="K316">
        <v>311</v>
      </c>
      <c r="L316">
        <v>312</v>
      </c>
      <c r="M316">
        <v>411</v>
      </c>
      <c r="N316">
        <v>412</v>
      </c>
      <c r="O316">
        <v>321</v>
      </c>
      <c r="P316">
        <v>322</v>
      </c>
      <c r="Q316">
        <v>421</v>
      </c>
      <c r="R316">
        <v>422</v>
      </c>
    </row>
    <row r="317" spans="1:18" x14ac:dyDescent="0.3">
      <c r="A317" t="s">
        <v>255</v>
      </c>
      <c r="B317">
        <v>49</v>
      </c>
      <c r="C317">
        <v>5</v>
      </c>
      <c r="D317">
        <v>15</v>
      </c>
      <c r="E317">
        <v>5</v>
      </c>
      <c r="F317">
        <v>15</v>
      </c>
      <c r="G317">
        <v>5</v>
      </c>
      <c r="H317">
        <v>15</v>
      </c>
      <c r="I317">
        <v>5</v>
      </c>
      <c r="J317">
        <v>15</v>
      </c>
    </row>
    <row r="318" spans="1:18" x14ac:dyDescent="0.3">
      <c r="A318" t="s">
        <v>256</v>
      </c>
      <c r="B318">
        <v>49</v>
      </c>
      <c r="C318">
        <v>15</v>
      </c>
      <c r="D318">
        <v>40.6</v>
      </c>
      <c r="E318">
        <v>15.6</v>
      </c>
      <c r="F318">
        <v>29.1</v>
      </c>
      <c r="G318">
        <v>12.4</v>
      </c>
      <c r="H318">
        <v>43.2</v>
      </c>
      <c r="I318">
        <v>13.2</v>
      </c>
      <c r="J318">
        <v>31.5</v>
      </c>
    </row>
    <row r="319" spans="1:18" x14ac:dyDescent="0.3">
      <c r="A319" t="s">
        <v>257</v>
      </c>
      <c r="B319">
        <v>49</v>
      </c>
      <c r="C319">
        <v>2</v>
      </c>
      <c r="D319">
        <v>1</v>
      </c>
      <c r="E319">
        <v>2</v>
      </c>
      <c r="F319">
        <v>1</v>
      </c>
      <c r="G319">
        <v>2</v>
      </c>
      <c r="H319">
        <v>1</v>
      </c>
      <c r="I319">
        <v>2</v>
      </c>
      <c r="J319">
        <v>1</v>
      </c>
    </row>
    <row r="320" spans="1:18" x14ac:dyDescent="0.3">
      <c r="A320" t="s">
        <v>258</v>
      </c>
      <c r="B320">
        <v>49</v>
      </c>
      <c r="C320">
        <v>0</v>
      </c>
      <c r="D320">
        <v>0</v>
      </c>
      <c r="E320">
        <v>0</v>
      </c>
      <c r="F320">
        <v>0</v>
      </c>
      <c r="G320">
        <v>0</v>
      </c>
      <c r="H320">
        <v>0</v>
      </c>
      <c r="I320">
        <v>0</v>
      </c>
      <c r="J320">
        <v>0</v>
      </c>
    </row>
    <row r="321" spans="1:10" x14ac:dyDescent="0.3">
      <c r="A321" t="s">
        <v>259</v>
      </c>
      <c r="B321">
        <v>49</v>
      </c>
      <c r="C321">
        <v>0</v>
      </c>
      <c r="D321">
        <v>0</v>
      </c>
      <c r="E321">
        <v>0</v>
      </c>
      <c r="F321">
        <v>0</v>
      </c>
      <c r="G321">
        <v>0</v>
      </c>
      <c r="H321">
        <v>0</v>
      </c>
      <c r="I321">
        <v>0</v>
      </c>
      <c r="J321">
        <v>0</v>
      </c>
    </row>
    <row r="322" spans="1:10" x14ac:dyDescent="0.3">
      <c r="A322" t="s">
        <v>260</v>
      </c>
      <c r="B322">
        <v>49</v>
      </c>
      <c r="C322">
        <v>0</v>
      </c>
      <c r="D322">
        <v>0</v>
      </c>
      <c r="E322">
        <v>0</v>
      </c>
      <c r="F322">
        <v>0</v>
      </c>
      <c r="G322">
        <v>0</v>
      </c>
      <c r="H322">
        <v>0</v>
      </c>
      <c r="I322">
        <v>0</v>
      </c>
      <c r="J322">
        <v>0</v>
      </c>
    </row>
    <row r="323" spans="1:10" x14ac:dyDescent="0.3">
      <c r="A323" t="s">
        <v>261</v>
      </c>
      <c r="B323">
        <v>49</v>
      </c>
      <c r="C323">
        <v>3</v>
      </c>
      <c r="D323">
        <v>4</v>
      </c>
      <c r="E323">
        <v>3</v>
      </c>
      <c r="F323">
        <v>4.3</v>
      </c>
      <c r="G323">
        <v>3</v>
      </c>
      <c r="H323">
        <v>4</v>
      </c>
      <c r="I323">
        <v>3</v>
      </c>
      <c r="J323">
        <v>4.3</v>
      </c>
    </row>
    <row r="324" spans="1:10" x14ac:dyDescent="0.3">
      <c r="A324" t="s">
        <v>262</v>
      </c>
      <c r="B324">
        <v>49</v>
      </c>
      <c r="C324">
        <v>1</v>
      </c>
      <c r="D324">
        <v>1.8</v>
      </c>
      <c r="E324">
        <v>1</v>
      </c>
      <c r="F324">
        <v>1.6</v>
      </c>
      <c r="G324">
        <v>1</v>
      </c>
      <c r="H324">
        <v>1.8</v>
      </c>
      <c r="I324">
        <v>1</v>
      </c>
      <c r="J324">
        <v>1.6</v>
      </c>
    </row>
    <row r="325" spans="1:10" x14ac:dyDescent="0.3">
      <c r="A325" t="s">
        <v>263</v>
      </c>
      <c r="B325">
        <v>49</v>
      </c>
      <c r="C325">
        <v>3</v>
      </c>
      <c r="D325">
        <v>3</v>
      </c>
      <c r="E325">
        <v>3</v>
      </c>
      <c r="F325">
        <v>3</v>
      </c>
      <c r="G325">
        <v>3</v>
      </c>
      <c r="H325">
        <v>3</v>
      </c>
      <c r="I325">
        <v>3</v>
      </c>
      <c r="J325">
        <v>3</v>
      </c>
    </row>
    <row r="326" spans="1:10" x14ac:dyDescent="0.3">
      <c r="A326" t="s">
        <v>264</v>
      </c>
      <c r="B326">
        <v>49</v>
      </c>
      <c r="D326">
        <v>8</v>
      </c>
      <c r="F326">
        <v>8</v>
      </c>
      <c r="H326">
        <v>8</v>
      </c>
      <c r="J326">
        <v>8</v>
      </c>
    </row>
    <row r="327" spans="1:10" x14ac:dyDescent="0.3">
      <c r="A327" t="s">
        <v>265</v>
      </c>
      <c r="B327">
        <v>49</v>
      </c>
      <c r="D327">
        <v>21</v>
      </c>
      <c r="F327">
        <v>21</v>
      </c>
      <c r="H327">
        <v>21</v>
      </c>
      <c r="J327">
        <v>21</v>
      </c>
    </row>
    <row r="328" spans="1:10" x14ac:dyDescent="0.3">
      <c r="A328" t="s">
        <v>266</v>
      </c>
      <c r="B328">
        <v>49</v>
      </c>
      <c r="D328">
        <v>0</v>
      </c>
      <c r="F328">
        <v>0</v>
      </c>
      <c r="H328">
        <v>0</v>
      </c>
      <c r="J328">
        <v>0</v>
      </c>
    </row>
    <row r="329" spans="1:10" x14ac:dyDescent="0.3">
      <c r="A329" t="s">
        <v>267</v>
      </c>
      <c r="B329">
        <v>49</v>
      </c>
      <c r="C329">
        <v>9.5</v>
      </c>
      <c r="D329">
        <v>34.799999999999997</v>
      </c>
      <c r="E329">
        <v>9.5</v>
      </c>
      <c r="F329">
        <v>34.9</v>
      </c>
      <c r="G329">
        <v>9.5</v>
      </c>
      <c r="H329">
        <v>34.799999999999997</v>
      </c>
      <c r="I329">
        <v>9.5</v>
      </c>
      <c r="J329">
        <v>34.9</v>
      </c>
    </row>
    <row r="330" spans="1:10" x14ac:dyDescent="0.3">
      <c r="A330" t="s">
        <v>268</v>
      </c>
      <c r="B330">
        <v>49</v>
      </c>
      <c r="C330">
        <v>0</v>
      </c>
      <c r="D330">
        <v>1</v>
      </c>
      <c r="E330">
        <v>0</v>
      </c>
      <c r="F330">
        <v>1</v>
      </c>
      <c r="G330">
        <v>0</v>
      </c>
      <c r="H330">
        <v>1</v>
      </c>
      <c r="I330">
        <v>0</v>
      </c>
      <c r="J330">
        <v>1</v>
      </c>
    </row>
    <row r="331" spans="1:10" x14ac:dyDescent="0.3">
      <c r="A331" t="s">
        <v>269</v>
      </c>
      <c r="B331">
        <v>49</v>
      </c>
      <c r="C331">
        <v>1</v>
      </c>
      <c r="D331">
        <v>1</v>
      </c>
      <c r="E331">
        <v>1</v>
      </c>
      <c r="F331">
        <v>1</v>
      </c>
      <c r="G331">
        <v>1</v>
      </c>
      <c r="H331">
        <v>1</v>
      </c>
      <c r="I331">
        <v>1</v>
      </c>
      <c r="J331">
        <v>1</v>
      </c>
    </row>
    <row r="332" spans="1:10" x14ac:dyDescent="0.3">
      <c r="A332" t="s">
        <v>270</v>
      </c>
      <c r="B332">
        <v>49</v>
      </c>
      <c r="C332">
        <v>101</v>
      </c>
      <c r="D332">
        <v>0</v>
      </c>
      <c r="E332">
        <v>46.4</v>
      </c>
      <c r="F332">
        <v>66</v>
      </c>
      <c r="G332">
        <v>30</v>
      </c>
      <c r="H332">
        <v>101</v>
      </c>
      <c r="I332">
        <v>46.4</v>
      </c>
      <c r="J332">
        <v>63.6</v>
      </c>
    </row>
    <row r="333" spans="1:10" x14ac:dyDescent="0.3">
      <c r="A333" t="s">
        <v>271</v>
      </c>
      <c r="B333">
        <v>49</v>
      </c>
      <c r="C333">
        <v>0</v>
      </c>
      <c r="D333">
        <v>46.4</v>
      </c>
      <c r="E333">
        <v>66</v>
      </c>
      <c r="F333">
        <v>101</v>
      </c>
      <c r="G333">
        <v>46.4</v>
      </c>
      <c r="H333">
        <v>30</v>
      </c>
      <c r="I333">
        <v>63.6</v>
      </c>
      <c r="J333">
        <v>101</v>
      </c>
    </row>
    <row r="334" spans="1:10" x14ac:dyDescent="0.3">
      <c r="A334" t="s">
        <v>272</v>
      </c>
      <c r="B334">
        <v>49</v>
      </c>
      <c r="C334">
        <v>116</v>
      </c>
      <c r="D334">
        <v>40.6</v>
      </c>
      <c r="E334">
        <v>62</v>
      </c>
      <c r="F334">
        <v>95.1</v>
      </c>
      <c r="G334">
        <v>42.4</v>
      </c>
      <c r="H334">
        <v>24.2</v>
      </c>
      <c r="I334">
        <v>59.6</v>
      </c>
      <c r="J334">
        <v>95.1</v>
      </c>
    </row>
    <row r="335" spans="1:10" x14ac:dyDescent="0.3">
      <c r="A335" t="s">
        <v>273</v>
      </c>
      <c r="B335">
        <v>49</v>
      </c>
      <c r="C335">
        <v>116</v>
      </c>
      <c r="D335">
        <v>19.600000000000001</v>
      </c>
      <c r="E335">
        <v>62</v>
      </c>
      <c r="F335">
        <v>74.099999999999994</v>
      </c>
      <c r="G335">
        <v>42.4</v>
      </c>
      <c r="H335">
        <v>3.2</v>
      </c>
      <c r="I335">
        <v>59.6</v>
      </c>
      <c r="J335">
        <v>74.099999999999994</v>
      </c>
    </row>
    <row r="336" spans="1:10" x14ac:dyDescent="0.3">
      <c r="A336" t="s">
        <v>274</v>
      </c>
      <c r="B336">
        <v>49</v>
      </c>
      <c r="C336">
        <v>101</v>
      </c>
      <c r="D336">
        <v>0</v>
      </c>
      <c r="E336">
        <v>46.4</v>
      </c>
      <c r="F336">
        <v>66</v>
      </c>
      <c r="G336">
        <v>30</v>
      </c>
      <c r="H336">
        <v>101</v>
      </c>
      <c r="I336">
        <v>46.4</v>
      </c>
      <c r="J336">
        <v>63.6</v>
      </c>
    </row>
    <row r="337" spans="1:18" x14ac:dyDescent="0.3">
      <c r="A337" t="s">
        <v>275</v>
      </c>
      <c r="B337">
        <v>49</v>
      </c>
      <c r="C337">
        <v>116</v>
      </c>
      <c r="D337">
        <v>40.6</v>
      </c>
      <c r="E337">
        <v>62</v>
      </c>
      <c r="F337">
        <v>95.1</v>
      </c>
      <c r="G337">
        <v>42.4</v>
      </c>
      <c r="H337">
        <v>24.2</v>
      </c>
      <c r="I337">
        <v>59.6</v>
      </c>
      <c r="J337">
        <v>95.1</v>
      </c>
    </row>
    <row r="338" spans="1:18" x14ac:dyDescent="0.3">
      <c r="A338" t="s">
        <v>276</v>
      </c>
      <c r="B338">
        <v>49</v>
      </c>
      <c r="C338">
        <v>116</v>
      </c>
      <c r="D338">
        <v>19.600000000000001</v>
      </c>
      <c r="E338">
        <v>62</v>
      </c>
      <c r="F338">
        <v>74.099999999999994</v>
      </c>
      <c r="G338">
        <v>42.4</v>
      </c>
      <c r="H338">
        <v>3.2</v>
      </c>
      <c r="I338">
        <v>59.6</v>
      </c>
      <c r="J338">
        <v>74.099999999999994</v>
      </c>
    </row>
    <row r="339" spans="1:18" x14ac:dyDescent="0.3">
      <c r="A339" t="s">
        <v>567</v>
      </c>
      <c r="B339">
        <v>49</v>
      </c>
      <c r="C339">
        <v>15</v>
      </c>
      <c r="D339">
        <v>40.6</v>
      </c>
      <c r="E339">
        <v>15.6</v>
      </c>
      <c r="F339">
        <v>29.1</v>
      </c>
      <c r="G339">
        <v>12.4</v>
      </c>
      <c r="H339">
        <v>43.2</v>
      </c>
      <c r="I339">
        <v>13.2</v>
      </c>
      <c r="J339">
        <v>31.5</v>
      </c>
    </row>
    <row r="340" spans="1:18" x14ac:dyDescent="0.3">
      <c r="A340" t="s">
        <v>254</v>
      </c>
      <c r="B340">
        <v>53</v>
      </c>
      <c r="C340">
        <v>111</v>
      </c>
      <c r="D340">
        <v>112</v>
      </c>
      <c r="F340">
        <v>211</v>
      </c>
      <c r="H340">
        <v>121</v>
      </c>
      <c r="J340">
        <v>221</v>
      </c>
      <c r="K340">
        <v>311</v>
      </c>
      <c r="L340">
        <v>312</v>
      </c>
      <c r="M340">
        <v>411</v>
      </c>
      <c r="N340">
        <v>412</v>
      </c>
      <c r="O340">
        <v>321</v>
      </c>
      <c r="P340">
        <v>322</v>
      </c>
      <c r="Q340">
        <v>421</v>
      </c>
      <c r="R340">
        <v>422</v>
      </c>
    </row>
    <row r="341" spans="1:18" x14ac:dyDescent="0.3">
      <c r="A341" t="s">
        <v>255</v>
      </c>
      <c r="B341">
        <v>53</v>
      </c>
      <c r="C341">
        <v>5</v>
      </c>
      <c r="D341">
        <v>15</v>
      </c>
      <c r="F341">
        <v>5</v>
      </c>
      <c r="H341">
        <v>15</v>
      </c>
      <c r="J341">
        <v>5</v>
      </c>
    </row>
    <row r="342" spans="1:18" x14ac:dyDescent="0.3">
      <c r="A342" t="s">
        <v>256</v>
      </c>
      <c r="B342">
        <v>53</v>
      </c>
      <c r="C342">
        <v>5.5</v>
      </c>
      <c r="D342">
        <v>70.5</v>
      </c>
      <c r="F342">
        <v>29.4</v>
      </c>
      <c r="H342">
        <v>80</v>
      </c>
      <c r="J342">
        <v>29.4</v>
      </c>
    </row>
    <row r="343" spans="1:18" x14ac:dyDescent="0.3">
      <c r="A343" t="s">
        <v>257</v>
      </c>
      <c r="B343">
        <v>53</v>
      </c>
      <c r="C343">
        <v>2</v>
      </c>
      <c r="D343">
        <v>1</v>
      </c>
      <c r="F343">
        <v>2</v>
      </c>
      <c r="H343">
        <v>0.2</v>
      </c>
      <c r="J343">
        <v>2</v>
      </c>
    </row>
    <row r="344" spans="1:18" x14ac:dyDescent="0.3">
      <c r="A344" t="s">
        <v>258</v>
      </c>
      <c r="B344">
        <v>53</v>
      </c>
      <c r="C344">
        <v>0</v>
      </c>
      <c r="D344">
        <v>0</v>
      </c>
      <c r="F344">
        <v>0</v>
      </c>
      <c r="H344">
        <v>0</v>
      </c>
      <c r="J344">
        <v>0</v>
      </c>
    </row>
    <row r="345" spans="1:18" x14ac:dyDescent="0.3">
      <c r="A345" t="s">
        <v>259</v>
      </c>
      <c r="B345">
        <v>53</v>
      </c>
      <c r="C345">
        <v>0</v>
      </c>
      <c r="D345">
        <v>0</v>
      </c>
      <c r="F345">
        <v>0</v>
      </c>
      <c r="H345">
        <v>0</v>
      </c>
      <c r="J345">
        <v>0</v>
      </c>
    </row>
    <row r="346" spans="1:18" x14ac:dyDescent="0.3">
      <c r="A346" t="s">
        <v>260</v>
      </c>
      <c r="B346">
        <v>53</v>
      </c>
      <c r="C346">
        <v>0</v>
      </c>
      <c r="D346">
        <v>0</v>
      </c>
      <c r="F346">
        <v>0</v>
      </c>
      <c r="H346">
        <v>0</v>
      </c>
      <c r="J346">
        <v>0</v>
      </c>
    </row>
    <row r="347" spans="1:18" x14ac:dyDescent="0.3">
      <c r="A347" t="s">
        <v>261</v>
      </c>
      <c r="B347">
        <v>53</v>
      </c>
      <c r="C347">
        <v>3</v>
      </c>
      <c r="D347">
        <v>4</v>
      </c>
      <c r="F347">
        <v>3</v>
      </c>
      <c r="H347">
        <v>4</v>
      </c>
      <c r="J347">
        <v>3</v>
      </c>
    </row>
    <row r="348" spans="1:18" x14ac:dyDescent="0.3">
      <c r="A348" t="s">
        <v>262</v>
      </c>
      <c r="B348">
        <v>53</v>
      </c>
      <c r="C348">
        <v>1</v>
      </c>
      <c r="D348">
        <v>1</v>
      </c>
      <c r="F348">
        <v>2.6</v>
      </c>
      <c r="H348">
        <v>1</v>
      </c>
      <c r="J348">
        <v>2.6</v>
      </c>
    </row>
    <row r="349" spans="1:18" x14ac:dyDescent="0.3">
      <c r="A349" t="s">
        <v>263</v>
      </c>
      <c r="B349">
        <v>53</v>
      </c>
      <c r="C349">
        <v>3</v>
      </c>
      <c r="D349">
        <v>3</v>
      </c>
      <c r="F349">
        <v>3</v>
      </c>
      <c r="H349">
        <v>3</v>
      </c>
      <c r="J349">
        <v>3</v>
      </c>
    </row>
    <row r="350" spans="1:18" x14ac:dyDescent="0.3">
      <c r="A350" t="s">
        <v>264</v>
      </c>
      <c r="B350">
        <v>53</v>
      </c>
      <c r="D350">
        <v>8</v>
      </c>
      <c r="F350">
        <v>8</v>
      </c>
      <c r="H350">
        <v>8</v>
      </c>
      <c r="J350">
        <v>8</v>
      </c>
    </row>
    <row r="351" spans="1:18" x14ac:dyDescent="0.3">
      <c r="A351" t="s">
        <v>265</v>
      </c>
      <c r="B351">
        <v>53</v>
      </c>
      <c r="D351">
        <v>10</v>
      </c>
      <c r="F351">
        <v>21</v>
      </c>
      <c r="H351">
        <v>10</v>
      </c>
      <c r="J351">
        <v>21</v>
      </c>
    </row>
    <row r="352" spans="1:18" x14ac:dyDescent="0.3">
      <c r="A352" t="s">
        <v>266</v>
      </c>
      <c r="B352">
        <v>53</v>
      </c>
      <c r="D352">
        <v>0</v>
      </c>
      <c r="F352">
        <v>0</v>
      </c>
      <c r="H352">
        <v>0</v>
      </c>
      <c r="J352">
        <v>0</v>
      </c>
    </row>
    <row r="353" spans="1:18" x14ac:dyDescent="0.3">
      <c r="A353" t="s">
        <v>267</v>
      </c>
      <c r="B353">
        <v>53</v>
      </c>
      <c r="C353">
        <v>9.5</v>
      </c>
      <c r="D353">
        <v>24</v>
      </c>
      <c r="F353">
        <v>34.6</v>
      </c>
      <c r="H353">
        <v>24</v>
      </c>
      <c r="J353">
        <v>34.6</v>
      </c>
    </row>
    <row r="354" spans="1:18" x14ac:dyDescent="0.3">
      <c r="A354" t="s">
        <v>268</v>
      </c>
      <c r="B354">
        <v>53</v>
      </c>
      <c r="C354">
        <v>0</v>
      </c>
      <c r="D354">
        <v>1</v>
      </c>
      <c r="F354">
        <v>1</v>
      </c>
      <c r="H354">
        <v>1</v>
      </c>
      <c r="J354">
        <v>1</v>
      </c>
    </row>
    <row r="355" spans="1:18" x14ac:dyDescent="0.3">
      <c r="A355" t="s">
        <v>269</v>
      </c>
      <c r="B355">
        <v>53</v>
      </c>
      <c r="C355">
        <v>1</v>
      </c>
      <c r="D355">
        <v>1</v>
      </c>
      <c r="F355">
        <v>1</v>
      </c>
      <c r="H355">
        <v>1</v>
      </c>
      <c r="J355">
        <v>1</v>
      </c>
    </row>
    <row r="356" spans="1:18" x14ac:dyDescent="0.3">
      <c r="A356" t="s">
        <v>270</v>
      </c>
      <c r="B356">
        <v>53</v>
      </c>
      <c r="C356">
        <v>42.5</v>
      </c>
      <c r="D356">
        <v>52</v>
      </c>
      <c r="F356">
        <v>7.5</v>
      </c>
      <c r="H356">
        <v>42.5</v>
      </c>
      <c r="J356">
        <v>7.5</v>
      </c>
    </row>
    <row r="357" spans="1:18" x14ac:dyDescent="0.3">
      <c r="A357" t="s">
        <v>271</v>
      </c>
      <c r="B357">
        <v>53</v>
      </c>
      <c r="C357">
        <v>52</v>
      </c>
      <c r="D357">
        <v>7.5</v>
      </c>
      <c r="F357">
        <v>42.5</v>
      </c>
      <c r="H357">
        <v>7.5</v>
      </c>
      <c r="J357">
        <v>42.5</v>
      </c>
    </row>
    <row r="358" spans="1:18" x14ac:dyDescent="0.3">
      <c r="A358" t="s">
        <v>272</v>
      </c>
      <c r="B358">
        <v>53</v>
      </c>
      <c r="C358">
        <v>48</v>
      </c>
      <c r="D358">
        <v>2.5</v>
      </c>
      <c r="F358">
        <v>36.9</v>
      </c>
      <c r="H358">
        <v>2.5</v>
      </c>
      <c r="J358">
        <v>36.9</v>
      </c>
    </row>
    <row r="359" spans="1:18" x14ac:dyDescent="0.3">
      <c r="A359" t="s">
        <v>273</v>
      </c>
      <c r="B359">
        <v>53</v>
      </c>
      <c r="C359">
        <v>48</v>
      </c>
      <c r="D359">
        <v>112.5</v>
      </c>
      <c r="F359">
        <v>15.9</v>
      </c>
      <c r="H359">
        <v>112.5</v>
      </c>
      <c r="J359">
        <v>15.9</v>
      </c>
    </row>
    <row r="360" spans="1:18" x14ac:dyDescent="0.3">
      <c r="A360" t="s">
        <v>274</v>
      </c>
      <c r="B360">
        <v>53</v>
      </c>
      <c r="C360">
        <v>110.5</v>
      </c>
      <c r="D360">
        <v>0</v>
      </c>
      <c r="F360">
        <v>75.5</v>
      </c>
      <c r="H360">
        <v>110.5</v>
      </c>
      <c r="J360">
        <v>75.5</v>
      </c>
    </row>
    <row r="361" spans="1:18" x14ac:dyDescent="0.3">
      <c r="A361" t="s">
        <v>275</v>
      </c>
      <c r="B361">
        <v>53</v>
      </c>
      <c r="C361">
        <v>116</v>
      </c>
      <c r="D361">
        <v>70.5</v>
      </c>
      <c r="F361">
        <v>104.9</v>
      </c>
      <c r="H361">
        <v>70.5</v>
      </c>
      <c r="J361">
        <v>104.9</v>
      </c>
    </row>
    <row r="362" spans="1:18" x14ac:dyDescent="0.3">
      <c r="A362" t="s">
        <v>276</v>
      </c>
      <c r="B362">
        <v>53</v>
      </c>
      <c r="C362">
        <v>116</v>
      </c>
      <c r="D362">
        <v>60.5</v>
      </c>
      <c r="F362">
        <v>83.9</v>
      </c>
      <c r="H362">
        <v>60.5</v>
      </c>
      <c r="J362">
        <v>83.9</v>
      </c>
    </row>
    <row r="363" spans="1:18" x14ac:dyDescent="0.3">
      <c r="A363" t="s">
        <v>567</v>
      </c>
      <c r="B363">
        <v>53</v>
      </c>
      <c r="C363">
        <v>5.5</v>
      </c>
      <c r="D363">
        <v>70.5</v>
      </c>
      <c r="F363">
        <v>29.4</v>
      </c>
      <c r="H363">
        <v>80</v>
      </c>
      <c r="J363">
        <v>29.4</v>
      </c>
    </row>
    <row r="364" spans="1:18" x14ac:dyDescent="0.3">
      <c r="A364" t="s">
        <v>254</v>
      </c>
      <c r="B364">
        <v>56</v>
      </c>
      <c r="C364">
        <v>111</v>
      </c>
      <c r="D364">
        <v>112</v>
      </c>
      <c r="E364">
        <v>211</v>
      </c>
      <c r="G364">
        <v>121</v>
      </c>
      <c r="H364">
        <v>122</v>
      </c>
      <c r="I364">
        <v>222</v>
      </c>
      <c r="J364">
        <v>221</v>
      </c>
      <c r="K364">
        <v>311</v>
      </c>
      <c r="L364">
        <v>312</v>
      </c>
      <c r="M364">
        <v>411</v>
      </c>
      <c r="N364">
        <v>412</v>
      </c>
      <c r="O364">
        <v>321</v>
      </c>
      <c r="P364">
        <v>322</v>
      </c>
      <c r="Q364">
        <v>421</v>
      </c>
      <c r="R364">
        <v>422</v>
      </c>
    </row>
    <row r="365" spans="1:18" x14ac:dyDescent="0.3">
      <c r="A365" t="s">
        <v>255</v>
      </c>
      <c r="B365">
        <v>56</v>
      </c>
      <c r="C365">
        <v>5</v>
      </c>
      <c r="D365">
        <v>15</v>
      </c>
      <c r="E365">
        <v>5</v>
      </c>
      <c r="G365">
        <v>5</v>
      </c>
      <c r="H365">
        <v>15</v>
      </c>
      <c r="I365">
        <v>5</v>
      </c>
    </row>
    <row r="366" spans="1:18" x14ac:dyDescent="0.3">
      <c r="A366" t="s">
        <v>256</v>
      </c>
      <c r="B366">
        <v>56</v>
      </c>
      <c r="C366">
        <v>26</v>
      </c>
      <c r="D366">
        <v>47.4</v>
      </c>
      <c r="E366">
        <v>20.5</v>
      </c>
      <c r="G366">
        <v>22</v>
      </c>
      <c r="H366">
        <v>51.4</v>
      </c>
      <c r="I366">
        <v>20.5</v>
      </c>
    </row>
    <row r="367" spans="1:18" x14ac:dyDescent="0.3">
      <c r="A367" t="s">
        <v>257</v>
      </c>
      <c r="B367">
        <v>56</v>
      </c>
      <c r="C367">
        <v>2</v>
      </c>
      <c r="D367">
        <v>1</v>
      </c>
      <c r="E367">
        <v>2</v>
      </c>
      <c r="G367">
        <v>3</v>
      </c>
      <c r="H367">
        <v>1</v>
      </c>
      <c r="I367">
        <v>2</v>
      </c>
    </row>
    <row r="368" spans="1:18" x14ac:dyDescent="0.3">
      <c r="A368" t="s">
        <v>258</v>
      </c>
      <c r="B368">
        <v>56</v>
      </c>
      <c r="C368">
        <v>0</v>
      </c>
      <c r="D368">
        <v>0</v>
      </c>
      <c r="E368">
        <v>0</v>
      </c>
      <c r="G368">
        <v>0</v>
      </c>
      <c r="H368">
        <v>0</v>
      </c>
      <c r="I368">
        <v>0</v>
      </c>
    </row>
    <row r="369" spans="1:9" x14ac:dyDescent="0.3">
      <c r="A369" t="s">
        <v>259</v>
      </c>
      <c r="B369">
        <v>56</v>
      </c>
      <c r="C369">
        <v>0</v>
      </c>
      <c r="D369">
        <v>0</v>
      </c>
      <c r="E369">
        <v>0</v>
      </c>
      <c r="G369">
        <v>0</v>
      </c>
      <c r="H369">
        <v>0</v>
      </c>
      <c r="I369">
        <v>0</v>
      </c>
    </row>
    <row r="370" spans="1:9" x14ac:dyDescent="0.3">
      <c r="A370" t="s">
        <v>260</v>
      </c>
      <c r="B370">
        <v>56</v>
      </c>
      <c r="C370">
        <v>0</v>
      </c>
      <c r="D370">
        <v>0</v>
      </c>
      <c r="E370">
        <v>0</v>
      </c>
      <c r="G370">
        <v>0</v>
      </c>
      <c r="H370">
        <v>0</v>
      </c>
      <c r="I370">
        <v>0</v>
      </c>
    </row>
    <row r="371" spans="1:9" x14ac:dyDescent="0.3">
      <c r="A371" t="s">
        <v>261</v>
      </c>
      <c r="B371">
        <v>56</v>
      </c>
      <c r="C371">
        <v>4</v>
      </c>
      <c r="D371">
        <v>4.3</v>
      </c>
      <c r="E371">
        <v>3.6</v>
      </c>
      <c r="G371">
        <v>4</v>
      </c>
      <c r="H371">
        <v>4.3</v>
      </c>
      <c r="I371">
        <v>3.6</v>
      </c>
    </row>
    <row r="372" spans="1:9" x14ac:dyDescent="0.3">
      <c r="A372" t="s">
        <v>262</v>
      </c>
      <c r="B372">
        <v>56</v>
      </c>
      <c r="C372">
        <v>5</v>
      </c>
      <c r="D372">
        <v>4.3</v>
      </c>
      <c r="E372">
        <v>4.9000000000000004</v>
      </c>
      <c r="G372">
        <v>5</v>
      </c>
      <c r="H372">
        <v>4.3</v>
      </c>
      <c r="I372">
        <v>4.9000000000000004</v>
      </c>
    </row>
    <row r="373" spans="1:9" x14ac:dyDescent="0.3">
      <c r="A373" t="s">
        <v>263</v>
      </c>
      <c r="B373">
        <v>56</v>
      </c>
      <c r="C373">
        <v>3</v>
      </c>
      <c r="D373">
        <v>3</v>
      </c>
      <c r="E373">
        <v>3</v>
      </c>
      <c r="G373">
        <v>3</v>
      </c>
      <c r="H373">
        <v>3</v>
      </c>
      <c r="I373">
        <v>3</v>
      </c>
    </row>
    <row r="374" spans="1:9" x14ac:dyDescent="0.3">
      <c r="A374" t="s">
        <v>264</v>
      </c>
      <c r="B374">
        <v>56</v>
      </c>
      <c r="D374">
        <v>8</v>
      </c>
      <c r="H374">
        <v>8</v>
      </c>
    </row>
    <row r="375" spans="1:9" x14ac:dyDescent="0.3">
      <c r="A375" t="s">
        <v>265</v>
      </c>
      <c r="B375">
        <v>56</v>
      </c>
      <c r="D375">
        <v>6</v>
      </c>
      <c r="H375">
        <v>6</v>
      </c>
    </row>
    <row r="376" spans="1:9" x14ac:dyDescent="0.3">
      <c r="A376" t="s">
        <v>266</v>
      </c>
      <c r="B376">
        <v>56</v>
      </c>
      <c r="D376">
        <v>0</v>
      </c>
      <c r="H376">
        <v>0</v>
      </c>
    </row>
    <row r="377" spans="1:9" x14ac:dyDescent="0.3">
      <c r="A377" t="s">
        <v>267</v>
      </c>
      <c r="B377">
        <v>56</v>
      </c>
      <c r="C377">
        <v>14</v>
      </c>
      <c r="D377">
        <v>23.6</v>
      </c>
      <c r="E377">
        <v>14.5</v>
      </c>
      <c r="G377">
        <v>14</v>
      </c>
      <c r="H377">
        <v>23.6</v>
      </c>
      <c r="I377">
        <v>22.5</v>
      </c>
    </row>
    <row r="378" spans="1:9" x14ac:dyDescent="0.3">
      <c r="A378" t="s">
        <v>268</v>
      </c>
      <c r="B378">
        <v>56</v>
      </c>
      <c r="C378">
        <v>0</v>
      </c>
      <c r="D378">
        <v>1</v>
      </c>
      <c r="E378">
        <v>0</v>
      </c>
      <c r="G378">
        <v>0</v>
      </c>
      <c r="H378">
        <v>1</v>
      </c>
      <c r="I378">
        <v>0</v>
      </c>
    </row>
    <row r="379" spans="1:9" x14ac:dyDescent="0.3">
      <c r="A379" t="s">
        <v>269</v>
      </c>
      <c r="B379">
        <v>56</v>
      </c>
      <c r="C379">
        <v>1</v>
      </c>
      <c r="D379">
        <v>1</v>
      </c>
      <c r="E379">
        <v>1</v>
      </c>
      <c r="G379">
        <v>1</v>
      </c>
      <c r="H379">
        <v>1</v>
      </c>
      <c r="I379">
        <v>1</v>
      </c>
    </row>
    <row r="380" spans="1:9" x14ac:dyDescent="0.3">
      <c r="A380" t="s">
        <v>270</v>
      </c>
      <c r="B380">
        <v>56</v>
      </c>
      <c r="C380">
        <v>55</v>
      </c>
      <c r="D380">
        <v>90</v>
      </c>
      <c r="E380">
        <v>26</v>
      </c>
      <c r="G380">
        <v>55</v>
      </c>
      <c r="H380">
        <v>86</v>
      </c>
      <c r="I380">
        <v>26</v>
      </c>
    </row>
    <row r="381" spans="1:9" x14ac:dyDescent="0.3">
      <c r="A381" t="s">
        <v>271</v>
      </c>
      <c r="B381">
        <v>56</v>
      </c>
      <c r="C381">
        <v>90</v>
      </c>
      <c r="D381">
        <v>26</v>
      </c>
      <c r="E381">
        <v>55</v>
      </c>
      <c r="G381">
        <v>86</v>
      </c>
      <c r="H381">
        <v>26</v>
      </c>
      <c r="I381">
        <v>55</v>
      </c>
    </row>
    <row r="382" spans="1:9" x14ac:dyDescent="0.3">
      <c r="A382" t="s">
        <v>272</v>
      </c>
      <c r="B382">
        <v>56</v>
      </c>
      <c r="C382">
        <v>81</v>
      </c>
      <c r="D382">
        <v>17.399999999999999</v>
      </c>
      <c r="E382">
        <v>46.5</v>
      </c>
      <c r="G382">
        <v>77</v>
      </c>
      <c r="H382">
        <v>17.399999999999999</v>
      </c>
      <c r="I382">
        <v>46.5</v>
      </c>
    </row>
    <row r="383" spans="1:9" x14ac:dyDescent="0.3">
      <c r="A383" t="s">
        <v>273</v>
      </c>
      <c r="B383">
        <v>56</v>
      </c>
      <c r="C383">
        <v>81</v>
      </c>
      <c r="D383">
        <v>11.4</v>
      </c>
      <c r="E383">
        <v>46.5</v>
      </c>
      <c r="G383">
        <v>77</v>
      </c>
      <c r="H383">
        <v>11.4</v>
      </c>
      <c r="I383">
        <v>46.5</v>
      </c>
    </row>
    <row r="384" spans="1:9" x14ac:dyDescent="0.3">
      <c r="A384" t="s">
        <v>274</v>
      </c>
      <c r="B384">
        <v>56</v>
      </c>
      <c r="C384">
        <v>85</v>
      </c>
      <c r="D384">
        <v>0</v>
      </c>
      <c r="E384">
        <v>56</v>
      </c>
      <c r="G384">
        <v>85</v>
      </c>
      <c r="H384">
        <v>116</v>
      </c>
      <c r="I384">
        <v>56</v>
      </c>
    </row>
    <row r="385" spans="1:18" x14ac:dyDescent="0.3">
      <c r="A385" t="s">
        <v>275</v>
      </c>
      <c r="B385">
        <v>56</v>
      </c>
      <c r="C385">
        <v>111</v>
      </c>
      <c r="D385">
        <v>47.4</v>
      </c>
      <c r="E385">
        <v>76.5</v>
      </c>
      <c r="G385">
        <v>107</v>
      </c>
      <c r="H385">
        <v>47.4</v>
      </c>
      <c r="I385">
        <v>76.5</v>
      </c>
    </row>
    <row r="386" spans="1:18" x14ac:dyDescent="0.3">
      <c r="A386" t="s">
        <v>276</v>
      </c>
      <c r="B386">
        <v>56</v>
      </c>
      <c r="C386">
        <v>111</v>
      </c>
      <c r="D386">
        <v>41.4</v>
      </c>
      <c r="E386">
        <v>76.5</v>
      </c>
      <c r="G386">
        <v>107</v>
      </c>
      <c r="H386">
        <v>41.4</v>
      </c>
      <c r="I386">
        <v>76.5</v>
      </c>
    </row>
    <row r="387" spans="1:18" x14ac:dyDescent="0.3">
      <c r="A387" t="s">
        <v>567</v>
      </c>
      <c r="B387">
        <v>56</v>
      </c>
      <c r="C387">
        <v>26</v>
      </c>
      <c r="D387">
        <v>47.4</v>
      </c>
      <c r="E387">
        <v>20.5</v>
      </c>
      <c r="G387">
        <v>22</v>
      </c>
      <c r="H387">
        <v>51.4</v>
      </c>
      <c r="I387">
        <v>20.5</v>
      </c>
    </row>
    <row r="388" spans="1:18" x14ac:dyDescent="0.3">
      <c r="A388" t="s">
        <v>254</v>
      </c>
      <c r="B388">
        <v>64</v>
      </c>
      <c r="C388">
        <v>111</v>
      </c>
      <c r="D388">
        <v>112</v>
      </c>
      <c r="F388">
        <v>211</v>
      </c>
      <c r="H388">
        <v>121</v>
      </c>
      <c r="J388">
        <v>221</v>
      </c>
      <c r="K388">
        <v>311</v>
      </c>
      <c r="L388">
        <v>312</v>
      </c>
      <c r="M388">
        <v>411</v>
      </c>
      <c r="N388">
        <v>412</v>
      </c>
      <c r="O388">
        <v>321</v>
      </c>
      <c r="P388">
        <v>322</v>
      </c>
      <c r="Q388">
        <v>421</v>
      </c>
      <c r="R388">
        <v>422</v>
      </c>
    </row>
    <row r="389" spans="1:18" x14ac:dyDescent="0.3">
      <c r="A389" t="s">
        <v>255</v>
      </c>
      <c r="B389">
        <v>64</v>
      </c>
      <c r="C389">
        <v>5</v>
      </c>
      <c r="D389">
        <v>15</v>
      </c>
      <c r="F389">
        <v>5</v>
      </c>
      <c r="H389">
        <v>15</v>
      </c>
      <c r="J389">
        <v>5</v>
      </c>
    </row>
    <row r="390" spans="1:18" x14ac:dyDescent="0.3">
      <c r="A390" t="s">
        <v>256</v>
      </c>
      <c r="B390">
        <v>64</v>
      </c>
      <c r="C390">
        <v>12</v>
      </c>
      <c r="D390">
        <v>60</v>
      </c>
      <c r="F390">
        <v>33</v>
      </c>
      <c r="H390">
        <v>76</v>
      </c>
      <c r="J390">
        <v>33</v>
      </c>
    </row>
    <row r="391" spans="1:18" x14ac:dyDescent="0.3">
      <c r="A391" t="s">
        <v>257</v>
      </c>
      <c r="B391">
        <v>64</v>
      </c>
      <c r="C391">
        <v>2</v>
      </c>
      <c r="D391">
        <v>1</v>
      </c>
      <c r="F391">
        <v>2</v>
      </c>
      <c r="H391">
        <v>1</v>
      </c>
      <c r="J391">
        <v>4</v>
      </c>
    </row>
    <row r="392" spans="1:18" x14ac:dyDescent="0.3">
      <c r="A392" t="s">
        <v>258</v>
      </c>
      <c r="B392">
        <v>64</v>
      </c>
      <c r="C392">
        <v>0</v>
      </c>
      <c r="D392">
        <v>0</v>
      </c>
      <c r="F392">
        <v>0</v>
      </c>
      <c r="H392">
        <v>0</v>
      </c>
      <c r="J392">
        <v>0</v>
      </c>
    </row>
    <row r="393" spans="1:18" x14ac:dyDescent="0.3">
      <c r="A393" t="s">
        <v>259</v>
      </c>
      <c r="B393">
        <v>64</v>
      </c>
      <c r="C393">
        <v>0</v>
      </c>
      <c r="D393">
        <v>0</v>
      </c>
      <c r="F393">
        <v>0</v>
      </c>
      <c r="H393">
        <v>0</v>
      </c>
      <c r="J393">
        <v>0</v>
      </c>
    </row>
    <row r="394" spans="1:18" x14ac:dyDescent="0.3">
      <c r="A394" t="s">
        <v>260</v>
      </c>
      <c r="B394">
        <v>64</v>
      </c>
      <c r="C394">
        <v>0</v>
      </c>
      <c r="D394">
        <v>0</v>
      </c>
      <c r="F394">
        <v>0</v>
      </c>
      <c r="H394">
        <v>0</v>
      </c>
      <c r="J394">
        <v>0</v>
      </c>
    </row>
    <row r="395" spans="1:18" x14ac:dyDescent="0.3">
      <c r="A395" t="s">
        <v>261</v>
      </c>
      <c r="B395">
        <v>64</v>
      </c>
      <c r="C395">
        <v>3</v>
      </c>
      <c r="D395">
        <v>4</v>
      </c>
      <c r="F395">
        <v>3</v>
      </c>
      <c r="H395">
        <v>4</v>
      </c>
      <c r="J395">
        <v>3</v>
      </c>
    </row>
    <row r="396" spans="1:18" x14ac:dyDescent="0.3">
      <c r="A396" t="s">
        <v>262</v>
      </c>
      <c r="B396">
        <v>64</v>
      </c>
      <c r="C396">
        <v>1</v>
      </c>
      <c r="D396">
        <v>1</v>
      </c>
      <c r="F396">
        <v>3</v>
      </c>
      <c r="H396">
        <v>1</v>
      </c>
      <c r="J396">
        <v>3</v>
      </c>
    </row>
    <row r="397" spans="1:18" x14ac:dyDescent="0.3">
      <c r="A397" t="s">
        <v>263</v>
      </c>
      <c r="B397">
        <v>64</v>
      </c>
      <c r="C397">
        <v>3</v>
      </c>
      <c r="D397">
        <v>3</v>
      </c>
      <c r="F397">
        <v>3</v>
      </c>
      <c r="H397">
        <v>3</v>
      </c>
      <c r="J397">
        <v>3</v>
      </c>
    </row>
    <row r="398" spans="1:18" x14ac:dyDescent="0.3">
      <c r="A398" t="s">
        <v>264</v>
      </c>
      <c r="B398">
        <v>64</v>
      </c>
      <c r="D398">
        <v>8</v>
      </c>
      <c r="F398">
        <v>9</v>
      </c>
      <c r="H398">
        <v>8</v>
      </c>
      <c r="J398">
        <v>9</v>
      </c>
    </row>
    <row r="399" spans="1:18" x14ac:dyDescent="0.3">
      <c r="A399" t="s">
        <v>265</v>
      </c>
      <c r="B399">
        <v>64</v>
      </c>
      <c r="D399">
        <v>9</v>
      </c>
      <c r="F399">
        <v>22</v>
      </c>
      <c r="H399">
        <v>9</v>
      </c>
      <c r="J399">
        <v>22</v>
      </c>
    </row>
    <row r="400" spans="1:18" x14ac:dyDescent="0.3">
      <c r="A400" t="s">
        <v>266</v>
      </c>
      <c r="B400">
        <v>64</v>
      </c>
      <c r="D400">
        <v>0</v>
      </c>
      <c r="F400">
        <v>0</v>
      </c>
      <c r="H400">
        <v>0</v>
      </c>
      <c r="J400">
        <v>0</v>
      </c>
    </row>
    <row r="401" spans="1:18" x14ac:dyDescent="0.3">
      <c r="A401" t="s">
        <v>267</v>
      </c>
      <c r="B401">
        <v>64</v>
      </c>
      <c r="C401">
        <v>9.5</v>
      </c>
      <c r="D401">
        <v>23.5</v>
      </c>
      <c r="F401">
        <v>37</v>
      </c>
      <c r="H401">
        <v>23.5</v>
      </c>
      <c r="J401">
        <v>37</v>
      </c>
    </row>
    <row r="402" spans="1:18" x14ac:dyDescent="0.3">
      <c r="A402" t="s">
        <v>268</v>
      </c>
      <c r="B402">
        <v>64</v>
      </c>
      <c r="C402">
        <v>0</v>
      </c>
      <c r="D402">
        <v>1</v>
      </c>
      <c r="F402">
        <v>1</v>
      </c>
      <c r="H402">
        <v>1</v>
      </c>
      <c r="J402">
        <v>1</v>
      </c>
    </row>
    <row r="403" spans="1:18" x14ac:dyDescent="0.3">
      <c r="A403" t="s">
        <v>269</v>
      </c>
      <c r="B403">
        <v>64</v>
      </c>
      <c r="C403">
        <v>1</v>
      </c>
      <c r="D403">
        <v>1</v>
      </c>
      <c r="F403">
        <v>1</v>
      </c>
      <c r="H403">
        <v>1</v>
      </c>
      <c r="J403">
        <v>1</v>
      </c>
    </row>
    <row r="404" spans="1:18" x14ac:dyDescent="0.3">
      <c r="A404" t="s">
        <v>270</v>
      </c>
      <c r="B404">
        <v>64</v>
      </c>
      <c r="C404">
        <v>82</v>
      </c>
      <c r="D404">
        <v>98</v>
      </c>
      <c r="F404">
        <v>43</v>
      </c>
      <c r="H404">
        <v>82</v>
      </c>
      <c r="J404">
        <v>43</v>
      </c>
    </row>
    <row r="405" spans="1:18" x14ac:dyDescent="0.3">
      <c r="A405" t="s">
        <v>271</v>
      </c>
      <c r="B405">
        <v>64</v>
      </c>
      <c r="C405">
        <v>98</v>
      </c>
      <c r="D405">
        <v>43</v>
      </c>
      <c r="F405">
        <v>82</v>
      </c>
      <c r="H405">
        <v>43</v>
      </c>
      <c r="J405">
        <v>82</v>
      </c>
    </row>
    <row r="406" spans="1:18" x14ac:dyDescent="0.3">
      <c r="A406" t="s">
        <v>272</v>
      </c>
      <c r="B406">
        <v>64</v>
      </c>
      <c r="C406">
        <v>94</v>
      </c>
      <c r="D406">
        <v>38</v>
      </c>
      <c r="F406">
        <v>76</v>
      </c>
      <c r="H406">
        <v>38</v>
      </c>
      <c r="J406">
        <v>76</v>
      </c>
    </row>
    <row r="407" spans="1:18" x14ac:dyDescent="0.3">
      <c r="A407" t="s">
        <v>273</v>
      </c>
      <c r="B407">
        <v>64</v>
      </c>
      <c r="C407">
        <v>94</v>
      </c>
      <c r="D407">
        <v>29</v>
      </c>
      <c r="F407">
        <v>54</v>
      </c>
      <c r="H407">
        <v>29</v>
      </c>
      <c r="J407">
        <v>54</v>
      </c>
    </row>
    <row r="408" spans="1:18" x14ac:dyDescent="0.3">
      <c r="A408" t="s">
        <v>274</v>
      </c>
      <c r="B408">
        <v>64</v>
      </c>
      <c r="C408">
        <v>104</v>
      </c>
      <c r="D408">
        <v>0</v>
      </c>
      <c r="F408">
        <v>65</v>
      </c>
      <c r="H408">
        <v>104</v>
      </c>
      <c r="J408">
        <v>65</v>
      </c>
    </row>
    <row r="409" spans="1:18" x14ac:dyDescent="0.3">
      <c r="A409" t="s">
        <v>275</v>
      </c>
      <c r="B409">
        <v>64</v>
      </c>
      <c r="C409">
        <v>116</v>
      </c>
      <c r="D409">
        <v>60</v>
      </c>
      <c r="F409">
        <v>98</v>
      </c>
      <c r="H409">
        <v>60</v>
      </c>
      <c r="J409">
        <v>98</v>
      </c>
    </row>
    <row r="410" spans="1:18" x14ac:dyDescent="0.3">
      <c r="A410" t="s">
        <v>276</v>
      </c>
      <c r="B410">
        <v>64</v>
      </c>
      <c r="C410">
        <v>116</v>
      </c>
      <c r="D410">
        <v>51</v>
      </c>
      <c r="F410">
        <v>76</v>
      </c>
      <c r="H410">
        <v>51</v>
      </c>
      <c r="J410">
        <v>76</v>
      </c>
    </row>
    <row r="411" spans="1:18" x14ac:dyDescent="0.3">
      <c r="A411" t="s">
        <v>567</v>
      </c>
      <c r="B411">
        <v>64</v>
      </c>
      <c r="C411">
        <v>12</v>
      </c>
      <c r="D411">
        <v>60</v>
      </c>
      <c r="F411">
        <v>33</v>
      </c>
      <c r="H411">
        <v>76</v>
      </c>
      <c r="J411">
        <v>33</v>
      </c>
    </row>
    <row r="412" spans="1:18" x14ac:dyDescent="0.3">
      <c r="A412" t="s">
        <v>254</v>
      </c>
      <c r="B412">
        <v>67</v>
      </c>
      <c r="C412">
        <v>111</v>
      </c>
      <c r="D412">
        <v>112</v>
      </c>
      <c r="E412">
        <v>211</v>
      </c>
      <c r="F412">
        <v>212</v>
      </c>
      <c r="G412">
        <v>121</v>
      </c>
      <c r="H412">
        <v>122</v>
      </c>
      <c r="I412">
        <v>221</v>
      </c>
      <c r="J412">
        <v>222</v>
      </c>
      <c r="K412">
        <v>311</v>
      </c>
      <c r="L412">
        <v>312</v>
      </c>
      <c r="M412">
        <v>411</v>
      </c>
      <c r="N412">
        <v>412</v>
      </c>
      <c r="O412">
        <v>321</v>
      </c>
      <c r="P412">
        <v>322</v>
      </c>
      <c r="Q412">
        <v>421</v>
      </c>
      <c r="R412">
        <v>422</v>
      </c>
    </row>
    <row r="413" spans="1:18" x14ac:dyDescent="0.3">
      <c r="A413" t="s">
        <v>255</v>
      </c>
      <c r="B413">
        <v>67</v>
      </c>
      <c r="C413">
        <v>5</v>
      </c>
      <c r="D413">
        <v>15</v>
      </c>
      <c r="E413">
        <v>5</v>
      </c>
      <c r="F413">
        <v>8</v>
      </c>
      <c r="G413">
        <v>5</v>
      </c>
      <c r="H413">
        <v>15</v>
      </c>
      <c r="I413">
        <v>5</v>
      </c>
      <c r="J413">
        <v>8</v>
      </c>
    </row>
    <row r="414" spans="1:18" x14ac:dyDescent="0.3">
      <c r="A414" t="s">
        <v>256</v>
      </c>
      <c r="B414">
        <v>67</v>
      </c>
      <c r="C414">
        <v>7</v>
      </c>
      <c r="D414">
        <v>51.4</v>
      </c>
      <c r="E414">
        <v>6</v>
      </c>
      <c r="F414">
        <v>36.299999999999997</v>
      </c>
      <c r="G414">
        <v>6</v>
      </c>
      <c r="H414">
        <v>52.4</v>
      </c>
      <c r="I414">
        <v>13</v>
      </c>
      <c r="J414">
        <v>29.3</v>
      </c>
    </row>
    <row r="415" spans="1:18" x14ac:dyDescent="0.3">
      <c r="A415" t="s">
        <v>257</v>
      </c>
      <c r="B415">
        <v>67</v>
      </c>
      <c r="C415">
        <v>2</v>
      </c>
      <c r="D415">
        <v>1</v>
      </c>
      <c r="E415">
        <v>2</v>
      </c>
      <c r="F415">
        <v>2</v>
      </c>
      <c r="G415">
        <v>2</v>
      </c>
      <c r="H415">
        <v>1</v>
      </c>
      <c r="I415">
        <v>2</v>
      </c>
      <c r="J415">
        <v>2</v>
      </c>
    </row>
    <row r="416" spans="1:18" x14ac:dyDescent="0.3">
      <c r="A416" t="s">
        <v>258</v>
      </c>
      <c r="B416">
        <v>67</v>
      </c>
      <c r="C416">
        <v>0</v>
      </c>
      <c r="D416">
        <v>0</v>
      </c>
      <c r="E416">
        <v>0</v>
      </c>
      <c r="F416">
        <v>0</v>
      </c>
      <c r="G416">
        <v>0</v>
      </c>
      <c r="H416">
        <v>0</v>
      </c>
      <c r="I416">
        <v>0</v>
      </c>
      <c r="J416">
        <v>0</v>
      </c>
    </row>
    <row r="417" spans="1:10" x14ac:dyDescent="0.3">
      <c r="A417" t="s">
        <v>259</v>
      </c>
      <c r="B417">
        <v>67</v>
      </c>
      <c r="C417">
        <v>0</v>
      </c>
      <c r="D417">
        <v>0</v>
      </c>
      <c r="E417">
        <v>0</v>
      </c>
      <c r="F417">
        <v>0</v>
      </c>
      <c r="G417">
        <v>0</v>
      </c>
      <c r="H417">
        <v>0</v>
      </c>
      <c r="I417">
        <v>0</v>
      </c>
      <c r="J417">
        <v>0</v>
      </c>
    </row>
    <row r="418" spans="1:10" x14ac:dyDescent="0.3">
      <c r="A418" t="s">
        <v>260</v>
      </c>
      <c r="B418">
        <v>67</v>
      </c>
      <c r="C418">
        <v>0</v>
      </c>
      <c r="D418">
        <v>0</v>
      </c>
      <c r="E418">
        <v>0</v>
      </c>
      <c r="F418">
        <v>0</v>
      </c>
      <c r="G418">
        <v>0</v>
      </c>
      <c r="H418">
        <v>0</v>
      </c>
      <c r="I418">
        <v>0</v>
      </c>
      <c r="J418">
        <v>0</v>
      </c>
    </row>
    <row r="419" spans="1:10" x14ac:dyDescent="0.3">
      <c r="A419" t="s">
        <v>261</v>
      </c>
      <c r="B419">
        <v>67</v>
      </c>
      <c r="C419">
        <v>3</v>
      </c>
      <c r="D419">
        <v>4</v>
      </c>
      <c r="E419">
        <v>3</v>
      </c>
      <c r="F419">
        <v>4</v>
      </c>
      <c r="G419">
        <v>3</v>
      </c>
      <c r="H419">
        <v>4</v>
      </c>
      <c r="I419">
        <v>3</v>
      </c>
      <c r="J419">
        <v>4</v>
      </c>
    </row>
    <row r="420" spans="1:10" x14ac:dyDescent="0.3">
      <c r="A420" t="s">
        <v>262</v>
      </c>
      <c r="B420">
        <v>67</v>
      </c>
      <c r="C420">
        <v>1</v>
      </c>
      <c r="D420">
        <v>1.4</v>
      </c>
      <c r="E420">
        <v>1</v>
      </c>
      <c r="F420">
        <v>1.9</v>
      </c>
      <c r="G420">
        <v>1</v>
      </c>
      <c r="H420">
        <v>1.4</v>
      </c>
      <c r="I420">
        <v>1</v>
      </c>
      <c r="J420">
        <v>1.9</v>
      </c>
    </row>
    <row r="421" spans="1:10" x14ac:dyDescent="0.3">
      <c r="A421" t="s">
        <v>263</v>
      </c>
      <c r="B421">
        <v>67</v>
      </c>
      <c r="C421">
        <v>3</v>
      </c>
      <c r="D421">
        <v>3</v>
      </c>
      <c r="E421">
        <v>3</v>
      </c>
      <c r="F421">
        <v>3</v>
      </c>
      <c r="G421">
        <v>3</v>
      </c>
      <c r="H421">
        <v>3</v>
      </c>
      <c r="I421">
        <v>3</v>
      </c>
      <c r="J421">
        <v>3</v>
      </c>
    </row>
    <row r="422" spans="1:10" x14ac:dyDescent="0.3">
      <c r="A422" t="s">
        <v>264</v>
      </c>
      <c r="B422">
        <v>67</v>
      </c>
      <c r="D422">
        <v>7</v>
      </c>
      <c r="F422">
        <v>7</v>
      </c>
      <c r="H422">
        <v>7</v>
      </c>
      <c r="J422">
        <v>7</v>
      </c>
    </row>
    <row r="423" spans="1:10" x14ac:dyDescent="0.3">
      <c r="A423" t="s">
        <v>265</v>
      </c>
      <c r="B423">
        <v>67</v>
      </c>
      <c r="D423">
        <v>16</v>
      </c>
      <c r="F423">
        <v>22</v>
      </c>
      <c r="H423">
        <v>16</v>
      </c>
      <c r="J423">
        <v>22</v>
      </c>
    </row>
    <row r="424" spans="1:10" x14ac:dyDescent="0.3">
      <c r="A424" t="s">
        <v>266</v>
      </c>
      <c r="B424">
        <v>67</v>
      </c>
      <c r="D424">
        <v>0</v>
      </c>
      <c r="F424">
        <v>0</v>
      </c>
      <c r="H424">
        <v>0</v>
      </c>
      <c r="J424">
        <v>0</v>
      </c>
    </row>
    <row r="425" spans="1:10" x14ac:dyDescent="0.3">
      <c r="A425" t="s">
        <v>267</v>
      </c>
      <c r="B425">
        <v>67</v>
      </c>
      <c r="C425">
        <v>9.5</v>
      </c>
      <c r="D425">
        <v>28.4</v>
      </c>
      <c r="E425">
        <v>9.5</v>
      </c>
      <c r="F425">
        <v>34.9</v>
      </c>
      <c r="G425">
        <v>9.5</v>
      </c>
      <c r="H425">
        <v>28.4</v>
      </c>
      <c r="I425">
        <v>9.5</v>
      </c>
      <c r="J425">
        <v>34.9</v>
      </c>
    </row>
    <row r="426" spans="1:10" x14ac:dyDescent="0.3">
      <c r="A426" t="s">
        <v>268</v>
      </c>
      <c r="B426">
        <v>67</v>
      </c>
      <c r="C426">
        <v>0</v>
      </c>
      <c r="D426">
        <v>1</v>
      </c>
      <c r="E426">
        <v>0</v>
      </c>
      <c r="F426">
        <v>1</v>
      </c>
      <c r="G426">
        <v>0</v>
      </c>
      <c r="H426">
        <v>1</v>
      </c>
      <c r="I426">
        <v>0</v>
      </c>
      <c r="J426">
        <v>1</v>
      </c>
    </row>
    <row r="427" spans="1:10" x14ac:dyDescent="0.3">
      <c r="A427" t="s">
        <v>269</v>
      </c>
      <c r="B427">
        <v>67</v>
      </c>
      <c r="C427">
        <v>1</v>
      </c>
      <c r="D427">
        <v>1</v>
      </c>
      <c r="E427">
        <v>1</v>
      </c>
      <c r="F427">
        <v>1</v>
      </c>
      <c r="G427">
        <v>1</v>
      </c>
      <c r="H427">
        <v>1</v>
      </c>
      <c r="I427">
        <v>1</v>
      </c>
      <c r="J427">
        <v>1</v>
      </c>
    </row>
    <row r="428" spans="1:10" x14ac:dyDescent="0.3">
      <c r="A428" t="s">
        <v>270</v>
      </c>
      <c r="B428">
        <v>67</v>
      </c>
      <c r="C428">
        <v>109</v>
      </c>
      <c r="D428">
        <v>0</v>
      </c>
      <c r="E428">
        <v>56.8</v>
      </c>
      <c r="F428">
        <v>66.8</v>
      </c>
      <c r="G428">
        <v>109</v>
      </c>
      <c r="H428">
        <v>119</v>
      </c>
      <c r="I428">
        <v>56.8</v>
      </c>
      <c r="J428">
        <v>73.8</v>
      </c>
    </row>
    <row r="429" spans="1:10" x14ac:dyDescent="0.3">
      <c r="A429" t="s">
        <v>271</v>
      </c>
      <c r="B429">
        <v>67</v>
      </c>
      <c r="C429">
        <v>0</v>
      </c>
      <c r="D429">
        <v>56.8</v>
      </c>
      <c r="E429">
        <v>66.8</v>
      </c>
      <c r="F429">
        <v>109</v>
      </c>
      <c r="G429">
        <v>119</v>
      </c>
      <c r="H429">
        <v>56.8</v>
      </c>
      <c r="I429">
        <v>73.8</v>
      </c>
      <c r="J429">
        <v>109</v>
      </c>
    </row>
    <row r="430" spans="1:10" x14ac:dyDescent="0.3">
      <c r="A430" t="s">
        <v>272</v>
      </c>
      <c r="B430">
        <v>67</v>
      </c>
      <c r="C430">
        <v>116</v>
      </c>
      <c r="D430">
        <v>51.4</v>
      </c>
      <c r="E430">
        <v>62.8</v>
      </c>
      <c r="F430">
        <v>103.1</v>
      </c>
      <c r="G430">
        <v>115</v>
      </c>
      <c r="H430">
        <v>51.4</v>
      </c>
      <c r="I430">
        <v>69.8</v>
      </c>
      <c r="J430">
        <v>103.1</v>
      </c>
    </row>
    <row r="431" spans="1:10" x14ac:dyDescent="0.3">
      <c r="A431" t="s">
        <v>273</v>
      </c>
      <c r="B431">
        <v>67</v>
      </c>
      <c r="C431">
        <v>116</v>
      </c>
      <c r="D431">
        <v>35.4</v>
      </c>
      <c r="E431">
        <v>62.8</v>
      </c>
      <c r="F431">
        <v>81.099999999999994</v>
      </c>
      <c r="G431">
        <v>115</v>
      </c>
      <c r="H431">
        <v>35.4</v>
      </c>
      <c r="I431">
        <v>69.8</v>
      </c>
      <c r="J431">
        <v>81.099999999999994</v>
      </c>
    </row>
    <row r="432" spans="1:10" x14ac:dyDescent="0.3">
      <c r="A432" t="s">
        <v>274</v>
      </c>
      <c r="B432">
        <v>67</v>
      </c>
      <c r="C432">
        <v>109</v>
      </c>
      <c r="D432">
        <v>0</v>
      </c>
      <c r="E432">
        <v>56.8</v>
      </c>
      <c r="F432">
        <v>66.8</v>
      </c>
      <c r="G432">
        <v>109</v>
      </c>
      <c r="H432">
        <v>119</v>
      </c>
      <c r="I432">
        <v>56.8</v>
      </c>
      <c r="J432">
        <v>73.8</v>
      </c>
    </row>
    <row r="433" spans="1:18" x14ac:dyDescent="0.3">
      <c r="A433" t="s">
        <v>275</v>
      </c>
      <c r="B433">
        <v>67</v>
      </c>
      <c r="C433">
        <v>116</v>
      </c>
      <c r="D433">
        <v>51.4</v>
      </c>
      <c r="E433">
        <v>62.8</v>
      </c>
      <c r="F433">
        <v>103.1</v>
      </c>
      <c r="G433">
        <v>115</v>
      </c>
      <c r="H433">
        <v>51.4</v>
      </c>
      <c r="I433">
        <v>69.8</v>
      </c>
      <c r="J433">
        <v>103.1</v>
      </c>
    </row>
    <row r="434" spans="1:18" x14ac:dyDescent="0.3">
      <c r="A434" t="s">
        <v>276</v>
      </c>
      <c r="B434">
        <v>67</v>
      </c>
      <c r="C434">
        <v>116</v>
      </c>
      <c r="D434">
        <v>35.4</v>
      </c>
      <c r="E434">
        <v>62.8</v>
      </c>
      <c r="F434">
        <v>81.099999999999994</v>
      </c>
      <c r="G434">
        <v>115</v>
      </c>
      <c r="H434">
        <v>35.4</v>
      </c>
      <c r="I434">
        <v>69.8</v>
      </c>
      <c r="J434">
        <v>81.099999999999994</v>
      </c>
    </row>
    <row r="435" spans="1:18" x14ac:dyDescent="0.3">
      <c r="A435" t="s">
        <v>567</v>
      </c>
      <c r="B435">
        <v>67</v>
      </c>
      <c r="C435">
        <v>7</v>
      </c>
      <c r="D435">
        <v>51.4</v>
      </c>
      <c r="E435">
        <v>6</v>
      </c>
      <c r="F435">
        <v>36.299999999999997</v>
      </c>
      <c r="G435">
        <v>6</v>
      </c>
      <c r="H435">
        <v>52.4</v>
      </c>
      <c r="I435">
        <v>13</v>
      </c>
      <c r="J435">
        <v>29.3</v>
      </c>
    </row>
    <row r="436" spans="1:18" x14ac:dyDescent="0.3">
      <c r="A436" t="s">
        <v>254</v>
      </c>
      <c r="B436">
        <v>70</v>
      </c>
      <c r="C436">
        <v>111</v>
      </c>
      <c r="D436">
        <v>112</v>
      </c>
      <c r="F436">
        <v>211</v>
      </c>
      <c r="G436">
        <v>121</v>
      </c>
      <c r="H436">
        <v>122</v>
      </c>
      <c r="J436">
        <v>221</v>
      </c>
      <c r="K436">
        <v>311</v>
      </c>
      <c r="L436">
        <v>312</v>
      </c>
      <c r="M436">
        <v>411</v>
      </c>
      <c r="N436">
        <v>412</v>
      </c>
      <c r="O436">
        <v>321</v>
      </c>
      <c r="P436">
        <v>322</v>
      </c>
      <c r="Q436">
        <v>421</v>
      </c>
      <c r="R436">
        <v>422</v>
      </c>
    </row>
    <row r="437" spans="1:18" x14ac:dyDescent="0.3">
      <c r="A437" t="s">
        <v>255</v>
      </c>
      <c r="B437">
        <v>70</v>
      </c>
      <c r="C437">
        <v>5</v>
      </c>
      <c r="D437">
        <v>15</v>
      </c>
      <c r="F437">
        <v>5</v>
      </c>
      <c r="G437">
        <v>5</v>
      </c>
      <c r="H437">
        <v>15</v>
      </c>
      <c r="J437">
        <v>5</v>
      </c>
    </row>
    <row r="438" spans="1:18" x14ac:dyDescent="0.3">
      <c r="A438" t="s">
        <v>256</v>
      </c>
      <c r="B438">
        <v>70</v>
      </c>
      <c r="C438">
        <v>6</v>
      </c>
      <c r="D438">
        <v>63.5</v>
      </c>
      <c r="F438">
        <v>35.6</v>
      </c>
      <c r="G438">
        <v>6</v>
      </c>
      <c r="H438">
        <v>63.5</v>
      </c>
      <c r="J438">
        <v>35.6</v>
      </c>
    </row>
    <row r="439" spans="1:18" x14ac:dyDescent="0.3">
      <c r="A439" t="s">
        <v>257</v>
      </c>
      <c r="B439">
        <v>70</v>
      </c>
      <c r="C439">
        <v>2</v>
      </c>
      <c r="D439">
        <v>1</v>
      </c>
      <c r="F439">
        <v>2</v>
      </c>
      <c r="G439">
        <v>2</v>
      </c>
      <c r="H439">
        <v>1</v>
      </c>
      <c r="J439">
        <v>2</v>
      </c>
    </row>
    <row r="440" spans="1:18" x14ac:dyDescent="0.3">
      <c r="A440" t="s">
        <v>258</v>
      </c>
      <c r="B440">
        <v>70</v>
      </c>
      <c r="C440">
        <v>0</v>
      </c>
      <c r="D440">
        <v>0</v>
      </c>
      <c r="F440">
        <v>0</v>
      </c>
      <c r="G440">
        <v>0</v>
      </c>
      <c r="H440">
        <v>0</v>
      </c>
      <c r="J440">
        <v>0</v>
      </c>
    </row>
    <row r="441" spans="1:18" x14ac:dyDescent="0.3">
      <c r="A441" t="s">
        <v>259</v>
      </c>
      <c r="B441">
        <v>70</v>
      </c>
      <c r="C441">
        <v>0</v>
      </c>
      <c r="D441">
        <v>0</v>
      </c>
      <c r="F441">
        <v>0</v>
      </c>
      <c r="G441">
        <v>0</v>
      </c>
      <c r="H441">
        <v>0</v>
      </c>
      <c r="J441">
        <v>0</v>
      </c>
    </row>
    <row r="442" spans="1:18" x14ac:dyDescent="0.3">
      <c r="A442" t="s">
        <v>260</v>
      </c>
      <c r="B442">
        <v>70</v>
      </c>
      <c r="C442">
        <v>0</v>
      </c>
      <c r="D442">
        <v>0</v>
      </c>
      <c r="F442">
        <v>0</v>
      </c>
      <c r="G442">
        <v>0</v>
      </c>
      <c r="H442">
        <v>0</v>
      </c>
      <c r="J442">
        <v>0</v>
      </c>
    </row>
    <row r="443" spans="1:18" x14ac:dyDescent="0.3">
      <c r="A443" t="s">
        <v>261</v>
      </c>
      <c r="B443">
        <v>70</v>
      </c>
      <c r="C443">
        <v>3</v>
      </c>
      <c r="D443">
        <v>4.3</v>
      </c>
      <c r="F443">
        <v>3</v>
      </c>
      <c r="G443">
        <v>3</v>
      </c>
      <c r="H443">
        <v>4.3</v>
      </c>
      <c r="J443">
        <v>3</v>
      </c>
    </row>
    <row r="444" spans="1:18" x14ac:dyDescent="0.3">
      <c r="A444" t="s">
        <v>262</v>
      </c>
      <c r="B444">
        <v>70</v>
      </c>
      <c r="C444">
        <v>1</v>
      </c>
      <c r="D444">
        <v>1</v>
      </c>
      <c r="F444">
        <v>2.6</v>
      </c>
      <c r="G444">
        <v>1</v>
      </c>
      <c r="H444">
        <v>1</v>
      </c>
      <c r="J444">
        <v>2.6</v>
      </c>
    </row>
    <row r="445" spans="1:18" x14ac:dyDescent="0.3">
      <c r="A445" t="s">
        <v>263</v>
      </c>
      <c r="B445">
        <v>70</v>
      </c>
      <c r="C445">
        <v>3</v>
      </c>
      <c r="D445">
        <v>3</v>
      </c>
      <c r="F445">
        <v>3</v>
      </c>
      <c r="G445">
        <v>3</v>
      </c>
      <c r="H445">
        <v>3</v>
      </c>
      <c r="J445">
        <v>3</v>
      </c>
    </row>
    <row r="446" spans="1:18" x14ac:dyDescent="0.3">
      <c r="A446" t="s">
        <v>264</v>
      </c>
      <c r="B446">
        <v>70</v>
      </c>
      <c r="D446">
        <v>8</v>
      </c>
      <c r="F446">
        <v>9</v>
      </c>
      <c r="H446">
        <v>8</v>
      </c>
      <c r="J446">
        <v>9</v>
      </c>
    </row>
    <row r="447" spans="1:18" x14ac:dyDescent="0.3">
      <c r="A447" t="s">
        <v>265</v>
      </c>
      <c r="B447">
        <v>70</v>
      </c>
      <c r="D447">
        <v>8</v>
      </c>
      <c r="F447">
        <v>18</v>
      </c>
      <c r="H447">
        <v>8</v>
      </c>
      <c r="J447">
        <v>18</v>
      </c>
    </row>
    <row r="448" spans="1:18" x14ac:dyDescent="0.3">
      <c r="A448" t="s">
        <v>266</v>
      </c>
      <c r="B448">
        <v>70</v>
      </c>
      <c r="D448">
        <v>0</v>
      </c>
      <c r="F448">
        <v>0</v>
      </c>
      <c r="H448">
        <v>0</v>
      </c>
      <c r="J448">
        <v>0</v>
      </c>
    </row>
    <row r="449" spans="1:18" x14ac:dyDescent="0.3">
      <c r="A449" t="s">
        <v>267</v>
      </c>
      <c r="B449">
        <v>70</v>
      </c>
      <c r="C449">
        <v>9.5</v>
      </c>
      <c r="D449">
        <v>23.5</v>
      </c>
      <c r="F449">
        <v>40.5</v>
      </c>
      <c r="G449">
        <v>9.5</v>
      </c>
      <c r="H449">
        <v>23.5</v>
      </c>
      <c r="J449">
        <v>33.5</v>
      </c>
    </row>
    <row r="450" spans="1:18" x14ac:dyDescent="0.3">
      <c r="A450" t="s">
        <v>268</v>
      </c>
      <c r="B450">
        <v>70</v>
      </c>
      <c r="C450">
        <v>0</v>
      </c>
      <c r="D450">
        <v>1</v>
      </c>
      <c r="F450">
        <v>1</v>
      </c>
      <c r="G450">
        <v>0</v>
      </c>
      <c r="H450">
        <v>1</v>
      </c>
      <c r="J450">
        <v>1</v>
      </c>
    </row>
    <row r="451" spans="1:18" x14ac:dyDescent="0.3">
      <c r="A451" t="s">
        <v>269</v>
      </c>
      <c r="B451">
        <v>70</v>
      </c>
      <c r="C451">
        <v>1</v>
      </c>
      <c r="D451">
        <v>1</v>
      </c>
      <c r="F451">
        <v>1</v>
      </c>
      <c r="G451">
        <v>1</v>
      </c>
      <c r="H451">
        <v>1</v>
      </c>
      <c r="J451">
        <v>1</v>
      </c>
    </row>
    <row r="452" spans="1:18" x14ac:dyDescent="0.3">
      <c r="A452" t="s">
        <v>270</v>
      </c>
      <c r="B452">
        <v>70</v>
      </c>
      <c r="C452">
        <v>22</v>
      </c>
      <c r="D452">
        <v>32</v>
      </c>
      <c r="F452">
        <v>100.8</v>
      </c>
      <c r="G452">
        <v>22</v>
      </c>
      <c r="H452">
        <v>32</v>
      </c>
      <c r="J452">
        <v>100.8</v>
      </c>
    </row>
    <row r="453" spans="1:18" x14ac:dyDescent="0.3">
      <c r="A453" t="s">
        <v>271</v>
      </c>
      <c r="B453">
        <v>70</v>
      </c>
      <c r="C453">
        <v>32</v>
      </c>
      <c r="D453">
        <v>100.8</v>
      </c>
      <c r="F453">
        <v>22</v>
      </c>
      <c r="G453">
        <v>32</v>
      </c>
      <c r="H453">
        <v>100.8</v>
      </c>
      <c r="J453">
        <v>22</v>
      </c>
    </row>
    <row r="454" spans="1:18" x14ac:dyDescent="0.3">
      <c r="A454" t="s">
        <v>272</v>
      </c>
      <c r="B454">
        <v>70</v>
      </c>
      <c r="C454">
        <v>28</v>
      </c>
      <c r="D454">
        <v>95.5</v>
      </c>
      <c r="F454">
        <v>16.399999999999999</v>
      </c>
      <c r="G454">
        <v>28</v>
      </c>
      <c r="H454">
        <v>95.5</v>
      </c>
      <c r="J454">
        <v>16.399999999999999</v>
      </c>
    </row>
    <row r="455" spans="1:18" x14ac:dyDescent="0.3">
      <c r="A455" t="s">
        <v>273</v>
      </c>
      <c r="B455">
        <v>70</v>
      </c>
      <c r="C455">
        <v>28</v>
      </c>
      <c r="D455">
        <v>87.5</v>
      </c>
      <c r="F455">
        <v>118.4</v>
      </c>
      <c r="G455">
        <v>28</v>
      </c>
      <c r="H455">
        <v>87.5</v>
      </c>
      <c r="J455">
        <v>118.4</v>
      </c>
    </row>
    <row r="456" spans="1:18" x14ac:dyDescent="0.3">
      <c r="A456" t="s">
        <v>274</v>
      </c>
      <c r="B456">
        <v>70</v>
      </c>
      <c r="C456">
        <v>110</v>
      </c>
      <c r="D456">
        <v>0</v>
      </c>
      <c r="F456">
        <v>68.8</v>
      </c>
      <c r="G456">
        <v>110</v>
      </c>
      <c r="H456">
        <v>0</v>
      </c>
      <c r="J456">
        <v>68.8</v>
      </c>
    </row>
    <row r="457" spans="1:18" x14ac:dyDescent="0.3">
      <c r="A457" t="s">
        <v>275</v>
      </c>
      <c r="B457">
        <v>70</v>
      </c>
      <c r="C457">
        <v>116</v>
      </c>
      <c r="D457">
        <v>63.5</v>
      </c>
      <c r="F457">
        <v>104.4</v>
      </c>
      <c r="G457">
        <v>116</v>
      </c>
      <c r="H457">
        <v>63.5</v>
      </c>
      <c r="J457">
        <v>104.4</v>
      </c>
    </row>
    <row r="458" spans="1:18" x14ac:dyDescent="0.3">
      <c r="A458" t="s">
        <v>276</v>
      </c>
      <c r="B458">
        <v>70</v>
      </c>
      <c r="C458">
        <v>116</v>
      </c>
      <c r="D458">
        <v>55.5</v>
      </c>
      <c r="F458">
        <v>86.4</v>
      </c>
      <c r="G458">
        <v>116</v>
      </c>
      <c r="H458">
        <v>55.5</v>
      </c>
      <c r="J458">
        <v>86.4</v>
      </c>
    </row>
    <row r="459" spans="1:18" x14ac:dyDescent="0.3">
      <c r="A459" t="s">
        <v>567</v>
      </c>
      <c r="B459">
        <v>70</v>
      </c>
      <c r="C459">
        <v>6</v>
      </c>
      <c r="D459">
        <v>63.5</v>
      </c>
      <c r="F459">
        <v>35.6</v>
      </c>
      <c r="G459">
        <v>6</v>
      </c>
      <c r="H459">
        <v>63.5</v>
      </c>
      <c r="J459">
        <v>35.6</v>
      </c>
    </row>
    <row r="460" spans="1:18" x14ac:dyDescent="0.3">
      <c r="A460" t="s">
        <v>254</v>
      </c>
      <c r="B460">
        <v>73</v>
      </c>
      <c r="C460">
        <v>111</v>
      </c>
      <c r="D460">
        <v>112</v>
      </c>
      <c r="E460">
        <v>211</v>
      </c>
      <c r="F460">
        <v>212</v>
      </c>
      <c r="G460">
        <v>121</v>
      </c>
      <c r="H460">
        <v>122</v>
      </c>
      <c r="I460">
        <v>221</v>
      </c>
      <c r="J460">
        <v>222</v>
      </c>
      <c r="K460">
        <v>311</v>
      </c>
      <c r="L460">
        <v>312</v>
      </c>
      <c r="M460">
        <v>411</v>
      </c>
      <c r="N460">
        <v>412</v>
      </c>
      <c r="O460">
        <v>321</v>
      </c>
      <c r="P460">
        <v>322</v>
      </c>
      <c r="Q460">
        <v>421</v>
      </c>
      <c r="R460">
        <v>422</v>
      </c>
    </row>
    <row r="461" spans="1:18" x14ac:dyDescent="0.3">
      <c r="A461" t="s">
        <v>255</v>
      </c>
      <c r="B461">
        <v>73</v>
      </c>
      <c r="D461">
        <v>15</v>
      </c>
      <c r="F461">
        <v>5</v>
      </c>
      <c r="G461">
        <v>5</v>
      </c>
      <c r="H461">
        <v>15</v>
      </c>
    </row>
    <row r="462" spans="1:18" x14ac:dyDescent="0.3">
      <c r="A462" t="s">
        <v>256</v>
      </c>
      <c r="B462">
        <v>73</v>
      </c>
      <c r="D462">
        <v>80.099999999999994</v>
      </c>
      <c r="F462">
        <v>29</v>
      </c>
      <c r="G462">
        <v>7</v>
      </c>
      <c r="H462">
        <v>69.099999999999994</v>
      </c>
    </row>
    <row r="463" spans="1:18" x14ac:dyDescent="0.3">
      <c r="A463" t="s">
        <v>257</v>
      </c>
      <c r="B463">
        <v>73</v>
      </c>
      <c r="D463">
        <v>3</v>
      </c>
      <c r="F463">
        <v>3</v>
      </c>
      <c r="G463">
        <v>3</v>
      </c>
      <c r="H463">
        <v>3</v>
      </c>
    </row>
    <row r="464" spans="1:18" x14ac:dyDescent="0.3">
      <c r="A464" t="s">
        <v>258</v>
      </c>
      <c r="B464">
        <v>73</v>
      </c>
      <c r="D464">
        <v>0</v>
      </c>
      <c r="F464">
        <v>0</v>
      </c>
      <c r="G464">
        <v>0</v>
      </c>
      <c r="H464">
        <v>0</v>
      </c>
    </row>
    <row r="465" spans="1:8" x14ac:dyDescent="0.3">
      <c r="A465" t="s">
        <v>259</v>
      </c>
      <c r="B465">
        <v>73</v>
      </c>
      <c r="D465">
        <v>0</v>
      </c>
      <c r="F465">
        <v>0</v>
      </c>
      <c r="G465">
        <v>0</v>
      </c>
      <c r="H465">
        <v>0</v>
      </c>
    </row>
    <row r="466" spans="1:8" x14ac:dyDescent="0.3">
      <c r="A466" t="s">
        <v>260</v>
      </c>
      <c r="B466">
        <v>73</v>
      </c>
      <c r="D466">
        <v>0</v>
      </c>
      <c r="F466">
        <v>0</v>
      </c>
      <c r="G466">
        <v>0</v>
      </c>
      <c r="H466">
        <v>0</v>
      </c>
    </row>
    <row r="467" spans="1:8" x14ac:dyDescent="0.3">
      <c r="A467" t="s">
        <v>261</v>
      </c>
      <c r="B467">
        <v>73</v>
      </c>
      <c r="D467">
        <v>4.3</v>
      </c>
      <c r="F467">
        <v>3</v>
      </c>
      <c r="G467">
        <v>3</v>
      </c>
      <c r="H467">
        <v>4.3</v>
      </c>
    </row>
    <row r="468" spans="1:8" x14ac:dyDescent="0.3">
      <c r="A468" t="s">
        <v>262</v>
      </c>
      <c r="B468">
        <v>73</v>
      </c>
      <c r="D468">
        <v>1</v>
      </c>
      <c r="F468">
        <v>2.6</v>
      </c>
      <c r="G468">
        <v>1</v>
      </c>
      <c r="H468">
        <v>1</v>
      </c>
    </row>
    <row r="469" spans="1:8" x14ac:dyDescent="0.3">
      <c r="A469" t="s">
        <v>263</v>
      </c>
      <c r="B469">
        <v>73</v>
      </c>
      <c r="D469">
        <v>3</v>
      </c>
      <c r="F469">
        <v>3</v>
      </c>
      <c r="G469">
        <v>3</v>
      </c>
      <c r="H469">
        <v>3</v>
      </c>
    </row>
    <row r="470" spans="1:8" x14ac:dyDescent="0.3">
      <c r="A470" t="s">
        <v>264</v>
      </c>
      <c r="B470">
        <v>73</v>
      </c>
      <c r="D470">
        <v>8</v>
      </c>
      <c r="F470">
        <v>10</v>
      </c>
      <c r="H470">
        <v>8</v>
      </c>
    </row>
    <row r="471" spans="1:8" x14ac:dyDescent="0.3">
      <c r="A471" t="s">
        <v>265</v>
      </c>
      <c r="B471">
        <v>73</v>
      </c>
      <c r="D471">
        <v>22</v>
      </c>
      <c r="F471">
        <v>19</v>
      </c>
      <c r="H471">
        <v>22</v>
      </c>
    </row>
    <row r="472" spans="1:8" x14ac:dyDescent="0.3">
      <c r="A472" t="s">
        <v>266</v>
      </c>
      <c r="B472">
        <v>73</v>
      </c>
      <c r="D472">
        <v>0</v>
      </c>
      <c r="F472">
        <v>0</v>
      </c>
      <c r="H472">
        <v>0</v>
      </c>
    </row>
    <row r="473" spans="1:8" x14ac:dyDescent="0.3">
      <c r="A473" t="s">
        <v>267</v>
      </c>
      <c r="B473">
        <v>73</v>
      </c>
      <c r="D473">
        <v>35.299999999999997</v>
      </c>
      <c r="F473">
        <v>34.6</v>
      </c>
      <c r="G473">
        <v>9.5</v>
      </c>
      <c r="H473">
        <v>35.299999999999997</v>
      </c>
    </row>
    <row r="474" spans="1:8" x14ac:dyDescent="0.3">
      <c r="A474" t="s">
        <v>268</v>
      </c>
      <c r="B474">
        <v>73</v>
      </c>
      <c r="D474">
        <v>1</v>
      </c>
      <c r="F474">
        <v>1</v>
      </c>
      <c r="G474">
        <v>0</v>
      </c>
      <c r="H474">
        <v>1</v>
      </c>
    </row>
    <row r="475" spans="1:8" x14ac:dyDescent="0.3">
      <c r="A475" t="s">
        <v>269</v>
      </c>
      <c r="B475">
        <v>73</v>
      </c>
      <c r="D475">
        <v>1</v>
      </c>
      <c r="F475">
        <v>1</v>
      </c>
      <c r="G475">
        <v>1</v>
      </c>
      <c r="H475">
        <v>1</v>
      </c>
    </row>
    <row r="476" spans="1:8" x14ac:dyDescent="0.3">
      <c r="A476" t="s">
        <v>270</v>
      </c>
      <c r="B476">
        <v>73</v>
      </c>
      <c r="D476">
        <v>0</v>
      </c>
      <c r="F476">
        <v>85.4</v>
      </c>
      <c r="G476">
        <v>0</v>
      </c>
      <c r="H476">
        <v>11</v>
      </c>
    </row>
    <row r="477" spans="1:8" x14ac:dyDescent="0.3">
      <c r="A477" t="s">
        <v>271</v>
      </c>
      <c r="B477">
        <v>73</v>
      </c>
      <c r="D477">
        <v>85.4</v>
      </c>
      <c r="F477">
        <v>0</v>
      </c>
      <c r="G477">
        <v>11</v>
      </c>
      <c r="H477">
        <v>85.4</v>
      </c>
    </row>
    <row r="478" spans="1:8" x14ac:dyDescent="0.3">
      <c r="A478" t="s">
        <v>272</v>
      </c>
      <c r="B478">
        <v>73</v>
      </c>
      <c r="D478">
        <v>80.099999999999994</v>
      </c>
      <c r="F478">
        <v>114.4</v>
      </c>
      <c r="G478">
        <v>7</v>
      </c>
      <c r="H478">
        <v>80.099999999999994</v>
      </c>
    </row>
    <row r="479" spans="1:8" x14ac:dyDescent="0.3">
      <c r="A479" t="s">
        <v>273</v>
      </c>
      <c r="B479">
        <v>73</v>
      </c>
      <c r="D479">
        <v>58.1</v>
      </c>
      <c r="F479">
        <v>95.4</v>
      </c>
      <c r="G479">
        <v>7</v>
      </c>
      <c r="H479">
        <v>58.1</v>
      </c>
    </row>
    <row r="480" spans="1:8" x14ac:dyDescent="0.3">
      <c r="A480" t="s">
        <v>274</v>
      </c>
      <c r="B480">
        <v>73</v>
      </c>
      <c r="D480">
        <v>0</v>
      </c>
      <c r="F480">
        <v>85.4</v>
      </c>
      <c r="G480">
        <v>0</v>
      </c>
      <c r="H480">
        <v>11</v>
      </c>
    </row>
    <row r="481" spans="1:8" x14ac:dyDescent="0.3">
      <c r="A481" t="s">
        <v>275</v>
      </c>
      <c r="B481">
        <v>73</v>
      </c>
      <c r="D481">
        <v>80.099999999999994</v>
      </c>
      <c r="F481">
        <v>114.4</v>
      </c>
      <c r="G481">
        <v>7</v>
      </c>
      <c r="H481">
        <v>80.099999999999994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3:Z46"/>
  <sheetViews>
    <sheetView topLeftCell="A73" workbookViewId="0">
      <selection activeCell="A100" sqref="A100:R123"/>
    </sheetView>
  </sheetViews>
  <sheetFormatPr defaultRowHeight="14.4" x14ac:dyDescent="0.3"/>
  <sheetData>
    <row r="23" spans="2:2" x14ac:dyDescent="0.3">
      <c r="B23" s="502"/>
    </row>
    <row r="46" spans="1:26" s="62" customFormat="1" x14ac:dyDescent="0.3">
      <c r="A46"/>
      <c r="B46"/>
      <c r="C46"/>
      <c r="D46"/>
      <c r="E46"/>
      <c r="F46"/>
      <c r="G46"/>
      <c r="H46"/>
      <c r="I46"/>
      <c r="J46"/>
      <c r="K46"/>
      <c r="L46"/>
      <c r="M46"/>
      <c r="N46"/>
      <c r="O46"/>
      <c r="P46"/>
      <c r="Q46"/>
      <c r="R46"/>
      <c r="S46"/>
      <c r="T46"/>
      <c r="U46"/>
      <c r="V46"/>
      <c r="W46"/>
      <c r="X46"/>
      <c r="Y46"/>
      <c r="Z46"/>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K33" sqref="K33"/>
    </sheetView>
  </sheetViews>
  <sheetFormatPr defaultRowHeight="14.4" x14ac:dyDescent="0.3"/>
  <sheetData>
    <row r="1" spans="1:9" x14ac:dyDescent="0.3">
      <c r="A1" s="496" t="s">
        <v>582</v>
      </c>
      <c r="B1" s="496" t="s">
        <v>583</v>
      </c>
      <c r="C1" s="496" t="s">
        <v>584</v>
      </c>
      <c r="D1" s="496" t="s">
        <v>585</v>
      </c>
      <c r="E1" s="496" t="s">
        <v>586</v>
      </c>
      <c r="F1" s="496" t="s">
        <v>599</v>
      </c>
      <c r="G1" s="497" t="s">
        <v>616</v>
      </c>
      <c r="I1" t="str">
        <f>A2&amp;"_"&amp;'Input sheet'!J14</f>
        <v>0_0_0</v>
      </c>
    </row>
    <row r="2" spans="1:9" x14ac:dyDescent="0.3">
      <c r="A2" s="498">
        <f>UTDF_input!B4</f>
        <v>0</v>
      </c>
      <c r="B2" s="498" t="str">
        <f>'Phase calculation'!C156</f>
        <v/>
      </c>
      <c r="C2" s="498"/>
      <c r="D2" s="498" t="str">
        <f>'Phase calculation'!C158</f>
        <v/>
      </c>
      <c r="E2" s="498" t="str">
        <f>'Phase calculation'!C159</f>
        <v/>
      </c>
      <c r="F2" s="499" t="str">
        <f>'Phase calculation'!C160</f>
        <v>EBL</v>
      </c>
    </row>
    <row r="3" spans="1:9" x14ac:dyDescent="0.3">
      <c r="A3" s="498">
        <f>$A$2</f>
        <v>0</v>
      </c>
      <c r="B3" s="498" t="str">
        <f>'Phase calculation'!D156</f>
        <v/>
      </c>
      <c r="C3" s="498"/>
      <c r="D3" s="498" t="str">
        <f>'Phase calculation'!D158</f>
        <v/>
      </c>
      <c r="E3" s="498" t="str">
        <f>'Phase calculation'!D159</f>
        <v/>
      </c>
      <c r="F3" s="499" t="str">
        <f>'Phase calculation'!D160</f>
        <v>EBT</v>
      </c>
    </row>
    <row r="4" spans="1:9" x14ac:dyDescent="0.3">
      <c r="A4" s="498">
        <f t="shared" ref="A4:A13" si="0">$A$2</f>
        <v>0</v>
      </c>
      <c r="B4" s="498" t="str">
        <f>'Phase calculation'!E156</f>
        <v/>
      </c>
      <c r="C4" s="498"/>
      <c r="D4" s="498" t="str">
        <f>'Phase calculation'!E158</f>
        <v/>
      </c>
      <c r="E4" s="498" t="str">
        <f>'Phase calculation'!E159</f>
        <v/>
      </c>
      <c r="F4" s="499" t="str">
        <f>'Phase calculation'!E160</f>
        <v>EBR</v>
      </c>
    </row>
    <row r="5" spans="1:9" x14ac:dyDescent="0.3">
      <c r="A5" s="498">
        <f t="shared" si="0"/>
        <v>0</v>
      </c>
      <c r="B5" s="498" t="str">
        <f>'Phase calculation'!F156</f>
        <v/>
      </c>
      <c r="C5" s="498"/>
      <c r="D5" s="498" t="str">
        <f>'Phase calculation'!F158</f>
        <v/>
      </c>
      <c r="E5" s="498" t="str">
        <f>'Phase calculation'!F159</f>
        <v/>
      </c>
      <c r="F5" s="499" t="str">
        <f>'Phase calculation'!F160</f>
        <v>WBL</v>
      </c>
    </row>
    <row r="6" spans="1:9" x14ac:dyDescent="0.3">
      <c r="A6" s="498">
        <f t="shared" si="0"/>
        <v>0</v>
      </c>
      <c r="B6" s="498" t="str">
        <f>'Phase calculation'!G156</f>
        <v/>
      </c>
      <c r="C6" s="498"/>
      <c r="D6" s="498" t="str">
        <f>'Phase calculation'!G158</f>
        <v/>
      </c>
      <c r="E6" s="498" t="str">
        <f>'Phase calculation'!G159</f>
        <v/>
      </c>
      <c r="F6" s="499" t="str">
        <f>'Phase calculation'!G160</f>
        <v>WBT</v>
      </c>
    </row>
    <row r="7" spans="1:9" x14ac:dyDescent="0.3">
      <c r="A7" s="498">
        <f t="shared" si="0"/>
        <v>0</v>
      </c>
      <c r="B7" s="498" t="str">
        <f>'Phase calculation'!H156</f>
        <v/>
      </c>
      <c r="C7" s="498"/>
      <c r="D7" s="498" t="str">
        <f>'Phase calculation'!H158</f>
        <v/>
      </c>
      <c r="E7" s="498" t="str">
        <f>'Phase calculation'!H159</f>
        <v/>
      </c>
      <c r="F7" s="499" t="str">
        <f>'Phase calculation'!H160</f>
        <v>WBR</v>
      </c>
    </row>
    <row r="8" spans="1:9" x14ac:dyDescent="0.3">
      <c r="A8" s="498">
        <f t="shared" si="0"/>
        <v>0</v>
      </c>
      <c r="B8" s="498" t="str">
        <f>'Phase calculation'!I156</f>
        <v/>
      </c>
      <c r="C8" s="498"/>
      <c r="D8" s="498" t="str">
        <f>'Phase calculation'!I158</f>
        <v/>
      </c>
      <c r="E8" s="498" t="str">
        <f>'Phase calculation'!I159</f>
        <v/>
      </c>
      <c r="F8" s="499" t="str">
        <f>'Phase calculation'!I160</f>
        <v>NBL</v>
      </c>
    </row>
    <row r="9" spans="1:9" x14ac:dyDescent="0.3">
      <c r="A9" s="498">
        <f t="shared" si="0"/>
        <v>0</v>
      </c>
      <c r="B9" s="498" t="str">
        <f>'Phase calculation'!J156</f>
        <v/>
      </c>
      <c r="C9" s="498"/>
      <c r="D9" s="498" t="str">
        <f>'Phase calculation'!J158</f>
        <v/>
      </c>
      <c r="E9" s="498" t="str">
        <f>'Phase calculation'!J159</f>
        <v/>
      </c>
      <c r="F9" s="499" t="str">
        <f>'Phase calculation'!J160</f>
        <v>NBT</v>
      </c>
    </row>
    <row r="10" spans="1:9" x14ac:dyDescent="0.3">
      <c r="A10" s="498">
        <f t="shared" si="0"/>
        <v>0</v>
      </c>
      <c r="B10" s="498" t="str">
        <f>'Phase calculation'!K156</f>
        <v/>
      </c>
      <c r="C10" s="498"/>
      <c r="D10" s="498" t="str">
        <f>'Phase calculation'!K158</f>
        <v/>
      </c>
      <c r="E10" s="498" t="str">
        <f>'Phase calculation'!K159</f>
        <v/>
      </c>
      <c r="F10" s="499" t="str">
        <f>'Phase calculation'!K160</f>
        <v>NBR</v>
      </c>
    </row>
    <row r="11" spans="1:9" x14ac:dyDescent="0.3">
      <c r="A11" s="498">
        <f t="shared" si="0"/>
        <v>0</v>
      </c>
      <c r="B11" s="498" t="str">
        <f>'Phase calculation'!L156</f>
        <v/>
      </c>
      <c r="C11" s="498"/>
      <c r="D11" s="498" t="str">
        <f>'Phase calculation'!L158</f>
        <v/>
      </c>
      <c r="E11" s="498" t="str">
        <f>'Phase calculation'!L159</f>
        <v/>
      </c>
      <c r="F11" s="499" t="str">
        <f>'Phase calculation'!L160</f>
        <v>SBL</v>
      </c>
    </row>
    <row r="12" spans="1:9" x14ac:dyDescent="0.3">
      <c r="A12" s="498">
        <f t="shared" si="0"/>
        <v>0</v>
      </c>
      <c r="B12" s="498" t="str">
        <f>'Phase calculation'!M156</f>
        <v/>
      </c>
      <c r="C12" s="498"/>
      <c r="D12" s="498" t="str">
        <f>'Phase calculation'!M158</f>
        <v/>
      </c>
      <c r="E12" s="498" t="str">
        <f>'Phase calculation'!M159</f>
        <v/>
      </c>
      <c r="F12" s="499" t="str">
        <f>'Phase calculation'!M160</f>
        <v>SBT</v>
      </c>
    </row>
    <row r="13" spans="1:9" x14ac:dyDescent="0.3">
      <c r="A13" s="498">
        <f t="shared" si="0"/>
        <v>0</v>
      </c>
      <c r="B13" s="498" t="str">
        <f>'Phase calculation'!N156</f>
        <v/>
      </c>
      <c r="C13" s="498"/>
      <c r="D13" s="498" t="str">
        <f>'Phase calculation'!N158</f>
        <v/>
      </c>
      <c r="E13" s="498" t="str">
        <f>'Phase calculation'!N159</f>
        <v/>
      </c>
      <c r="F13" s="499" t="str">
        <f>'Phase calculation'!N160</f>
        <v>SBR</v>
      </c>
    </row>
    <row r="14" spans="1:9" x14ac:dyDescent="0.3">
      <c r="A14" s="498"/>
      <c r="B14" s="498"/>
      <c r="C14" s="498"/>
      <c r="D14" s="498"/>
      <c r="E14" s="498"/>
      <c r="F14" s="498"/>
    </row>
    <row r="15" spans="1:9" x14ac:dyDescent="0.3">
      <c r="A15" t="s">
        <v>582</v>
      </c>
      <c r="B15" t="s">
        <v>617</v>
      </c>
      <c r="C15" t="s">
        <v>618</v>
      </c>
      <c r="D15" t="s">
        <v>619</v>
      </c>
      <c r="G15" s="1" t="s">
        <v>620</v>
      </c>
    </row>
    <row r="16" spans="1:9" x14ac:dyDescent="0.3">
      <c r="A16">
        <f>$A$2</f>
        <v>0</v>
      </c>
      <c r="B16" t="str">
        <f>IF(Phasing!D58=0,"",Phasing!D54)</f>
        <v/>
      </c>
      <c r="C16" t="str">
        <f>IF(B16="","",IF(B16&lt;=4,1,2))</f>
        <v/>
      </c>
      <c r="D16" t="str">
        <f>IF(C16="","",IF(OR(B16=1,B16=2,B16=5,B16=6),1,2))</f>
        <v/>
      </c>
    </row>
    <row r="17" spans="1:13" x14ac:dyDescent="0.3">
      <c r="A17">
        <f t="shared" ref="A17:A23" si="1">$A$2</f>
        <v>0</v>
      </c>
      <c r="B17" t="str">
        <f>IF(Phasing!E58=0,"",Phasing!E54)</f>
        <v/>
      </c>
      <c r="C17" t="str">
        <f t="shared" ref="C17:C23" si="2">IF(B17="","",IF(B17&lt;=4,1,2))</f>
        <v/>
      </c>
      <c r="D17" t="str">
        <f t="shared" ref="D17:D23" si="3">IF(C17="","",IF(OR(B17=1,B17=2,B17=5,B17=6),1,2))</f>
        <v/>
      </c>
    </row>
    <row r="18" spans="1:13" x14ac:dyDescent="0.3">
      <c r="A18">
        <f t="shared" si="1"/>
        <v>0</v>
      </c>
      <c r="B18" t="str">
        <f>IF(Phasing!F58=0,"",Phasing!F54)</f>
        <v/>
      </c>
      <c r="C18" t="str">
        <f t="shared" si="2"/>
        <v/>
      </c>
      <c r="D18" t="str">
        <f t="shared" si="3"/>
        <v/>
      </c>
    </row>
    <row r="19" spans="1:13" x14ac:dyDescent="0.3">
      <c r="A19">
        <f t="shared" si="1"/>
        <v>0</v>
      </c>
      <c r="B19" t="str">
        <f>IF(Phasing!G58=0,"",Phasing!G54)</f>
        <v/>
      </c>
      <c r="C19" t="str">
        <f t="shared" si="2"/>
        <v/>
      </c>
      <c r="D19" t="str">
        <f t="shared" si="3"/>
        <v/>
      </c>
    </row>
    <row r="20" spans="1:13" x14ac:dyDescent="0.3">
      <c r="A20">
        <f t="shared" si="1"/>
        <v>0</v>
      </c>
      <c r="B20" t="str">
        <f>IF(Phasing!H58=0,"",Phasing!H54)</f>
        <v/>
      </c>
      <c r="C20" t="str">
        <f t="shared" si="2"/>
        <v/>
      </c>
      <c r="D20" t="str">
        <f t="shared" si="3"/>
        <v/>
      </c>
    </row>
    <row r="21" spans="1:13" x14ac:dyDescent="0.3">
      <c r="A21">
        <f t="shared" si="1"/>
        <v>0</v>
      </c>
      <c r="B21" t="str">
        <f>IF(Phasing!I58=0,"",Phasing!I54)</f>
        <v/>
      </c>
      <c r="C21" t="str">
        <f t="shared" si="2"/>
        <v/>
      </c>
      <c r="D21" t="str">
        <f t="shared" si="3"/>
        <v/>
      </c>
    </row>
    <row r="22" spans="1:13" x14ac:dyDescent="0.3">
      <c r="A22">
        <f t="shared" si="1"/>
        <v>0</v>
      </c>
      <c r="B22" t="str">
        <f>IF(Phasing!J58=0,"",Phasing!J54)</f>
        <v/>
      </c>
      <c r="C22" t="str">
        <f t="shared" si="2"/>
        <v/>
      </c>
      <c r="D22" t="str">
        <f t="shared" si="3"/>
        <v/>
      </c>
    </row>
    <row r="23" spans="1:13" x14ac:dyDescent="0.3">
      <c r="A23">
        <f t="shared" si="1"/>
        <v>0</v>
      </c>
      <c r="B23" t="str">
        <f>IF(Phasing!K58=0,"",Phasing!K54)</f>
        <v/>
      </c>
      <c r="C23" t="str">
        <f t="shared" si="2"/>
        <v/>
      </c>
      <c r="D23" t="str">
        <f t="shared" si="3"/>
        <v/>
      </c>
    </row>
    <row r="25" spans="1:13" x14ac:dyDescent="0.3">
      <c r="A25" s="498" t="s">
        <v>621</v>
      </c>
      <c r="B25" s="498" t="s">
        <v>582</v>
      </c>
      <c r="C25" s="498" t="s">
        <v>622</v>
      </c>
      <c r="D25" s="498" t="s">
        <v>623</v>
      </c>
      <c r="E25" s="498" t="s">
        <v>624</v>
      </c>
      <c r="F25" s="498" t="s">
        <v>625</v>
      </c>
      <c r="G25" s="498" t="s">
        <v>626</v>
      </c>
      <c r="H25" s="498" t="s">
        <v>627</v>
      </c>
      <c r="I25" s="498" t="s">
        <v>628</v>
      </c>
      <c r="J25" t="s">
        <v>599</v>
      </c>
      <c r="K25" s="62" t="s">
        <v>602</v>
      </c>
      <c r="M25" s="1" t="s">
        <v>636</v>
      </c>
    </row>
    <row r="26" spans="1:13" x14ac:dyDescent="0.3">
      <c r="A26" s="498" t="str">
        <f t="shared" ref="A26:A33" si="4">IF(C26="","",1)</f>
        <v/>
      </c>
      <c r="B26" s="498">
        <f>$A$2</f>
        <v>0</v>
      </c>
      <c r="C26" s="498" t="str">
        <f t="shared" ref="C26:C33" si="5">B16</f>
        <v/>
      </c>
      <c r="D26" s="498" t="str">
        <f>IF(C26="","",Phasing!D31)</f>
        <v/>
      </c>
      <c r="E26" s="498" t="str">
        <f>IF(C26="","",Phasing!D32)</f>
        <v/>
      </c>
      <c r="F26" s="498" t="str">
        <f>IF(C26="","",Phasing!D33)</f>
        <v/>
      </c>
      <c r="G26" s="498" t="str">
        <f>IF(C26="","",INDEX(Phasing!$Y$33:$Y$40,MATCH(C26,Phasing!$W$33:$W$40,0))+INDEX(Phasing!$AA$33:$AA$40,MATCH(C26,Phasing!$W$33:$W$40,0)))</f>
        <v/>
      </c>
      <c r="H26" s="498"/>
      <c r="I26" s="498"/>
      <c r="J26" t="str">
        <f>IFERROR(INDEX($F$2:$F$13,MATCH(C26,$B$2:$B$13,0)),"")</f>
        <v>EBL</v>
      </c>
      <c r="K26">
        <v>0</v>
      </c>
    </row>
    <row r="27" spans="1:13" x14ac:dyDescent="0.3">
      <c r="A27" s="498" t="str">
        <f t="shared" si="4"/>
        <v/>
      </c>
      <c r="B27" s="498">
        <f t="shared" ref="B27:B33" si="6">$A$2</f>
        <v>0</v>
      </c>
      <c r="C27" s="498" t="str">
        <f t="shared" si="5"/>
        <v/>
      </c>
      <c r="D27" s="498" t="str">
        <f>IF(C27="","",Phasing!E31)</f>
        <v/>
      </c>
      <c r="E27" s="498" t="str">
        <f>IF(C27="","",Phasing!E32)</f>
        <v/>
      </c>
      <c r="F27" s="498" t="str">
        <f>IF(C27="","",Phasing!E33)</f>
        <v/>
      </c>
      <c r="G27" s="498" t="str">
        <f>IF(C27="","",INDEX(Phasing!$Y$33:$Y$40,MATCH(C27,Phasing!$W$33:$W$40,0))+INDEX(Phasing!$AA$33:$AA$40,MATCH(C27,Phasing!$W$33:$W$40,0)))</f>
        <v/>
      </c>
      <c r="H27" s="498">
        <f>Phasing!E9</f>
        <v>0</v>
      </c>
      <c r="I27" s="498">
        <f>Phasing!E10</f>
        <v>0</v>
      </c>
      <c r="J27" t="str">
        <f t="shared" ref="J27:J33" si="7">IFERROR(INDEX($F$2:$F$13,MATCH(C27,$B$2:$B$13,0)),"")</f>
        <v>EBL</v>
      </c>
      <c r="K27">
        <v>0</v>
      </c>
    </row>
    <row r="28" spans="1:13" x14ac:dyDescent="0.3">
      <c r="A28" s="498" t="str">
        <f t="shared" si="4"/>
        <v/>
      </c>
      <c r="B28" s="498">
        <f t="shared" si="6"/>
        <v>0</v>
      </c>
      <c r="C28" s="498" t="str">
        <f t="shared" si="5"/>
        <v/>
      </c>
      <c r="D28" s="498" t="str">
        <f>IF(C28="","",Phasing!F31)</f>
        <v/>
      </c>
      <c r="E28" s="498" t="str">
        <f>IF(C28="","",Phasing!F32)</f>
        <v/>
      </c>
      <c r="F28" s="498" t="str">
        <f>IF(C28="","",Phasing!F33)</f>
        <v/>
      </c>
      <c r="G28" s="498" t="str">
        <f>IF(C28="","",INDEX(Phasing!$Y$33:$Y$40,MATCH(C28,Phasing!$W$33:$W$40,0))+INDEX(Phasing!$AA$33:$AA$40,MATCH(C28,Phasing!$W$33:$W$40,0)))</f>
        <v/>
      </c>
      <c r="H28" s="498"/>
      <c r="I28" s="498"/>
      <c r="J28" t="str">
        <f t="shared" si="7"/>
        <v>EBL</v>
      </c>
      <c r="K28">
        <v>0</v>
      </c>
    </row>
    <row r="29" spans="1:13" x14ac:dyDescent="0.3">
      <c r="A29" s="498" t="str">
        <f t="shared" si="4"/>
        <v/>
      </c>
      <c r="B29" s="498">
        <f t="shared" si="6"/>
        <v>0</v>
      </c>
      <c r="C29" s="498" t="str">
        <f t="shared" si="5"/>
        <v/>
      </c>
      <c r="D29" s="498" t="str">
        <f>IF(C29="","",Phasing!G31)</f>
        <v/>
      </c>
      <c r="E29" s="498" t="str">
        <f>IF(C29="","",Phasing!G32)</f>
        <v/>
      </c>
      <c r="F29" s="498" t="str">
        <f>IF(C29="","",Phasing!G33)</f>
        <v/>
      </c>
      <c r="G29" s="498" t="str">
        <f>IF(C29="","",INDEX(Phasing!$Y$33:$Y$40,MATCH(C29,Phasing!$W$33:$W$40,0))+INDEX(Phasing!$AA$33:$AA$40,MATCH(C29,Phasing!$W$33:$W$40,0)))</f>
        <v/>
      </c>
      <c r="H29" s="498">
        <f>Phasing!G9</f>
        <v>0</v>
      </c>
      <c r="I29" s="498">
        <f>Phasing!G10</f>
        <v>0</v>
      </c>
      <c r="J29" t="str">
        <f t="shared" si="7"/>
        <v>EBL</v>
      </c>
      <c r="K29">
        <v>0</v>
      </c>
    </row>
    <row r="30" spans="1:13" x14ac:dyDescent="0.3">
      <c r="A30" s="498" t="str">
        <f t="shared" si="4"/>
        <v/>
      </c>
      <c r="B30" s="498">
        <f t="shared" si="6"/>
        <v>0</v>
      </c>
      <c r="C30" s="498" t="str">
        <f t="shared" si="5"/>
        <v/>
      </c>
      <c r="D30" s="498" t="str">
        <f>IF(C30="","",Phasing!H31)</f>
        <v/>
      </c>
      <c r="E30" s="498" t="str">
        <f>IF(C30="","",Phasing!H32)</f>
        <v/>
      </c>
      <c r="F30" s="498" t="str">
        <f>IF(C30="","",Phasing!H33)</f>
        <v/>
      </c>
      <c r="G30" s="498" t="str">
        <f>IF(C30="","",INDEX(Phasing!$Y$33:$Y$40,MATCH(C30,Phasing!$W$33:$W$40,0))+INDEX(Phasing!$AA$33:$AA$40,MATCH(C30,Phasing!$W$33:$W$40,0)))</f>
        <v/>
      </c>
      <c r="H30" s="498"/>
      <c r="I30" s="498"/>
      <c r="J30" t="str">
        <f t="shared" si="7"/>
        <v>EBL</v>
      </c>
      <c r="K30">
        <v>0</v>
      </c>
    </row>
    <row r="31" spans="1:13" x14ac:dyDescent="0.3">
      <c r="A31" s="498" t="str">
        <f t="shared" si="4"/>
        <v/>
      </c>
      <c r="B31" s="498">
        <f t="shared" si="6"/>
        <v>0</v>
      </c>
      <c r="C31" s="498" t="str">
        <f t="shared" si="5"/>
        <v/>
      </c>
      <c r="D31" s="498" t="str">
        <f>IF(C31="","",Phasing!I31)</f>
        <v/>
      </c>
      <c r="E31" s="498" t="str">
        <f>IF(C31="","",Phasing!I32)</f>
        <v/>
      </c>
      <c r="F31" s="498" t="str">
        <f>IF(C31="","",Phasing!I33)</f>
        <v/>
      </c>
      <c r="G31" s="498" t="str">
        <f>IF(C31="","",INDEX(Phasing!$Y$33:$Y$40,MATCH(C31,Phasing!$W$33:$W$40,0))+INDEX(Phasing!$AA$33:$AA$40,MATCH(C31,Phasing!$W$33:$W$40,0)))</f>
        <v/>
      </c>
      <c r="H31" s="498">
        <f>Phasing!I9</f>
        <v>0</v>
      </c>
      <c r="I31" s="498">
        <f>Phasing!I10</f>
        <v>0</v>
      </c>
      <c r="J31" t="str">
        <f t="shared" si="7"/>
        <v>EBL</v>
      </c>
      <c r="K31">
        <v>0</v>
      </c>
    </row>
    <row r="32" spans="1:13" x14ac:dyDescent="0.3">
      <c r="A32" s="498" t="str">
        <f t="shared" si="4"/>
        <v/>
      </c>
      <c r="B32" s="498">
        <f t="shared" si="6"/>
        <v>0</v>
      </c>
      <c r="C32" s="498" t="str">
        <f t="shared" si="5"/>
        <v/>
      </c>
      <c r="D32" s="498" t="str">
        <f>IF(C32="","",Phasing!J31)</f>
        <v/>
      </c>
      <c r="E32" s="498" t="str">
        <f>IF(C32="","",Phasing!J32)</f>
        <v/>
      </c>
      <c r="F32" s="498" t="str">
        <f>IF(C32="","",Phasing!J33)</f>
        <v/>
      </c>
      <c r="G32" s="498" t="str">
        <f>IF(C32="","",INDEX(Phasing!$Y$33:$Y$40,MATCH(C32,Phasing!$W$33:$W$40,0))+INDEX(Phasing!$AA$33:$AA$40,MATCH(C32,Phasing!$W$33:$W$40,0)))</f>
        <v/>
      </c>
      <c r="H32" s="498"/>
      <c r="I32" s="498"/>
      <c r="J32" t="str">
        <f t="shared" si="7"/>
        <v>EBL</v>
      </c>
      <c r="K32">
        <v>0</v>
      </c>
    </row>
    <row r="33" spans="1:12" x14ac:dyDescent="0.3">
      <c r="A33" s="498" t="str">
        <f t="shared" si="4"/>
        <v/>
      </c>
      <c r="B33" s="498">
        <f t="shared" si="6"/>
        <v>0</v>
      </c>
      <c r="C33" s="498" t="str">
        <f t="shared" si="5"/>
        <v/>
      </c>
      <c r="D33" s="498" t="str">
        <f>IF(C33="","",Phasing!K31)</f>
        <v/>
      </c>
      <c r="E33" s="498" t="str">
        <f>IF(C33="","",Phasing!K32)</f>
        <v/>
      </c>
      <c r="F33" s="498" t="str">
        <f>IF(C33="","",Phasing!K33)</f>
        <v/>
      </c>
      <c r="G33" s="498" t="str">
        <f>IF(C33="","",INDEX(Phasing!$Y$33:$Y$40,MATCH(C33,Phasing!$W$33:$W$40,0))+INDEX(Phasing!$AA$33:$AA$40,MATCH(C33,Phasing!$W$33:$W$40,0)))</f>
        <v/>
      </c>
      <c r="H33" s="498">
        <f>Phasing!K9</f>
        <v>0</v>
      </c>
      <c r="I33" s="498">
        <f>Phasing!K10</f>
        <v>0</v>
      </c>
      <c r="J33" t="str">
        <f t="shared" si="7"/>
        <v>EBL</v>
      </c>
      <c r="K33">
        <v>0</v>
      </c>
    </row>
    <row r="35" spans="1:12" x14ac:dyDescent="0.3">
      <c r="A35" t="s">
        <v>582</v>
      </c>
      <c r="B35" t="s">
        <v>629</v>
      </c>
      <c r="C35" t="s">
        <v>630</v>
      </c>
      <c r="D35" t="s">
        <v>595</v>
      </c>
      <c r="E35" t="s">
        <v>631</v>
      </c>
      <c r="F35" t="s">
        <v>632</v>
      </c>
      <c r="G35" t="s">
        <v>633</v>
      </c>
      <c r="L35" s="1" t="s">
        <v>634</v>
      </c>
    </row>
    <row r="36" spans="1:12" x14ac:dyDescent="0.3">
      <c r="A36">
        <f>$A$2</f>
        <v>0</v>
      </c>
      <c r="B36">
        <v>1</v>
      </c>
      <c r="C36" t="s">
        <v>635</v>
      </c>
      <c r="D36">
        <f>'Phase calculation'!C25</f>
        <v>0</v>
      </c>
      <c r="E36">
        <f>'Phase calculation'!G25</f>
        <v>0</v>
      </c>
      <c r="F36">
        <f>UTDF_input!C91</f>
        <v>0</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4.4" x14ac:dyDescent="0.3"/>
  <cols>
    <col min="2" max="2" width="16.33203125" bestFit="1" customWidth="1"/>
    <col min="20" max="20" width="12.44140625" bestFit="1" customWidth="1"/>
    <col min="21" max="21" width="11.6640625" bestFit="1" customWidth="1"/>
  </cols>
  <sheetData>
    <row r="1" spans="1:21" x14ac:dyDescent="0.3">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3">
      <c r="A2">
        <f>GMNS!$A$2</f>
        <v>0</v>
      </c>
      <c r="B2" t="str">
        <f>T2&amp;"_"&amp;U2</f>
        <v>000000_000000</v>
      </c>
      <c r="C2" s="1" t="s">
        <v>608</v>
      </c>
      <c r="D2" s="1" t="s">
        <v>608</v>
      </c>
      <c r="E2" t="str">
        <f>IF(Q2=0,"",'Phase calculation'!C41)</f>
        <v/>
      </c>
      <c r="F2" s="494" t="str">
        <f>IF(Q2=0,"",'Phase calculation'!C40)</f>
        <v/>
      </c>
      <c r="G2" s="1">
        <v>0</v>
      </c>
      <c r="H2">
        <f>'Phase calculation'!$C$25</f>
        <v>0</v>
      </c>
      <c r="I2" t="str">
        <f>IF(E2="","",IF('Phase calculation'!C34=0,'Phase calculation'!D34,'Phase calculation'!C34))</f>
        <v/>
      </c>
      <c r="J2" t="str">
        <f>IF(E2="","",H2-I2)</f>
        <v/>
      </c>
      <c r="K2">
        <f>IF(OR(Q2=1,Q2=2,Q2=5,Q2=6),1,2)</f>
        <v>2</v>
      </c>
      <c r="L2" t="s">
        <v>13</v>
      </c>
      <c r="M2" s="223" t="str">
        <f>T2</f>
        <v>000000</v>
      </c>
      <c r="N2" s="223" t="str">
        <f>U2</f>
        <v>000000</v>
      </c>
      <c r="O2" s="1">
        <v>0</v>
      </c>
      <c r="Q2">
        <f>IF('Phase calculation'!C33=0,'Phase calculation'!D33,'Phase calculation'!C33)</f>
        <v>0</v>
      </c>
      <c r="R2">
        <f>IFERROR(INDEX(Phasing!$D$46:$K$46,1,MATCH(Q2,Phasing!$D$54:$K$54,0)),0)</f>
        <v>0</v>
      </c>
      <c r="S2">
        <f>IFERROR(INDEX(Phasing!$D$47:$K$47,1,MATCH(Q2,Phasing!$D$54:$K$54,0)),0)</f>
        <v>0</v>
      </c>
      <c r="T2" s="495" t="str">
        <f t="shared" ref="T2:U13" si="0">IF(R2&lt;10,"00000"&amp;R2,"00"&amp;(IF(R2&lt;60,"00","0"&amp;ROUNDDOWN(R2/60,0))&amp;""&amp;IF(OR(R2=0,R2=60,R2=120,R2=180),"00",IF(R2&lt;60,R2,R2-60*ROUNDDOWN(R2/60,0)))))</f>
        <v>000000</v>
      </c>
      <c r="U2" s="495" t="str">
        <f t="shared" si="0"/>
        <v>000000</v>
      </c>
    </row>
    <row r="3" spans="1:21" x14ac:dyDescent="0.3">
      <c r="A3">
        <f>GMNS!$A$2</f>
        <v>0</v>
      </c>
      <c r="B3" t="str">
        <f t="shared" ref="B3:B13" si="1">T3&amp;"_"&amp;U3</f>
        <v>000000_000000</v>
      </c>
      <c r="C3" s="1" t="s">
        <v>608</v>
      </c>
      <c r="D3" s="1" t="s">
        <v>608</v>
      </c>
      <c r="E3" t="str">
        <f>IF(Q3=0,"",'Phase calculation'!D41)</f>
        <v/>
      </c>
      <c r="F3" s="494" t="str">
        <f>IF(Q3=0,"",'Phase calculation'!D40)</f>
        <v/>
      </c>
      <c r="G3" s="1">
        <v>0</v>
      </c>
      <c r="H3">
        <f>'Phase calculation'!$C$25</f>
        <v>0</v>
      </c>
      <c r="I3" t="str">
        <f>IF(E3="","",'Phase calculation'!D34)</f>
        <v/>
      </c>
      <c r="J3" t="str">
        <f t="shared" ref="J3:J13" si="2">IF(E3="","",H3-I3)</f>
        <v/>
      </c>
      <c r="K3">
        <f t="shared" ref="K3:K13" si="3">IF(OR(Q3=1,Q3=2,Q3=5,Q3=6),1,2)</f>
        <v>2</v>
      </c>
      <c r="L3" t="s">
        <v>14</v>
      </c>
      <c r="M3" s="223" t="str">
        <f t="shared" ref="M3:N13" si="4">T3</f>
        <v>000000</v>
      </c>
      <c r="N3" s="223" t="str">
        <f t="shared" si="4"/>
        <v>000000</v>
      </c>
      <c r="O3" s="1">
        <v>0</v>
      </c>
      <c r="Q3">
        <f>'Phase calculation'!D33</f>
        <v>0</v>
      </c>
      <c r="R3">
        <f>IFERROR(INDEX(Phasing!$D$46:$K$46,1,MATCH(Q3,Phasing!$D$54:$K$54,0)),0)</f>
        <v>0</v>
      </c>
      <c r="S3">
        <f>IFERROR(INDEX(Phasing!$D$47:$K$47,1,MATCH(Q3,Phasing!$D$54:$K$54,0)),0)</f>
        <v>0</v>
      </c>
      <c r="T3" s="495" t="str">
        <f t="shared" si="0"/>
        <v>000000</v>
      </c>
      <c r="U3" s="495" t="str">
        <f t="shared" si="0"/>
        <v>000000</v>
      </c>
    </row>
    <row r="4" spans="1:21" x14ac:dyDescent="0.3">
      <c r="A4">
        <f>GMNS!$A$2</f>
        <v>0</v>
      </c>
      <c r="B4" t="str">
        <f t="shared" si="1"/>
        <v>000000_000000</v>
      </c>
      <c r="C4" s="1" t="s">
        <v>608</v>
      </c>
      <c r="D4" s="1" t="s">
        <v>608</v>
      </c>
      <c r="E4" t="str">
        <f>IF(Q4=0,"",'Phase calculation'!E41)</f>
        <v/>
      </c>
      <c r="F4" s="494" t="str">
        <f>IF(Q4=0,"",'Phase calculation'!E40)</f>
        <v/>
      </c>
      <c r="G4" s="1">
        <v>0</v>
      </c>
      <c r="H4">
        <f>'Phase calculation'!$C$25</f>
        <v>0</v>
      </c>
      <c r="I4" t="str">
        <f>IF(E4="","",'Phase calculation'!E34)</f>
        <v/>
      </c>
      <c r="J4" t="str">
        <f t="shared" si="2"/>
        <v/>
      </c>
      <c r="K4">
        <f t="shared" si="3"/>
        <v>2</v>
      </c>
      <c r="L4" t="s">
        <v>15</v>
      </c>
      <c r="M4" s="223" t="str">
        <f t="shared" si="4"/>
        <v>000000</v>
      </c>
      <c r="N4" s="223" t="str">
        <f t="shared" si="4"/>
        <v>000000</v>
      </c>
      <c r="O4" s="1">
        <v>0</v>
      </c>
      <c r="Q4">
        <f>Q3</f>
        <v>0</v>
      </c>
      <c r="R4">
        <f>IFERROR(INDEX(Phasing!$D$46:$K$46,1,MATCH(Q4,Phasing!$D$54:$K$54,0)),0)</f>
        <v>0</v>
      </c>
      <c r="S4">
        <f>IFERROR(INDEX(Phasing!$D$47:$K$47,1,MATCH(Q4,Phasing!$D$54:$K$54,0)),0)</f>
        <v>0</v>
      </c>
      <c r="T4" s="495" t="str">
        <f t="shared" si="0"/>
        <v>000000</v>
      </c>
      <c r="U4" s="495" t="str">
        <f t="shared" si="0"/>
        <v>000000</v>
      </c>
    </row>
    <row r="5" spans="1:21" x14ac:dyDescent="0.3">
      <c r="A5">
        <f>GMNS!$A$2</f>
        <v>0</v>
      </c>
      <c r="B5" t="str">
        <f t="shared" si="1"/>
        <v>000000_000000</v>
      </c>
      <c r="C5" s="1" t="s">
        <v>608</v>
      </c>
      <c r="D5" s="1" t="s">
        <v>608</v>
      </c>
      <c r="E5" t="str">
        <f>IF(Q5=0,"",'Phase calculation'!F41)</f>
        <v/>
      </c>
      <c r="F5" s="494" t="str">
        <f>IF(Q5=0,"",'Phase calculation'!F40)</f>
        <v/>
      </c>
      <c r="G5" s="1">
        <v>0</v>
      </c>
      <c r="H5">
        <f>'Phase calculation'!$C$25</f>
        <v>0</v>
      </c>
      <c r="I5" t="str">
        <f>IF(E5="","",IF('Phase calculation'!F34=0,'Phase calculation'!G34,'Phase calculation'!F34))</f>
        <v/>
      </c>
      <c r="J5" t="str">
        <f t="shared" si="2"/>
        <v/>
      </c>
      <c r="K5">
        <f t="shared" si="3"/>
        <v>2</v>
      </c>
      <c r="L5" t="s">
        <v>18</v>
      </c>
      <c r="M5" s="223" t="str">
        <f t="shared" si="4"/>
        <v>000000</v>
      </c>
      <c r="N5" s="223" t="str">
        <f t="shared" si="4"/>
        <v>000000</v>
      </c>
      <c r="O5" s="1">
        <v>0</v>
      </c>
      <c r="Q5">
        <f>IF('Phase calculation'!F33=0,'Phase calculation'!G33,'Phase calculation'!F33)</f>
        <v>0</v>
      </c>
      <c r="R5">
        <f>IFERROR(INDEX(Phasing!$D$46:$K$46,1,MATCH(Q5,Phasing!$D$54:$K$54,0)),0)</f>
        <v>0</v>
      </c>
      <c r="S5">
        <f>IFERROR(INDEX(Phasing!$D$47:$K$47,1,MATCH(Q5,Phasing!$D$54:$K$54,0)),0)</f>
        <v>0</v>
      </c>
      <c r="T5" s="495" t="str">
        <f t="shared" si="0"/>
        <v>000000</v>
      </c>
      <c r="U5" s="495" t="str">
        <f t="shared" si="0"/>
        <v>000000</v>
      </c>
    </row>
    <row r="6" spans="1:21" x14ac:dyDescent="0.3">
      <c r="A6">
        <f>GMNS!$A$2</f>
        <v>0</v>
      </c>
      <c r="B6" t="str">
        <f t="shared" si="1"/>
        <v>000000_000000</v>
      </c>
      <c r="C6" s="1" t="s">
        <v>608</v>
      </c>
      <c r="D6" s="1" t="s">
        <v>608</v>
      </c>
      <c r="E6" t="str">
        <f>IF(Q6=0,"",'Phase calculation'!G41)</f>
        <v/>
      </c>
      <c r="F6" s="494" t="str">
        <f>IF(Q6=0,"",'Phase calculation'!G40)</f>
        <v/>
      </c>
      <c r="G6" s="1">
        <v>0</v>
      </c>
      <c r="H6">
        <f>'Phase calculation'!$C$25</f>
        <v>0</v>
      </c>
      <c r="I6" t="str">
        <f>IF(E6="","",'Phase calculation'!G34)</f>
        <v/>
      </c>
      <c r="J6" t="str">
        <f t="shared" si="2"/>
        <v/>
      </c>
      <c r="K6">
        <f t="shared" si="3"/>
        <v>2</v>
      </c>
      <c r="L6" t="s">
        <v>19</v>
      </c>
      <c r="M6" s="223" t="str">
        <f t="shared" si="4"/>
        <v>000000</v>
      </c>
      <c r="N6" s="223" t="str">
        <f t="shared" si="4"/>
        <v>000000</v>
      </c>
      <c r="O6" s="1">
        <v>0</v>
      </c>
      <c r="Q6">
        <f>'Phase calculation'!G33</f>
        <v>0</v>
      </c>
      <c r="R6">
        <f>IFERROR(INDEX(Phasing!$D$46:$K$46,1,MATCH(Q6,Phasing!$D$54:$K$54,0)),0)</f>
        <v>0</v>
      </c>
      <c r="S6">
        <f>IFERROR(INDEX(Phasing!$D$47:$K$47,1,MATCH(Q6,Phasing!$D$54:$K$54,0)),0)</f>
        <v>0</v>
      </c>
      <c r="T6" s="495" t="str">
        <f t="shared" si="0"/>
        <v>000000</v>
      </c>
      <c r="U6" s="495" t="str">
        <f t="shared" si="0"/>
        <v>000000</v>
      </c>
    </row>
    <row r="7" spans="1:21" x14ac:dyDescent="0.3">
      <c r="A7">
        <f>GMNS!$A$2</f>
        <v>0</v>
      </c>
      <c r="B7" t="str">
        <f t="shared" si="1"/>
        <v>000000_000000</v>
      </c>
      <c r="C7" s="1" t="s">
        <v>608</v>
      </c>
      <c r="D7" s="1" t="s">
        <v>608</v>
      </c>
      <c r="E7" t="str">
        <f>IF(Q7=0,"",'Phase calculation'!H41)</f>
        <v/>
      </c>
      <c r="F7" s="494" t="str">
        <f>IF(Q7=0,"",'Phase calculation'!H40)</f>
        <v/>
      </c>
      <c r="G7" s="1">
        <v>0</v>
      </c>
      <c r="H7">
        <f>'Phase calculation'!$C$25</f>
        <v>0</v>
      </c>
      <c r="I7" t="str">
        <f>IF(E7="","",'Phase calculation'!H34)</f>
        <v/>
      </c>
      <c r="J7" t="str">
        <f t="shared" si="2"/>
        <v/>
      </c>
      <c r="K7">
        <f t="shared" si="3"/>
        <v>2</v>
      </c>
      <c r="L7" t="s">
        <v>20</v>
      </c>
      <c r="M7" s="223" t="str">
        <f t="shared" si="4"/>
        <v>000000</v>
      </c>
      <c r="N7" s="223" t="str">
        <f t="shared" si="4"/>
        <v>000000</v>
      </c>
      <c r="O7" s="1">
        <v>0</v>
      </c>
      <c r="Q7">
        <f>Q6</f>
        <v>0</v>
      </c>
      <c r="R7">
        <f>IFERROR(INDEX(Phasing!$D$46:$K$46,1,MATCH(Q7,Phasing!$D$54:$K$54,0)),0)</f>
        <v>0</v>
      </c>
      <c r="S7">
        <f>IFERROR(INDEX(Phasing!$D$47:$K$47,1,MATCH(Q7,Phasing!$D$54:$K$54,0)),0)</f>
        <v>0</v>
      </c>
      <c r="T7" s="495" t="str">
        <f t="shared" si="0"/>
        <v>000000</v>
      </c>
      <c r="U7" s="495" t="str">
        <f t="shared" si="0"/>
        <v>000000</v>
      </c>
    </row>
    <row r="8" spans="1:21" x14ac:dyDescent="0.3">
      <c r="A8">
        <f>GMNS!$A$2</f>
        <v>0</v>
      </c>
      <c r="B8" t="str">
        <f t="shared" si="1"/>
        <v>000000_000000</v>
      </c>
      <c r="C8" s="1" t="s">
        <v>608</v>
      </c>
      <c r="D8" s="1" t="s">
        <v>608</v>
      </c>
      <c r="E8" t="str">
        <f>IF(Q8=0,"",'Phase calculation'!I41)</f>
        <v/>
      </c>
      <c r="F8" s="494" t="str">
        <f>IF(Q8=0,"",'Phase calculation'!I40)</f>
        <v/>
      </c>
      <c r="G8" s="1">
        <v>0</v>
      </c>
      <c r="H8">
        <f>'Phase calculation'!$C$25</f>
        <v>0</v>
      </c>
      <c r="I8" t="str">
        <f>IF(E8="","",IF('Phase calculation'!I34=0,'Phase calculation'!J34,'Phase calculation'!I34))</f>
        <v/>
      </c>
      <c r="J8" t="str">
        <f t="shared" si="2"/>
        <v/>
      </c>
      <c r="K8">
        <f t="shared" si="3"/>
        <v>2</v>
      </c>
      <c r="L8" t="s">
        <v>3</v>
      </c>
      <c r="M8" s="223" t="str">
        <f t="shared" si="4"/>
        <v>000000</v>
      </c>
      <c r="N8" s="223" t="str">
        <f t="shared" si="4"/>
        <v>000000</v>
      </c>
      <c r="O8" s="1">
        <v>0</v>
      </c>
      <c r="Q8">
        <f>IF('Phase calculation'!I33=0,'Phase calculation'!J33,'Phase calculation'!I33)</f>
        <v>0</v>
      </c>
      <c r="R8">
        <f>IFERROR(INDEX(Phasing!$D$46:$K$46,1,MATCH(Q8,Phasing!$D$54:$K$54,0)),0)</f>
        <v>0</v>
      </c>
      <c r="S8">
        <f>IFERROR(INDEX(Phasing!$D$47:$K$47,1,MATCH(Q8,Phasing!$D$54:$K$54,0)),0)</f>
        <v>0</v>
      </c>
      <c r="T8" s="495" t="str">
        <f t="shared" si="0"/>
        <v>000000</v>
      </c>
      <c r="U8" s="495" t="str">
        <f t="shared" si="0"/>
        <v>000000</v>
      </c>
    </row>
    <row r="9" spans="1:21" x14ac:dyDescent="0.3">
      <c r="A9">
        <f>GMNS!$A$2</f>
        <v>0</v>
      </c>
      <c r="B9" t="str">
        <f t="shared" si="1"/>
        <v>000000_000000</v>
      </c>
      <c r="C9" s="1" t="s">
        <v>608</v>
      </c>
      <c r="D9" s="1" t="s">
        <v>608</v>
      </c>
      <c r="E9" t="str">
        <f>IF(Q9=0,"",'Phase calculation'!J41)</f>
        <v/>
      </c>
      <c r="F9" s="494" t="str">
        <f>IF(Q9=0,"",'Phase calculation'!J40)</f>
        <v/>
      </c>
      <c r="G9" s="1">
        <v>0</v>
      </c>
      <c r="H9">
        <f>'Phase calculation'!$C$25</f>
        <v>0</v>
      </c>
      <c r="I9" t="str">
        <f>IF(E9="","",'Phase calculation'!J34)</f>
        <v/>
      </c>
      <c r="J9" t="str">
        <f t="shared" si="2"/>
        <v/>
      </c>
      <c r="K9">
        <f t="shared" si="3"/>
        <v>2</v>
      </c>
      <c r="L9" t="s">
        <v>4</v>
      </c>
      <c r="M9" s="223" t="str">
        <f t="shared" si="4"/>
        <v>000000</v>
      </c>
      <c r="N9" s="223" t="str">
        <f t="shared" si="4"/>
        <v>000000</v>
      </c>
      <c r="O9" s="1">
        <v>0</v>
      </c>
      <c r="Q9">
        <f>'Phase calculation'!J33</f>
        <v>0</v>
      </c>
      <c r="R9">
        <f>IFERROR(INDEX(Phasing!$D$46:$K$46,1,MATCH(Q9,Phasing!$D$54:$K$54,0)),0)</f>
        <v>0</v>
      </c>
      <c r="S9">
        <f>IFERROR(INDEX(Phasing!$D$47:$K$47,1,MATCH(Q9,Phasing!$D$54:$K$54,0)),0)</f>
        <v>0</v>
      </c>
      <c r="T9" s="495" t="str">
        <f t="shared" si="0"/>
        <v>000000</v>
      </c>
      <c r="U9" s="495" t="str">
        <f t="shared" si="0"/>
        <v>000000</v>
      </c>
    </row>
    <row r="10" spans="1:21" x14ac:dyDescent="0.3">
      <c r="A10">
        <f>GMNS!$A$2</f>
        <v>0</v>
      </c>
      <c r="B10" t="str">
        <f t="shared" si="1"/>
        <v>000000_000000</v>
      </c>
      <c r="C10" s="1" t="s">
        <v>608</v>
      </c>
      <c r="D10" s="1" t="s">
        <v>608</v>
      </c>
      <c r="E10" t="str">
        <f>IF(Q10=0,"",'Phase calculation'!K41)</f>
        <v/>
      </c>
      <c r="F10" s="494" t="str">
        <f>IF(Q10=0,"",'Phase calculation'!K40)</f>
        <v/>
      </c>
      <c r="G10" s="1">
        <v>0</v>
      </c>
      <c r="H10">
        <f>'Phase calculation'!$C$25</f>
        <v>0</v>
      </c>
      <c r="I10" t="str">
        <f>IF(E10="","",'Phase calculation'!K34)</f>
        <v/>
      </c>
      <c r="J10" t="str">
        <f t="shared" si="2"/>
        <v/>
      </c>
      <c r="K10">
        <f t="shared" si="3"/>
        <v>2</v>
      </c>
      <c r="L10" t="s">
        <v>5</v>
      </c>
      <c r="M10" s="223" t="str">
        <f t="shared" si="4"/>
        <v>000000</v>
      </c>
      <c r="N10" s="223" t="str">
        <f t="shared" si="4"/>
        <v>000000</v>
      </c>
      <c r="O10" s="1">
        <v>0</v>
      </c>
      <c r="Q10">
        <f>Q9</f>
        <v>0</v>
      </c>
      <c r="R10">
        <f>IFERROR(INDEX(Phasing!$D$46:$K$46,1,MATCH(Q10,Phasing!$D$54:$K$54,0)),0)</f>
        <v>0</v>
      </c>
      <c r="S10">
        <f>IFERROR(INDEX(Phasing!$D$47:$K$47,1,MATCH(Q10,Phasing!$D$54:$K$54,0)),0)</f>
        <v>0</v>
      </c>
      <c r="T10" s="495" t="str">
        <f t="shared" si="0"/>
        <v>000000</v>
      </c>
      <c r="U10" s="495" t="str">
        <f t="shared" si="0"/>
        <v>000000</v>
      </c>
    </row>
    <row r="11" spans="1:21" x14ac:dyDescent="0.3">
      <c r="A11">
        <f>GMNS!$A$2</f>
        <v>0</v>
      </c>
      <c r="B11" t="str">
        <f t="shared" si="1"/>
        <v>000000_000000</v>
      </c>
      <c r="C11" s="1" t="s">
        <v>608</v>
      </c>
      <c r="D11" s="1" t="s">
        <v>608</v>
      </c>
      <c r="E11" t="str">
        <f>IF(Q11=0,"",'Phase calculation'!L41)</f>
        <v/>
      </c>
      <c r="F11" s="494" t="str">
        <f>IF(Q11=0,"",'Phase calculation'!L40)</f>
        <v/>
      </c>
      <c r="G11" s="1">
        <v>0</v>
      </c>
      <c r="H11">
        <f>'Phase calculation'!$C$25</f>
        <v>0</v>
      </c>
      <c r="I11" t="str">
        <f>IF(E11="","",IF('Phase calculation'!L34=0,'Phase calculation'!M34,'Phase calculation'!L34))</f>
        <v/>
      </c>
      <c r="J11" t="str">
        <f t="shared" si="2"/>
        <v/>
      </c>
      <c r="K11">
        <f t="shared" si="3"/>
        <v>2</v>
      </c>
      <c r="L11" t="s">
        <v>8</v>
      </c>
      <c r="M11" s="223" t="str">
        <f t="shared" si="4"/>
        <v>000000</v>
      </c>
      <c r="N11" s="223" t="str">
        <f t="shared" si="4"/>
        <v>000000</v>
      </c>
      <c r="O11" s="1">
        <v>0</v>
      </c>
      <c r="Q11">
        <f>IF('Phase calculation'!L33=0,'Phase calculation'!M33,'Phase calculation'!L33)</f>
        <v>0</v>
      </c>
      <c r="R11">
        <f>IFERROR(INDEX(Phasing!$D$46:$K$46,1,MATCH(Q11,Phasing!$D$54:$K$54,0)),0)</f>
        <v>0</v>
      </c>
      <c r="S11">
        <f>IFERROR(INDEX(Phasing!$D$47:$K$47,1,MATCH(Q11,Phasing!$D$54:$K$54,0)),0)</f>
        <v>0</v>
      </c>
      <c r="T11" s="495" t="str">
        <f t="shared" si="0"/>
        <v>000000</v>
      </c>
      <c r="U11" s="495" t="str">
        <f t="shared" si="0"/>
        <v>000000</v>
      </c>
    </row>
    <row r="12" spans="1:21" x14ac:dyDescent="0.3">
      <c r="A12">
        <f>GMNS!$A$2</f>
        <v>0</v>
      </c>
      <c r="B12" t="str">
        <f t="shared" si="1"/>
        <v>000000_000000</v>
      </c>
      <c r="C12" s="1" t="s">
        <v>608</v>
      </c>
      <c r="D12" s="1" t="s">
        <v>608</v>
      </c>
      <c r="E12" t="str">
        <f>IF(Q12=0,"",'Phase calculation'!M41)</f>
        <v/>
      </c>
      <c r="F12" s="494" t="str">
        <f>IF(Q12=0,"",'Phase calculation'!M40)</f>
        <v/>
      </c>
      <c r="G12" s="1">
        <v>0</v>
      </c>
      <c r="H12">
        <f>'Phase calculation'!$C$25</f>
        <v>0</v>
      </c>
      <c r="I12" t="str">
        <f>IF(E12="","",'Phase calculation'!M34)</f>
        <v/>
      </c>
      <c r="J12" t="str">
        <f t="shared" si="2"/>
        <v/>
      </c>
      <c r="K12">
        <f t="shared" si="3"/>
        <v>2</v>
      </c>
      <c r="L12" t="s">
        <v>9</v>
      </c>
      <c r="M12" s="223" t="str">
        <f t="shared" si="4"/>
        <v>000000</v>
      </c>
      <c r="N12" s="223" t="str">
        <f t="shared" si="4"/>
        <v>000000</v>
      </c>
      <c r="O12" s="1">
        <v>0</v>
      </c>
      <c r="Q12">
        <f>'Phase calculation'!M33</f>
        <v>0</v>
      </c>
      <c r="R12">
        <f>IFERROR(INDEX(Phasing!$D$46:$K$46,1,MATCH(Q12,Phasing!$D$54:$K$54,0)),0)</f>
        <v>0</v>
      </c>
      <c r="S12">
        <f>IFERROR(INDEX(Phasing!$D$47:$K$47,1,MATCH(Q12,Phasing!$D$54:$K$54,0)),0)</f>
        <v>0</v>
      </c>
      <c r="T12" s="495" t="str">
        <f t="shared" si="0"/>
        <v>000000</v>
      </c>
      <c r="U12" s="495" t="str">
        <f t="shared" si="0"/>
        <v>000000</v>
      </c>
    </row>
    <row r="13" spans="1:21" x14ac:dyDescent="0.3">
      <c r="A13">
        <f>GMNS!$A$2</f>
        <v>0</v>
      </c>
      <c r="B13" t="str">
        <f t="shared" si="1"/>
        <v>000000_000000</v>
      </c>
      <c r="C13" s="1" t="s">
        <v>608</v>
      </c>
      <c r="D13" s="1" t="s">
        <v>608</v>
      </c>
      <c r="E13" t="str">
        <f>IF(Q13=0,"",'Phase calculation'!N41)</f>
        <v/>
      </c>
      <c r="F13" s="494" t="str">
        <f>IF(Q13=0,"",'Phase calculation'!N40)</f>
        <v/>
      </c>
      <c r="G13" s="1">
        <v>0</v>
      </c>
      <c r="H13">
        <f>'Phase calculation'!$C$25</f>
        <v>0</v>
      </c>
      <c r="I13" t="str">
        <f>IF(E13="","",'Phase calculation'!N34)</f>
        <v/>
      </c>
      <c r="J13" t="str">
        <f t="shared" si="2"/>
        <v/>
      </c>
      <c r="K13">
        <f t="shared" si="3"/>
        <v>2</v>
      </c>
      <c r="L13" t="s">
        <v>10</v>
      </c>
      <c r="M13" s="223" t="str">
        <f t="shared" si="4"/>
        <v>000000</v>
      </c>
      <c r="N13" s="223" t="str">
        <f t="shared" si="4"/>
        <v>000000</v>
      </c>
      <c r="O13" s="1">
        <v>0</v>
      </c>
      <c r="Q13">
        <f>Q12</f>
        <v>0</v>
      </c>
      <c r="R13">
        <f>IFERROR(INDEX(Phasing!$D$46:$K$46,1,MATCH(Q13,Phasing!$D$54:$K$54,0)),0)</f>
        <v>0</v>
      </c>
      <c r="S13">
        <f>IFERROR(INDEX(Phasing!$D$47:$K$47,1,MATCH(Q13,Phasing!$D$54:$K$54,0)),0)</f>
        <v>0</v>
      </c>
      <c r="T13" s="495" t="str">
        <f t="shared" si="0"/>
        <v>000000</v>
      </c>
      <c r="U13" s="495" t="str">
        <f t="shared"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523" t="s">
        <v>281</v>
      </c>
      <c r="D2" s="523"/>
      <c r="E2" s="523"/>
      <c r="F2" s="523"/>
      <c r="G2" s="523"/>
    </row>
    <row r="3" spans="1:8" x14ac:dyDescent="0.3">
      <c r="A3" t="s">
        <v>280</v>
      </c>
      <c r="B3" s="1" t="s">
        <v>261</v>
      </c>
      <c r="C3" s="76">
        <v>30</v>
      </c>
      <c r="D3" s="76">
        <v>50</v>
      </c>
      <c r="E3" s="76">
        <v>70</v>
      </c>
      <c r="F3" s="76">
        <v>90</v>
      </c>
      <c r="G3" s="76">
        <v>110</v>
      </c>
      <c r="H3" s="475">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576" t="s">
        <v>305</v>
      </c>
      <c r="C1" s="576"/>
      <c r="D1" s="576"/>
    </row>
    <row r="2" spans="2:9" x14ac:dyDescent="0.3">
      <c r="B2" s="209"/>
      <c r="C2" s="576" t="s">
        <v>293</v>
      </c>
      <c r="D2" s="576"/>
    </row>
    <row r="3" spans="2:9" x14ac:dyDescent="0.3">
      <c r="B3" s="207" t="s">
        <v>292</v>
      </c>
      <c r="C3" s="171">
        <v>3</v>
      </c>
      <c r="D3" s="207">
        <v>4</v>
      </c>
      <c r="G3" s="218" t="s">
        <v>292</v>
      </c>
      <c r="H3" s="221" t="s">
        <v>306</v>
      </c>
      <c r="I3" s="43" t="s">
        <v>307</v>
      </c>
    </row>
    <row r="4" spans="2:9" x14ac:dyDescent="0.3">
      <c r="B4" s="208">
        <v>20</v>
      </c>
      <c r="C4" s="209">
        <v>90</v>
      </c>
      <c r="D4" s="208">
        <v>115</v>
      </c>
      <c r="G4" s="219">
        <v>25</v>
      </c>
      <c r="H4" s="65">
        <v>60</v>
      </c>
      <c r="I4" s="220">
        <v>0.8</v>
      </c>
    </row>
    <row r="5" spans="2:9" x14ac:dyDescent="0.3">
      <c r="B5" s="208">
        <v>25</v>
      </c>
      <c r="C5" s="209">
        <v>110</v>
      </c>
      <c r="D5" s="208">
        <v>145</v>
      </c>
      <c r="G5" s="219">
        <v>30</v>
      </c>
      <c r="H5" s="65">
        <v>60</v>
      </c>
      <c r="I5" s="220">
        <v>2.1</v>
      </c>
    </row>
    <row r="6" spans="2:9" x14ac:dyDescent="0.3">
      <c r="B6" s="208">
        <v>30</v>
      </c>
      <c r="C6" s="209">
        <v>130</v>
      </c>
      <c r="D6" s="208">
        <v>175</v>
      </c>
      <c r="G6" s="219">
        <v>35</v>
      </c>
      <c r="H6" s="65">
        <v>55</v>
      </c>
      <c r="I6" s="220">
        <v>1</v>
      </c>
    </row>
    <row r="7" spans="2:9" x14ac:dyDescent="0.3">
      <c r="B7" s="208">
        <v>35</v>
      </c>
      <c r="C7" s="209">
        <v>155</v>
      </c>
      <c r="D7" s="208">
        <v>205</v>
      </c>
      <c r="G7" s="219">
        <v>40</v>
      </c>
      <c r="H7" s="65">
        <v>70</v>
      </c>
      <c r="I7" s="220">
        <v>1.6</v>
      </c>
    </row>
    <row r="8" spans="2:9" x14ac:dyDescent="0.3">
      <c r="B8" s="208">
        <v>40</v>
      </c>
      <c r="C8" s="209">
        <v>180</v>
      </c>
      <c r="D8" s="208">
        <v>235</v>
      </c>
      <c r="G8" s="219">
        <v>45</v>
      </c>
      <c r="H8" s="65">
        <v>75</v>
      </c>
      <c r="I8" s="220">
        <v>1</v>
      </c>
    </row>
    <row r="9" spans="2:9" x14ac:dyDescent="0.3">
      <c r="B9" s="208">
        <v>45</v>
      </c>
      <c r="C9" s="209">
        <v>200</v>
      </c>
      <c r="D9" s="208">
        <v>265</v>
      </c>
      <c r="G9" s="219">
        <v>50</v>
      </c>
      <c r="H9" s="65">
        <v>75</v>
      </c>
      <c r="I9" s="220">
        <v>1</v>
      </c>
    </row>
    <row r="10" spans="2:9" x14ac:dyDescent="0.3">
      <c r="B10" s="208">
        <v>50</v>
      </c>
      <c r="D10" s="208">
        <v>265</v>
      </c>
      <c r="G10" s="219">
        <v>55</v>
      </c>
      <c r="H10" s="65">
        <v>75</v>
      </c>
      <c r="I10" s="220">
        <v>1</v>
      </c>
    </row>
    <row r="11" spans="2:9" x14ac:dyDescent="0.3">
      <c r="B11" s="208">
        <v>55</v>
      </c>
      <c r="D11" s="208">
        <v>265</v>
      </c>
    </row>
    <row r="16" spans="2:9" x14ac:dyDescent="0.3">
      <c r="B16" s="220" t="s">
        <v>309</v>
      </c>
      <c r="C16" s="520" t="s">
        <v>310</v>
      </c>
      <c r="D16" s="520"/>
      <c r="E16" s="520"/>
      <c r="F16" s="520"/>
      <c r="G16" s="520"/>
      <c r="H16" s="520"/>
      <c r="I16" s="520"/>
    </row>
    <row r="17" spans="2:9" x14ac:dyDescent="0.3">
      <c r="B17" t="s">
        <v>308</v>
      </c>
      <c r="C17" s="219">
        <v>25</v>
      </c>
      <c r="D17" s="219">
        <v>30</v>
      </c>
      <c r="E17" s="219">
        <v>35</v>
      </c>
      <c r="F17" s="219">
        <v>40</v>
      </c>
      <c r="G17" s="219">
        <v>45</v>
      </c>
      <c r="H17" s="219">
        <v>50</v>
      </c>
      <c r="I17" s="219">
        <v>55</v>
      </c>
    </row>
    <row r="18" spans="2:9" x14ac:dyDescent="0.3">
      <c r="B18" s="65">
        <v>55</v>
      </c>
      <c r="C18" s="220">
        <v>1.7</v>
      </c>
      <c r="D18" s="220">
        <v>2.1</v>
      </c>
      <c r="E18" s="220">
        <v>2.2999999999999998</v>
      </c>
      <c r="F18" s="220">
        <v>2.6</v>
      </c>
      <c r="G18" s="220">
        <v>2.7</v>
      </c>
      <c r="H18" s="220">
        <v>2.7</v>
      </c>
      <c r="I18" s="220">
        <v>2.7</v>
      </c>
    </row>
    <row r="19" spans="2:9" x14ac:dyDescent="0.3">
      <c r="B19" s="65">
        <v>60</v>
      </c>
      <c r="C19" s="220">
        <v>1.5</v>
      </c>
      <c r="D19" s="220">
        <v>2</v>
      </c>
      <c r="E19" s="220">
        <v>2.2000000000000002</v>
      </c>
      <c r="F19" s="220">
        <v>2.5</v>
      </c>
      <c r="G19" s="220">
        <v>2.6</v>
      </c>
      <c r="H19" s="220">
        <v>2.6</v>
      </c>
      <c r="I19" s="220">
        <v>2.6</v>
      </c>
    </row>
    <row r="20" spans="2:9" x14ac:dyDescent="0.3">
      <c r="B20" s="65">
        <v>65</v>
      </c>
      <c r="C20" s="220">
        <v>1.4</v>
      </c>
      <c r="D20" s="220">
        <v>1.8</v>
      </c>
      <c r="E20" s="220">
        <v>2.1</v>
      </c>
      <c r="F20" s="220">
        <v>2.4</v>
      </c>
      <c r="G20" s="220">
        <v>2.5</v>
      </c>
      <c r="H20" s="220">
        <v>2.5</v>
      </c>
      <c r="I20" s="220">
        <v>2.5</v>
      </c>
    </row>
    <row r="21" spans="2:9" x14ac:dyDescent="0.3">
      <c r="B21" s="65">
        <v>70</v>
      </c>
      <c r="C21" s="220">
        <v>1.2</v>
      </c>
      <c r="D21" s="220">
        <v>1.7</v>
      </c>
      <c r="E21" s="220">
        <v>2</v>
      </c>
      <c r="F21" s="220">
        <v>2.2999999999999998</v>
      </c>
      <c r="G21" s="220">
        <v>2.4</v>
      </c>
      <c r="H21" s="220">
        <v>2.4</v>
      </c>
      <c r="I21" s="220">
        <v>2.4</v>
      </c>
    </row>
    <row r="22" spans="2:9" x14ac:dyDescent="0.3">
      <c r="B22" s="65">
        <v>75</v>
      </c>
      <c r="C22" s="220">
        <v>1.1000000000000001</v>
      </c>
      <c r="D22" s="220">
        <v>1.6</v>
      </c>
      <c r="E22" s="220">
        <v>1.9</v>
      </c>
      <c r="F22" s="220">
        <v>2.2000000000000002</v>
      </c>
      <c r="G22" s="220">
        <v>2.4</v>
      </c>
      <c r="H22" s="220">
        <v>2.4</v>
      </c>
      <c r="I22" s="220">
        <v>2.4</v>
      </c>
    </row>
    <row r="25" spans="2:9" x14ac:dyDescent="0.3">
      <c r="B25" s="220" t="s">
        <v>313</v>
      </c>
      <c r="C25" s="520" t="s">
        <v>314</v>
      </c>
      <c r="D25" s="520"/>
      <c r="E25" s="520"/>
      <c r="F25" s="520"/>
      <c r="G25" s="520"/>
      <c r="H25" s="520"/>
      <c r="I25" s="520"/>
    </row>
    <row r="26" spans="2:9" x14ac:dyDescent="0.3">
      <c r="B26" t="s">
        <v>308</v>
      </c>
      <c r="C26" s="219">
        <v>25</v>
      </c>
      <c r="D26" s="219">
        <v>30</v>
      </c>
      <c r="E26" s="219">
        <v>35</v>
      </c>
      <c r="F26" s="219">
        <v>40</v>
      </c>
      <c r="G26" s="219">
        <v>45</v>
      </c>
      <c r="H26" s="219">
        <v>50</v>
      </c>
      <c r="I26" s="219">
        <v>55</v>
      </c>
    </row>
    <row r="27" spans="2:9" x14ac:dyDescent="0.3">
      <c r="B27" s="65">
        <v>55</v>
      </c>
      <c r="C27" s="220">
        <v>0</v>
      </c>
      <c r="D27" s="220">
        <v>0.1</v>
      </c>
      <c r="E27" s="220">
        <v>0.3</v>
      </c>
      <c r="F27" s="220">
        <v>0.6</v>
      </c>
      <c r="G27" s="220">
        <v>0.7</v>
      </c>
      <c r="H27" s="220">
        <v>0.7</v>
      </c>
      <c r="I27" s="220">
        <v>0.7</v>
      </c>
    </row>
    <row r="28" spans="2:9" x14ac:dyDescent="0.3">
      <c r="B28" s="65">
        <v>60</v>
      </c>
      <c r="C28" s="220">
        <v>0</v>
      </c>
      <c r="D28" s="220">
        <v>0</v>
      </c>
      <c r="E28" s="220">
        <v>0.2</v>
      </c>
      <c r="F28" s="220">
        <v>0.5</v>
      </c>
      <c r="G28" s="220">
        <v>0.6</v>
      </c>
      <c r="H28" s="220">
        <v>0.6</v>
      </c>
      <c r="I28" s="220">
        <v>0.6</v>
      </c>
    </row>
    <row r="29" spans="2:9" x14ac:dyDescent="0.3">
      <c r="B29" s="65">
        <v>65</v>
      </c>
      <c r="C29" s="220">
        <v>0</v>
      </c>
      <c r="D29" s="220">
        <v>0</v>
      </c>
      <c r="E29" s="220">
        <v>0.1</v>
      </c>
      <c r="F29" s="220">
        <v>0.4</v>
      </c>
      <c r="G29" s="220">
        <v>0.5</v>
      </c>
      <c r="H29" s="220">
        <v>0.5</v>
      </c>
      <c r="I29" s="220">
        <v>0.5</v>
      </c>
    </row>
    <row r="30" spans="2:9" x14ac:dyDescent="0.3">
      <c r="B30" s="65">
        <v>70</v>
      </c>
      <c r="C30" s="220">
        <v>0</v>
      </c>
      <c r="D30" s="220">
        <v>0</v>
      </c>
      <c r="E30" s="220">
        <v>0</v>
      </c>
      <c r="F30" s="220">
        <v>0.3</v>
      </c>
      <c r="G30" s="220">
        <v>0.3</v>
      </c>
      <c r="H30" s="220">
        <v>0.3</v>
      </c>
      <c r="I30" s="220">
        <v>0.3</v>
      </c>
    </row>
    <row r="31" spans="2:9" x14ac:dyDescent="0.3">
      <c r="B31" s="65">
        <v>75</v>
      </c>
      <c r="C31" s="220">
        <v>0</v>
      </c>
      <c r="D31" s="220">
        <v>0</v>
      </c>
      <c r="E31" s="220">
        <v>0</v>
      </c>
      <c r="F31" s="220">
        <v>0.2</v>
      </c>
      <c r="G31" s="220">
        <v>0.4</v>
      </c>
      <c r="H31" s="220">
        <v>0.4</v>
      </c>
      <c r="I31" s="220">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2021-07-03T07:20:47Z</dcterms:modified>
</cp:coreProperties>
</file>